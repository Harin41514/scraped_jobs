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in-dd38cda6badab985</t>
        </is>
      </c>
      <c r="B2" t="inlineStr">
        <is>
          <t>Data Scientist II - QuantumBlack, AI by McKinsey</t>
        </is>
      </c>
      <c r="C2" t="inlineStr">
        <is>
          <t>McKinsey &amp; Company</t>
        </is>
      </c>
      <c r="D2" t="inlineStr">
        <is>
          <t>indeed</t>
        </is>
      </c>
      <c r="E2" t="inlineStr"/>
      <c r="F2" t="inlineStr"/>
      <c r="G2" t="inlineStr">
        <is>
          <t>Atlanta, GA, US</t>
        </is>
      </c>
      <c r="H2" s="2" t="n">
        <v>46064</v>
      </c>
      <c r="I2" t="inlineStr">
        <is>
          <t>Job ID: 100742
- Atlanta
- Boston
- Chicago
- Dallas
- Montreal
- New Jersey
\+ 7 More  
Do you want to work on complex and pressing challenges—the kind that bring together curious, ambitious, and determined leaders who strive to become better every day? If this sounds like you, you’ve come to the right place.
YOUR IMPACT
As a Data Scientist II, you will collaborate with clients and interdisciplinary teams to understand client needs, develop impactful advanced analytics and AI solutions, optimize code, and solve complex business challenges across industries.
You’ll grow your expertise by contributing to cutting\-edge projects, R\&amp;D, and global conferences while working alongside top\-tier talent in a dynamic, innovative environment.
Your work will drive meaningful change. By uncovering patterns in data and delivering innovative solutions, you’ll help clients stay competitive, transform operations, and achieve lasting improvements. Here’s how you might contribute in a given year:* Build a digital twin of a defense supply chain to enhance military hardware availability.
* Leverage agentic AI to improve customer service outcomes for a global travel company.
* Optimize the schedule and funding of a multi\-billion\-dollar capital project to accelerate delivery.
You’ll contribute to projects across industries and data science expertise areas, eventually choosing your own path to build your expertise and skills. You should expect this role to include at least some work in critical industries (Aerospace, Defense, Utilities, Oil and Gas), but you will have the ability to serve other industries as well.
Day to day, you’ll tackle complex challenges in partnership with senior data scientists, engineers, designers, and domain experts. You will:* Translate business questions into analytical approaches and select the right techniques for each problem
* Conduct exploratory data analysis
Design, implement, and evaluate models—from traditional machine learning to deep learning to LLMs * \- using rigorous metrics and A/B tests. When appropriate, you’ll build production\-grade RAG pipelines and assess LLM output quality / hallucinations
* Deploy models via APIs or batch pipelines, write unit tests, and set up monitoring dashboards to track performance and drift
* Document assumptions, communicate results in clear, actionable language, and collaborate with engineers to integrate solutions into user\-facing applications.
* Build models which are accurate, explainable, and free from bias
* Optimize inference latency and cost through parameter\-efficient tuning, quantization, and accelerated serving stacks
Additionally, you will contribute to internal tools, participate in R\&amp;D projects, and have opportunities to attend and present at leading conferences like NIPS and ICML.
You will be based in one of our North America locations and collaborate closely with data scientists, data engineers, machine\-learning engineers, designers, and product managers around the world.
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QUALIFICATIONS AND SKILLS
* Bachelor’s degree in computer science with 2\+ years of professional experience OR Masters or PhD a discipline such as computer science, mathematics, statistics or electrical engineering
* Professional experience in applying machine learning and data mining techniques to real problems with copious amounts of data
* Development experience (focus on machine learning): SQL and Python’s data\-science stack; proficiency with Spark/PySpark for distributed workloads. We use the right tech for the task and often work within clients’ stacks. Technologies you may encounter include Airflow, Databricks, Dask/RAPIDS, containerization with Docker and Kubernetes, and the major clouds (AWS, GCP, Azure, Oracle)
* GenAI experience a plus: parameter\-efficient tuning, RAG architectures, vector\-store technologies, LLM evaluation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
* Willingness to travel</t>
        </is>
      </c>
    </row>
    <row r="3">
      <c r="A3" t="inlineStr">
        <is>
          <t>in-5186a5776ca0a198</t>
        </is>
      </c>
      <c r="B3" t="inlineStr">
        <is>
          <t>Research Data Scientist, Vertical Ads</t>
        </is>
      </c>
      <c r="C3" t="inlineStr">
        <is>
          <t>Google</t>
        </is>
      </c>
      <c r="D3" t="inlineStr">
        <is>
          <t>indeed</t>
        </is>
      </c>
      <c r="E3" t="inlineStr"/>
      <c r="F3" t="inlineStr"/>
      <c r="G3" t="inlineStr">
        <is>
          <t>Mountain View, CA, US</t>
        </is>
      </c>
      <c r="H3" s="2" t="n">
        <v>46064</v>
      </c>
      <c r="I3" t="inlineStr">
        <is>
          <t>###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**Preferred qualifications:**
* 5 years of work experience using analytics to solve product or business problems, coding (e.g., Python, R, SQL), querying databases or statistical analysis, or a PhD degree.
**About the job**
-----------------
In this role, you will evaluate and improve Google Search Vertical Ads products. You will collaborate with a multi\-disciplinary team of engineers and analysts on a wide range of problems. You will bring scientific and statistical methods to the issues of Search Vertical Ads product creation, development and improvement with an appreciation for the behaviors of the end user. Your work will be directly related to growing Google's business in a user\-responsible way. You will Support the Search Ads and Google Experience (SAGE) organization as the Data Science (DS) team for Google Search, Discover, and Gmail ads in developing the most important ad products at Google from classic text ads and rich local, travel, and shopping ads, to monetizing new rapidly evolving ad surfaces like Discover Feed and Gmail. These products the heart of Google’s business driving close to $200B in annual business are advanced, and are rapidly growing and evolving.Google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stakeholders in cross\-project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in-126bf97da83bbc0c</t>
        </is>
      </c>
      <c r="B4" t="inlineStr">
        <is>
          <t>Staff Product Data Scientist, Operation Center</t>
        </is>
      </c>
      <c r="C4" t="inlineStr">
        <is>
          <t>Waymo</t>
        </is>
      </c>
      <c r="D4" t="inlineStr">
        <is>
          <t>indeed</t>
        </is>
      </c>
      <c r="E4" t="inlineStr"/>
      <c r="F4" t="inlineStr"/>
      <c r="G4" t="inlineStr">
        <is>
          <t>Mountain View, CA, US</t>
        </is>
      </c>
      <c r="H4" s="2" t="n">
        <v>46064</v>
      </c>
      <c r="I4" t="inlineStr">
        <is>
          <t>MOUNTAIN VIEW, CALIFORNIA, UNITED STATES \| SAN FRANCISCO, CALIFORNIA, UNITED STATES
FULL\-TIME
PRODUCT
4583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Data Science team works cross\-functionally with Engineering, Product and Operations to help the company make the most informed decisions using data. Our team collaborates on high\-impact projects across the company — from driving quality and operational efficiency to market analysis and rider satisfaction scores — we help to safely and efficiently scale the Waymo Driver. We are data\-driven, curious, open\-minded, and adapt quickly to new information.
*This role follows a hybrid work schedule and you will report to the Manager of Product Data Science.*
**You will:**
* Develop and deploy statistical models to determine optimal staffing levels, ensuring rapid response times to AV and rider inquiries while upholding Waymo's safety standards
* Collaborate with Engineering to design and implement optimization models for request prioritization and queuing, driving cutting\-edge scalability for operations
* Conduct deep\-dive data analysis and trend evaluation to identify and execute on opportunities to improve Operations Center efficiency and customer experience
* Partner with Product and Operation to define metrics, measurement framework, and be a promoter of experimentation
* Build and maintain robust data foundations and reporting infrastructure
**You have:**
* Coding skills (Python and SQL),
* Experience with Modeling and Optimization
* At least 8 years of industry experience
* Strong Communication and Stakeholder \&amp; Management skills
**We prefer:**
* Experience with Experimentation
* Previous experience with Call Centers and queuing theory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$230,000—$292,000 USD</t>
        </is>
      </c>
    </row>
    <row r="5">
      <c r="A5" t="inlineStr">
        <is>
          <t>in-b7a2e2594c67c9eb</t>
        </is>
      </c>
      <c r="B5" t="inlineStr">
        <is>
          <t>Data Scientist, Expert</t>
        </is>
      </c>
      <c r="C5" t="inlineStr">
        <is>
          <t>Pacific Gas and Electric</t>
        </is>
      </c>
      <c r="D5" t="inlineStr">
        <is>
          <t>indeed</t>
        </is>
      </c>
      <c r="E5" t="inlineStr"/>
      <c r="F5" t="inlineStr"/>
      <c r="G5" t="inlineStr">
        <is>
          <t>Oakland, CA, US</t>
        </is>
      </c>
      <c r="H5" s="2" t="n">
        <v>46064</v>
      </c>
      <c r="I5" t="inlineStr">
        <is>
          <t>Requisition ID \# 170115
**Job Category:** Accounting / Finance
**Job Level:** Individual Contributor
**Business Unit:** Electric Operations
**Work Type:** Hybrid
**Job Location:** Oakland
Department Overview
The New Business PMO (NB PMO) is the budget and process owners for Gas and Electric Distribution New Business. Its mandate is to provide end\-to\-end financial and program management, process ownership, and timely delivery of the New Business customer work portfolio (currently approximate 20k distribution projects and approximately annual $1\.5B capital budget across the PG\&amp;E Territory). The NB PMO works closely with Service Planning \&amp; Design (SP\&amp;D), which owns the customer\-facing experience. The NB PMO uses the production system to ensure customer work is efficiently following through intake, design, dependencies, scheduling, execution and construction. Together, supporting PG\&amp;E’s True North Strategy by ensuring work is delivered on time, on budget, and with a positive customer impact.
Position Summary
Designs, develops, and executes scripts, programs, models, algorithms, and processes, using structured and unstructured data from disparate sources and sizes, generating for defensible, valid, scalable, reproducible and documented machine learning and artificial intelligence models (predictive or optimization) for problem solving and strategy development. Participates in internal and external communities of practice in data science/artificial intelligence/machine learning to advance knowledge in the field. Educates the non\-technical community on advantages, risks, and maturity levels of data science solutions.
This position is hybrid, working from your remote office and your assigned work location based on business need. The assigned work location will be within the Bay Area of the PG\&amp;E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**Bay Minimum:** $140,000
**Bay Maximum:** $238,000
This job is also eligible to participate in PG\&amp;E’s discretionary incentive compensation programs.
Job Responsibilities
Responsibilities typically include the following but not limited to, with ensuring delivering on achieving program metrics/objectives.
Researches and applies advanced knowledge of existing and emerging data science principles, theories, and techniques to inform business decisions.
Solves unique and complex strategic issues and problems, while developing and monitoring budgets, forecast models, dashboards, presentations, and ad hoc analysis.
Creates advanced data mining architectures / models / protocols, statistical reporting, and data analysis methodologies to identify trends in structured and unstructured data sets
Extracts, transforms, and loads data from dissimilar sources from across PG\&amp;E for their machine learning feature engineering
Applies data science/ machine learning /artificial intelligence methods to develop defensible and reproducible predictive or optimization models that involve multiple facets and iterations in algorithm development.
Wrangles and prepares data as input of machine learning model development and feature engineering
Writes and documents reusable python functions and modular python code for data science.
Assesses business implications associated with modeling assumptions, inputs, methodologies, technical implementation, analytic procedures and processes, and advanced data analysis.
Collaborates with analytics platform owners to prioritize and drive development of scalable data science capabilities.
Works with sponsor departments and company subject matter experts to understand application and potential of data science solutions that create value.
Advocate for digital transformation of the business through the adoption of data science, analytics, and data\-driven business processes.
Presents findings and makes recommendations to senior management.
Act as peer reviewer of complex models
Qualifications
**Minimum:**  
Bachelor’s Degree in Data Science, Machine Learning, Computer Science, Physics, Econometrics or Economics, Engineering, Mathematics, Applied Sciences, Statistics, or equivalent field.
6 years in data science OR no experience, if possess Doctoral Degree or higher, as described above.
**Desired:**  
Doctorate Degree in Data Science, Machine Learning, or job\-related discipline or equivalent experience
Relevant industry (electric or gas utility, renewable energy, analytics consulting, etc.) experience
Active participation in the external data science/artificial intelligence/machine learning community of practice, as demonstrated through volunteering in professional organizations for the advancement of the field, presentations in conferences or publications to disseminate data science knowledge and topics, or similar activities.
Competency with data science standards and processes (model evaluation, optimization, feature engineering, etc) along with best practices to implement them
Knowledge of industry trends and current issues in job\-related area of responsibility as demonstrated through peer reviewed journal publications, conference presentations, open source contributions or similar activities
Competency with commonly used data science and/or operations research programming languages, packages, and tools for building data science/machine learning models and algorithms
Proficiency in explaining in breadth and depth technical concepts including but not limited to statistical inference, machine learning algorithms, software engineering, model deployment pipelines.
Mastery in clearly communicating complex technical details and insights to colleagues and stakeholders
Mastery of the mathematical and statistical fields that underpin data science
Ability to develop, coach, teach and/or mentor others to meet both their career goals and the organization goals</t>
        </is>
      </c>
    </row>
    <row r="6">
      <c r="A6" t="inlineStr">
        <is>
          <t>in-e4abddf2a523125f</t>
        </is>
      </c>
      <c r="B6" t="inlineStr">
        <is>
          <t>Data Scientist</t>
        </is>
      </c>
      <c r="C6" t="inlineStr">
        <is>
          <t>American business solutions inc</t>
        </is>
      </c>
      <c r="D6" t="inlineStr">
        <is>
          <t>indeed</t>
        </is>
      </c>
      <c r="E6" t="inlineStr"/>
      <c r="F6" t="inlineStr"/>
      <c r="G6" t="inlineStr">
        <is>
          <t>Richmond, VA, US</t>
        </is>
      </c>
      <c r="H6" s="2" t="n">
        <v>46064</v>
      </c>
      <c r="I6" t="inlineStr">
        <is>
          <t>##### **Engagement Type**
Contract  
VA DJJ HR has the shell of a PowerBI dashboard that may be expanded upon with improving in the build of dynamic dashboard and ensure HR data is consistent, accurate, and usable for reporting and strategic initiatives. Seeking a consultant well versed in raw HR data points, current reporting techniques and strategic development of an interactive HR Dashboard utilizing PowerBI where the raw data is automatically updated frequently and permits for ad hoc reporting. The HR dashboard should include key metrics to include but not limited to agency position count, agency headcount, demographics, turnover and retention trends, leave usage and absenteeism, time\-to\-fill, vacant positions, and more. The consultant should be able to maintain confidentiality; an eye for detail in visualization development and reporting; and the ability to train. Must be able to communicate effectively with across functional areas as it relates to the HR Dashboard and data needs.
##### **Required/Desired Skills**
Skill Required/Desired Amount of Experience PowerBI Required 5\.0 Years SQL Required 5\.0 Years Python Required 5\.0 Years SaaS Required 5\.0 Years Data Management and Development Required 5\.0 Years</t>
        </is>
      </c>
    </row>
    <row r="7">
      <c r="A7" t="inlineStr">
        <is>
          <t>in-756ec407163dcf6f</t>
        </is>
      </c>
      <c r="B7" t="inlineStr">
        <is>
          <t>Senior Data Scientist</t>
        </is>
      </c>
      <c r="C7" t="inlineStr">
        <is>
          <t>ClickUp</t>
        </is>
      </c>
      <c r="D7" t="inlineStr">
        <is>
          <t>indeed</t>
        </is>
      </c>
      <c r="E7" t="inlineStr"/>
      <c r="F7" t="inlineStr"/>
      <c r="G7" t="inlineStr">
        <is>
          <t>US</t>
        </is>
      </c>
      <c r="H7" s="2" t="n">
        <v>46064</v>
      </c>
      <c r="I7" t="inlineStr">
        <is>
          <t>Location
United States of America
Employment Type
Full time
Location Type
Remote
Department
Product
Compensation
$140K – $190K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ClickUp is seeking a technical expert in **recommendation systems** and **advanced deep learning** that has strengths in architecting comprehensive, end\-to\-end machine learning pipelines and deployment strategies. This individual has a strong and balanced understanding of model architectures such as Graph Neural Networks (GNN) and Transformers, and is well versed in **modern MLOps practices**.
The ideal Senior Data Scientist understands the mechanics of **Product\-Led Growth (PLG)** and has prior experience working with Product, Analytics, and Engineering teams to build **Next Best engines** and **intelligent personalization features**. You are an innovative technical thinker who makes impactful decisions supported by rigorous experimentation and large\-scale data analysis. If you're a curious, precise, and impact\-driven go\-getter that thrives when faced with complex technical challenges...this role is meant for you!
 **The Role:**
* Build advanced recommendation models, such as Next Best Offer systems, leveraging cutting\-edge techniques.
* Create and own the end\-to\-end lifecycle of machine learning models, from data preprocessing and feature engineering to production deployment.
* Design and deploy scalable machine learning architectures that integrate seamlessly into customer\-facing applications.
* Continuously evaluate and improve model accuracy, scalability, and computational efficiency.
* Stay up\-to\-date with the latest advancements in machine learning to ensure best\-in\-class solutions are applied to business problems.
* Report to the Director of Growth Data Science.
* Work with the Growth Data Science team to drive measurable impact on user engagement and business outcomes.
* Collaborate with cross\-functional partners in Product, Engineering, Analytics, and Marketing to deliver data\-driven solutions.
* Identify new opportunities to uncover actionable insights from large\-scale datasets.
* Grow the effectiveness of the PLG funnel through optimized model performance and personalization.
 **Qualifications:**
* 5\+ years of direct experience in data science or machine learning, with a specific focus on recommendation systems.
* Proven experience deploying machine learning models end\-to\-end in a SaaS or PLG environment.
* Strong proficiency in Python and deep learning frameworks such as TensorFlow or PyTorch.
* Hands\-on experience with GNN, Transformers, or other advanced ML architectures.
* Solid understanding of MLOps best practices, data pipelines, and containerization (Docker, Kubernetes).
* Expertise in working with large\-scale datasets and distributed computing tools (e.g., Spark, Hadoop).
* Strong problem\-solving skills and the ability to communicate complex technical concepts to non\-technical stakeholders.
* Hands\-on experience with the modern data stack: Snowflake, Hex, and cloud platforms (AWS/GCP).
* Solid understanding of MLOps best practices and CI/CD for machine learning (MLflow, Docker, Kubernetes).
\#LI\-SM1  
\#LI\-remote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8">
      <c r="A8" t="inlineStr">
        <is>
          <t>in-82f1a084e55421f9</t>
        </is>
      </c>
      <c r="B8" t="inlineStr">
        <is>
          <t>Associate Data Scientist</t>
        </is>
      </c>
      <c r="C8" t="inlineStr">
        <is>
          <t>Capgemini</t>
        </is>
      </c>
      <c r="D8" t="inlineStr">
        <is>
          <t>indeed</t>
        </is>
      </c>
      <c r="E8" t="inlineStr"/>
      <c r="F8" t="inlineStr"/>
      <c r="G8" t="inlineStr">
        <is>
          <t>Seattle, WA, US</t>
        </is>
      </c>
      <c r="H8" s="2" t="n">
        <v>46064</v>
      </c>
      <c r="I8" t="inlineStr">
        <is>
          <t>Seattle, WA
Associate Data Scientist
We are seeking a passionate and innovative GenAI Engineer/Data Scientist to join our team. This role involves developing GEN AI solutions and predictive AI models, deploying them in production environments, and driving the integration of AI technologies across our business operations. As a key member of our AI team, you will collaborate with diverse teams to design solutions that deliver tangible business value through AI\-driven insights.
Key Responsibilities:· Application Architecture Design, Development, \&amp; Integration:o Familiarity with API architecture, and components such as external interfacing, traffic control, runtime execution of business logic, data access, authentication, deployment.
Key skills to include Understanding of URLs and API Endpoints, HTTP Requests, Authentication Methods, Response Types, JSON/REST, Parameters and Data Filtering, Error Handling, Debugging, Rate Limits, Tokens, Integration, and Documentation.· AI \&amp; Machine Learning Models Development:o Develop generative and predictive
AI models (including NLP, computer vision, etc.).Familiarity with cloud platforms (e.g., Azure, AWS, GCP) and big data tools (e.g., Databricks, PySpark) to develop AI solutions.Familiarity with intelligent autonomous agents for complex tasks and multimodal interactions.o Familiarity with agentic workflows that utilize AI agents to automate tasks and improve operational efficiency.·
Model Deployment \&amp; Maintenance: Deploy AI models into production environments, ensuring scalability, performance, and optimization.o Monitor and troubleshoot deployed models and pipelines for optimal performance.
Design and maintain data pipelines for efficient data collection, processing, and storage (e.g., data lakes, data warehouses).· Emerging Technologies:o maintain involvement with internal and external training and relevant discussions; stay at the forefront of emerging AI techniques, tools, and trends.· Collaboration \&amp; Communication:o Collaborate with cross\-functional teams to align AI projects with business requirements and strategic goals.
Willingness to contribute to and participate in developing and harvesting resuable assets and demos, sales pitches.
Communicate complex AI concepts and results to non\-technical stakeholders.
Required Qualifications:· Education:o Bachelor’s or greater degree in Machine Learning, AI, or equivalent professional experience.· Experience:o Minimum of 1 year of professional experience in AI, application development, machine learning, or a similar role.o Experience in model deployment, MLOps, model monitoring, and managing data/model drift.
Experience with predictive AI (e.g., regression, classification, clustering) and generative AI models (e.g., GPT, Claude LLM, Stable Diffusion).·
Technical Skills:Proficiency in programming languages such as Python and SQL.
Proficiency in URLs and API Endpoints, HTTP Requests, Authentication Methods, Response Types, JSON/REST, Parameters and Data Filtering, Error Handling, Debugging, Rate Limits, Tokens, Integration, and Documentation.
Proficiency with cloud platforms (e.g., AWS, Azure) and big data tools (e.g., Databricks, PySpark).
Familiarity with AI frameworks such as LangChain and machine learning libraries like TensorFlow, PyTorch, and scikit\-learn.
Knowledge of deployment tools (e.g., Azure DevOps, Docker, AWS ECS/EKS/Fargate) and CI/CD pipelines (AWS CloudFormation, CodeDeploy).
Understanding of data engineering principles, including experience with SQL and NoSQL databases (e.g., MySQL, MongoDB, Redis).·
Additional Skills:
Strong problem\-solving and troubleshooting skills.o Familiarity with generative AI techniques, such as retrieval\-augmented generation (RAG) patterns.
Experience with Graph database technology a plus. (e.g. Neo4J, Ontotext)o Ability to collaborate effectively across teams.
Excellent communication skills, with the ability to explain complex technical concepts to non\-technical stakeholders.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The primary responsibilities involves assisting with data cleaning, analysis, model development, visualization, and collaborating with the team to support data driven decision making.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396214\-en\_GB
Posted on
12 Feb 2026
Experience level
Experienced Professionals
Contract type
Permanent
Location
Seattle, WA
Business unit
I and D Global Business Line
Brand
Capgemini
Professional communities
Data \&amp; AI</t>
        </is>
      </c>
    </row>
    <row r="9">
      <c r="A9" t="inlineStr">
        <is>
          <t>in-3ae145c664b54c35</t>
        </is>
      </c>
      <c r="B9" t="inlineStr">
        <is>
          <t>Associate Data Scientist (3 of 6 positions)</t>
        </is>
      </c>
      <c r="C9" t="inlineStr">
        <is>
          <t>Capgemini</t>
        </is>
      </c>
      <c r="D9" t="inlineStr">
        <is>
          <t>indeed</t>
        </is>
      </c>
      <c r="E9" t="inlineStr"/>
      <c r="F9" t="inlineStr"/>
      <c r="G9" t="inlineStr">
        <is>
          <t>Seattle, WA, US</t>
        </is>
      </c>
      <c r="H9" s="2" t="n">
        <v>46064</v>
      </c>
      <c r="I9" t="inlineStr">
        <is>
          <t>Seattle, WA
Associate Data Scientist (3 of 6 positions)
We are seeking a passionate and innovative GenAI Engineer/Data Scientist to join our team. This role involves developing GEN AI solutions and predictive AI models, deploying them in production environments, and driving the integration of AI technologies across our business operations. As a key member of our AI team, you will collaborate with diverse teams to design solutions that deliver tangible business value through AI\-driven insights.
Key Responsibilities:· Application Architecture Design, Development, \&amp; Integration:o Familiarity with API architecture, and components such as external interfacing, traffic control, runtime execution of business logic, data access, authentication, deployment.
Key skills to include Understanding of URLs and API Endpoints, HTTP Requests, Authentication Methods, Response Types, JSON/REST, Parameters and Data Filtering, Error Handling, Debugging, Rate Limits, Tokens, Integration, and Documentation.· AI \&amp; Machine Learning Models Development:o Develop generative and predictive
AI models (including NLP, computer vision, etc.).Familiarity with cloud platforms (e.g., Azure, AWS, GCP) and big data tools (e.g., Databricks, PySpark) to develop AI solutions.Familiarity with intelligent autonomous agents for complex tasks and multimodal interactions.o Familiarity with agentic workflows that utilize AI agents to automate tasks and improve operational efficiency.·
Model Deployment \&amp; Maintenance: Deploy AI models into production environments, ensuring scalability, performance, and optimization.o Monitor and troubleshoot deployed models and pipelines for optimal performance.
Design and maintain data pipelines for efficient data collection, processing, and storage (e.g., data lakes, data warehouses).· Emerging Technologies:o maintain involvement with internal and external training and relevant discussions; stay at the forefront of emerging AI techniques, tools, and trends.· Collaboration \&amp; Communication:o Collaborate with cross\-functional teams to align AI projects with business requirements and strategic goals.
Willingness to contribute to and participate in developing and harvesting resuable assets and demos, sales pitches.
Communicate complex AI concepts and results to non\-technical stakeholders.
Required Qualifications:· Education:o Bachelor’s or greater degree in Machine Learning, AI, or equivalent professional experience.· Experience:o Minimum of 1 year of professional experience in AI, application development, machine learning, or a similar role.o Experience in model deployment, MLOps, model monitoring, and managing data/model drift.
Experience with predictive AI (e.g., regression, classification, clustering) and generative AI models (e.g., GPT, Claude LLM, Stable Diffusion).·
Technical Skills:Proficiency in programming languages such as Python and SQL.
Proficiency in URLs and API Endpoints, HTTP Requests, Authentication Methods, Response Types, JSON/REST, Parameters and Data Filtering, Error Handling, Debugging, Rate Limits, Tokens, Integration, and Documentation.
Proficiency with cloud platforms (e.g., AWS, Azure) and big data tools (e.g., Databricks, PySpark).
Familiarity with AI frameworks such as LangChain and machine learning libraries like TensorFlow, PyTorch, and scikit\-learn.
Knowledge of deployment tools (e.g., Azure DevOps, Docker, AWS ECS/EKS/Fargate) and CI/CD pipelines (AWS CloudFormation, CodeDeploy).
Understanding of data engineering principles, including experience with SQL and NoSQL databases (e.g., MySQL, MongoDB, Redis).·
Additional Skills:
Strong problem\-solving and troubleshooting skills.o Familiarity with generative AI techniques, such as retrieval\-augmented generation (RAG) patterns.
Experience with Graph database technology a plus. (e.g. Neo4J, Ontotext)o Ability to collaborate effectively across teams.
Excellent communication skills, with the ability to explain complex technical concepts to non\-technical stakeholders.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The primary responsibilities involves assisting with data cleaning, analysis, model development, visualization, and collaborating with the team to support data driven decision making.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396212\-en\_GB
Posted on
12 Feb 2026
Experience level
Experienced Professionals
Contract type
Permanent
Location
Seattle, WA
Business unit
I and D Global Business Line
Brand
Capgemini
Professional communities
Data \&amp; AI</t>
        </is>
      </c>
    </row>
    <row r="10">
      <c r="A10" t="inlineStr">
        <is>
          <t>in-dd77c8e03e5b885a</t>
        </is>
      </c>
      <c r="B10" t="inlineStr">
        <is>
          <t>Junior Data Scientist</t>
        </is>
      </c>
      <c r="C10" t="inlineStr">
        <is>
          <t>Serco</t>
        </is>
      </c>
      <c r="D10" t="inlineStr">
        <is>
          <t>indeed</t>
        </is>
      </c>
      <c r="E10" t="inlineStr"/>
      <c r="F10" t="inlineStr"/>
      <c r="G10" t="inlineStr">
        <is>
          <t>Rock Island, IL, US</t>
        </is>
      </c>
      <c r="H10" s="2" t="n">
        <v>46064</v>
      </c>
      <c r="I10" t="inlineStr">
        <is>
          <t>###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  
process recommendations.
* Develop and use data, algorithms, and analyses to identify and apply  
mechanisms to both overcome impediments to materiel readiness and exploit  
opportunities to improve readiness through feasible, cost\-effective software and  
business process improvements, changes, and interventions.
* Forecast and address complex analytical challenges and identify the challenges  
and opportunities within systems, develop comprehensive solutions, and  
incorporate these capabilities solutions into software and workflows.
* Develop analytics and process solution sets, the criteria for recommended  
algorithms and processes shall include preference for efficient methods that use  
as simple of a process as possible given the current state\-of\-the\-art practices.  
The analytics and process solution sets shall provide appropriate, economic  
savings\-driven answers.
* Regularly identify and communicate courses of actions required for program and  
project success, including appropriate reporting processes and applicable  
metrics to monitor and assess outcomes.
* Proactively identify mechanisms to improve mission performance.
* Use appropriate quantitative analytics techniques to include time series analysis  
and forecasting, advanced multivariate regression (including Probit and Logit  
Models), systems dynamics modelling, Bayesian inference procedures, minimax  
procedures (statistical), subjective probability utilization, expected utility analysis,  
operational risk analysis, and uncertainty evaluation.
* Use appropriate qualitative analytics techniques to include multi\-criteria decision  
analysis, qualitative comparative analysis, causal mapping, formal game theory,  
minimax procedures (game theory), decision architecture, systems architecture  
analysis, organizational analysis and structural reform, supply chain analysis,  
and multinational best practices (military and industry) evaluation.
* Use logistics and agent\-based modeling and simulation.
* Conduct business process analysis and optimization across the Doctrine,  
Organization, Training, Materiel, Leadership, Education, Personnel, Facilities,  
Policy (DOTMLPF\-P) spectrum and beyond.
* Produce formal use cases, software program change requests, and other  
required documentation for technology insertion into related defense logistics  
support software.
* Interface and liaise with software program offices and contractors.
* Develop requirements for defense analytics software.
* Conduct stakeholder analysis and create products for stakeholder  
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  
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row>
    <row r="11">
      <c r="A11" t="inlineStr">
        <is>
          <t>in-437b8be778237b4a</t>
        </is>
      </c>
      <c r="B11" t="inlineStr">
        <is>
          <t>Principal Applied Scientist (GenAI)</t>
        </is>
      </c>
      <c r="C11" t="inlineStr">
        <is>
          <t>Oracle</t>
        </is>
      </c>
      <c r="D11" t="inlineStr">
        <is>
          <t>indeed</t>
        </is>
      </c>
      <c r="E11" t="inlineStr"/>
      <c r="F11" t="inlineStr"/>
      <c r="G11" t="inlineStr">
        <is>
          <t>US</t>
        </is>
      </c>
      <c r="H11" s="2" t="n">
        <v>46063</v>
      </c>
      <c r="I11" t="inlineStr">
        <is>
          <t>We are seeking a visionary leader to spearhead post training model research and development efforts. As the post training science lead, you will be responsible for driving the development and implementation of cutting\-edge methodologies around improving model performance based on human feedback.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Stay Updated: Maintain a deep understanding of industry trends and advancements in code generation.  
*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t>
        </is>
      </c>
    </row>
    <row r="12">
      <c r="A12" t="inlineStr">
        <is>
          <t>in-3c787c8eb723df49</t>
        </is>
      </c>
      <c r="B12" t="inlineStr">
        <is>
          <t>Associate Data Scientist (2 of 6 positions)</t>
        </is>
      </c>
      <c r="C12" t="inlineStr">
        <is>
          <t>Capgemini</t>
        </is>
      </c>
      <c r="D12" t="inlineStr">
        <is>
          <t>indeed</t>
        </is>
      </c>
      <c r="E12" t="inlineStr"/>
      <c r="F12" t="inlineStr"/>
      <c r="G12" t="inlineStr">
        <is>
          <t>Seattle, WA, US</t>
        </is>
      </c>
      <c r="H12" s="2" t="n">
        <v>46063</v>
      </c>
      <c r="I12" t="inlineStr">
        <is>
          <t>Seattle, WA
Associate Data Scientist (2 of 6 positions)
We are seeking a passionate and innovative GenAI Engineer/Data Scientist to join our team. This role involves developing GEN AI solutions and predictive AI models, deploying them in production environments, and driving the integration of AI technologies across our business operations. As a key member of our AI team, you will collaborate with diverse teams to design solutions that deliver tangible business value through AI\-driven insights.
Key Responsibilities:· Application Architecture Design, Development, \&amp; Integration:o Familiarity with API architecture, and components such as external interfacing, traffic control, runtime execution of business logic, data access, authentication, deployment.
Key skills to include Understanding of URLs and API Endpoints, HTTP Requests, Authentication Methods, Response Types, JSON/REST, Parameters and Data Filtering, Error Handling, Debugging, Rate Limits, Tokens, Integration, and Documentation.· AI \&amp; Machine Learning Models Development:o Develop generative and predictive
AI models (including NLP, computer vision, etc.).Familiarity with cloud platforms (e.g., Azure, AWS, GCP) and big data tools (e.g., Databricks, PySpark) to develop AI solutions.Familiarity with intelligent autonomous agents for complex tasks and multimodal interactions.o Familiarity with agentic workflows that utilize AI agents to automate tasks and improve operational efficiency.·
Model Deployment \&amp; Maintenance: Deploy AI models into production environments, ensuring scalability, performance, and optimization.o Monitor and troubleshoot deployed models and pipelines for optimal performance.
Design and maintain data pipelines for efficient data collection, processing, and storage (e.g., data lakes, data warehouses).· Emerging Technologies:o maintain involvement with internal and external training and relevant discussions; stay at the forefront of emerging AI techniques, tools, and trends.· Collaboration \&amp; Communication:o Collaborate with cross\-functional teams to align AI projects with business requirements and strategic goals.
Willingness to contribute to and participate in developing and harvesting resuable assets and demos, sales pitches.
Communicate complex AI concepts and results to non\-technical stakeholders.
Required Qualifications:· Education:o Bachelor’s or greater degree in Machine Learning, AI, or equivalent professional experience.· Experience:o Minimum of 1 year of professional experience in AI, application development, machine learning, or a similar role.o Experience in model deployment, MLOps, model monitoring, and managing data/model drift.
Experience with predictive AI (e.g., regression, classification, clustering) and generative AI models (e.g., GPT, Claude LLM, Stable Diffusion).·
Technical Skills:Proficiency in programming languages such as Python and SQL.
Proficiency in URLs and API Endpoints, HTTP Requests, Authentication Methods, Response Types, JSON/REST, Parameters and Data Filtering, Error Handling, Debugging, Rate Limits, Tokens, Integration, and Documentation.
Proficiency with cloud platforms (e.g., AWS, Azure) and big data tools (e.g., Databricks, PySpark).
Familiarity with AI frameworks such as LangChain and machine learning libraries like TensorFlow, PyTorch, and scikit\-learn.
Knowledge of deployment tools (e.g., Azure DevOps, Docker, AWS ECS/EKS/Fargate) and CI/CD pipelines (AWS CloudFormation, CodeDeploy).
Understanding of data engineering principles, including experience with SQL and NoSQL databases (e.g., MySQL, MongoDB, Redis).·
Additional Skills:
Strong problem\-solving and troubleshooting skills.o Familiarity with generative AI techniques, such as retrieval\-augmented generation (RAG) patterns.
Experience with Graph database technology a plus. (e.g. Neo4J, Ontotext)o Ability to collaborate effectively across teams.
Excellent communication skills, with the ability to explain complex technical concepts to non\-technical stakeholders.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The primary responsibilities involves assisting with data cleaning, analysis, model development, visualization, and collaborating with the team to support data driven decision making.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396115\-en\_US
Posted on
11 Feb 2026
Experience level
Experienced Professionals
Contract type
Permanent
Location
Seattle, WA
Business unit
I and D Global Business Line
Brand
Capgemini
Professional communities
Data \&amp; AI</t>
        </is>
      </c>
    </row>
    <row r="13">
      <c r="A13" t="inlineStr">
        <is>
          <t>in-40b0534a3d6f24b7</t>
        </is>
      </c>
      <c r="B13" t="inlineStr">
        <is>
          <t>Data Scientist</t>
        </is>
      </c>
      <c r="C13" t="inlineStr">
        <is>
          <t>Emory Healthcare</t>
        </is>
      </c>
      <c r="D13" t="inlineStr">
        <is>
          <t>indeed</t>
        </is>
      </c>
      <c r="E13" t="inlineStr"/>
      <c r="F13" t="inlineStr"/>
      <c r="G13" t="inlineStr">
        <is>
          <t>Atlanta, GA, US</t>
        </is>
      </c>
      <c r="H13" s="2" t="n">
        <v>46063</v>
      </c>
      <c r="I13" t="inlineStr">
        <is>
          <t>Overview: **Be inspired. Be valued. Belong.**  
At Emory Healthcare we fuel your professional journey with better benefits, valuable resources, ongoing mentorship and leadership programs for all types of jobs, and a supportive environment that enables you to reach new heights in your career and be what you want to be. We provide:* Comprehensive health benefits that start day 1
* Student Loan Repayment Assistance \&amp; Reimbursement Programs
* Family\-focused benefits
* Wellness incentives
Ongoing mentorship, development, leadership programs...and more!  
Remote position, however candidates must reside in one of the following states: Alabama, Arkansas, Florida, Georgia, Illinois, Louisiana, Michigan, New Hampshire, North Carolina, Ohio, Pennsylvania, South Carolina, Tennessee, Texas, Virginia, or Wisconsin.
Description:
The Data Scientist will play a central role in advancing data‑driven decision‑making across the organization, with a strong focus on improving clinical outcomes through analysis. This position is responsible for developing predictive models and analytical frameworks that uncover the drivers of key operational metrics such as length of stay, patient retention, transfer risk, and throughput bottlenecks.
Working closely with clinical, operational, and technical teams, the Data Scientist will design and implement statistical models, machine learning pipelines, and natural language processing solutions that leverage both structured and unstructured healthcare data. The role also includes contributing to MLOps practices to ensure scalable, reliable deployment of models into production environments.
This position is ideal for someone who thrives at the intersection of advanced analytics and real‑world healthcare challenges—someone who can translate complex data into actionable insights that meaningfully improve patient care and organizational performance.  
**RESPONSIBILITIES:*** Lead development of advanced models and experimentation frameworks.
* Design, build, and maintain end‑to‑end machine learning pipelines in a cloud based framework.
* Develop and refine NLP pipelines to extract structured information from unstructured clinical documentation.
* Mentor junior data scientists and review code and methodologies.
* Own domain\-specific analytics solutions and stakeholder relationships.
* Applying statistical techniques to improve clinical workflows
* Ensure model governance and documentation standards are met.
* Explore large datasets to identify patterns, trends, and insights.
* Create visualizations (such as charts, graphs, and dashboards) to communicate findings effectively.
* Apply statistical techniques to analyze data and draw meaningful conclusions.
* Collaborate with data scientists to build predictive models when necessary.
**PREFERRED QUALIFICATIONS:*** Experience in StrataJazz or similar decision support system (Data sources include electronic health records (e.g., EPIC), decision support systems (e.g, EPSi, StrataJazz), and other healthcare systems.)
* HIPAA compliance or experience with OMOP/standardized data models.
* HL7/FHIR standards and Data Ethics/Privacy.
* Agile experience
* JUDGEMENT: Leads a team \- Helps develop and implement a solution and/or analytical strategy for the group \- Manage customer relationships, communicating results and recommendations to project sponsors, clients \&amp; various senior level audiences \- Guide decision\-making through data\-driven recommendations
**MINIMUM QUALIFICATIONS:*** Education: A bachelors degree, a master's degree is preferred
* Experience: At least 5 years of experience either in healthcare or data analytics \- At least 2 years of experience working for payor companies or healthcare systems \- At least 2 years of experience in relational database \- Proficient in SQL and at least 1 other programming languages (e.g., Python, R, SAS) \- Experience in statistical modeling, machine learning, AI \- Excellent presentation skills \- Experience in strategic planning and workflow optimization \- Mentor and coach the broader analytic team and service line operation leaders
Additional Details:
Emory is an equal opportunity employer, and qualified applicants will receive consideration for employment without regard to race, color, religion, sex, national origin, disability, protected veteran status or other characteristics protected by state or federal law.  
Emory Healthcare is committed to providing reasonable accommodations to qualified individuals with disabilities upon request. Please contact Emory Healthcare’s Human Resources at careers@emoryhealthcare.org. Please note that one week's advance notice is preferred.</t>
        </is>
      </c>
    </row>
    <row r="14">
      <c r="A14" t="inlineStr">
        <is>
          <t>in-f737ea7d78301470</t>
        </is>
      </c>
      <c r="B14" t="inlineStr">
        <is>
          <t>Data Scientist</t>
        </is>
      </c>
      <c r="C14" t="inlineStr">
        <is>
          <t>Microsoft</t>
        </is>
      </c>
      <c r="D14" t="inlineStr">
        <is>
          <t>indeed</t>
        </is>
      </c>
      <c r="E14" t="inlineStr"/>
      <c r="F14" t="inlineStr"/>
      <c r="G14" t="inlineStr">
        <is>
          <t>Redmond, WA, US</t>
        </is>
      </c>
      <c r="H14" s="2" t="n">
        <v>46058</v>
      </c>
      <c r="I14" t="inlineStr">
        <is>
          <t>**Overview**  
Cloud Operations \+ Innovation (CO\+I) is the organization behind one of the world’s largest cloud infrastructures, responsible for powering all Microsoft online Products and Services as well as enabling Microsoft’s “Cloud First” mission. Our team is focused on smart growth, operational efficiency, and delivering a trusted, world‑class experience to customers and partners globally. We are looking for passionate, high‑energy analytics professionals to help us achieve that mission.  
If you want to have a fundamental impact on how Microsoft’s cloud is deployed and operated worldwide, be part of one of the most strategically critical teams at Microsoft, and bring strong technical and business acumen, leadership, creativity, and out‑of‑the‑box thinking \- this role is for you.  
We are looking for an exceptional **Data Scientist** to collaborate closely with our data science and engineering teams to build advanced analytics solutions that improve data center capacity delivery. In this role, you will partner with cross‑functional stakeholders to shape business requirements, drive standardization of inputs, and help define a long‑term analytical vision that influences how Microsoft delivers cloud capacity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scalable data assets (dashboards, underlying data models, and workflows) to provide reliable and high velocity decision support
* Oversee the lifecycle of analytics artifacts (e.g., models, dashboards) from data analysis, creation to deployment, and ensure robustness and scalability.
* *Data Preparation and Understanding:* Assist with extract transform load (ETL), address data quality issues, apply the right analysis techniques and leverage the right data exploration technologies and tools (e.g., structured query language (SQL), Python, descriptive statistics, etc.).
* *Build end\-to\-end Business Intelligence (BI) Solutions:* Own business customer relationship, BI reporting, Data Quality/Security aspects by adopting standard architectural standards.
* Apply statistical methods, causal inference, and machine learning to inform data center business decisions, and optimize our processes and systems.
* Deeply understand the data center delivery cycle and underlying data to support leadership and stakeholders make data\-driven decisions and continuous process improvements.
* Partner closely with cross functional stakeholders to build and deliver world\-class support and data insights.  
Guide business leaders with confidence in your analytics and reporting to ensure smooth execution.
* Collaborate with stakeholders to take an ambiguous business problem statement, refine the scope, conduct the analysis, and use the results to drive informed decisions.
* Summarize and clearly communicate data analysis assumptions and results.
* Mentor and support the growth of colleagues, stay current with advances in analytics, and foster a culture of learning and innovation.
* **Other**
* Embody our Culture and Values
**Qualifications** **Required/minimum qualifications**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**Additional or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hands\-on experience in SQL queries.
* 2\+ year(s) hands\-on experience in a data visualization tool like Power BI.
* 2\+ year(s) hands\-on experience in AI, ML or statistical modeling.
* 2\+ year(s) hands\-on experience in data acquisition/ETL.
* Experience in data center infrastructure.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in-290b2ce675a1030e</t>
        </is>
      </c>
      <c r="B15" t="inlineStr">
        <is>
          <t>Data Scientist</t>
        </is>
      </c>
      <c r="C15" t="inlineStr">
        <is>
          <t>KBR</t>
        </is>
      </c>
      <c r="D15" t="inlineStr">
        <is>
          <t>indeed</t>
        </is>
      </c>
      <c r="E15" t="inlineStr"/>
      <c r="F15" t="inlineStr"/>
      <c r="G15" t="inlineStr">
        <is>
          <t>Beavercreek, OH, US</t>
        </is>
      </c>
      <c r="H15" s="2" t="n">
        <v>46057</v>
      </c>
      <c r="I15"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**Position Summary:**
KBR is seeking a Data Scientist to join our team in Dayton, OH. This position can be onsite or remote. KBR solves the toughest problems for our clients by extracting insight from data, delivering greater decision confidence, and improving processes. Our analysts are involved in a wide range of activities that range from understanding and transforming data, applying state of the art analytic techniques, and driving business impact through insight visualization. Our analysts are leveraged across of range of projects, such as artificial intelligence, advanced analytics, business process improvement, and application development. KBR analysts collaborate with Operations Research Analysts, Software Development Professionals, Data Architects, and Subject Matter Experts.
**Key Responsibilities:**
* Execute analytical experiments methodically to help solve various problems and make a true impact across various domains and industries
* Research and apply state\-of\-the\-art artificial intelligence methods and innovative statistical models
* Identify relevant data sources and sets to mine for client business needs, and collect large structured and unstructured datasets and variables
* Process, cleanse, and verify the integrity of data used for analysis
* Develop code for predictive/prescriptive models with applied machine learning and other modeling techniques
* Clearly document and present methodology, assumptions, and findings to stakeholders
* Working with a wide range of stakeholders and functional teams to improve business outcomes
* Deliver in a fast\-paced, team\-oriented work environment
* Adapt quickly to changing needs across several core areas, including data wrangling, data exploration, data analysis, and data visualization
* Articulate trade\-offs between analytic techniques, recommend a course of action to clients, and provide effective updates on project outcome uncertainty to leadership.
* Hands on experience performing analysis to solve problems
* Discovering insights hidden in large data sets
* Using a variety of advanced analysis methods, data tools, and models
* Using/creating algorithms and/or creating/running simulations
* Testing the effectiveness of different courses of action
**Work Environment:**
* **Location:** Onsite or Remote
* **Travel Requirements:** Minimal
* **Working Hours:** Standard
**Qualifications:**
**Required:**
* Bachelor's degree in Data Science or related field
* 5\+ yrs experience in Data Science or Data analysis
* Proficiency in programming languages like Python or R
* Experience with AI frameworks like TensorFlow or PyTorch
* Familiarity with Retrieval Augmented Generation (RAG) architectures and Large Language Models (LLM)
* Developing data pipelines to support Analytics
* Applying advanced analytics and machine learning techniques
* Documenting and communicating results of analysis
* Familiarity with SQL and BI Tools (Tableau, Qlik etc.)
* Strong analytical and problem\-solving skills
* Hands on experience with driving analytic insights and workflow automation.
* Must have the ability and motivation to self\-teach in order to stay current with leading best practices in analytics.
* Candidates must be able to tackle difficult problems, specifically working with artificial intelligence.
* Expected to have data wrangling skills.
* **Ability to obtain a DoD Secret clearance**
**Desired:**
* Master's degree in Data Science or related field
* Solid understanding of applied machine learning methods and algorithms
* Exploratory Data Analysis and Workflow Improvement
* Applied statistics skills, such as distributions, statistical testing, regression, etc.
* Data\-oriented personality with proficiency in using data query languages such as SQL and ability to understand various data structures and common methods in data transformation
* Ability to use data visualization to communicate value of insights
* Designing and developing AI agents, implementing agentic workflows
* Agentic AI frameworks such as LangGraph and standards such as Model Context Protocol (MCP)
* Text mining and Natural Language Processing techniques such as Named Entity Recognition and Text Classification
* Graph Analysis tools such as Neo4J and Cypher
* Databricks, Azure AI Foundry, Amazon Bedrock, Amazon SageMaker
* Process Automation, Image Analysis, Predictive and Prescriptive analysis
**Basic Compensation:**
$80,000\-$130,000
**This range is for the** **Dayton, OH** **area only.**
* The offered rate will be based on the selected candidate’s working location, knowledge, skills, abilities and/or experience, clearance level, contract affordability and in consideration of internal parity.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6">
      <c r="A16" t="inlineStr">
        <is>
          <t>in-f034192dd4c53b9f</t>
        </is>
      </c>
      <c r="B16" t="inlineStr">
        <is>
          <t>Principal Applied Scientist</t>
        </is>
      </c>
      <c r="C16" t="inlineStr">
        <is>
          <t>Microsoft</t>
        </is>
      </c>
      <c r="D16" t="inlineStr">
        <is>
          <t>indeed</t>
        </is>
      </c>
      <c r="E16" t="inlineStr"/>
      <c r="F16" t="inlineStr"/>
      <c r="G16" t="inlineStr">
        <is>
          <t>Redmond, WA, US</t>
        </is>
      </c>
      <c r="H16" s="2" t="n">
        <v>46055</v>
      </c>
      <c r="I16"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It is an incredible time for AI initiatives at Microsoft. We're pushing the boundaries of AI and Machine Learning across multiple domains to advance Microsoft’s ambitious AI goals. Microsoft Copilot Studio is our comprehensive agent building platform that lets its customers create conversational and autonomous agents using natural language or a graphical interface. Copilot Studio makes it simple to design, test, and deploy solutions tailored to its customers’ industry, company, department, or role, whether they need agents for internal or external use cases.  
The Microsoft Copilot Studio Applied Science and Research organization seeks a seasoned **Principal Applied Scientist**, a machine learning engineer to contribute to the development and integration of cutting\-edge AI technologies into Microsoft Copilot Studio, ensuring they are inclusive, ethical, and impactful.  
You will collaborate across product, design, research and engineering teams to bring innovative solutions to life, applying your expertise in machine learning, data science, and software engineering to solve complex problems. Your work will directly influence product quality and customer experiences.  
This role will combine machine learning and AI knowledge with software engineering expertise, while demonstrating a growth mindset and customer empathy. Join us in shaping the future of AI agents.  
You will play a crucial role in developing the Copilot Studio Applied Science and Research team’s direction in machine learning, Generative AI model fine\-tuning, Agent creation and deployment, AI evaluation and scaling.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experiment with AI architectures for improving Large Language Models (LLM) inference systems. This includes design patterns pertaining, but not limited to, Retrieval Agumented Generation (RAG), Context Engineering, Multi\-Agent architectures, tool design etc.
* Develop robust evaluation frameworks to assess model performance, monitor model behavior, conduct systematic benchmarking, and address identified weaknesses while ensuring compliance with customer standards.
* Build and maintain internal tools to streamline model fine\-tuning and evaluation workflows and automate repetitive tasks within secure development environments.
* Prepare and analyze data for machine learning, identifying optimal features and addressing data gaps.
* Implement machine learning algorithms, large\-scale model fine\-tuning, especially with closed and open source LLMs, Small Language Models (SLMs), multimodal or task\-specific models to solve real\-world customer problems and deliver measurable product and customer impact.
* Contribute to or enhance existing innovations by continuously refining well\-established models and training techniques through iterative improvements.
* Write efficient, high quality production code and debug complex distributed systems.
* Provide deep subject matter expertise in AI subfields (e.g., deep learning, Generative AI, Natural Language Processing(NLP), muti\-modal models, reinforcement learning) to help translate cutting\-edge research into practical, real\-world solutions that drive product innovation and business impact.
* Demonstrate deep understanding of small and large language models (SLMs and LLMs) architecture and optimization techniques to adapt out\-of\-the\-box solutions to particular business problems.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Statistics, Electrical/Computer Engineering, Physics, Mathematics or related field AND 9\+ years of experience in AI/ML, predictive analytics, software engineering or research
	+ OR Master’s degree AND 7\+ years of relevant experience
	+ OR PhD AND 5\+ year of relevant experience
	+ OR equivalent experience
* Experience with MLOps Workflows, including CI/CD, monitoring, and retraining pipelines.
* Familiarity with modern LLMOps frameworks (e.g., LangChain, PromptFlow).
* Familiar with AI coding assistant, AI IDE, Agentic coding assistant such as GitHub Copilot, and Cursor.
* 3\+ years of experience conducting applied AI or NLP research in academic or industry settings.
* 3\+ year of experience developing and deploying live production systems or AI services.
* 2\+ years of experience working with Generative AI or large\-scale deep learning models and ML stacks.
* Experience across the product lifecycle from ideation to shipping.
\#BICJOBS
\#MCSJobs
\#CopilotStudio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
      <c r="A17" t="inlineStr">
        <is>
          <t>in-8043f4ef2766f7eb</t>
        </is>
      </c>
      <c r="B17" t="inlineStr">
        <is>
          <t>Applied Scientist</t>
        </is>
      </c>
      <c r="C17" t="inlineStr">
        <is>
          <t>Microsoft</t>
        </is>
      </c>
      <c r="D17" t="inlineStr">
        <is>
          <t>indeed</t>
        </is>
      </c>
      <c r="E17" t="inlineStr"/>
      <c r="F17" t="inlineStr"/>
      <c r="G17" t="inlineStr">
        <is>
          <t>Reston, VA, US</t>
        </is>
      </c>
      <c r="H17" s="2" t="n">
        <v>46050</v>
      </c>
      <c r="I17" t="inlineStr">
        <is>
          <t>**Overview**  
The **Microsoft Discovery and Quantum** (MDQ) division develops and delivers advanced Artificial Intelligence (AI), cloud capabilities, and strategic infrastructure to help solve the world’s major challenges. From accelerated scientific discovery through AI, to breakthroughs in quantum computing, to unique AI and edge platforms for bio\-intelligence and biosecurity, and to advanced robotics and AI capabilities to accelerate positive impact in the physical world, joining MDQ means building the future, partnering with government, and working in an exhilarating impact\-focused environment.
MDQ’s **Discovery Labs** brings together researchers, advanced AI systems, and high\-impact science partners to transform how science is done. We build and deploy novel AI systems that operate across the full scientific lifecycle, from early hypothesis generation to data generation in complex real‑world environments and laboratories to translation of novel discoveries into products, spanning the biological, chemical, and material science domains.
As an **Applied Scientist in Discovery Labs**, you will help design and build **new AI systems for biological discovery**, working at the intersection of large language models, agentic workflows, autonomous systems, and applied biological sciences. You will contribute to platforms that autonomously generate multi\-modal biological data and analyze structured and unstructured data to produce actionable scientific insights. You will contribute to critical research on the biosecurity and trustworthiness of these AI systems. This role focuses on translating cutting‑edge research into real‑world impact, supporting scientists, engineers, and partners in solving some of the world’s most complex biological challenges.
Microsoft’s mission is to empower every person and every organization on the planet to achieve more. In Discovery Labs, that mission extends to empowering the scientific community with AI systems that accelerate discovery, improve health and biosecurity, and deepen our understanding of the living world.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and mission every day.
 **Responsibilities**  
* Establish and maintain collaborative relationships with relevant research, product, and business groups within and outside of Microsoft, providing expertise or technology to drive meaningful business impact.
* Apply research efforts to solve immediate product needs by bridging the gap between researchers and development teams.
* Serve as a domain specialist on a wide range of industry and market trends, sharing knowledge of emerging products and applied research areas to guide business decisions and empower product teams.
* Regularly review product requirements, selecting and integrating the most effective research\-based solutions to meet or exceed business objectives.
* Provide mentorship to less experienced team members, sharing insights, onboarding support, and technical guidance that fosters collaboration and nurtures future talent.
* Document ongoing research, experimentation outcomes, and future plans, sharing findings internally and externally.
* Embody Microsoft’s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2\+ years of experience applying statistics, data science, or bioinformatics skills in academic biological research settings, clinical settings, or in the pharmaceutical industry.
* 2\+ years of experience authoring peer\-reviewed publications, summaries of research outcomes to senior leadership and key stakeholders, or technical documents used by decision makers and engineering teams.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in-9524cf24a243356d</t>
        </is>
      </c>
      <c r="B18" t="inlineStr">
        <is>
          <t>Senior Applied Scientist</t>
        </is>
      </c>
      <c r="C18" t="inlineStr">
        <is>
          <t>Microsoft</t>
        </is>
      </c>
      <c r="D18" t="inlineStr">
        <is>
          <t>indeed</t>
        </is>
      </c>
      <c r="E18" t="inlineStr"/>
      <c r="F18" t="inlineStr"/>
      <c r="G18" t="inlineStr">
        <is>
          <t>Redmond, WA, US</t>
        </is>
      </c>
      <c r="H18" s="2" t="n">
        <v>46028</v>
      </c>
      <c r="I18" t="inlineStr">
        <is>
          <t>**Overview**  
As a Senior Applied Scientist, you will design and implement research\-driven solutions that enhance agent transparency, task grouping, and adaptive learning. You’ll explore methods for integrating memory, knowledge graphs, evaluations, and AI judges into our platform to improve agent performance and user experience. This role offers opportunities to deepen your expertise in applied AI, contribute to scalable systems, and shape the future of human\-AI collaboration. You will work closely with internal and external stakeholders to develop algorithms that analyze interactions and generate actionable insights. Your contributions will help create teaching and learning moments for agent makers, driving continuous improvement. This position provides a flexible work environment and the chance to accelerate your career while influencing next\-generation AI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one or more subareas and gain expertise in a broad area of research, including applicable research techniques. You’ll also gain deep knowledge of a service, platform, or domain, and identify product needs by sharing the latest industry trends and applied technologies.
* You will review business requirements and incorporate research to meet business goals. You‘ll provide strategic direction for the kinds of data used to solve problems and apply deep subject matter knowledge to support business impact.
* You will participate in onboarding of junior team members and assist in developing academics to be members of multidiscipline teams. You’ll identify new research talent to join Microsoft and collaborate with the academic community to develop the recruiting pipeline.
* You will document work in progress and experimentation results and share findings to promote innovation. You’ll also use your deep understanding of fairness and bias to contribute to ethics and privacy policies related to research processes and data collection.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Coding in languages including C\#, Java, JavaScript, or Python
* 1\+ year(s) experience developing and deploying products or systems at multiple points in the product 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in-596342449f1e6d3b</t>
        </is>
      </c>
      <c r="B19" t="inlineStr">
        <is>
          <t>Principal Data Scientist</t>
        </is>
      </c>
      <c r="C19" t="inlineStr">
        <is>
          <t>Microsoft</t>
        </is>
      </c>
      <c r="D19" t="inlineStr">
        <is>
          <t>indeed</t>
        </is>
      </c>
      <c r="E19" t="inlineStr"/>
      <c r="F19" t="inlineStr"/>
      <c r="G19" t="inlineStr">
        <is>
          <t>Redmond, WA, US</t>
        </is>
      </c>
      <c r="H19" s="2" t="n">
        <v>45985</v>
      </c>
      <c r="I19" t="inlineStr">
        <is>
          <t>**Overview**  
Help shape how Windows is built and shipped. Lead the technical vision and quality systems for Windows‑wide experimentation to deliver fast, safe, trustworthy decisions at scale.
Do you want to shape how Windows is built and shipped? Join the team behind the experimentation engine that powers product innovation and deployment decisions. At Windows Experimentation, we help teams move fast and ship smart by delivering trusted insights through randomized controlled trials.  
As a **Principal Data Scientist** on the **Windows Experimentation** team, you will define and execute the technical vision and best practices for Windows‑wide experimentation—spanning safe software deployment and product development. You’ll own the design and adoption of measurement and decision frameworks that make experimentation fast, reliable, and trustworthy at scale.  
This role emphasizes technical leadership, ownership, and influence across organizational boundaries. You’ll build durable partnerships and practices with product PM, Engineering, and DS teams across Windows—actively shaping and raising the bar on experimentation culture and decision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Set and land experimentation best practices across Windows. Define and implement clear, practical guidance on experimental design, measurement, and decision frameworks so teams can make faster, higher‑quality decisions.
* Own experimentation quality systems. Maintain and evolve guardrails, scorecards, and decision mechanisms to deliver trustworthy insights at Windows scale. Lead root‑cause investigations and post‑mortems when results conflict or regressions appear, and drive fixes into practice.
* Build next‑generation measurement capabilities. Partner with Windows Experimentation colleagues to improve insight generation while reducing manual work through automation and reusable assets.
* Lead through influence to drive alignment and adoption. Create clarity across Windows PM, Engineering, and Data Science teams; land common practices; reduce duplicated effort; improve decision quality.
* Multiply impact by developing talent and raising the bar for the craft. Provide hands‑on technical and career mentorship for earlier‑career data scientists; lead reviews and learning sessions; and contribute to hiring practices.
* Represent Windows Experimentation externally and drive innovation. Share work at academic and industry forums, stay current on advances in experimentation and causal inference, pilot new approaches, and embed successful techniques into practice and the platform.
* Embody our culture and values.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**Preferred Qualifications:**
* 2\+ years of additional experience applying data science techniques in a business or applied research setting
* 2\+ years experience working on, or in close partnership with, an experimentation platform or other highly scaled Data Science capability.
* Demonstrated track record of landing experimentation standards and influencing adoption across multiple teams or organizations, improving decision quality and time‑to‑decision at product scale.
* Deep expertise in advanced experimentation methods, such as complex experimental designs, adaptive experiments (e.g., bandits), anytime‑valid approaches, causal inference, and experimentation in multi‑sided marketplaces.
* Experience collaborating with engineering and product teams to build and scale experimentation platforms and large‑scale measurement systems.
* History of mentoring data scientists and upskilling teams through coaching, leading learning forums, and contributing to hiring practices.
* Active engagement with the broader experimentation and causal inference community (e.g., publishing, conference talks, or open‑source contributions).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in-fb327aeb651cd194</t>
        </is>
      </c>
      <c r="B20" t="inlineStr">
        <is>
          <t>Data Scientist / Machine Learning Specialist - Energy</t>
        </is>
      </c>
      <c r="C20" t="inlineStr">
        <is>
          <t>S44 Energy</t>
        </is>
      </c>
      <c r="D20" t="inlineStr">
        <is>
          <t>indeed</t>
        </is>
      </c>
      <c r="E20">
        <f>HYPERLINK("https://www.indeed.com/viewjob?jk=fb327aeb651cd194", "https://www.indeed.com/viewjob?jk=fb327aeb651cd194")</f>
        <v/>
      </c>
      <c r="F20">
        <f>HYPERLINK("https://ats.rippling.com/s44careers/jobs/e4ca121c-3099-49e9-be1e-261bdbf527b3?jobSite=Indeed", "https://ats.rippling.com/s44careers/jobs/e4ca121c-3099-49e9-be1e-261bdbf527b3?jobSite=Indeed")</f>
        <v/>
      </c>
      <c r="G20" t="inlineStr">
        <is>
          <t>Remote, US</t>
        </is>
      </c>
      <c r="H20" s="3" t="n">
        <v>46065</v>
      </c>
      <c r="I20" t="inlineStr">
        <is>
          <t>S44 Energy builds production\-grade software and services for EV charging networks worldwide. With over a decade of hands\-on experience, we help operators launch, scale, and evolve their platforms using open standards, flexible architectures, and software proven in real\-world deployments.
We are the original authors of CitrineOS, an open\-source Charge Station Management System (CSMS) foundation built on industry standards such as OCPP, OCPI, and ISO 15118\. Today, CitrineOS is hosted by Linux Foundation Energy and serves as the extensible core behind many live charging networks, giving operators long\-term control without vendor lock\-in.
Our work lives at the intersection of physical infrastructure and software—integrating EV chargers, energy assets like solar and battery storage, cloud platforms, and user\-facing applications to power reliable, scalable charging ecosystems.
production machine learning models using real\-world operational data. You will play a key role in shaping how machine learning is applied across both client engagements and core product initiatives at S44 Energy.
While at the onset you will not manage people, but you will be expected to operate with a high degree of ownership—partnering closely with software engineers, product leaders, and client stakeholders to translate real\-world problems into practical, reliable ML solutions.
### **What You’ll Do**
* Design, build, and deploy ML models that operate in production environments
* Work with messy, incomplete, and real\-world operational data from EV charging and energy systems
* Collaborate with engineering teams to integrate models into backend services and user\-facing applications
* Partner with client teams to understand use cases, explain model behavior, and iterate based on feedback
* Help establish early patterns and best practices for ML development, deployment, and monitoring at S44 Energy
### **Must Have**
* Minimum 3–5 years of experience in data science or machine learning in applied or production settings
* Strong Python skills and experience with common ML libraries
* Solid grounding in statistics and applied machine learning techniques
* Experience deploying and supporting models in production systems
* Comfort working autonomously and making informed tradeoffs in the absence of a larger ML organization
* Ability to communicate clearly with both technical and non\-technical stakeholders
### **Nice to Have**
* Experience with time\-series data, forecasting, or anomaly detection
* Familiarity with energy systems, EV charging, IoT, or other physical\-asset domains
* Experience working with streaming or near–real\-time data
* Interest in model explainability, monitoring, and responsible ML practices</t>
        </is>
      </c>
    </row>
    <row r="21">
      <c r="A21" t="inlineStr">
        <is>
          <t>in-546b59ce1c5f79f3</t>
        </is>
      </c>
      <c r="B21" t="inlineStr">
        <is>
          <t>Data Scientist</t>
        </is>
      </c>
      <c r="C21" t="inlineStr"/>
      <c r="D21" t="inlineStr">
        <is>
          <t>indeed</t>
        </is>
      </c>
      <c r="E21">
        <f>HYPERLINK("https://www.indeed.com/viewjob?jk=546b59ce1c5f79f3", "https://www.indeed.com/viewjob?jk=546b59ce1c5f79f3")</f>
        <v/>
      </c>
      <c r="F21">
        <f>HYPERLINK("http://www.indeed.com/job/data-scientist-546b59ce1c5f79f3", "http://www.indeed.com/job/data-scientist-546b59ce1c5f79f3")</f>
        <v/>
      </c>
      <c r="G21" t="inlineStr">
        <is>
          <t>Palo Alto, CA, US</t>
        </is>
      </c>
      <c r="H21" s="3" t="n">
        <v>46065</v>
      </c>
      <c r="I21" t="inlineStr">
        <is>
          <t>FV.ai Lab is a nonprofit charitable organization focused on developing advanced, AI\-powered technologies to help and support individuals who are blind or vision impaired to navigate the world more independently.
In this effort, we are leveraging advanced production and pre\-production solutions from commercial technology providers, including Meta, to develop solutions of high utility to the vision impaired.
**Position Summary**
FV.ai Lab is seeking a **Data Scientist** to design, deploy, and refine machine learning models that drive our assistive technologies. This role blends hands\-on development with real\-world implementation, focusing on turning research and data into practical, impactful solutions. You'll help bring deep learning systems into the next generation of assistive products, working closely with engineers and subject matter experts to create tools that improve the daily lives of people with vision impairments.
**Responsibilities**
* Design, develop, and deploy machine learning models for facial recognition, obstacle detection, and related tasks
* Analyze and preprocess data to support model training and evaluation
* Work with engineering teams to integrate models into production software
* Develop data pipelines and tools for data collection, cleaning, and labeling
* Monitor model performance and implement improvements based on feedback and testing
* Ensure compliance with privacy, security, and ethical standards in AI
* Stay current with advances in AI, computer vision, and accessibility technology
**Minimum Qualifications**
* 5\+ years of experience in applied data science, machine learning, or AI model development
* Bachelor’s or Master’s degree in Data Science, Computer Science, or related field
* Experience in machine learning, statistical modeling, and data analysis
* Proficiency in Python and data science libraries (Pandas, TensorFlow, PyTorch)
* Familiarity with computer vision techniques and frameworks
* Strong problem\-solving skills and attention to detail
**Preferred Qualifications**
* Experience working with accessibility technologies or assistive devices
* Knowledge of AR/VR or wearable technology ecosystems
* Background in edge computing or real\-time AI applications
* Experience with cloud platforms (AWS, Azure, GCP, Starlink)
**Location:** Palo Alto, CA working from the office Monday \- Friday  
**Reports To:** Vice President of Technology \&amp; Innovation
**Compensation:** Base salary of $160,000 to $170,000, commensurate with experience. Total compensation includes a competitive salary plus bonus and benefits.
Pay: $160,000\.00 \- $170,000\.00 per year
Benefits:
* 401(k)
* 401(k) matching
* Dental insurance
* Flexible spending account
* Health insurance
* Life insurance
* Paid time off
* Vision insurance
Work Location: In person</t>
        </is>
      </c>
    </row>
    <row r="22">
      <c r="A22" t="inlineStr">
        <is>
          <t>in-ffd1f6b9981298bf</t>
        </is>
      </c>
      <c r="B22" t="inlineStr">
        <is>
          <t>Applied scientist</t>
        </is>
      </c>
      <c r="C22" t="inlineStr">
        <is>
          <t>Tata Consultancy Services (TCS)</t>
        </is>
      </c>
      <c r="D22" t="inlineStr">
        <is>
          <t>indeed</t>
        </is>
      </c>
      <c r="E22">
        <f>HYPERLINK("https://www.indeed.com/viewjob?jk=ffd1f6b9981298bf", "https://www.indeed.com/viewjob?jk=ffd1f6b9981298bf")</f>
        <v/>
      </c>
      <c r="F22">
        <f>HYPERLINK("https://ibegin.tcsapps.com/candidate/jobs/shared-job/Mzk2NTY0Sg==", "https://ibegin.tcsapps.com/candidate/jobs/shared-job/Mzk2NTY0Sg==")</f>
        <v/>
      </c>
      <c r="G22" t="inlineStr">
        <is>
          <t>Seattle, WA, US</t>
        </is>
      </c>
      <c r="H22" s="3" t="n">
        <v>46064</v>
      </c>
      <c r="I22" t="inlineStr">
        <is>
          <t>* 5\+ years of building models for business application experience
* PhD, or Master's degree and 6\+ years of CS, CE, ML or related field experience
* Experience programming in Java, C\+\+, Python or related language
* Practical experience with LLM pre\-training or post\-training, and experience working with organic, synthetic, agentic, or reasoning data for LLMs
* Published research in top conferences (e.g., NeurIPS, ICML, ICLR, ACL, EMNLP, NAACL) and/or demonstrated significant industry influence in the field of AI
* Experience using Unix/Linux
* Experience in professional software development
* Experience working on SOTA LLMs.
* Multiple first\-author LLM\-related publications in top\-tier conferences (e.g., NeurIPS, ICLR, ACL, EMNLP, NAACL)
Preferred qualifications:
* 5\+ years of experience building and deploying machine learning models or developing algorithms for business applications.
* A strong track record of publications at top\-tier, peer\-reviewed conferences or journals (e.g., NeurIPS, ICML, ACL, KDD, CVPR).
* Proven ability to transition research to production\-grade, scalable systems.
* Experience with Generative AI tools, Large Language Models (LLMs), Transformers, Reinforcement Learning, or advanced Computer Vision/NLP techniques.
* Expertise in Python, Java, or C\+\+, as well as experience with distributed machine learning frameworks (e.g., Spark, Hadoop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\#LI\-RJ2
Salary Range\-$120,000\-$150,000 a year
**Location**
Seattle, WA
**Job Function**
TECHNOLOGY
**Role**
Scientist
**Job Id**
396564
**Desired Skills**
Python
**Salary Range**
$120,000\-$150,000 a year</t>
        </is>
      </c>
    </row>
    <row r="23">
      <c r="A23" t="inlineStr">
        <is>
          <t>in-6a3050ed5145ec74</t>
        </is>
      </c>
      <c r="B23" t="inlineStr">
        <is>
          <t>Data Scientist I</t>
        </is>
      </c>
      <c r="C23" t="inlineStr">
        <is>
          <t>Worldpay</t>
        </is>
      </c>
      <c r="D23" t="inlineStr">
        <is>
          <t>indeed</t>
        </is>
      </c>
      <c r="E23">
        <f>HYPERLINK("https://www.indeed.com/viewjob?jk=6a3050ed5145ec74", "https://www.indeed.com/viewjob?jk=6a3050ed5145ec74")</f>
        <v/>
      </c>
      <c r="F23">
        <f>HYPERLINK("https://jobs.worldpay.com/jobs/JR0608698-1", "https://jobs.worldpay.com/jobs/JR0608698-1")</f>
        <v/>
      </c>
      <c r="G23" t="inlineStr">
        <is>
          <t>Boston, MA, US</t>
        </is>
      </c>
      <c r="H23" s="3" t="n">
        <v>46064</v>
      </c>
      <c r="I23" t="inlineStr">
        <is>
          <t>**Job Description**
**Are you ready to write your next chapter?**  
Make your mark at one of the biggest names in payments. We’re looking for a Data Scientist to join our ever evolving team and help us unleash the potential of every business.
### **What you’ll own as the Data Scientist**
* Analyze and extract insights from internal and external data.
* Employ machine learning and statistical modeling to create and enhance data\-driven products.
* Work with Big Data and transform complex datasets into more usable formats.
* Utilize a variety of data science tools and programming languages such as Python, R, and SQL.
* Work independently and collaborate with other groups to solve complex problems.
* Create and present analyses to internal and external partners and clients.
* Document models and write code to track and monitor models and product performance.
* Make pragmatic and business\-aware choices when trading off sophistication and accuracy versus implementation and performance costs.
* Participate in project planning sessions, analyze requirements, and provide design recommendations for complex analytical systems.
* Other related duties as assigned.
### **What you’ll bring**
* Degree in Data Science, Statistics, Decision Sciences, Applied Mathematics, Economics, Computer Science, or an equivalent combination of education, training, and work experience.
* Knowledge in machine learning, artificial intelligence, statistical modeling, data visualization, and data analysis.
* Proficient in data science tools and programming languages such as Python, R, and SQL.
* Experience or knowledge of cloud\-based technology.
* Ability to collaborate with others and solve complex problems.
* Outstanding verbal and written communication skills to technical and non\-technical audiences at all levels.
* Excellent analytical, decision\-making, problem\-solving, team, and time management skills.
* Positive outlook, strong work ethic, and responsiveness to internal and external clients and contacts.
**About the team**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\#LI\-JH1
Worldpay is dedicated to offering individuals rewarding career opportunities and competitive compensation. For this full\-time position, the good faith estimated annual salary range upon hire is $101,100\.00\-$152,550\.00\.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24">
      <c r="A24" t="inlineStr">
        <is>
          <t>in-03042d2f50a9820a</t>
        </is>
      </c>
      <c r="B24" t="inlineStr">
        <is>
          <t>Data Scientist</t>
        </is>
      </c>
      <c r="C24" t="inlineStr">
        <is>
          <t>Sabre Systems</t>
        </is>
      </c>
      <c r="D24" t="inlineStr">
        <is>
          <t>indeed</t>
        </is>
      </c>
      <c r="E24">
        <f>HYPERLINK("https://www.indeed.com/viewjob?jk=03042d2f50a9820a", "https://www.indeed.com/viewjob?jk=03042d2f50a9820a")</f>
        <v/>
      </c>
      <c r="F24">
        <f>HYPERLINK("https://careers.sabresystems.com/jobs/4517/job?utm_source=indeed_integration&amp;iis=Job%20Board&amp;iisn=Indeed&amp;indeed-apply-token=73a2d2b2a8d6d5c0a62696875eaebd669103652d3f0c2cd5445d3e66b1592b0f", "https://careers.sabresystems.com/jobs/4517/job?utm_source=indeed_integration&amp;iis=Job%20Board&amp;iisn=Indeed&amp;indeed-apply-token=73a2d2b2a8d6d5c0a62696875eaebd669103652d3f0c2cd5445d3e66b1592b0f")</f>
        <v/>
      </c>
      <c r="G24" t="inlineStr">
        <is>
          <t>Naval Air Station Patuxent River, MD, US</t>
        </is>
      </c>
      <c r="H24" s="3" t="n">
        <v>46064</v>
      </c>
      <c r="I24" t="inlineStr">
        <is>
          <t>Responsibilities:
Sabre Systems is currently recruiting for a **Data Scientist** to provide support for the NAWCAD Readiness \&amp; Fleet Analytics (R\&amp;FA) Division’s Advanced Analytics and Innovation (AA\&amp;I) Branch at Patuxent River Naval Air Station in Lexington Park, MD. The selected candidate will focus on developing advanced dashboards, visualizations, and websites, while leveraging data engineering, advanced analytics, and machine learning to analyze and manage complex datasets. The candidate will use business intelligence (BI) tools such as Tableau and Microsoft Power BI to transform PMA reliability, maintenance, and supply data into actionable insights. Additionally, you will work with cutting\-edge data engineering, web development, and data science platforms, including Databricks, GitLab, JIRA, Amazon Web Services (AWS), NUCLEUS, and JAVA, to deliver innovative and impactful solutions. The AA\&amp;I Branch provides critical support to Program Management Air (PMA) offices, the Air Systems Group, Command, Fleet Readiness Centers, and other Department of Defense (DoD) services. This is a full\-time position with telework as the primary arrangement.**The selected candidate will be responsible for but not limited to:*** Apply advanced analytical models, techniques, and methodologies to solve complex scientific and business operations challenges.
* Dashboard \&amp; Visualization Development: Research, design, and develop user\-centric interactive reports, dashboards, and visualization solutions using Tableau, Qlik, or Power BI to deliver actionable business insights for PMA and AA\&amp;I branch decision makers.
* Technical Proficiency \&amp; Analysis: Demonstrate expertise in scientific tools including QLIK, Tableau, R, Python, and SQL, along with other programming and dashboarding utilities. Analyze aircraft platforms and develop algorithms to detect system failures and performance issues.
* Data Engineering \&amp; Architecture: Design, build, integrate, and manage data architecture and frameworks for various data science projects, ensuring seamless data flow between servers and applications.
* Data Management \&amp; Processing: Gather, clean, preprocess, and analyze data from multiple sources to support modeling and decision\-making processes. Apply statistical analysis and data mining techniques to extract insights, validate model assumptions, and develop automated scripts for data transmission across different environments.
* Advanced Analytics: Apply machine learning, natural language processing, and other advanced programming techniques to collect, process, analyze, and present statistical data in meaningful formats.
* Predictive Analytics: Analyze historical data and trends to forecast future outcomes and continuously optimize model performance.
Qualifications:
**Requirements:**
* Bachelor's degree in Data Science, Computer Science, Mathematics, Statistics (preferred), or Engineering/Operations Research (acceptable) with 5\+ years of related experience. Master's degree preferred and will receive preference.
* Programming Expertise: 7\+ years of professional or academic experience with Python, R, or SQL.
* Business Intelligence Tools: 3\-5\+ years of hands\-on experience with Tableau, Qlik, or Power BI.
* Project Management Tools: 5\+ years of experience with JIRA and GitLab.
* Must have an Active DoD Secret Security Clearance.
* Must be an U.S. Citizen.
**Candidates with the following experience are highly desired:**
* Background in aerospace and/or defense industries
* Familiarity with aviation industry data
* JAVA and front\-end development skills
* Advanced Tableau data visualization expertise
* Scrum Master certification and/or leadership experience
* Strong analytical and critical thinking capabilities
* Excellent oral and written communication skills, including the ability to present and defend technical recommendations
* Self\-directed team player with proven ability to deliver results efficiently and interact professionally across all management levels
* High\-level problem\-solving and interpersonal skills
* Adaptability to work effectively in dynamic environments
 *\#LI\-EN1*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scams**—Sabre Systems will never request payment, extend offers without an interview, or contact you from an email that doesn’t end in **@sabresystems.com**; always apply directly at https://careers.sabresystems.com/.</t>
        </is>
      </c>
    </row>
    <row r="25">
      <c r="A25" t="inlineStr">
        <is>
          <t>in-d5fba0aca71f2159</t>
        </is>
      </c>
      <c r="B25" t="inlineStr">
        <is>
          <t>Data Scientist, Corporate Analytics &amp; Decision Support</t>
        </is>
      </c>
      <c r="C25" t="inlineStr">
        <is>
          <t>SAS</t>
        </is>
      </c>
      <c r="D25" t="inlineStr">
        <is>
          <t>indeed</t>
        </is>
      </c>
      <c r="E25">
        <f>HYPERLINK("https://www.indeed.com/viewjob?jk=d5fba0aca71f2159", "https://www.indeed.com/viewjob?jk=d5fba0aca71f2159")</f>
        <v/>
      </c>
      <c r="F25">
        <f>HYPERLINK("https://careers-sas.icims.com/jobs/41460/job?utm_source=indeed_integration&amp;iis=Job%20Board&amp;iisn=Indeed&amp;indeed-apply-token=73a2d2b2a8d6d5c0a62696875eaebd669103652d3f0c2cd5445d3e66b1592b0f", "https://careers-sas.icims.com/jobs/41460/job?utm_source=indeed_integration&amp;iis=Job%20Board&amp;iisn=Indeed&amp;indeed-apply-token=73a2d2b2a8d6d5c0a62696875eaebd669103652d3f0c2cd5445d3e66b1592b0f")</f>
        <v/>
      </c>
      <c r="G25" t="inlineStr">
        <is>
          <t>Cary, NC, US</t>
        </is>
      </c>
      <c r="H25" s="3" t="n">
        <v>46064</v>
      </c>
      <c r="I25" t="inlineStr">
        <is>
          <t>:
**Data Scientist, Corporate Analytics \&amp; Decision Support – Hybrid, Cary, North Carolina**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The Corporate Operations \&amp; Planning (CO\&amp;P) division at SAS plays a vital role in defining and aligning the organization with its top strategic and operational priorities, ensuring clarity, accountability, and enterprise\-wide cohesion. CO\&amp;P addresses four critical challenges for SAS: ensuring the right strategy, enabling better decisions, improving operational effectiveness, and strengthening our competitive advantage.  
Within CO\&amp;P, the Corporate Analytics \&amp; Decision Support (CADS) team provides the analytical rigor and performance insights necessary to drive executive decision\-making and long\-term business success. As a Data Scientist on the CADS team, you will serve as a strategic individual contributor, working in a high\-impact team that elevates enterprise analytics at SAS. This position is instrumental in enabling trusted analytics and fostering a culture of accountability and continuous improvement across the organization. **As a Data Scientist, Corporate Analytics \&amp; Decision Support you will:**  
* Partner with the team to develop and drive the analytical agenda that supports SAS’s strategy, corporate planning, and enterprise performance management.
* Own the end‑to‑end delivery of enterprise analyses and high‑impact corporate insights, ensuring cross‑divisional and cross‑functional alignment.
* Define and advance analytical strategy, frameworks, and standards that strengthen enterprise decision‑making.
* Ensure SAS’s most critical decisions are informed by trusted, high‑quality analytics and forward‑looking insights.
* Strengthen the company’s operating rhythm and performance management capabilities by building clear decision frameworks that guide prioritization, investment, and trade‑off analysis.
* Synthesize complex analyses into concise, actionable recommendations for senior and executive leadership.
* Anticipate emerging trends and performance risks, proactively surfacing insights before they become formal requests.
* Lead analytical workstreams by setting direction, scoping projects, and coordinating contributors to deliver cohesive, high‑quality outcomes.
* Leverage the SAS Viya platform (including SAS Studio, SAS Data Explorer, Visual Analytics, and SAS Environment Manager) and GitLab to conduct advanced analytics.
* Contribute to the enterprise analytical roadmap supporting corporate strategy, performance measurement, and decision support.
* Establish and promote standards for model design, forecasting, scenario analysis, data quality validation, and insight generation.
* Identify and implement opportunities to automate, streamline, and modernize enterprise reporting and modeling processes.
* Partner with business and data owners, CIS, and cross‑functional teams to strengthen data governance, harmonize definitions, improve data quality, and streamline data flows.
* Design, maintain, and enhance enterprise dashboards and reports aligned to strategic priorities.
* Provide analytical support for annual corporate planning, strategic initiatives, and investment decisions, including scenario and sensitivity analysis.
* Partner with the PMO and Corporate Development to deliver insights that strengthen strategic initiative execution.
* Serve as a trusted advisor by communicating insights with clarity, confidence, and business relevance through executive‑level presentations and forums.
* Represent the team in cross‑department meetings, enterprise forums, and steering groups to elevate the visibility and impact of CO\&amp;P analytics.
* Ensure all applicable security policies and processes are followed to support the organization’s secure software development goals.
* Embrace curiosity, passion, authenticity and accountability. These are our values and influence everything we do.
 **Required qualifications*** Masters degree in a field that includes strong coverage of applied mathematics and statistics, computer science, or engineering.
* Minimum 5 years of experience engineering data and creating data products such as BI reporting, dashboards, and data models
* Proven track record of collaborating with business stakeholders and technical experts to deliver outcomes.
* Strong proficiency with analytical tools such as SAS, Python, R, SQL, or equivalent.
* Effective communication skills, especially with senior leaders and nontechnical audiences.
* Proven ability to manage high visibility deliverables in a dynamic environment.
* Equivalent combination of related education, training and experience may be considered in place of the above qualifications.
**Additional competencies, knowledge and skills*** Collaborating – Working cooperatively with others to help a team or work group achieve its goals.
* Driving for Results – Setting high goals for personal and group accomplishment; using measurement methods to monitor progress toward goals; tenaciously working to meet or exceed goals while deriving satisfaction from that achievement and continuous improvement.
* Quality Orientation – Accomplishing tasks by considering all areas involved, no matter how detailed; showing concern for all aspects of the job; accurately checking processes and tasks; being watchful over a period of time.
**World\-class benefits**
Highlights include...*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here.**At SAS, it’s not about fitting into our culture – it’s about adding to it. We believe our people make the difference. Our inclusive workforce brings together unique talents and inspires teams to create amazing software that reflects the diversity of our users and customers.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any characteristic protected by law. Read more: Know Your Rights.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Let’s stay in touch! Join our Talent Community to stay up to date on company news, job updates and more.
 \#SAS</t>
        </is>
      </c>
    </row>
    <row r="26">
      <c r="A26" t="inlineStr">
        <is>
          <t>in-7d9bc0e64709b72b</t>
        </is>
      </c>
      <c r="B26" t="inlineStr">
        <is>
          <t>Data Scientist</t>
        </is>
      </c>
      <c r="C26" t="inlineStr">
        <is>
          <t>The Fresh Market</t>
        </is>
      </c>
      <c r="D26" t="inlineStr">
        <is>
          <t>indeed</t>
        </is>
      </c>
      <c r="E26">
        <f>HYPERLINK("https://www.indeed.com/viewjob?jk=7d9bc0e64709b72b", "https://www.indeed.com/viewjob?jk=7d9bc0e64709b72b")</f>
        <v/>
      </c>
      <c r="F26">
        <f>HYPERLINK("https://fieldhourly-thefreshmarket.icims.com/jobs/137132/job?utm_source=indeed_integration&amp;iis=Job%20Board&amp;iisn=Indeed&amp;indeed-apply-token=73a2d2b2a8d6d5c0a62696875eaebd669103652d3f0c2cd5445d3e66b1592b0f", "https://fieldhourly-thefreshmarket.icims.com/jobs/137132/job?utm_source=indeed_integration&amp;iis=Job%20Board&amp;iisn=Indeed&amp;indeed-apply-token=73a2d2b2a8d6d5c0a62696875eaebd669103652d3f0c2cd5445d3e66b1592b0f")</f>
        <v/>
      </c>
      <c r="G26" t="inlineStr">
        <is>
          <t>Greensboro, NC, US</t>
        </is>
      </c>
      <c r="H26" s="3" t="n">
        <v>46064</v>
      </c>
      <c r="I26" t="inlineStr">
        <is>
          <t>The Fresh Market \&amp; You::
Our mission is to make everyday eating extraordinary for our guests. We create a warm, welcoming, memorable experience with exceptional, personal service. We’re looking for a new team member who strives for excellence and brings positive energy, commitment, and a “can\-do” attitude to work every day. We value teamwork and celebrate our successes as a team and will value your contribution! **Added Benefits for choosing The Fresh Market Team:*** Team Member discount up to 30%
* Health, Dental, \&amp; Vision insurance available for individual, spouse, partner, and family
* 401K contribution and match for part\-time and full\-time team members
* Personal time off and additional time off purchase plans are available
* *AND much more!*
About the Position::
The Fresh Market currently has an opening for a Data Scientist in our Store Support Center (099\). The Data Scientist is responsible for handling and analyzing large volumes of customer and transaction data in order to generate statistically sound insights to drive the business forward. The data scientist will work with Merchandising, Marketing, and Financial Planning \&amp; Analysis to understand key business questions and will develop analysis, insights, and potential recommendations.  
This position reports into theDirector of Customer Behavior Analytics.
What You'll Do::
* With minimal guidance, use advanced statistical and computational methodologies to deliver customer and promotional related insights and recommendations for business teams and leaders
* Identify ways to use data science techniques to derive useful insights that can be incorporated into existing workflows and processes to enhance business results
* Evaluate existing and new data sources and apply the right analytical techniques to generate significant insights about customers, products and the business
* Ability to present findings in simple way to help inform and enable business decisions
* Ability to implement data science applications in a general programming language such as Python or R
* Proficiency in employing large scale data analytics to derive actionable insights
* Ability to interface and collaborate with technical and non\-technical team members to accomplish goals
* Use quantitative skills to work on a variety of research and analysis projects
* Ad\-hoc analyses as required
Qualifications::
* 5 years of related experience, Degree in a Data Science, Statistics, Math, Computer Science, or quantitative field, advanced degree a plus
* Strong analytical and quantitative skills
* Self\-starter with strong organizational skills and excellent follow through
* Strong PC skills including Excel, PowerPoint and Word
* Working knowledge of relational databases, including SQL; general programming language such as Python or R
* Experience with large data set processing in SnowFlake
* Excellent written, verbal, and visual communications skills
* Proven ability to drive business results with their data driven insights
* Ability to multi\-task and prioritize tasks
* Strong collaboration skills
 *REASONABLE ACCOMMODATIONS: Consistent with applicable laws, TFM will make reasonable accommodations for qualified applicants and team members, unless doing so would result in an undue hardship to TFM. This guiding principle applies to all aspects of employment, including hiring and job assignment, compensation, discipline, termination, and access to benefits and training.*
We are proud to be an Equal Opportunity Employer::
Qualified applicants will receive consideration for employment without regard race, color, creed, religion, age, sex, gender, sexual orientation, gender identity, pregnancy and related medical conditions, national origin, genetic information, uniformed service, veteran status, disability, or any other basis prohibited by federal or state law.
*The statements in this job description are provided to describe the general nature and level of work expected in this role. While these statements include the essential functions of the job, they are not intended to be a complete list of all responsibilities, duties and skills required. As we work as a team, there may be times team members are needed to perform duties outside of their normal responsibilities based on business needs.*  
*\#LI\-CL1 \#LI\-HYBRID*</t>
        </is>
      </c>
    </row>
    <row r="27">
      <c r="A27" t="inlineStr">
        <is>
          <t>in-08fdc3083e163227</t>
        </is>
      </c>
      <c r="B27" t="inlineStr">
        <is>
          <t>Data Scientist</t>
        </is>
      </c>
      <c r="C27" t="inlineStr">
        <is>
          <t>The Fresh Market</t>
        </is>
      </c>
      <c r="D27" t="inlineStr">
        <is>
          <t>indeed</t>
        </is>
      </c>
      <c r="E27">
        <f>HYPERLINK("https://www.indeed.com/viewjob?jk=08fdc3083e163227", "https://www.indeed.com/viewjob?jk=08fdc3083e163227")</f>
        <v/>
      </c>
      <c r="F27">
        <f>HYPERLINK("https://fieldmanagement-thefreshmarket.icims.com/jobs/137132/job?utm_source=indeed_integration&amp;iis=Job%20Board&amp;iisn=Indeed&amp;indeed-apply-token=73a2d2b2a8d6d5c0a62696875eaebd669103652d3f0c2cd5445d3e66b1592b0f", "https://fieldmanagement-thefreshmarket.icims.com/jobs/137132/job?utm_source=indeed_integration&amp;iis=Job%20Board&amp;iisn=Indeed&amp;indeed-apply-token=73a2d2b2a8d6d5c0a62696875eaebd669103652d3f0c2cd5445d3e66b1592b0f")</f>
        <v/>
      </c>
      <c r="G27" t="inlineStr">
        <is>
          <t>Greensboro, NC, US</t>
        </is>
      </c>
      <c r="H27" s="3" t="n">
        <v>46064</v>
      </c>
      <c r="I27" t="inlineStr">
        <is>
          <t>The Fresh Market \&amp; You::
Our mission is to make everyday eating extraordinary for our guests. We create a warm, welcoming, memorable experience with exceptional, personal service. We’re looking for a new team member who strives for excellence and brings positive energy, commitment, and a “can\-do” attitude to work every day. We value teamwork and celebrate our successes as a team and will value your contribution! **Added Benefits for choosing The Fresh Market Team:*** Team Member discount up to 30%
* Health, Dental, \&amp; Vision insurance available for individual, spouse, partner, and family
* 401K contribution and match for part\-time and full\-time team members
* Personal time off and additional time off purchase plans are available
* *AND much more!*
About the Position::
The Fresh Market currently has an opening for a Data Scientist in our Store Support Center (099\). The Data Scientist is responsible for handling and analyzing large volumes of customer and transaction data in order to generate statistically sound insights to drive the business forward. The data scientist will work with Merchandising, Marketing, and Financial Planning \&amp; Analysis to understand key business questions and will develop analysis, insights, and potential recommendations.  
This position reports into theDirector of Customer Behavior Analytics.
What You'll Do::
* With minimal guidance, use advanced statistical and computational methodologies to deliver customer and promotional related insights and recommendations for business teams and leaders
* Identify ways to use data science techniques to derive useful insights that can be incorporated into existing workflows and processes to enhance business results
* Evaluate existing and new data sources and apply the right analytical techniques to generate significant insights about customers, products and the business
* Ability to present findings in simple way to help inform and enable business decisions
* Ability to implement data science applications in a general programming language such as Python or R
* Proficiency in employing large scale data analytics to derive actionable insights
* Ability to interface and collaborate with technical and non\-technical team members to accomplish goals
* Use quantitative skills to work on a variety of research and analysis projects
* Ad\-hoc analyses as required
Qualifications::
* 5 years of related experience, Degree in a Data Science, Statistics, Math, Computer Science, or quantitative field, advanced degree a plus
* Strong analytical and quantitative skills
* Self\-starter with strong organizational skills and excellent follow through
* Strong PC skills including Excel, PowerPoint and Word
* Working knowledge of relational databases, including SQL; general programming language such as Python or R
* Experience with large data set processing in SnowFlake
* Excellent written, verbal, and visual communications skills
* Proven ability to drive business results with their data driven insights
* Ability to multi\-task and prioritize tasks
* Strong collaboration skills
 *REASONABLE ACCOMMODATIONS: Consistent with applicable laws, TFM will make reasonable accommodations for qualified applicants and team members, unless doing so would result in an undue hardship to TFM. This guiding principle applies to all aspects of employment, including hiring and job assignment, compensation, discipline, termination, and access to benefits and training.*
We are proud to be an Equal Opportunity Employer::
Qualified applicants will receive consideration for employment without regard race, color, creed, religion, age, sex, gender, sexual orientation, gender identity, pregnancy and related medical conditions, national origin, genetic information, uniformed service, veteran status, disability, or any other basis prohibited by federal or state law.
*The statements in this job description are provided to describe the general nature and level of work expected in this role. While these statements include the essential functions of the job, they are not intended to be a complete list of all responsibilities, duties and skills required. As we work as a team, there may be times team members are needed to perform duties outside of their normal responsibilities based on business needs.*  
*\#LI\-CL1 \#LI\-HYBRID*</t>
        </is>
      </c>
    </row>
    <row r="28">
      <c r="A28" t="inlineStr">
        <is>
          <t>in-7208ac618fab7bc5</t>
        </is>
      </c>
      <c r="B28" t="inlineStr">
        <is>
          <t>Aftermarket Data Scientist I</t>
        </is>
      </c>
      <c r="C28" t="inlineStr">
        <is>
          <t>Caterpillar</t>
        </is>
      </c>
      <c r="D28" t="inlineStr">
        <is>
          <t>indeed</t>
        </is>
      </c>
      <c r="E28">
        <f>HYPERLINK("https://www.indeed.com/viewjob?jk=7208ac618fab7bc5", "https://www.indeed.com/viewjob?jk=7208ac618fab7bc5")</f>
        <v/>
      </c>
      <c r="F28">
        <f>HYPERLINK("https://careers.caterpillar.com/en/jobs/r0000346205/aftermarket-data-scientist-i/", "https://careers.caterpillar.com/en/jobs/r0000346205/aftermarket-data-scientist-i/")</f>
        <v/>
      </c>
      <c r="G28" t="inlineStr">
        <is>
          <t>Chicago, IL, US</t>
        </is>
      </c>
      <c r="H28" s="3" t="n">
        <v>46064</v>
      </c>
      <c r="I28"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Join the Analytics Engineering team of Cat Digital and perform analytical tasks and initiatives on One Funnel and OneSite programs with a focus on Control Tower development and support data\-driven business decisions.
**What You Will Do:**
* Directing the data gathering, data mining, and data processing processes in huge volume; creating appropriate data models.
* Exploring, promoting, and implementing semantic data capabilities through Natural Language Processing, text analysis and machine learning techniques.
* Leading to define requirements and scope of data analyses; presenting and reporting possible business insights to management using data visualization technologies.
* Conducting research on data model optimization and algorithms to improve effectiveness and accuracy on data analyses.
**What You Will Have:**
* **Analytical Thinking:** Working knowledge of techniques and tools that promote effective analysis; ability to determine the root cause of organizational problems and create alternative solutions that resolve these problems.
* **Programming Languages:** Basic knowledge of basic concepts and capabilities of programming; ability to use tools, techniques and platforms in order to write and modify programming languages.
* **Query and Database Access Tools:** Working knowledge of data management systems; ability to use, support and access facilities for searching, extracting and formatting data for further use.
* **Requirements Analysis:** Working knowledge of tools, methods, and techniques of requirement analysis; ability to elicit, analyze and record required business functionality and non\-functionality requirements to ensure the success of a system or software development project.
**Considerations for Top Candidates:**
* Typically, a Bachelors, Masters, or PhD degree in Data Science, Business Analytics, Predictive Analytics, Business Intelligence \&amp; Analytics, Mathematics, Computer Science, Engineering (Aerospace, Electrical, Mechanical, Computer, Industrial, Agricultural, etc.), or equivalent technical degree.
* Working experience applying SQL and Python (NumPy, SciPy, pandas, etc.) programming to solve business challenges.
* Working knowledge with cloud technologies (AWS, Azure, Google Cloud, etc.)
* In\-depth technical and problem\-solving skills and evidence of continuous learning in the analytics field
* Working experience with version control / repositories such as GitHub
* Experience operating in an Agile environment
* Must demonstrate strong initiative, interpersonal skills, and the ability to communicate effectively.
* Excellent organizational skills, with the ability to manage multiple requests and priorities simultaneously.
**Preferred Skills and Qualifications:**
* Experience with Azure DevOps, AWS Cloud, Managed Warehouse for Apache Airflow (MWAA), Github, Snowflake/Snowpark pipelines, SQL, Python, AI/ML, Microsoft Office, Power App Tools, Power BI, and automation capabilities.
**Additional Information:**
This position will have the option to be based out of our Chicago, IL or Peoria, IL offices.
\#LI
\#BI (used to post on Built In Chicago)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$89,210\.00 \- $144,960\.00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12, 2026 \- February 18,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9">
      <c r="A29" t="inlineStr">
        <is>
          <t>in-0c7f2ff7c6eefc43</t>
        </is>
      </c>
      <c r="B29" t="inlineStr">
        <is>
          <t>Senior Data Scientist</t>
        </is>
      </c>
      <c r="C29" t="inlineStr">
        <is>
          <t>Major League Soccer</t>
        </is>
      </c>
      <c r="D29" t="inlineStr">
        <is>
          <t>indeed</t>
        </is>
      </c>
      <c r="E29">
        <f>HYPERLINK("https://www.indeed.com/viewjob?jk=0c7f2ff7c6eefc43", "https://www.indeed.com/viewjob?jk=0c7f2ff7c6eefc43")</f>
        <v/>
      </c>
      <c r="F29">
        <f>HYPERLINK("https://careers-mlssoccer.icims.com/jobs/2237/job?utm_source=indeed_integration&amp;iis=Job%20Board&amp;iisn=Indeed&amp;indeed-apply-token=73a2d2b2a8d6d5c0a62696875eaebd669103652d3f0c2cd5445d3e66b1592b0f", "https://careers-mlssoccer.icims.com/jobs/2237/job?utm_source=indeed_integration&amp;iis=Job%20Board&amp;iisn=Indeed&amp;indeed-apply-token=73a2d2b2a8d6d5c0a62696875eaebd669103652d3f0c2cd5445d3e66b1592b0f")</f>
        <v/>
      </c>
      <c r="G29" t="inlineStr">
        <is>
          <t>New York, NY, US</t>
        </is>
      </c>
      <c r="H29" s="3" t="n">
        <v>46064</v>
      </c>
      <c r="I29" t="inlineStr">
        <is>
          <t>Overview:
Major League Soccer’s Strategy and Business Intelligence group is tasked with supporting strategic decision making and resource allocation across the League – with a focus on driving fan growth, revenue capture, and operating efficiencies – by providing impactful data driven insights, analysis, and recommendations.  
This individual contributor position requires a curious, analytical, and collaborative mindset — someone who brings structure to complexity and thrives at the intersection of data science and marketing impact. This role applies advanced analytics and modeling to fan and marketing data — including the League’s Fan Genome — to uncover engagement trends, build predictive attributes, and inform marketing strategy across League and Club initiatives.  
The ideal candidate is a hands\-on data scientist with a strong understanding of marketing performance, audience segmentation, and personalization. They will translate complex data into actionable insights that enhance fan engagement, optimize marketing investments, and accelerate the League’s growth.  
Responsibilities:
* Apply advanced statistical and machine learning models to measure and predict marketing performance (e.g., media mix modeling, multi\-touch attribution, churn and LTV forecasting, audience clustering).
* Analyze fan and marketing data within the Fan Genome platform to identify trends in engagement, retention, and conversion.
* Build and refine fan attributes, predictive scores, and segmentation models that inform targeting and personalization strategies at League and Clubs.
* Develop machine learning solutions (forecasting, classification, recommendation, clustering) utilizing Python (scikit\-learn, XGBoost, TensorFlow/PyTorch).
* Design and analyze marketing experiments (A/B, multivariate, holdout tests) to determine causal impact of campaigns.
* Translate data science model outputs into actionable insights and recommendations for the Marketing organization.
* Build and maintain recurring dashboards and automated reports connecting campaign data, model results, and business KPIs.
* Partner with Data Engineering to operationalize model outputs into CRM and marketing platforms (Salesforce, Braze, Marketo, etc.).
* Ensure data quality and consistency across marketing data sources and analytical environments.
* Present analytical findings in clear, concise, and visual formats for both technical and non\-technical stakeholders.
Qualifications:
**Education and Experience**
----------------------------
* Bachelor’s Degree required
* 8\+ years of experience required
 **Required Skills and Experience*** Advanced expertise with Python, ML frameworks (scikit\-learn/XGBoost/TensorFlow/PyTorch), \&amp; MLOps (feature stores, MLflow/model registry, CI/CD, online serving) required.
* Strong experience with marketing analytics modeling techniques (MMM, MTA, regression, clustering, uplift, time\-series forecasting, and Bayesian modeling).
* Familiarity with lifecycle marketing analytics, marketing automation, and customer journey optimization using platforms such as Salesforce Marketing Cloud, Braze, Marketo, etc.
* Experience operationalizing data science models into production systems or marketing workflows.
* Understanding of causal inference and experimental design in marketing contexts.
* Experience with data modeling and orchestration tools (DBT, Databricks, Airflow, Astronomer)
* Experience building and automating training and inference ML pipelines at scale
* Strong SQL skills (AWS, Snowflake or MySQL)
* Experience with dashboarding software (Power BI, Looker or Tableau)
* Ability to gather and clearly communicate technical requirements to Data Engineering and Martech teams
* Demonstrated mastery of CRM and Paid Media Marketing tactics
* High\-level of commitment to a quality work product and organizational ethics, integrity and compliance
* Ability to work effectively in a fast paced, team environment
* Strong interpersonal skills and the ability to effectively communicate, both verbally and in writing
* Demonstrated decision making and problem\-solving skills
* High attention to detail with the ability to multi\-task and meet deadlines with minimal supervision
* Proficiency in Word, Excel, PowerPoint and Outlook
 **Total Rewards**
Major League Soccer offers a competitive starting base salary of $130,000 \- $150,000, based on individual qualifications, market financials, and operational business needs. We are committed to providing a Total Rewards package that attracts, supports, engages, and retains talent. Our benefits package includes comprehensive medical, dental, and vision coverage, a $500 wellness reimbursement, and generous Holiday and PTO schedule to promote work\-life balance. We also prioritize career and professional development, offering on\-the\-job training, feedback, and ongoing educational opportunities.  
We believe in the power of in\-person collaboration to fuel creativity, strengthen connections, and cultivate a vibrant workplace. As a result, employees are required to work from an MLS office at least four days a week. We understand the value of balance, so employees also have the flexibility of working remotely on Fridays, along with the option to take up to two additional remote flex days each month.  
At Major League Soccer, we are proud to be an equal opportunity employer. We value diversity and inclusion and believe that a diverse workforce enhances our ability to compete in the marketplace. We are committed to providing equal employment opportunities to all individuals regardless of race, color, religion, sex, sexual orientation, gender identity or expression, pregnancy, age, national origin, disability status, genetic information, protected veteran status, or any other characteristic protected by law.  
We are dedicated to ensuring that individuals with disabilities are provided reasonable accommodation throughout the job application or interview process, essential job functions, and other benefits and privileges of employment. If you require accommodation, please contact us to request it.  
Join our team and be part of the Major League Soccer family, where we elevate the game and inspire greatness!</t>
        </is>
      </c>
    </row>
    <row r="30">
      <c r="A30" t="inlineStr">
        <is>
          <t>in-9d650cd9c0808c0b</t>
        </is>
      </c>
      <c r="B30" t="inlineStr">
        <is>
          <t>Senior Data Scientist</t>
        </is>
      </c>
      <c r="C30" t="inlineStr">
        <is>
          <t>Infosys</t>
        </is>
      </c>
      <c r="D30" t="inlineStr">
        <is>
          <t>indeed</t>
        </is>
      </c>
      <c r="E30">
        <f>HYPERLINK("https://www.indeed.com/viewjob?jk=9d650cd9c0808c0b", "https://www.indeed.com/viewjob?jk=9d650cd9c0808c0b")</f>
        <v/>
      </c>
      <c r="F30">
        <f>HYPERLINK("https://digitalcareers.infosys.com/global-careers/company-job/description/reqid/144424BR?Codes=Indeed", "https://digitalcareers.infosys.com/global-careers/company-job/description/reqid/144424BR?Codes=Indeed")</f>
        <v/>
      </c>
      <c r="G30" t="inlineStr">
        <is>
          <t>San Francisco, CA, US</t>
        </is>
      </c>
      <c r="H30" s="3" t="n">
        <v>46064</v>
      </c>
      <c r="I30" t="inlineStr">
        <is>
          <t>Infosys is seeking a dynamic and visionary **Senior Data Scientist** to lead transformative digital initiatives for our global clients. In this strategic role, you will drive end\-to\-end consulting engagements from problem definition and business process analysis to solution architecture, development, and deployment within a global delivery framework. You will also play an important role in the development, configuration and deployment of the overall solution. You will guide teams on project processes, deliverables and contribute to the proposal development, client training and internal capability building and help detail the project scope. You will have the opportunity to shape value\-adding consulting solutions that enable our clients to meet the changing needs of the global landscape.  
**Required Qualifications:*** Bachelor’s degree or foreign equivalent required from an accredited institution. Will also consider three years of progressive experience in the specialty in lieu of every year of education.
* Candidate must be located within the commuting distance of San Francisco, CAor be willing to relocate to any of these locations.
* Candidates authorized to work for any employer in the United States without employer\-based visa sponsorship are welcome to apply. Infosys is unable to provide immigration sponsorship for this role at this time
* At least 11 years of experience with Information Technology.
* Proven years of experience in **Data, Analytics and AI** preferably in the **Retail CPG \&amp;** **logistics** domain
* Expereince in Generative AI and Strategy implementation
* Able to lead the team at customer location and experience in managing large teams in a global delivery model
* Able to understand the architecture on any Cloud Data Platform / Hyperscaler and identify potential opportunities for improvement.
**Preferred Qualifications:*** Ability to drive business growth by supporting pursuit initiatives, crafting compelling proposals, and presenting value\-driven solutions, build and nurture long\-term client relationships through strategic insights and delivery excellence.
* Ability to work in teams in a diverse, multi\-stakeholder environment comprising of Business and Technology teams, thrive in a culture that values continuous learning, innovation, and diversity.
* Experience and desire to work in a global delivery environment, collaborate with global teams to deliver excellence and foster a high\-performance environment.
*The job entails sitting as well as working at a computer for extended periods of time. Should be able to communicate by telephone, email or face to face. Travel may be required as per the job requirements.*</t>
        </is>
      </c>
    </row>
    <row r="31">
      <c r="A31" t="inlineStr">
        <is>
          <t>in-b3adfc06d4b81f55</t>
        </is>
      </c>
      <c r="B31" t="inlineStr">
        <is>
          <t>Senior Data Scientist - Computer Vision</t>
        </is>
      </c>
      <c r="C31" t="inlineStr">
        <is>
          <t>Socure</t>
        </is>
      </c>
      <c r="D31" t="inlineStr">
        <is>
          <t>indeed</t>
        </is>
      </c>
      <c r="E31">
        <f>HYPERLINK("https://www.indeed.com/viewjob?jk=b3adfc06d4b81f55", "https://www.indeed.com/viewjob?jk=b3adfc06d4b81f55")</f>
        <v/>
      </c>
      <c r="F31">
        <f>HYPERLINK("https://jobs.ashbyhq.com/socure/fb7635bd-3eeb-4da5-a9e2-9428c3cc32dd?utm_source=Vx3xlOG82x", "https://jobs.ashbyhq.com/socure/fb7635bd-3eeb-4da5-a9e2-9428c3cc32dd?utm_source=Vx3xlOG82x")</f>
        <v/>
      </c>
      <c r="G31" t="inlineStr">
        <is>
          <t>Carson City, NV, US</t>
        </is>
      </c>
      <c r="H31" s="3" t="n">
        <v>46064</v>
      </c>
      <c r="I31" t="inlineStr">
        <is>
          <t>**Why Socure?**
---------------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predictability or narrow scope, this won’t be your place. If you want to help build the future of identity with a team that holds a high bar for itself — keep reading.
**About the Role**
------------------
We are seeking a Senior Data Scientist with deep expertise in computer vision and machine learning to join our document verification team. This role focuses on building and owning ML systems that analyze identity and document images at scale, combining hands\-on technical leadership with direct customer engagement. You will act as both a technical owner, a trusted advisor, and a story teller, helping customers understand and adopt our document verification solutions.
**What You'll Do**
------------------
* Design, develop, and own advanced deep learning models, including CNNs and transformer\-based vision or multimodal architectures, for document verification use cases such as document classification, fraud detection, image quality assessment, field extraction, and authenticity checks.
* Own ML solutions end to end, from data analysis and model training to deployment, monitoring, and continuous improvement in production.
* Act as a technical point of contact for customers, leading technical deep dives, explaining model behavior, performance metrics, and tradeoffs, and supporting customer evaluations or escalations.
* Translate customer, regulatory, and business requirements into clear modeling objectives, and communicate results effectively to both technical and non\-technical stakeholders.
* Partner closely with engineering and product teams to deliver scalable, reliable document verification systems.
**What You Bring**
------------------
* Bachelor’s degree in Computer Science or a related field, or equivalent experience, with 8\+ years or equivalent professional experience and significant hands\-on work in computer vision.
* Proven experience designing, building, and maintaining production machine learning systems.
* Excellent written and verbal communication skills, including experience in customer\-facing technical roles.
* Adept at translating technical details into business facing descriptions, focused on not only the “what” but the “why”.
* Ability to balance technical rigor with customer, business, and compliance needs.
### **Nice to Have**
* Master’s or Ph.D. in Computer Science, Machine Learning, Computer Vision, or a related field.
* Experience with document verification, OCR, identity, fraud detection, or image forensics.
* Exposure to transformer\-based vision models, multimodal systems, or LLMs.
* Experience working with enterprise customers or in regulated environments.
*Please note, we are unable to provide employer support for H1, F1, or OPT visas now or in the future.*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
Compensation Range: $150K \- $185K</t>
        </is>
      </c>
    </row>
    <row r="32">
      <c r="A32" t="inlineStr">
        <is>
          <t>in-6a03d34b3cf4834c</t>
        </is>
      </c>
      <c r="B32" t="inlineStr">
        <is>
          <t>Data Scientist II - Client Analysis</t>
        </is>
      </c>
      <c r="C32" t="inlineStr">
        <is>
          <t>Socure</t>
        </is>
      </c>
      <c r="D32" t="inlineStr">
        <is>
          <t>indeed</t>
        </is>
      </c>
      <c r="E32">
        <f>HYPERLINK("https://www.indeed.com/viewjob?jk=6a03d34b3cf4834c", "https://www.indeed.com/viewjob?jk=6a03d34b3cf4834c")</f>
        <v/>
      </c>
      <c r="F32">
        <f>HYPERLINK("https://jobs.ashbyhq.com/socure/c1c5b2fd-2eab-4779-ab6d-c909eb6226a1?utm_source=Vx3xlOG82x", "https://jobs.ashbyhq.com/socure/c1c5b2fd-2eab-4779-ab6d-c909eb6226a1?utm_source=Vx3xlOG82x")</f>
        <v/>
      </c>
      <c r="G32" t="inlineStr">
        <is>
          <t>Carson City, NV, US</t>
        </is>
      </c>
      <c r="H32" s="3" t="n">
        <v>46064</v>
      </c>
      <c r="I32" t="inlineStr">
        <is>
          <t>**Why Socure?**
---------------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predictability or narrow scope, this won’t be your place. If you want to help build the future of identity with a team that holds a high bar for itself — keep reading.
**About the Role**
------------------
We are currently looking for Data Scientist to join our Client Analysis team to be based anywhere remotely in the USA.
In this unique role as Data Scientist, you will leverage your experience developing algorithms and analyzing massive data sets to tell data stories while also working in partnership with the go\-to\-market team to drive revenue generation for Socure by ensuring that potential and existing customers can understand \- through deep analysis \- the benefit and value of Socure’s products throughout the pre and post sales cycle.
This is an excellent opportunity for a Data Scientist who thrives when they're able to communicate a data story to an audience (tech and non\-tech), and who is not satisfied only working behind the scenes. Data Scientists on the Client Analysis team are compensated for their part in driving new business with a generous incentive bonus opportunity on top of competitive base salary.
**What You'll Do**
------------------
* Analyze massive customer data sets, come up with actionable insights, and explain how our models perform and how we can help our customers build optimal risk management policies
* Act as a Data Science advocate: deeply understand Socure’s solutions (products, models and algorithms) and customers’ risk challenges to educate and influence from a scientific perspective
* Create convincing data stories to showcase how we can help our customers eliminate identity fraud, streamline their end\-user experience, and support their risk management efforts holistically
* Provide thought leadership and be the customer’s voice for building the next generation of Socure’s core models and product
* Create tools and automated workflows to improve the speed, accuracy, and reproducibility of our analysis
* Partner closely with GTM teams (Sales, Solution Consultants, Account Managers and Technical Account Managers) to derive creative ways of analysis and identify opportunities for upsell and product optimization
* Build ML models when it is advantageous to explore different approaches over the established models in production
**What You Bring**
------------------
* You have a degree in a quantitative field, or equivalent work experience \- advanced degree is preferred.
* You have 3\+ years working experience in data science, data analysis, or analytics engineering
* You have extensive theoretical and practical understanding of state\-of\-the\-art supervised and unsupervised machine learning methods
* You know how to write clean, performant code in Python, and have 2\+ years experience working with massive real\-life datasets
* You have experience querying relational databases with SQL
* You have experience working with cloud tools and technologies in AWS, Azure, Databricks, or GCP
* You know how to tell compelling stories with data (dashboarding, building interactive data stories and actionable presentations)
* You are able to explain very complex algorithms such as ML/AI models, and analyses to non\-technical audiences
* You are an excellent verbal and written communicator and are comfortable delivering presentations with clear, complete messages
* You thrive in a remote startup work environment and are excellent at setting clear goals and holding yourself accountable
* You have experience in identity verification and fraud prevention (strongly preferred)
**Technologies We Use**
-----------------------
The client analysis team makes extensive use of the following tools, an ideal candidate will have experience with at least some of these tools and be excited to learn to use the other ones.
* Python ecosystem (Pyspark, Pandas, Numpy, H2O, SHAP, Seaborn, Jupyter, etc)
* Databricks
* Airflow
* Redshift, Snowflake, S3
* Apache Spark, Apache Arrow
* Amazon EMR
* Looker, Tableau
*Please note that we cannot provide sponsorship now or in the future for this role.*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
Compensation Range: $130K \- $150K</t>
        </is>
      </c>
    </row>
    <row r="33">
      <c r="A33" t="inlineStr">
        <is>
          <t>in-f445c77e61d6e7f5</t>
        </is>
      </c>
      <c r="B33" t="inlineStr">
        <is>
          <t>People Analytics Data Scientist</t>
        </is>
      </c>
      <c r="C33" t="inlineStr">
        <is>
          <t>Avalara</t>
        </is>
      </c>
      <c r="D33" t="inlineStr">
        <is>
          <t>indeed</t>
        </is>
      </c>
      <c r="E33">
        <f>HYPERLINK("https://www.indeed.com/viewjob?jk=f445c77e61d6e7f5", "https://www.indeed.com/viewjob?jk=f445c77e61d6e7f5")</f>
        <v/>
      </c>
      <c r="F33">
        <f>HYPERLINK("https://careers.avalara.com/jobs/16691/job?utm_source=indeed_integration&amp;iis=Job%20Board&amp;iisn=Indeed&amp;indeed-apply-token=73a2d2b2a8d6d5c0a62696875eaebd669103652d3f0c2cd5445d3e66b1592b0f", "https://careers.avalara.com/jobs/16691/job?utm_source=indeed_integration&amp;iis=Job%20Board&amp;iisn=Indeed&amp;indeed-apply-token=73a2d2b2a8d6d5c0a62696875eaebd669103652d3f0c2cd5445d3e66b1592b0f")</f>
        <v/>
      </c>
      <c r="G33" t="inlineStr">
        <is>
          <t>Durham, NC, US</t>
        </is>
      </c>
      <c r="H33" s="3" t="n">
        <v>46064</v>
      </c>
      <c r="I33" t="inlineStr">
        <is>
          <t>What You'll Do:
This People Analytics Data Scientist is a senior role that will lead the development of advanced analytics and data science solutions, applying statistical modeling, experimentation, and predictive methods to shape Avalara’s workforce strategy at scale.
You’ll translate complex people questions into robust analyses using tools such as R, Python, SQL, and modern analytics platforms, partnering with senior People, Finance, and business leaders to drive executive decision\-making. What differentiates this role at Avalara is true end\-to\-end ownership—from data foundations and methodology through insight delivery and adoption—within a global SaaS environment that values rigorous, evidence\-based approaches. This role reports to the Head of People Analytics and is a fully remote or hybrid position based in either our Seattle, WA or Durham, NC offices.
What Your Responsibilities Will Be:
In this role, you will design and execute rigorous analyses including the use of experimental design, causal inference analyses, and machine learning models using R, Python and SQL. You will work directly with large, complex HR and business datasets to build, validate, and iterate on predictive and explanatory models that answer critical workforce questions. Your work will include data preparation, feature engineering, model evaluation, and translating results into clear, actionable insights for partners. You will also collaborate closely with stakeholders to refine hypotheses, ensure analytical rigor, and support the adoption of data\-driven decisions.
What You'll Need to be Successful:
* Demonstrated ability to independently design and execute advanced analytics projects, including experimentation, causal inference, and machine learning, from problem definition through delivery.
* Strong proficiency in Python and SQL, with hands\-on experience building, validating, and iterating on statistical or ML models using large, complex datasets.
* Experience applying rigorous analytical methods (e.g., experimental design, quasi\-experimental approaches, predictive modeling) to inform business or people\-related decisions.
* Proven track record of delivering multiple high\-impact analytical outputs in parallel, balancing speed, accuracy, and stakeholder needs.
* Experience communicating complex analytical findings to senior, non\-technical stakeholders and influencing decisions with data.
* Bachelor’s degree or higher in a quantitative field such as statistics, economics, data science, computer science, or equivalent practical experience.
Avalara is an AI\-first Company:
AI is embedded in our workflows, decision\-making, and products. Success here requires embracing AI as an essential capability.* You’ll bring experience using AI and AI\-related technologies, ready to thrive here.
* You’ll apply AI every day to business challenges \- improving efficiency, contributing solutions, and driving results for your team, our company, and our customers.
* You’ll grow with AI by staying curious about new trends and best practices, and by sharing what you learn so others can benefit too.
How We'll Take Care of You:
Total Rewards
In addition to a great compensation package, paid time off, and paid parental leave, many Avalara employees are eligible for bonuses.
Health \&amp; Wellness  
Benefits vary by location but generally include private medical, life, and disability insurance.  
Inclusive culture and diversity  
Avalara strongly supports diversity, equity, and inclusion, and is committed to integrating them into our business practices and our organizational culture. We also have a total of 8 employee\-run resource groups, each with senior leadership and exec sponsorship.  
What You Need To Know About Avalara:
We’re defining the relationship between tax and tech.  
We’ve already built an industry\-leading cloud compliance platform, processing over 54 billion customer API calls and over 6\.6 million tax returns a year. Our growth is real \- we're a billion dollar business \- and we’re not slowing down until we’ve achieved our mission \- to be part of every transaction in the world.  
We’re bright, innovative, and disruptive, like the orange we love to wear. It captures our quirky spirit and optimistic mindset. It shows off the culture we’ve designed, that empowers our people to win. We’ve been different from day one. Join us, and your career will be too. **We’re An Equal Opportunity Employer**
Supporting diversity and inclusion is a cornerstone of our company — we don’t want people to fit into our culture, but to enrich it. All qualified candidates will receive consideration for employment without regard to race, color, creed, religion, age, gender, national orientation, disability, sexual orientation, US Veteran status, or any other factor protected by law. If you require any reasonable adjustments during the recruitment process, please let us know.</t>
        </is>
      </c>
    </row>
    <row r="34">
      <c r="A34" t="inlineStr">
        <is>
          <t>in-1b69c24b34564d50</t>
        </is>
      </c>
      <c r="B34" t="inlineStr">
        <is>
          <t>Data Scientist</t>
        </is>
      </c>
      <c r="C34" t="inlineStr">
        <is>
          <t>Red Arch Solutions</t>
        </is>
      </c>
      <c r="D34" t="inlineStr">
        <is>
          <t>indeed</t>
        </is>
      </c>
      <c r="E34">
        <f>HYPERLINK("https://www.indeed.com/viewjob?jk=1b69c24b34564d50", "https://www.indeed.com/viewjob?jk=1b69c24b34564d50")</f>
        <v/>
      </c>
      <c r="F34">
        <f>HYPERLINK("https://redarchsolutions.applytojob.com/apply/HNm5cEGIwX/Data-Scientist?source=INDE&amp;~", "https://redarchsolutions.applytojob.com/apply/HNm5cEGIwX/Data-Scientist?source=INDE&amp;~")</f>
        <v/>
      </c>
      <c r="G34" t="inlineStr">
        <is>
          <t>Reston, VA, US</t>
        </is>
      </c>
      <c r="H34" s="3" t="n">
        <v>46064</v>
      </c>
      <c r="I34" t="inlineStr">
        <is>
          <t>**Active TS/S****CI with Polygraph (required)**
===============================================
**Red Arch Solutions is seeking a Data Scientist who will use AI algorithms, statical analysis and other data science techniques to analyze, and interpret datasets to support decision making for the acquisition and integration of new and existing datasets for a suite of customer tools and mission priorities. The Data Scientist will work closely with a small contractor team and engage with industry and senior customer leadership to help define a comprehensive data strategy for the enterprise in line with customer mission priorities.**
**Key Responsibilities:**
--------------------------------------------------------------------------------------------------------------------------------------------------------------------------------------------------------------------------------------------------------------------------------------------------------------------------------------------------------------------------------------------------------------------------------------------------------------------------------------------------------------------------------------------------------------------------------------
* Utilize cloud\-based data analysis tools, visual analytic tools, and open\-source textual processing technologies to analyze and interpret datasets
* Extract, transform, load, analyze, and interpret data to provide recommendations to customer leadership
* Provide reports on associated patterns, anomalies, and data quality issues with data samples
* Develop expertise with customer applications, analytic capabilities, existing data, and mission objectives to help drive recommendations for new datasets and the comprehensive data strategy
* Conduct ongoing research on emerging data science methodologies and technologies, implementing new approaches to interpret and utilize data
* Analyze unstructured and semi\-structured data using advanced techniques such as latent semantic indexing (LSI), entity identification and tagging, and complex event processing (CEP)
* Utilize advanced tools and computational skills to interpret, connect, predict, and make discoveries in complex data
* Apply machine learning, algorithm analysis, and data clustering techniques to evaluate datasets
* Communicate and present ideas to key stakeholders. Writing, documenting, and presenting technical material to senior level officials
* Leverage project management tools such as, Gitlab, Jira, Confluence, SharePoint.
**Required Skills and Qualifications*** Demonstrated strong experience with data engineering, data management, data visualization, machine learning principles, data fusion, and data science tools (Tableau, Python, R, pandas, Jupyter Notebooks etc.)
* Demonstrated experience working independently without direct supervision, able carry out strategic objectives. Experience working with senior government officials and tailoring communication for the audience.
* Demonstrated 12\+ years of relevant experience (relevant bachelor’s degree can be substituted in lieu of 4 years of experience; master’s degree can be substituted in lieu of 6 years)
* ***TS/SCI clearance with CI Polygraph \#CJ***
***The Red Arch Solutions pay range for this job level is a general guideline only and not a guarantee of compensation or salary. Determination of official compensation or salary relies on several factors including, but not limited to, level of position, job responsibilities, geographic location, scope of relevant work experience, educational background, certifications, contract\-specific affordability, organizational requirements, alignment with local internal equity as well as alignment with market data.***
**Red Arch Solutions Benefits Snapshot:**
* 100% paid employee healthcare premiums. CareFirst Advantage Best in Class Benefits.
* HaloScripts Concierge prescription medication service
* Generous PTO.
* 10 % 401K 6% match vested day one and up to 4% profit sharing contribution.
* Annualized bonus compensation.
* Spot bonuses for hard work.
* Tuition reimbursement.
* 529 College Saving Plan.
* College Loan Pay Back Program.
* 11 Paid Federal Holidays
* Generous Referral Bonuses.
*Red Arch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Have more questions about Red Arch? Email us at Careers@RedArchSolutions.com
HNm5cEGIwX</t>
        </is>
      </c>
    </row>
    <row r="35">
      <c r="A35" t="inlineStr">
        <is>
          <t>in-7d275359ebcf35f5</t>
        </is>
      </c>
      <c r="B35" t="inlineStr">
        <is>
          <t>Data Scientist</t>
        </is>
      </c>
      <c r="C35" t="inlineStr">
        <is>
          <t>CACI International</t>
        </is>
      </c>
      <c r="D35" t="inlineStr">
        <is>
          <t>indeed</t>
        </is>
      </c>
      <c r="E35">
        <f>HYPERLINK("https://www.indeed.com/viewjob?jk=7d275359ebcf35f5", "https://www.indeed.com/viewjob?jk=7d275359ebcf35f5")</f>
        <v/>
      </c>
      <c r="F35">
        <f>HYPERLINK("https://careers.caci.com/global/en/job/CACIGLOBAL322060EXTERNALENGLOBAL/Data-Scientist?utm_source=indeed&amp;utm_medium=phenom-feeds", "https://careers.caci.com/global/en/job/CACIGLOBAL322060EXTERNALENGLOBAL/Data-Scientist?utm_source=indeed&amp;utm_medium=phenom-feeds")</f>
        <v/>
      </c>
      <c r="G35" t="inlineStr">
        <is>
          <t>Lackland AFB, TX, US</t>
        </is>
      </c>
      <c r="H35" s="3" t="n">
        <v>46064</v>
      </c>
      <c r="I35" t="inlineStr">
        <is>
          <t>Job Title: Data Scientist
Job Category: Science
Time Type: Full time
Minimum Clearance Required to Start: TS/SCI
Employee Type: Regular
Percentage of Travel Required: Up to 10%
Type of Travel: Local
\* \* \***The Opportunity:**
CACI is seeking a motivated Data Scientist (AI/ML Engineer) to develop and deploy complex Artificial Intelligence systems in support of defending the Department of Defense Air Force Information Network (AFIN). This role requires the application of advanced anomaly detection algorithms for identifying and isolating malicious threats. Methodologies will include, but are not limited to, supervised and unsupervised learning, Graph Neural Networks, and Deep Learning models.
The Data Scientist will collaborate with a core group of senior software engineers and analytic developers to curate various technical products such as Big Data analytics, data dashboard visualizations, and cross\-domain data traversal solutions. These products will equip our customers with the tools and knowledge necessary to better understand, plan, manage, and safeguard the AFIN.
The candidate must be able to work within a fast\-paced and cutting\-edge team. You will drive our cyber threat intelligence and detection mission by providing expert leadership and mentorship in the application of advanced AI/ML solutions. Additional responsibilities will include assisting in cultivating analyst/end\-user experience, data visualization, designing documentation, coding, code reviews, and analytic testing. You will also provide technical direction and research capabilities to the team responsible for the design, implementation, testing, deployment, and operation of the 35th IS’s cyber threat intelligence detection methods and the systems enabling their execution.
**Responsibilities:**
* Architect, build, and deploy high\-performance ML models into production, ensuring scalability, reliability, and low latency.
* Lead key phases of the ML lifecycle, from data preparation and model development to evaluation and monitoring, while working within mission\-aligned constraints and collaborating across teams to evolve the pipeline responsibly.
* Develop and implement state\-of\-the\-art algorithms, specifically utilizing neural networks, including graph neural networks.
* Work closely with Product Managers, Software Engineers, and Government Stakeholders to align technical solutions with platform goals.
* Improve model performance through feature engineering, hyperparameter tuning, and advanced experimentation.
* Mentor junior software developers and provide technical guidance/expertise.
* Ensure appropriate documentation is developed in conjunction with all delivered analytics.
* Troubleshoot issues with existing analytics and processes, and research/implement solutions.
* Use your experience to guide analytic approaches or solutions to problems and situations for which information is incomplete or for which no precedent exists.
**Qualifications:**
*Required:*
* Active TS/SCI security clearance.
* Master’s degree in data science, AI, or a related quantitative field.
* DOD Directive 8570 IAT I or II certification (Security\+ or equivalent).
* 5\+ years of industry experience in Machine Learning, with a focus on deploying models into production.
* Deep knowledge of ML frameworks such as PyTorch or TensorFlow.
* Strong command of Python. Experience with machine learning libraries such as Spark MLlib, Scikit\-learn, XGBoost, Keras, Hugging Face, PyTorch Geometric, MLflow.
* Extensive experience incorporating data from multiple sources, labeling data to make it more discoverable for training purposes and identifying hidden patterns.
* Experience with data visualization libraries and tools such as Matplotlib, Grafana, or Kibana.
* Ability to communicate complex problems and corresponding solutions with non\-technical leadership and customers.
* This position may require up to 10% travel within the Continental United States (CONUS).
*Desired:*
* 2\+ years developing efficient analytic solutions at scale (operating over multiple PB of data).
* Experience with search technologies such as Elasticsearch (ELK stack) and Lucene.
* Experience with Confluence/Jira page and ticket development and organization.
* Experience with Docker/Kubernetes and building containerized products.
* Experience with CI/CD pipelines and Git\-related tools.
* Experience with data pipelines \- Pandas, NumPy, NiFi, and Kafka or similar libraries and technologies.
* Experience with collaborative platforms such as Jira and Confluence.
* Knowledge of professional software engineering practices and best practices for the full software development life cycle, including coding standards, code reviews, source control management, build processes, testing, and operations.
* Familiarity with network defense concepts and operations.
* Familiarity with cybersecurity principles and threat hunting methodologies.
* Familiarity with how to collect, store, and monitor data.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$93,500 \- $196,500*CACI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36">
      <c r="A36" t="inlineStr">
        <is>
          <t>in-32fb3e5aae3f4a76</t>
        </is>
      </c>
      <c r="B36" t="inlineStr">
        <is>
          <t>Senior, Data Scientist – Walmart+ Core Ops &amp; Strategy Enablement</t>
        </is>
      </c>
      <c r="C36" t="inlineStr">
        <is>
          <t>Walmart</t>
        </is>
      </c>
      <c r="D36" t="inlineStr">
        <is>
          <t>indeed</t>
        </is>
      </c>
      <c r="E36">
        <f>HYPERLINK("https://www.indeed.com/viewjob?jk=32fb3e5aae3f4a76", "https://www.indeed.com/viewjob?jk=32fb3e5aae3f4a76")</f>
        <v/>
      </c>
      <c r="F36">
        <f>HYPERLINK("https://click.appcast.io/t/L6OHYYd9IxV5swyGssgM0n9irDm268Oh6UFQmtWAhEk=", "https://click.appcast.io/t/L6OHYYd9IxV5swyGssgM0n9irDm268Oh6UFQmtWAhEk=")</f>
        <v/>
      </c>
      <c r="G36" t="inlineStr">
        <is>
          <t>Hoboken, NJ, US</t>
        </is>
      </c>
      <c r="H36" s="3" t="n">
        <v>46064</v>
      </c>
      <c r="I36" t="inlineStr">
        <is>
          <t>**Position Summary...**
-----------------------
As Sr. Data Scientist in the Walmart\+ Core Ops \&amp; Strategy Enablement team, you will be a senior individual contributor driving some of the most important experimentation and modeling work across Walmart\+. You’ll design and analyze experiments, build propensity and churn models, and help turn successful approaches into reusable data science assets. Your work will directly support the Member Acquisition \&amp; New Benefits and Member Engagement \&amp; Retention teams and shape how one of Walmart’s highest\-priority businesses tests, learns, and scales new ideas.**What you'll do...**
---------------------
* **Design and analyze experiments** that span multiple Walmart\+ journeys, benefits, and channels, partnering closely with the Member Acquisition \&amp; New Benefits and Member Engagement \&amp; Retention teams.
* **Build and maintain models** such as propensity, churn, and uplift to answer high\-impact strategic questions and support critical decisions.
* **Translate test and model results** into clear, actionable recommendations that inform product roadmaps, marketing strategies, and portfolio bets.
* **Refactor and standardize code and methods** into reusable templates, feature sets, or libraries that other data science teams can leverage.
* **Partner with data engineering and platform teams** to improve data pipelines and access patterns needed for fast experimentation and modeling.
**What you'll bring...**
------------------------
* A passion for **experiment\-driven decision making** and the ability to balance speed with sound methodology.
* Strong **problem\-structuring skills**, turning ambiguous questions into tractable hypotheses, experiments, and models.
* A collaborative, low\-ego mindset that **brings stakeholders along**, especially partners across the organization.
* Comfort working in a **fast\-evolving, high\-priority environment**, with the ability to prioritize and communicate tradeoffs.
* A habit of **owning outcomes**, not just analyses – you care that the organization acts on what you learn.
**About the team:**  
The Walmart\+ Core Ops \&amp; Strategy Enablement Data Science team is integral to the Walmart\+ ecosystem, focusing on developing experimentation frameworks and rapid\-turn models like propensity and churn. The team transforms innovative solutions into reusable data science assets, collaborating closely with Member Acquisition and Member Engagement teams. Utilizing expertise in data science, machine learning, Python, SQL, and data visualization, the team delivers rigorous experimentation, actionable insights, and scalable models. Their work supports multiple customer journeys and channels, driving impactful business outcomes through advanced analytics and strategic data applications.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Hoboken, New Jersey US\-10279: The annual salary range for this position is $108,000\.00 \- $216,000\.00
Bentonville, Arkansas US\-30008: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221 River St, Hoboken, NJ 07030,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li-4337023291</t>
        </is>
      </c>
      <c r="B2" t="inlineStr">
        <is>
          <t>Data Scientist - Fraud</t>
        </is>
      </c>
      <c r="C2" t="inlineStr">
        <is>
          <t>Plaid</t>
        </is>
      </c>
      <c r="D2" t="inlineStr">
        <is>
          <t>linkedin</t>
        </is>
      </c>
      <c r="E2" t="inlineStr"/>
      <c r="F2" t="inlineStr"/>
      <c r="G2" t="inlineStr">
        <is>
          <t>San Francisco, CA</t>
        </is>
      </c>
      <c r="H2" t="inlineStr"/>
      <c r="I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newest fraud detection products, leveraging the breadth of Plaid’s network data to stop fraud before it occurs. We manage the full lifecycle of these systems—from feature pipeline development and model training to deployment, serving, and monitoring—ensuring our solutions scale reliably as we grow to support hundreds of customers.
 As a Data Scientist on Plaid’s Fraud Data team, you will analyze customer and network traffic to understand how Protect performs across different segments and use cases. You’ll build dashboards and performance metrics that create a clear, shared view of product health for both the team and our go\-to\-market partners. You will run backtests on customer traffic to evaluate model and rule performance, uncover high\-value opportunities, and generate insights that support sales motions and customer expansion. You’ll also design the underlying data models and schemas that enable efficient, reliable analysis and reporting. In close partnership with Product and Engineering, you will help design and evaluate experiments that shape new customer\-facing features and inform the future of our fraud products.
 \*\*\*We are open to remote candidates\*\*\*
**Responsibilities**
* Work at the intersection of product analytics, machine learning, and fraud/risk to drive meaningful product improvements.
* Own the metrics, dashboards, and experimentation frameworks that inform product strategy and decision\-making.
* Analyze complex datasets to uncover clear, actionable insights that shape product direction.
* Partner with go\-to\-market teams to demonstrate the technical and business value of our products to customers.
**Qualifications**
* 3–5 years of total experience, including at least 2–3 years working deeply with product analytics, experimentation, or data\-driven products.
* Strong proficiency in SQL and Python.
* Hands\-on experience with product analytics, experimentation frameworks, or backtesting methodologies.
* Skilled in designing, building, and maintaining dashboards and core product performance metrics.
* Capable of designing and interpreting backtests or offline evaluations for ML and rules\-based systems.
* Excellent communicator with strong stakeholder\-management skills across diverse teams.
* Background in fraud or risk domains — Nice to have.
* Familiarity with data\-insights products and a solid understanding of model\-performance metrics — Nice to have.
* Exposure to customer\-facing or GTM\-facing analytics — Nice to have.
 $162,000 \- $222,000 a year
 The target base salary for this position ranges from $162,000/year to $222,000/year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
      <c r="A3" t="inlineStr">
        <is>
          <t>li-4370503723</t>
        </is>
      </c>
      <c r="B3" t="inlineStr">
        <is>
          <t>Junior Data Scientist &amp; AI</t>
        </is>
      </c>
      <c r="C3" t="inlineStr">
        <is>
          <t>Joinrs</t>
        </is>
      </c>
      <c r="D3" t="inlineStr">
        <is>
          <t>linkedin</t>
        </is>
      </c>
      <c r="E3" t="inlineStr"/>
      <c r="F3" t="inlineStr"/>
      <c r="G3" t="inlineStr"/>
      <c r="H3" t="inlineStr"/>
      <c r="I3" t="inlineStr">
        <is>
          <t>**Our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 **Data Analysis and Modeling:** 
 You will participate in data analysis, developing predictive models and contributing to provide meaningful insights to enhance business decisions.
*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 **Optimization of Business Processes:** 
 You will collaborate in identifying and optimizing business processes through the application of data\-driven solutions.
* **Participation in Technological Brainstorming Sessions:** 
 You will be involved in brainstorming sessions to generate innovative ideas and contribute to identifying new opportunities in the field of Artificial Intelligence.
* **Continuous Training and Updates on the Latest Trends:** 
 You will have access to continuous training programs to stay updated on the latest trends and advancements in the fields of Data Science and Artificial Intelligence.
**What We Offer:** 
*Working in the Joinrs team means being able to choose the best psychophysical conditions for tranquility and productivity. This translates into:*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and junior professional in achieving their goals** 
 , helping them start their careers with optimism and a clear vision for their future.
**We are a united team that strongly believes in collaboration** 
 : together we work, discuss, and achieve results that inspire us to aim for ever more ambitious goals.
 Our community includes over
 **1,500,000 members across the US, UK, Europe, and Brazil** 
 , as well as
 **700\+ companies** 
 like
 *PwC, Accenture, Adecco, BNP Paribas, and Barilla* 
 . And we’re growing fast—join us!
**Contract \&amp; Compensation:** 
**For all Junior positions we offer a 6\-month internship contract with a salary of $90,000 yearly** 
 , aiming for a permanent contract.
**The annual base salary is $90,000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 
**CV Screening:** 
 The first step is a curriculum vitae (CV) screening (usually within 20 days of application).
**Phone Interview:** 
 The second step involves a 15\-minute phone interview with our HR Manager.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t>
        </is>
      </c>
    </row>
    <row r="4">
      <c r="A4" t="inlineStr">
        <is>
          <t>li-4371503855</t>
        </is>
      </c>
      <c r="B4" t="inlineStr">
        <is>
          <t>Data Scientist | Remote</t>
        </is>
      </c>
      <c r="C4" t="inlineStr">
        <is>
          <t>Crossing Hurdles</t>
        </is>
      </c>
      <c r="D4" t="inlineStr">
        <is>
          <t>linkedin</t>
        </is>
      </c>
      <c r="E4" t="inlineStr"/>
      <c r="F4" t="inlineStr"/>
      <c r="G4" t="inlineStr">
        <is>
          <t>Menlo Park, CA</t>
        </is>
      </c>
      <c r="H4" t="inlineStr"/>
      <c r="I4" t="inlineStr">
        <is>
          <t>**Position:** 
 Data Scientist III
**Type:** 
 Full\-time
**Compensation:** 
 $90 – $110/hour
**Location:** 
 Menlo Park, CA, USA (Onsite)
**Commitment:** 
 Full\-time
**Role Responsibilities** 
* Conduct rigorous analysis of large, complex datasets to identify trends, patterns, and actionable insights across products, platforms, partners, and user interactions.
* Design, implement, and maintain critical metrics to measure ecosystem health, growth, and engagement.
* Develop and execute structured experiments to evaluate new product features, ecosystem strategies, and partnerships.
* Collaborate closely with cross\-functional teams including Product and Engineering to define analytical requirements and inform strategic decision\-making.
* Build sophisticated dashboards and detailed reports to communicate insights to both technical and non\-technical stakeholders.
* Perform ad hoc analyses to support urgent business and strategic inquiries with high\-quality, timely insights.
* Apply advanced statistical modeling and analytical techniques to solve complex business problems.
* Support strategic initiatives by translating data into clear, actionable recommendations.
**Requirements** 
* Bachelor’s or Master’s degree in Data Science, Statistics, Computer Science, Economics, or a closely related quantitative field.
* Strong professional experience in data science, analytics, or a comparable role.
* Strong proficiency in SQL and at least one programming language such as Python or R.
* Hands\-on experience with data visualization tools including Tableau, Unidash, or Metrics360\.
* Excellent communication skills with the ability to clearly present complex findings to diverse stakeholders.
* Demonstrated ability to work independently and manage competing priorities in a fast\-paced environment.
* Strong analytical, modeling, and problem\-solving skills with attention to detail.
* Experience working with large\-scale datasets in technology or platform ecosystems preferred.
* Familiarity with internal data tools such as Presto, Scuba, or Hive preferred.
* Experience with experimentation design and causal inference methodologies preferred.
**Application Process** 
* Upload resume (portfolio required)
* Interview (15–30 min)
* Submit form</t>
        </is>
      </c>
    </row>
    <row r="5">
      <c r="A5" t="inlineStr">
        <is>
          <t>li-4365223573</t>
        </is>
      </c>
      <c r="B5" t="inlineStr">
        <is>
          <t>Staff Data Scientist</t>
        </is>
      </c>
      <c r="C5" t="inlineStr">
        <is>
          <t>LinkedIn</t>
        </is>
      </c>
      <c r="D5" t="inlineStr">
        <is>
          <t>linkedin</t>
        </is>
      </c>
      <c r="E5" t="inlineStr"/>
      <c r="F5" t="inlineStr"/>
      <c r="G5" t="inlineStr">
        <is>
          <t>Mountain View, CA</t>
        </is>
      </c>
      <c r="H5" t="inlineStr"/>
      <c r="I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**Overview:**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initiate, lead and drive to completion large\-scale/complex strategic projects for teams, departments and the company.
* Act as a thought partner to senior leaders to prioritize/scope projects, provide recommendations, and evangelize data\-driven business decisions in support of strategic goals.
* Provide technical guidance and mentorship to junior team members on solution design as well as lead code/design reviews.
* Drive org\-wide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Independently craft compelling stories; make logical recommendations; drive informed actions.
* Engage with technology partners to build, prototype and validate scalable tools/applications end to end (backend, frontend, data) for converting data to insights.
* Mentor junior members of the team.
**Qualifications**
**Basic Qualifications:**
* Bachelor or higher degree in a quantitative discipline: statistics, operations research, computer science, informatics, engineering, applied mathematics, economics, etc.
* 5\+ years of relevant work experience.
* Experience influencing strategy through data\-centric presentations .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Experience with manipulating massive\-scale structured and unstructured data.
* Proven record writing and optimizing code with high levels of craftsmanship, and coaching others to improve technical outputs.
* Working knowledge of Unix command\-line/shell, git and review board.
* Experience leveraging government data or publicly available third\-party APIs.
* Experience mentoring other data scientists in an official or unofficial capacity.
* Excellent communication skills, with the ability to synthesize, simplify and explain complex problems to different types of audience, including executives and compile compelling narratives.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$144,000 \- $236,000\.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
      <c r="A6" t="inlineStr">
        <is>
          <t>li-4343202353</t>
        </is>
      </c>
      <c r="B6" t="inlineStr">
        <is>
          <t>Data Scientist, Algorithms - Lyft Ads</t>
        </is>
      </c>
      <c r="C6" t="inlineStr">
        <is>
          <t>Lyft</t>
        </is>
      </c>
      <c r="D6" t="inlineStr">
        <is>
          <t>linkedin</t>
        </is>
      </c>
      <c r="E6" t="inlineStr"/>
      <c r="F6" t="inlineStr"/>
      <c r="G6" t="inlineStr">
        <is>
          <t>San Francisco County, CA</t>
        </is>
      </c>
      <c r="H6" t="inlineStr"/>
      <c r="I6"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AI\-powered personalization, enabling advertisers to run high\-impact campaigns with measurable outcomes.
 We are seeking an
 **Algorithms Scientist** 
 to help build the next generation of ads relevance, targeting, optimization, and measurement algorithms that power the Lyft Ads platform. In this role, you will work across large\-scale datasets and complex real\-time systems to design, prototype, and deploy production\-grade machine learning models. You’ll collaborate closely with Engineering, Product, Data Science, and Sales to translate ambiguous business and advertiser needs into rigorous algorithmic solutions that improve ad performance, enhance marketplace efficiency, and drive meaningful revenue growth.
 This is a high\-impact, highly technical role within a rapidly scaling business line. The ideal candidate brings strong applied machine learning intuition, hands\-on modeling experience, and the ability to write clean, efficient production code. You will play a critical role in shaping how advertisers connect with Lyft riders—pushing the boundaries of personalization, measurement, and real\-time optimization in a dynamic marketplace.
 Responsibilities:
* Design, develop, and deploy production\-grade machine learning models and algorithms that power core Lyft Ads capabilities, such as ad relevance, targeting, ranking, bid optimization, pacing, campaign delivery, and measurement.
* Own the end\-to\-end lifecycle of modeling projects — including problem definition, data exploration, feature engineering, model development, offline evaluation, deployment, and monitoring.
* Collaborate closely with Ads Engineering to integrate models into real\-time ad\-serving and batch decision systems, ensuring performance across latency, scalability, and reliability constraints.
* Analyze large\-scale mobility, behavioral, and ads performance datasets to identify patterns, surface opportunities, and guide ML and AI driven product improvements.
* Implement rigorous model evaluation frameworks, including offline metrics, statistical tests, calibration, sensitivity analysis, and A/B experimentation to validate both model impact and system\-level outcomes.
* Build robust training pipelines, feature transformations, and scoring infrastructure, ensuring reproducibility, observability, and long\-term maintainability.
* Partner with Product, Engineering, and Sales to translate ambiguous advertiser goals (e.g., increased conversions, reach efficiency, brand lift) into measurable requirements and success metrics.
* Investigate and resolve model behavior issues, production regressions, calibration drift, and performance anomalies in close partnership with Ads Infra teams.
* Drive innovation by staying current with advances in ML for ranking, recommendation, causal inference, optimization, and ads measurement — and proactively identifying opportunities to apply them.
* Contribute to Lyft Ads’ modeling and experimentation infrastructure, through model cards, documentation, reproducibility standards, and code quality improvements.
 Experience:
* Master’s, or PhD in Machine Learning, Computer Science, Statistics, Applied Mathematics, Engineering, or related quantitative fields; or equivalent applied industry experience.
* 3–5 years of hands\-on ML/applied science experience, ideally involving production models, large\-scale systems, or ads/recommendation/relevance domains. Strong proficiency in Python and machine learning frameworks such as PyTorch, TensorFlow, JAX, or scikit\-learn; ability to write clean, efficient, production\-adjacent code.
* Experience working with large\-scale datasets and distributed data tools (Spark, Snowflake, Presto, Databricks).
* Practical experience building and evaluating:
+ Ranking and relevance models
+ Optimization or pacing algorithms
+ Predictive models for CTR, CVR, or user response
+ Causal or experimentation\-based measurement methods
* Understanding of online/offline evaluation techniques, including:
+ Offline metrics (AUC, NDCG, MRR, calibration)
+ A/B testing methodologies
+ Bias correction and counterfactual estimation
* Ability to solve ambiguous problems by structuring analyses, evaluating trade\-offs, and proposing algorithmic solutions grounded in scientific rigor.
* Strong communication skills, with an ability to clearly explain model behavior, constraints, trade\-offs, and recommendations to engineering, product, and sales partners.
* Demonstrated ownership of modeling work, including debugging, monitoring, documentation, and iteration after deployment.
* Curiosity, initiative, and a track record of delivering measurable improvements through high\-quality modeling.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is>
      </c>
    </row>
    <row r="7">
      <c r="A7" t="inlineStr">
        <is>
          <t>li-4336983612</t>
        </is>
      </c>
      <c r="B7" t="inlineStr">
        <is>
          <t>Data Scientist - Fraud</t>
        </is>
      </c>
      <c r="C7" t="inlineStr">
        <is>
          <t>Plaid</t>
        </is>
      </c>
      <c r="D7" t="inlineStr">
        <is>
          <t>linkedin</t>
        </is>
      </c>
      <c r="E7" t="inlineStr"/>
      <c r="F7" t="inlineStr"/>
      <c r="G7" t="inlineStr"/>
      <c r="H7" t="inlineStr"/>
      <c r="I7"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newest fraud detection products, leveraging the breadth of Plaid’s network data to stop fraud before it occurs. We manage the full lifecycle of these systems—from feature pipeline development and model training to deployment, serving, and monitoring—ensuring our solutions scale reliably as we grow to support hundreds of customers.
 As a Data Scientist on Plaid’s Fraud Data team, you will analyze customer and network traffic to understand how Protect performs across different segments and use cases. You’ll build dashboards and performance metrics that create a clear, shared view of product health for both the team and our go\-to\-market partners. You will run backtests on customer traffic to evaluate model and rule performance, uncover high\-value opportunities, and generate insights that support sales motions and customer expansion. You’ll also design the underlying data models and schemas that enable efficient, reliable analysis and reporting. In close partnership with Product and Engineering, you will help design and evaluate experiments that shape new customer\-facing features and inform the future of our fraud products.
 \*\*\*We are open to remote candidates\*\*\*
**Responsibilities**
* Work at the intersection of product analytics, machine learning, and fraud/risk to drive meaningful product improvements.
* Own the metrics, dashboards, and experimentation frameworks that inform product strategy and decision\-making.
* Analyze complex datasets to uncover clear, actionable insights that shape product direction.
* Partner with go\-to\-market teams to demonstrate the technical and business value of our products to customers.
**Qualifications**
* 3–5 years of total experience, including at least 2–3 years working deeply with product analytics, experimentation, or data\-driven products.
* Strong proficiency in SQL and Python.
* Hands\-on experience with product analytics, experimentation frameworks, or backtesting methodologies.
* Skilled in designing, building, and maintaining dashboards and core product performance metrics.
* Capable of designing and interpreting backtests or offline evaluations for ML and rules\-based systems.
* Excellent communicator with strong stakeholder\-management skills across diverse teams.
* Background in fraud or risk domains — Nice to have.
* Familiarity with data\-insights products and a solid understanding of model\-performance metrics — Nice to have.
* Exposure to customer\-facing or GTM\-facing analytics — Nice to have.
 $162,000 \- $222,000 a year
 The target base salary for this position ranges from $162,000/year to $222,000/year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8">
      <c r="A8" t="inlineStr">
        <is>
          <t>li-4371508111</t>
        </is>
      </c>
      <c r="B8" t="inlineStr">
        <is>
          <t>Data Scientist, Expert</t>
        </is>
      </c>
      <c r="C8" t="inlineStr">
        <is>
          <t>Pacific Gas and Electric Company</t>
        </is>
      </c>
      <c r="D8" t="inlineStr">
        <is>
          <t>linkedin</t>
        </is>
      </c>
      <c r="E8" t="inlineStr"/>
      <c r="F8" t="inlineStr"/>
      <c r="G8" t="inlineStr">
        <is>
          <t>Oakland, CA</t>
        </is>
      </c>
      <c r="H8" t="inlineStr"/>
      <c r="I8" t="inlineStr">
        <is>
          <t>Requisition ID \# 170115
 Job Category: Accounting / Finance
 Job Level: Individual Contributor
 Business Unit: Electric Operations
 Work Type: Hybrid
 Job Location: Oakland
**Department Overview**
 The New Business PMO (NB PMO) is the budget and process owners for Gas and Electric Distribution New Business. Its mandate is to provide end\-to\-end financial and program management, process ownership, and timely delivery of the New Business customer work portfolio (currently approximate 20k distribution projects and approximately annual $1\.5B capital budget across the PG\&amp;E Territory). The NB PMO works closely with Service Planning \&amp; Design (SP\&amp;D), which owns the customer\-facing experience. The NB PMO uses the production system to ensure customer work is efficiently following through intake, design, dependencies, scheduling, execution and construction. Together, supporting PG\&amp;E’s True North Strategy by ensuring work is delivered on time, on budget, and with a positive customer impact.
**Position Summary**
 Designs, develops, and executes scripts, programs, models, algorithms, and processes, using structured and unstructured data from disparate sources and sizes, generating for defensible, valid, scalable, reproducible and documented machine learning and artificial intelligence models (predictive or optimization) for problem solving and strategy development. Participates in internal and external communities of practice in data science/artificial intelligence/machine learning to advance knowledge in the field. Educates the non\-technical community on advantages, risks, and maturity levels of data science solutions.
 This position is hybrid, working from your remote office and your assigned work location based on business need. The assigned work location will be within the Bay Area of the PG\&amp;E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Bay Minimum: $140,000
 Bay Maximum: $238,000
 This job is also eligible to participate in PG\&amp;E’s discretionary incentive compensation programs.
**Job Responsibilities**
 Responsibilities typically include the following but not limited to, with ensuring delivering on achieving program metrics/objectives.
* Researches and applies advanced knowledge of existing and emerging data science principles, theories, and techniques to inform business decisions.
* Solves unique and complex strategic issues and problems, while developing and monitoring budgets, forecast models, dashboards, presentations, and ad hoc analysis.
* Creates advanced data mining architectures / models / protocols, statistical reporting, and data analysis methodologies to identify trends in structured and unstructured data sets
* Extracts, transforms, and loads data from dissimilar sources from across PG\&amp;E for their machine learning feature engineering
* Applies data science/ machine learning /artificial intelligence methods to develop defensible and reproducible predictive or optimization models that involve multiple facets and iterations in algorithm development.
* Wrangles and prepares data as input of machine learning model development and feature engineering
* Writes and documents reusable python functions and modular python code for data science.
* Assesses business implications associated with modeling assumptions, inputs, methodologies, technical implementation, analytic procedures and processes, and advanced data analysis.
* Collaborates with analytics platform owners to prioritize and drive development of scalable data science capabilities.
* Works with sponsor departments and company subject matter experts to understand application and potential of data science solutions that create value.
* Advocate for digital transformation of the business through the adoption of data science, analytics, and data\-driven business processes.
* Presents findings and makes recommendations to senior management.
* Act as peer reviewer of complex models
**Qualifications**
 Minimum:
* Bachelor’s Degree in Data Science, Machine Learning, Computer Science, Physics, Econometrics or Economics, Engineering, Mathematics, Applied Sciences, Statistics, or equivalent field.
* 6 years in data science OR no experience, if possess Doctoral Degree or higher, as described above.
 Desired:
* Doctorate Degree in Data Science, Machine Learning, or job\-related discipline or equivalent experience
* Relevant industry (electric or gas utility, renewable energy, analytics consulting, etc.) experience
* Active participation in the external data science/artificial intelligence/machine learning community of practice, as demonstrated through volunteering in professional organizations for the advancement of the field, presentations in conferences or publications to disseminate data science knowledge and topics, or similar activities.
* Competency with data science standards and processes (model evaluation, optimization, feature engineering, etc) along with best practices to implement them
* Knowledge of industry trends and current issues in job\-related area of responsibility as demonstrated through peer reviewed journal publications, conference presentations, open source contributions or similar activities
* Competency with commonly used data science and/or operations research programming languages, packages, and tools for building data science/machine learning models and algorithms
* Proficiency in explaining in breadth and depth technical concepts including but not limited to statistical inference, machine learning algorithms, software engineering, model deployment pipelines.
* Mastery in clearly communicating complex technical details and insights to colleagues and stakeholders
* Mastery of the mathematical and statistical fields that underpin data science
* Ability to develop, coach, teach and/or mentor others to meet both their career goals and the organization goals</t>
        </is>
      </c>
    </row>
    <row r="9">
      <c r="A9" t="inlineStr">
        <is>
          <t>li-4365225597</t>
        </is>
      </c>
      <c r="B9" t="inlineStr">
        <is>
          <t>Senior Applied Scientist, AI/ML</t>
        </is>
      </c>
      <c r="C9" t="inlineStr">
        <is>
          <t>LinkedIn</t>
        </is>
      </c>
      <c r="D9" t="inlineStr">
        <is>
          <t>linkedin</t>
        </is>
      </c>
      <c r="E9" t="inlineStr"/>
      <c r="F9" t="inlineStr"/>
      <c r="G9" t="inlineStr">
        <is>
          <t>Mountain View, CA</t>
        </is>
      </c>
      <c r="H9" t="inlineStr"/>
      <c r="I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Applied Science teams at LinkedIn empower the company’s products and businesses by driving impact through methodological innovation at scale. We conduct research and build solutions to tackle some of the most challenging business problems across LinkedIn’s ecosystem—from market and system design (e.g., auctions, matching), to optimization and personalization. Composed of scientists passionate about translating theory into practice, these teams build scalable, production\-ready solutions (e.g., models, tools and platforms) that support product, customer value, and long\-term business growth.
 As a Senior Applied Scientist, you will play a critical role in advancing LinkedIn’s next generation of AI\-powered systems by leading methodological research in areas such as prediction, measurement, and optimization, and transforming research into scalable, production\-grade models, tools and platforms. In this role, you will drive cutting\-edge R\&amp;D and integrate advanced methodologies into end\-to\-end systems that operate across multiple LinkedIn products and surfaces. You will design and develop novel methods and models, and deploy large\-scale ML / DL / RL / LLM solutions that are reliable, efficient, and maintainable in production. You will transform research solutions into robust, reusable tooling and platforms, and work on problems to boost the growth of LinkedIn's diverse products.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Identify and shape new opportunities where advances in methodology, AI, or system design can unlock step\-function improvements to marketplace performance and platform health.
* Lead methodological research in optimization or measurement, for large\-scale, multi\-sided marketplaces, including auction design, matching mechanisms, and personalization.
* Translate research into business impact by transforming novel methodologies into scalable, reliable, and reusable production\-grade models, tools, and platforms.
* Design and develop advanced models (ML, DL, RL, LLM\-based systems) to solve prediction, causal measurement, and optimization problems that directly impact marketplace efficiency, revenue, and member experience.
* Own end\-to\-end system design and deployment, from problem formulation, prototyping, modeling and experimentation in production environments.
* Drive cross\-functional collaboration with Engineering, Product, and cross\-functional partners to align on problem definitions, trade\-offs, and execution plans, and to ensure successful adoption of scientific solutions.
* Contribute to technical direction and best practices for the Applied Science team, influencing modeling standards, production craftsmanship and operational excellence.
* Mentor and elevate junior scientists, providing technical guidance, design reviews, and thought leadership to raise the overall bar for research quality and impact.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PhD or Master’s degree in a quantitative field such as Computer Science, Machine Learning, Statistics, Economics, Operations Research, or a related discipline, with a strong research foundation.
* MS and 3\+ years of relevant work experience, or Ph.D. and 1\+ years of relevant work experience developing and deploying machine learning or optimization systems in large\-scale, production environments.
* Demonstrated experience applying advanced methodologies to real\-world marketplace, recommendation, auction, pricing, advertising, or ranking systems or building scalable tooling or platform
* Publications in top\-tier conferences or journals (e.g., NeurIPS, ICML, KDD, WWW) or equivalent industry research contributions are a plus.
**Suggested Skills**
* ML/AI System
* Statistical Modeling
* Platform/System Design
* Optimization Techniques (Bandits, RL, Multi\-objective Optimization)
* LLM/transformer\-based Models or Systems
* Research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0">
      <c r="A10" t="inlineStr">
        <is>
          <t>li-4365220882</t>
        </is>
      </c>
      <c r="B10" t="inlineStr">
        <is>
          <t>Staff Applied Scientist</t>
        </is>
      </c>
      <c r="C10" t="inlineStr">
        <is>
          <t>LinkedIn</t>
        </is>
      </c>
      <c r="D10" t="inlineStr">
        <is>
          <t>linkedin</t>
        </is>
      </c>
      <c r="E10" t="inlineStr"/>
      <c r="F10" t="inlineStr"/>
      <c r="G10" t="inlineStr">
        <is>
          <t>Mountain View, CA</t>
        </is>
      </c>
      <c r="H10" t="inlineStr"/>
      <c r="I1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causal analysis and develop causal methodology and machine learning models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5\+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7\+ years of industry or relevant 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
      <c r="A11" t="inlineStr">
        <is>
          <t>li-4371847708</t>
        </is>
      </c>
      <c r="B11" t="inlineStr">
        <is>
          <t>Data Scientist</t>
        </is>
      </c>
      <c r="C11" t="inlineStr">
        <is>
          <t>Microsoft</t>
        </is>
      </c>
      <c r="D11" t="inlineStr">
        <is>
          <t>linkedin</t>
        </is>
      </c>
      <c r="E11" t="inlineStr"/>
      <c r="F11" t="inlineStr"/>
      <c r="G11" t="inlineStr">
        <is>
          <t>Redmond, WA</t>
        </is>
      </c>
      <c r="H11" t="inlineStr"/>
      <c r="I11" t="inlineStr">
        <is>
          <t>**Overview**
 Cloud Operations \+ Innovation (CO\+I) is the organization behind one of the world’s largest cloud infrastructures, responsible for powering all Microsoft online Products and Services as well as enabling Microsoft’s “Cloud First” mission. Our team is focused on smart growth, operational efficiency, and delivering a trusted, world‑class experience to customers and partners globally. We are looking for passionate, high‑energy analytics professionals to help us achieve that mission.
 If you want to have a fundamental impact on how Microsoft’s cloud is deployed and operated worldwide, be part of one of the most strategically critical teams at Microsoft, and bring strong technical and business acumen, leadership, creativity, and out‑of‑the‑box thinking \- this role is for you.
 We are looking for an exceptional
 **Data Scientist** 
 to collaborate closely with our data science and engineering teams to build advanced analytics solutions that improve data center capacity delivery. In this role, you will partner with cross‑functional stakeholders to shape business requirements, drive standardization of inputs, and help define a long‑term analytical vision that influences how Microsoft delivers cloud capacity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scalable data assets (dashboards, underlying data models, and workflows) to provide reliable and high velocity decision support
* Oversee the lifecycle of analytics artifacts (e.g., models, dashboards) from data analysis, creation to deployment, and ensure robustness and scalability.
* Data Preparation and Understanding: Assist with extract transform load (ETL), address data quality issues, apply the right analysis techniques and leverage the right data exploration technologies and tools (e.g., structured query language (SQL), Python, descriptive statistics, etc.).
* Build end\-to\-end Business Intelligence (BI) Solutions: Own business customer relationship, BI reporting, Data Quality/Security aspects by adopting standard architectural standards.
* Apply statistical methods, causal inference, and machine learning to inform data center business decisions, and optimize our processes and systems.
* Deeply understand the data center delivery cycle and underlying data to support leadership and stakeholders make data\-driven decisions and continuous process improvements.
* Partner closely with cross functional stakeholders to build and deliver world\-class support and data insights. Guide business leaders with confidence in your analytics and reporting to ensure smooth execution.
* Collaborate with stakeholders to take an ambiguous business problem statement, refine the scope, conduct the analysis, and use the results to drive informed decisions.
* Summarize and clearly communicate data analysis assumptions and results.
* Mentor and support the growth of colleagues, stay current with advances in analytics, and foster a culture of learning and innovation.
* Other
* Embody our Culture and Values
**Qualifications**
**Required/minimum qualifications**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**Additional Or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hands\-on experience in SQL queries.
* 2\+ year(s) hands\-on experience in a data visualization tool like Power BI.
* 2\+ year(s) hands\-on experience in AI, ML or statistical modeling.
* 2\+ year(s) hands\-on experience in data acquisition/ETL.
* Experience in data center infrastructure.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
      <c r="A12" t="inlineStr">
        <is>
          <t>li-4371513194</t>
        </is>
      </c>
      <c r="B12" t="inlineStr">
        <is>
          <t>Senior Data Scientist</t>
        </is>
      </c>
      <c r="C12" t="inlineStr">
        <is>
          <t>Revelio Labs</t>
        </is>
      </c>
      <c r="D12" t="inlineStr">
        <is>
          <t>linkedin</t>
        </is>
      </c>
      <c r="E12" t="inlineStr"/>
      <c r="F12" t="inlineStr"/>
      <c r="G12" t="inlineStr">
        <is>
          <t>New York, NY</t>
        </is>
      </c>
      <c r="H12" t="inlineStr"/>
      <c r="I12" t="inlineStr">
        <is>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and governments.
**What We’re Looking For**
 Revelio Labs is looking for a creative Senior Data Scientist who is able to maintain, improve, and develop complex models alongside a team of experienced data scientists. We prefer candidates with experience and strong interest in NLP, Time Series, and Bayesian methods.
**Experience And Skills**
* 4\+ years of experience building complex models.
* Python, SQL, Regex, Bash, Data Visualization.
* Experience analyzing Human Capital Data and/or Financial Data is a plus.
**Location:**
 Our offices are based in New York City, but the position can be done remotely.
**Salary**
 The pay range for this position in New York City is $120,000 \- $180,000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PhD data scientists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
 Apply
 Please find our CPRA Job Applicant Privacy Notice here.</t>
        </is>
      </c>
    </row>
    <row r="13">
      <c r="A13" t="inlineStr">
        <is>
          <t>li-4363914388</t>
        </is>
      </c>
      <c r="B13" t="inlineStr">
        <is>
          <t>Data Scientist IV</t>
        </is>
      </c>
      <c r="C13" t="inlineStr">
        <is>
          <t>IntePros</t>
        </is>
      </c>
      <c r="D13" t="inlineStr">
        <is>
          <t>linkedin</t>
        </is>
      </c>
      <c r="E13" t="inlineStr"/>
      <c r="F13" t="inlineStr"/>
      <c r="G13" t="inlineStr">
        <is>
          <t>New York, NY</t>
        </is>
      </c>
      <c r="H13" t="inlineStr"/>
      <c r="I13" t="inlineStr">
        <is>
          <t>**About The Role**
 We are seeking a
 **Data Scientist IV** 
 to design and build complex analytical models while helping establish foundational data and analytics capabilities from the ground up. This is an analytics\-heavy, documentation\-driven role in a regulated environment where
 **accuracy, repeatability, and explainability** 
 are just as important as predictive power.
 You’ll work with stakeholders to interpret data, distinguish signal from noise, and enable analytics\-driven decision\-making—while ensuring all work is well\-documented and defensible.
**Key Responsibilities**
* Design, build, and validate complex analytical and statistical models
* Apply statistical, machine learning, and advanced analytics techniques appropriately
* Interpret data and clearly distinguish signal vs. noise
* Validate and explain results in a regulated context
* Focus on accuracy, repeatability, and explainability of models and insights
* Build and analyze reliable, high\-quality datasets
* Establish and maintain strong data lineage and process documentation
* Support analytics\-driven decision making across teams
**Required Qualifications**
* 5–7\+ years of experience in data science, analytics, or related roles
* Strong fundamentals in:
+ Data engineering concepts
+ SQL (moderate to advanced proficiency)
+ Data interpretation and statistical reasoning
* Experience with BI tools such as Power BI, Tableau, or similar platforms
* Proven experience with process documentation and model validation
* Comfortable building foundational data practices from scratch
**Nice to Have**
* Exposure to ML/AI (limited use due to federal restrictions)
* Experience deploying models into production
* Familiarity with data pipelines (helpful, not required)
**Additional Notes**
* Cloud experience is not currently required
* This role emphasizes analytics, model quality, documentation, and governance over heavy pipeline engineering</t>
        </is>
      </c>
    </row>
    <row r="14">
      <c r="A14" t="inlineStr">
        <is>
          <t>li-4371876400</t>
        </is>
      </c>
      <c r="B14" t="inlineStr">
        <is>
          <t>Data Scientist</t>
        </is>
      </c>
      <c r="C14" t="inlineStr">
        <is>
          <t>eNGINE</t>
        </is>
      </c>
      <c r="D14" t="inlineStr">
        <is>
          <t>linkedin</t>
        </is>
      </c>
      <c r="E14" t="inlineStr"/>
      <c r="F14" t="inlineStr"/>
      <c r="G14" t="inlineStr">
        <is>
          <t>Pittsburgh, PA</t>
        </is>
      </c>
      <c r="H14" t="inlineStr"/>
      <c r="I14" t="inlineStr">
        <is>
          <t>**Data Scientist** 
**About eNGINE** 
 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find career fulfillment through challenging projects, flexible schedules, and paid training/certifications. Successful outcomes start and finish with eNGINE.
**Overview** 
 We’re seeking an experienced Data Scientist to lead the development of advanced analytical and machine learning solutions that support our chatbot and AI\-driven products. This role is ideal for someone who combines strong technical expertise with a commitment to accuracy, transparency, and rigorous scientific methodology.
**What You’ll Do** 
 As a senior member of the team, you will:
* Create sophisticated analytical and statistical models that support regulated, high‑visibility decision‑making.
* Apply advanced statistical, machine learning, and analytical techniques to complex problems, ensuring all work is precise, repeatable, and fully explainable.
* Use scientific reasoning to generate insights, including model development, feature engineering, and in‑depth data exploration.
* Build and deploy machine learning models that enhance chatbot comprehension, response quality, and engagement outcomes.
* Analyze extensive datasets from chatbot interactions to uncover trends, diagnose issues, and identify areas for optimization.
* Partner closely with cross‑functional groups to transform analytical findings into real improvements for users and product experiences.
* Continuously monitor, evaluate, and refine modeling approaches to maintain reliability, scalability, and alignment with business objectives.
* Stay current on emerging methods in AI, NLP, and data mining to drive innovation within the product ecosystem.
* Communicate complex technical insights clearly to both technical and non‑technical stakeholders.
* Provide mentorship and technical guidance to junior data scientists and support broader team goals.
**What You Bring** 
* Proven ability to design and validate advanced analytical models.
* Strong understanding of modeling explainability, reproducibility, and regulatory considerations.
* Experience with machine learning development, documentation practices, and large‑scale data analysis.
* Excellent communication skills and the ability to translate technical findings into actionable recommendations.
* Leadership experience through mentoring, coaching, or guiding junior team members.
* Bachelor’s degree in a technical field
* 3\-5 years of related experience, preferably in financial services or banking
* Strong skills in building and deploying machine learning models
* Strong experience in Python similar languages
* Knowledge of ML frameworks
* Experience in data mining, statistical analysis, and visualization tools.
***No C2C or 3rd party candidates for this position***</t>
        </is>
      </c>
    </row>
    <row r="15">
      <c r="A15" t="inlineStr">
        <is>
          <t>li-4371522236</t>
        </is>
      </c>
      <c r="B15" t="inlineStr">
        <is>
          <t>Data Scientist</t>
        </is>
      </c>
      <c r="C15" t="inlineStr">
        <is>
          <t>Kaiser Aluminum</t>
        </is>
      </c>
      <c r="D15" t="inlineStr">
        <is>
          <t>linkedin</t>
        </is>
      </c>
      <c r="E15" t="inlineStr"/>
      <c r="F15" t="inlineStr"/>
      <c r="G15" t="inlineStr">
        <is>
          <t>Spokane, WA</t>
        </is>
      </c>
      <c r="H15" t="inlineStr"/>
      <c r="I15" t="inlineStr">
        <is>
          <t>Kaiser Aluminum is known around the world for its superior quality. Our secret is what we put into it—innovative thinking, industry\-leading reliability, and a world\-class commitment to customer service. In short, the same qualities we look for in our people. We are looking for a
 **Data Scientist** 
 to join the Kaiser Aluminum onsite team in Spokane Washington
 **that has a background in aluminum manufacturing, physical, and mechanical metallurgy** 
 !
 **Please apply at www.kaiseraluminum/careers requisition 1341\.** 
**Must be a U.S. person (identified as U.S. Citizen, U.S. Permanent Resident (Green Card), any individual who is granted status as a “protected person” under 8 U.S.C. 1324b(a)(3\).** 
**Benefits** 
* Salary range $85,000 to $150,000 commensurate with experience.
* High deductible medical, dental, vision, and basic life insurance, including spouse and children (modest payroll deductions).
* 10 paid holidays per year.
* Vacation (3 weeks starting out).
* Supplemental leave (used in conjunction with Washington Paid Family \&amp; Medical Leave).
* 401K with matching company funds.
* Quarterly bonus structure.
* Tuition reimbursement.
 The Data Scientist is responsible for analysis, design, testing and implementation of existing and new applications and integrations. The ideal candidate will be a strong technical resource with the ability to understand, learn and master many different diverse technologies used across the enterprise, work with minimal supervision, and has ability to work closely with the business and technical resources.
**What you will work on:**
* Conduct the low cost and high quality product and process improvement and optimization through the combination of advanced data analytics and ICME (Integrated Computational Material Science).
* Monitor, evaluate, and apply the advanced computing technologies and algorithms for the most sophistic data analytics to uncover insights and hidden variables, identify root causes and patterns, forecast outcomes, and provide data\-drive solutions.
* Production process data collection, high dimension large dataset multivariate analysis, classic and penalized regression predictive modelling, advanced neural\-network and decision\-tree based predictive modeling development and applications.
* Develop general and challenge specific predictive modeling capabilities by using commercially available software and/or internal computational codes.
* Design and development of alloys and processes for Aluminum products through advanced data analytics and ICME.
* Provide guidance and mentorship supports for different levels of data analytics including the principle and limits of different analytical algorithms.
* Provide support for Industry 4\.0 initiatives.
* Develop, define, and complete on\-time assigned research \&amp; development chartered projects.
* Support plant projects as directed.
* Write technical reports summarizing work as well as presentations to peers on progress at continuous improvement meetings.
* Perform metallurgical and structural analysis of aluminum products.
* Work in cross\-functional teams to develop process and production improvements.
* 5S of assigned areas.
**What you will bring to the role:**
* MS degree in Data Science, or Computational Material Science, or Statistics, or Material Science or Mechanical Engineering is required. A PhD is preferred.
* Excellent experience in statistical analysis and computing for data\-driven problem solving in manufacturing environment.
* Strong skills and experience in predictive modeling development by using multivariate analysis, classic and penalized regression predictive modelling, advanced neural\-network and decision\-tree based predictive modeling technologies.
* Experience with the advanced computing technologies and algorithms, such as machine learning, to build high quality predictive modes, uncover insights and hidden variables, and provide solutions.
* Experience in large dataset collection, integration, and visualization by using Excel, SQL, Mintab, Python, etc.
* Background in aluminum manufacturing, physical, and mechanical metallurgy.
* Experience in thermodynamic and kinetic material modeling by using CALPHA principle, and process simulations by using FEA and CFD tools.
* An ability to apply continuous improvement tools and methodologies to processes and projects
* Excellent communication skills (written and verbal) and organizational skills.
* Proven ability to work in teams.
* Ability to manage multiple tasks simultaneously.
**PREFERRED SKILLS** 
* Experience in metal rolling process simulation through FEA, Crystal Plasticity (CP) model, and other microstructure\-based material models.
* Experience in material characterization such as microstructure and mechanical properties.
**WORK ENVIRONMENT** 
* Approximately 70% of the job function is performed in an office setting requiring normal safety precautions. 30% of the job function is required in the plant. There is exposure to operating machinery and a manufacturing environment.
 We are an equal opportunity employer. All applicants will be considered based on job\-related qualifications and abilities. There shall be no discrimination on the basis of age, race, color, religion, sex, sexual orientation, gender identity, gender expression, national origin, veteran, or disability status.
**About Kaiser Aluminum:** 
 Talented people join our team because we are a company passionate about environmental sustainability, employee growth, contributing back to our communities and championing an inclusive culture.
**No third\-party candidate submissions are being accepted at this time for this opening**</t>
        </is>
      </c>
    </row>
    <row r="16">
      <c r="A16" t="inlineStr">
        <is>
          <t>li-4371517334</t>
        </is>
      </c>
      <c r="B16" t="inlineStr">
        <is>
          <t>Senior Data Scientist | Remote</t>
        </is>
      </c>
      <c r="C16" t="inlineStr">
        <is>
          <t>Crossing Hurdles</t>
        </is>
      </c>
      <c r="D16" t="inlineStr">
        <is>
          <t>linkedin</t>
        </is>
      </c>
      <c r="E16" t="inlineStr"/>
      <c r="F16" t="inlineStr"/>
      <c r="G16" t="inlineStr">
        <is>
          <t>Menlo Park, CA</t>
        </is>
      </c>
      <c r="H16" t="inlineStr"/>
      <c r="I16" t="inlineStr">
        <is>
          <t>**Position:** 
 Data Scientist III
**Type:** 
 Full\-time
**Compensation:** 
 $90 – $110/hour
**Location:** 
 Menlo Park, CA, USA (Onsite)
**Commitment:** 
 Full\-time
**Role Responsibilities**
* Conduct rigorous analysis of large, complex datasets to identify trends, patterns, and actionable insights across products, platforms, partners, and user interactions.
* Design, implement, and maintain critical metrics to measure ecosystem health, growth, and engagement.
* Develop and execute structured experiments to evaluate new product features, ecosystem strategies, and partnerships.
* Collaborate closely with cross\-functional teams including Product and Engineering to define analytical requirements and inform strategic decision\-making.
* Build sophisticated dashboards and detailed reports to communicate insights to both technical and non\-technical stakeholders.
* Perform ad hoc analyses to support urgent business and strategic inquiries with high\-quality, timely insights.
* Apply advanced statistical modeling and analytical techniques to solve complex business problems.
* Support strategic initiatives by translating data into clear, actionable recommendations.
**Requirements**
* Bachelor’s or Master’s degree in Data Science, Statistics, Computer Science, Economics, or a closely related quantitative field.
* Strong professional experience in data science, analytics, or a comparable role.
* Strong proficiency in SQL and at least one programming language such as Python or R.
* Hands\-on experience with data visualization tools including Tableau, Unidash, or Metrics360\.
* Excellent communication skills with the ability to clearly present complex findings to diverse stakeholders.
* Demonstrated ability to work independently and manage competing priorities in a fast\-paced environment.
* Strong analytical, modeling, and problem\-solving skills with attention to detail.
* Experience working with large\-scale datasets in technology or platform ecosystems preferred.
* Familiarity with internal data tools such as Presto, Scuba, or Hive preferred.
* Experience with experimentation design and causal inference methodologies preferred.
**Application Process**
* Upload resume (portfolio required)
* Interview (15–30 min)
* Submit form</t>
        </is>
      </c>
    </row>
    <row r="17">
      <c r="A17" t="inlineStr">
        <is>
          <t>li-4371836512</t>
        </is>
      </c>
      <c r="B17" t="inlineStr">
        <is>
          <t>Data Scientist, Sr.</t>
        </is>
      </c>
      <c r="C17" t="inlineStr">
        <is>
          <t>Definitive Healthcare</t>
        </is>
      </c>
      <c r="D17" t="inlineStr">
        <is>
          <t>linkedin</t>
        </is>
      </c>
      <c r="E17" t="inlineStr"/>
      <c r="F17" t="inlineStr"/>
      <c r="G17" t="inlineStr"/>
      <c r="H17" t="inlineStr"/>
      <c r="I17" t="inlineStr">
        <is>
          <t>**About The Company**
 Definitive Healthcare (NASDAQ: DH) is a leading provider of data, analytics, and expertise dedicated to transforming healthcare intelligence. Since its founding in 2011, the company has grown significantly and now operates globally with offices in the United States, Sweden, and India. Headquartered in Framingham, Massachusetts, Definitive Healthcare is committed to empowering healthcare organizations with actionable insights that facilitate smarter decision\-making, market analysis, and strategic planning. Recognized for its innovative approach and workplace excellence, the company has received multiple accolades including Built In’s 100 Best Places to Work in Boston, a Stevie Bronze Award for Great Employers, and recognition as a Great Place to Work in India. The organization fosters a collaborative, inclusive culture that values diverse perspectives, promotes employee engagement through programs like DefinitiveCares, and supports affinity groups to enhance connection, education, and inclusion across the workforce.
**About The Role**
 The Senior Data Scientist role at Definitive Healthcare is a strategic position focused on designing, developing, and operationalizing advanced analytics that maximize the value of the company's proprietary healthcare datasets. The successful candidate will lead key product initiatives, build scalable models, and translate complex data into actionable insights that support clients' commercial strategies. This role involves mentoring junior team members, guiding analytic frameworks, and collaborating closely with cross\-functional teams including product management, engineering, and subject matter experts. The Senior Data Scientist will be instrumental in driving product innovation, enhancing analytical capabilities, and contributing to the company's thought leadership in healthcare analytics. The position offers an exciting opportunity to influence healthcare decision\-making through sophisticated data science techniques and strategic insights.
**Qualifications**
* BA/BS in Statistics, Computer Science, Engineering, Mathematics, or a related field; MS or PhD preferred
* 5\+ years of experience applying machine learning, NLP, or advanced analytics, ideally within life sciences, healthcare, or commercial strategy
* Proficiency in Python, SQL, and Jupyter Notebook environments
* Hands\-on experience with PySpark for building scalable data pipelines and processing large datasets in cloud environments
* Strong knowledge of cloud\-based data environments such as Azure (preferred), AWS, or GCP
* Demonstrated expertise in quantitative modeling, forecasting, segmentation, and analytic frameworks
* Domain experience in Commercial Strategy, Market Access, or Pricing is highly desirable
* Excellent communication skills with the ability to translate technical concepts for non\-technical audiences
* Strong project management skills with the ability to lead initiatives and collaborate effectively across teams
* Proficiency with Microsoft Office tools, especially PowerPoint and Excel
* High motivation, strong work ethic, and ability to thrive in fast\-paced, deadline\-driven environments
**Responsibilities**
* Transform complex healthcare data into clear, actionable insights by synthesizing large datasets into compelling narratives and frameworks
* Develop scalable analytics and models, including forecasting, segmentation, NLP, and machine learning pipelines, integrated into Definitive Healthcare products
* Lead strategic product enhancements by defining project plans, managing timelines, and ensuring high\-quality execution
* Build domain expertise in healthcare markets, therapeutic areas, and commercial strategies to inform product development and innovation
* Oversee quantitative analysis, guide methodological decisions, and ensure analytical rigor, accuracy, and scalability
* Mentor and coach junior data scientists, providing technical guidance, feedback, and support for professional growth
* Collaborate cross\-functionally with product managers, engineers, and subject matter experts to align analytics with business goals
* Promote best practices in modeling, documentation, reproducibility, and knowledge sharing within the data science team
* Contribute to internal research, whitepapers, and thought leadership initiatives to elevate Definitive Healthcare’s market presence
**Benefits**
* Competitive salary range of $112,000 to $210,000 annually, commensurate with experience and qualifications
* Participation in the company's annual bonus program based on individual and company performance
* Comprehensive medical, dental, and vision insurance coverage
* Unlimited paid time off to support work\-life balance
* Participation in the company’s 401(k) plan with employer contributions
* Involvement in a fast\-growing, innovative environment with limitless growth opportunities
* Flexible and dynamic company culture fostering collaboration and inclusion
* Access to employee resource groups and community service programs like DefinitiveCares
* Recognition as a Great Place to Work and multiple workplace awards
 Equal Opportunity
 Definitive Healthcare is an equal opportunity employer committed to creating an inclusive workplace. We celebrate diversity and do not discriminate based on race, color, religion, age, gender, gender identity, sexual orientation, or any other protected status. We actively seek to recruit talented individuals from diverse backgrounds and provide equal employment opportunities to all applicants and teammates. Our goal is to foster an environment where everyone feels valued, respected, and empowered to contribute to our collective success.</t>
        </is>
      </c>
    </row>
    <row r="18">
      <c r="A18" t="inlineStr">
        <is>
          <t>li-4359255699</t>
        </is>
      </c>
      <c r="B18" t="inlineStr">
        <is>
          <t>Data Scientist</t>
        </is>
      </c>
      <c r="C18" t="inlineStr">
        <is>
          <t>Lawrence Harvey</t>
        </is>
      </c>
      <c r="D18" t="inlineStr">
        <is>
          <t>linkedin</t>
        </is>
      </c>
      <c r="E18" t="inlineStr"/>
      <c r="F18" t="inlineStr"/>
      <c r="G18" t="inlineStr"/>
      <c r="H18" t="inlineStr"/>
      <c r="I18" t="inlineStr">
        <is>
          <t>Lawrence Harvey has been engaged by a well\-capitalized, global analytics and technology organization on a position that is key to supporting their applied data science and machine learning initiatives across diverse business functions.
 They are looking for a
 **Data Scientist** 
 who will work with large and complex datasets, develop statistical and predictive models, and collaborate with cross\-functional teams to translate analytical insights into actionable business outcomes.
 The successful candidate will join a highly technical, data\-focused team and contribute directly to the design, development, and delivery of data\-driven solutions that improve decision\-making and operational performance.
 This is an opportunity to join a dynamic organization in a role that offers exposure to strategic analytics challenges and the chance to work at the intersection of business and technology.
 The Ideal Candidate has:
* 5\+ years of full\-time professional experience in data science, analytics, or machine learning
* Strong proficiency with Python and experience building data\-driven solutions
* Bachelor’s degree in computer science, business analytics, data science, mathematics, information systems management, or a related field. A master’s degree is preferred
* Experience with statistical modeling, machine learning methods, and working with large structured and unstructured datasets
 If you have any questions or would like to learn more about this opportunity, please don’t hesitate to reach out.
 If this role sounds like the right fit for you, Apply Now.</t>
        </is>
      </c>
    </row>
    <row r="19">
      <c r="A19" t="inlineStr">
        <is>
          <t>li-4371887765</t>
        </is>
      </c>
      <c r="B19" t="inlineStr">
        <is>
          <t>Data Scientist</t>
        </is>
      </c>
      <c r="C19" t="inlineStr">
        <is>
          <t>BCforward</t>
        </is>
      </c>
      <c r="D19" t="inlineStr">
        <is>
          <t>linkedin</t>
        </is>
      </c>
      <c r="E19" t="inlineStr"/>
      <c r="F19" t="inlineStr"/>
      <c r="G19" t="inlineStr">
        <is>
          <t>San Jose, CA</t>
        </is>
      </c>
      <c r="H19" t="inlineStr"/>
      <c r="I19" t="inlineStr">
        <is>
          <t>**BCForward is currently seeking a highly motivated Data Analyst / Junior Data Scientist for an on\-site opportunity in San Jose, CA** 
**Role: Data Analyst / Junior Data Scientist** 
**Duration: 10\+ Months** 
**Locations: San Jose, CA / Cupertino, CA** 
**Anticipated Start Date:** 
 02/23/2026
**Job Type:** 
 Contract – On\-Site
**Key Responsibilities:** 
* Has strong hands\-on experience with SQL
* Has working knowledge of basic data modeling techniques such as Regression, Decision Trees, and Clustering
* Has exposure to PySpark (good to have)
* Can understand business requirements and communicate insights clearly to business stakeholders
* Is comfortable working in a business\-facing role and translating data into actionable insights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With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20">
      <c r="A20" t="inlineStr">
        <is>
          <t>li-4371890664</t>
        </is>
      </c>
      <c r="B20" t="inlineStr">
        <is>
          <t>Sr. Data Scientist - Assortment and Space (Core ML)</t>
        </is>
      </c>
      <c r="C20" t="inlineStr">
        <is>
          <t>The Home Depot</t>
        </is>
      </c>
      <c r="D20" t="inlineStr">
        <is>
          <t>linkedin</t>
        </is>
      </c>
      <c r="E20" t="inlineStr"/>
      <c r="F20" t="inlineStr"/>
      <c r="G20" t="inlineStr">
        <is>
          <t>Atlanta, GA</t>
        </is>
      </c>
      <c r="H20" t="inlineStr"/>
      <c r="I20" t="inlineStr">
        <is>
          <t>Position Purpose:
 We are transforming how merchandising decisions are made through AI\-powered solutions and automation. This Sr. Data Scientist plays a key role to build scalable, mathematical algorithms in production that directly impact retail and merchandising by solving complex, high\-value business problems. The position focuses on science\-driven models, operating at the intersection of data science, process automation, cloud deployment, and software production to deliver reliable decision systems that increase efficiency and improve customer experience.
 This role leads Machine Learning initiatives end\-to\-end, from cross\-functional collaboration and business problem framing through technical design, development, deployment, and ongoing monitoring and enhancement. The Sr. Data Scientist partners closely with product managers, software engineers, and business stakeholders to identify high\-impact opportunities, translate into technical requirements, and deliver scalable solutions in production. The role is responsible for communicating insights and recommendations to both technical and non\-technical audiences, mentoring data scientists on projects, and ensuring models perform effectively based on real\-world outcomes.
 Key Responsibilities:
* 35% Solution Development \- Proficiently design and develop algorithms and models to use against large datasets to create business insights; Execute tasks with high levels of efficiency and quality; Make appropriate selection, utilization and interpretation of advanced analytical methodologies; Effectively communicate insights and recommendations to both technical and non\-technical leaders and business customers/partners; Prepare reports, updates and/or presentations related to progress made on a project or solution; Clearly communicate impacts of recommendations to drive alignment and appropriate implementation
* 30% Project Management \&amp; Team Support \- Work with project teams and business partners to determine project goals;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 20% Business Collaboration \- Leverage extensive business knowledge into solution approach; Effectively develop trust and collaboration with internal customers and cross\-functional teams; Provide general education on advanced analytics to technical and non\-technical business partners; Deep understanding of IT needs for the team to be successful in tackling business problems; Actively seek out new business opportunities to leverage data science as a competitive advantage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Contribute to library of reusable algorithms for future use, ensuring developed codes are documented
 Direct Manager/Direct Reports:
* This position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Master’s or PhD in Data Science, Statistics, Economics, Applied Math, Engineering, or other quantitative and engineering fields.
* 6\+ years of hands\-on experience developing and deploying Machine Learning models into production environments and integrating into scalable data pipelines and decision systems (e.g., via APIs, microservices, or batch pipelines), ensuring reliability, scalability, traceability, and interoperability.
* Deep expertise in causal inference (e.g., Difference\-in\-Differences, Double ML, Synthetic Control) and discrete choice models, including elasticity, substitution and demand transfer.
* Solid foundation in machine learning models (e.g., regularized regression, tree\-based methods such as XGBoost, and neural networks)
* Strong experience with forecasting models (e.g., time\-series forecasting. ARIMA, Bayesian and probabilistic methods or deep learning\-based approaches).
* Strong understanding of data structures, and modern cloud ecosystems (GCP, AWS, etc.).
* Proficient with data visualization software (preferably Tableau).
* Familiarity with GenAI, LLM and Agentic framework, with experience integrating LLM\-based reasoning into ML\-driven solutions.
* Comfortable collaborating with front\-end developers or building light UI prototypes (e.g., Streamlit, React).
* Demonstrated strength in business communication and technical leadership, with the ability to clearly explain complex statistical and ML concepts to non\-technical stakeholders in a way that builds trust and drives adoption.
* Experience solving retail or merchandising problems such as assortment \&amp; space optimization, demand transfer, consumer choice models, demand forecasting.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Customer Focus: Building strong customer relationships and delivering customer\-centric solutions
* Develops Talent: Developing people to meet both their career goals and the organization's goals
* Directs Work: Provides direction, delegating and removing obstacles to get work done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Self\-Development: Actively seeking new ways to grow and be challenged using both formal and informal development channels</t>
        </is>
      </c>
    </row>
    <row r="21">
      <c r="A21" t="inlineStr">
        <is>
          <t>li-4371863461</t>
        </is>
      </c>
      <c r="B21" t="inlineStr">
        <is>
          <t>Data Scientist</t>
        </is>
      </c>
      <c r="C21" t="inlineStr">
        <is>
          <t>Best Job Tool</t>
        </is>
      </c>
      <c r="D21" t="inlineStr">
        <is>
          <t>linkedin</t>
        </is>
      </c>
      <c r="E21" t="inlineStr"/>
      <c r="F21" t="inlineStr"/>
      <c r="G21" t="inlineStr"/>
      <c r="H21" t="inlineStr"/>
      <c r="I21" t="inlineStr">
        <is>
          <t>**About The Company**
 GTMnow is a leading provider of innovative go\-to\-market strategies and solutions designed to empower businesses to achieve their growth objectives. With a strong focus on leveraging data\-driven insights and cutting\-edge technology, GTMnow partners with organizations across various industries to optimize their sales, marketing, and customer engagement efforts. Our commitment to excellence and continuous improvement has established us as a trusted leader in the market, dedicated to delivering measurable results and sustainable success for our clients.
**About The Role**
 We are seeking a highly motivated and detail\-oriented Business Development Manager to join our dynamic team at GTMnow. In this role, you will be responsible for identifying new business opportunities, building strong relationships with prospective clients, and expanding our market presence. The ideal candidate will possess excellent communication skills, a strategic mindset, and a proven track record of achieving sales targets. This position offers an exciting opportunity to contribute directly to the growth of our organization while working in a collaborative and innovative environment.
**Qualifications**
 The successful candidate will have a minimum of 3\-5 years of experience in business development, sales, or a related field. A bachelor’s degree in Business Administration, Marketing, or a comparable discipline is required; a master’s degree is preferred. Strong understanding of the sales cycle, market research, and client relationship management is essential. Candidates should demonstrate excellent interpersonal and negotiation skills, along with the ability to work independently and as part of a team. Proficiency in CRM software and MS Office suite is also required.
**Responsibilities**
* Identify and pursue new business opportunities through market research, networking, and outreach efforts.
* Develop and maintain strong relationships with prospective and existing clients to understand their needs and tailor solutions accordingly.
* Create and deliver compelling sales presentations and proposals that effectively communicate the value of GTMnow’s services.
* Collaborate with marketing and product teams to develop strategies that enhance market penetration and brand visibility.
* Negotiate contracts and close deals to meet or exceed sales targets.
* Track and analyze sales performance metrics to optimize strategies and improve results.
* Participate in industry events, conferences, and networking opportunities to promote GTMnow’s offerings.
* Maintain up\-to\-date knowledge of industry trends, competitors, and market dynamics to identify new opportunities.
**Benefits**
 GTMnow offers a comprehensive benefits package designed to support our employees' well\-being and professional growth. This includes competitive salary packages, performance\-based incentives, health insurance coverage, and retirement plans. We also provide opportunities for ongoing training and development, fostering a culture of continuous learning. Our flexible work arrangements and supportive team environment ensure a balanced work\-life experience. Additionally, employees have access to various wellness programs and employee recognition initiatives to promote a positive and motivating workplace culture.
 Equal Opportunity
 GTMnow is an equal opportunity employer committed to fostering an inclusive and diverse work environment. We believe that a diverse team enhances our creativity, innovation, and overall success. We do not discriminate based on race, ethnicity, gender, age, religion, sexual orientation, disability, or any other protected characteristic. All qualified applicants will receive consideration for employment without regard to any such factors. We are dedicated to creating a workplace where everyone feels valued, respected, and empowered to contribute to our shared goals.</t>
        </is>
      </c>
    </row>
    <row r="22">
      <c r="A22" t="inlineStr">
        <is>
          <t>li-4240521444</t>
        </is>
      </c>
      <c r="B22" t="inlineStr">
        <is>
          <t>Senior Data Scientist</t>
        </is>
      </c>
      <c r="C22" t="inlineStr">
        <is>
          <t>StubHub</t>
        </is>
      </c>
      <c r="D22" t="inlineStr">
        <is>
          <t>linkedin</t>
        </is>
      </c>
      <c r="E22" t="inlineStr"/>
      <c r="F22" t="inlineStr"/>
      <c r="G22" t="inlineStr">
        <is>
          <t>Los Angeles, CA</t>
        </is>
      </c>
      <c r="H22" t="inlineStr"/>
      <c r="I22"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on the lookout for an accomplished Senior Data Scientist to join the Data Engineering \&amp; Analytics team at StubHub. In this role, you'll play a pivotal role in crafting and deploying cutting\-edge machine learning models that inform business and operational decisions across StubHub's dynamic ecosystem.
 Our Data Science team serves as the backbone for enabling data\-driven decisions across the organization, harnessing the potential of StubHub's consumer data through statistical and machine learning techniques. This involves creating both business\- and customer\-facing products, as well as delivering user\-friendly tools and clear explanations for non\-technical users to enhance self\-service capabilities.
**About The Role**
 As a
 **Senior Data Scientist** 
 , you'll be the driving force in a business domain, steering the strategy and execution of model development. You will lead teams—first through influence and, later, through a small team of direct reports. We're seeking someone uniquely passionate about constructing models that empower data\-driven decisions, equipped with robust engineering principles that enable full ownership throughout the model lifecycle. Additionally, effective communication skills to convey complex concepts to both technical and non\-technical audiences are essential.
*Location: Hybrid (3 days in office/2 days remote) – New York, NY or Century City, CA*
**What You'll Do**
* Build and understand modeling related to one of four possible areas at StubHub: Experimentation, Forecasting, Pricing or Customer Acquisition
* Build state\-of\-the\-art machine learning models for which you own from design all the way through to production, and communicate your results to broad technical and non\-technical audiences
* Serve as a subject matter expert to the broader organization around on how to best build predictive modeling in the context of forecasting and pricing
* Find and develop your own roadmaps with business partners and carry out project management and execution of your own work
* Drive growth of junior team members and the data organization through venues such as workshops, best practices, and reading groups
* Foster a culture of inclusion, results\-oriented execution, open innovation, and limitless creativity across your team
**What You've Done**
* 7\-11 years of relevant data science or machine learning experience and an MS. or Ph.D. degree in math, statistics, computer science, or other quantitative fields preferred.
* Proficiency with transforming and analyzing large scale data with modern cloud computing platforms (e.g.,SparkSQL, BigQuery, Snowflake, Databricks), with high proficiency with query languages like SQL
* Expert in Python or R and numerical and scientific libraries used for statistics and machine learning (e.g., Pandas, NumPy, SciPy, scikit\-learn)
* Experience in building production level models in cloud environments (e.g., AWS, Azure)
* Demonstrated proficiency in time series modeling (GAMs, GLMs, ARs) and real\-time forecasting are a nice\-to\-have
* Passionate about working with non\-technical stakeholders to understand, anticipate, and deliver on their data needs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3">
      <c r="A23" t="inlineStr">
        <is>
          <t>li-4371830705</t>
        </is>
      </c>
      <c r="B23" t="inlineStr">
        <is>
          <t>Software Engineer / Data Scientist</t>
        </is>
      </c>
      <c r="C23" t="inlineStr">
        <is>
          <t>Waymo</t>
        </is>
      </c>
      <c r="D23" t="inlineStr">
        <is>
          <t>linkedin</t>
        </is>
      </c>
      <c r="E23" t="inlineStr"/>
      <c r="F23" t="inlineStr"/>
      <c r="G23" t="inlineStr"/>
      <c r="H23" t="inlineStr"/>
      <c r="I23" t="inlineStr">
        <is>
          <t>**About The Company**
 Waymo is a pioneering autonomous driving technology company committed to transforming mobility through innovation and safety. Established as the Google Self\-Driving Car Project in 2009, Waymo has dedicated itself to developing the Waymo Driver — the world's most experienced autonomous driver. With a mission to be the world's most trusted driver, Waymo aims to enhance access to mobility solutions while significantly reducing traffic\-related fatalities. The company’s autonomous driving system powers a fully autonomous ride\-hail service and is adaptable to various vehicle platforms and use cases. Having autonomously driven over 100 million miles on public roads and completed tens of billions of miles in simulation across more than 15 states in the U.S., Waymo continues to lead in the development of safe and reliable autonomous vehicles.
**About The Role**
 The Large Model Evaluation team at Waymo sits at the forefront of the company's AI ambitions. As advancements in Large Language Models (LLMs) and Vision\-Language Models (VLMs) evolve, this team is tasked with building cutting\-edge AI systems capable of managing the complexities of real\-world driving. The core challenge is robust evaluation—developing metrics and techniques to accurately measure the performance of large models in safety\-critical environments. We are seeking quantitatively\-minded engineers to conduct research, develop innovative evaluation metrics, and implement simulation strategies that provide reliable insights into model performance. Your work will directly influence the deployment and safety validation of the Waymo Driver, ensuring it can handle edge cases and perform reliably in diverse scenarios.
**Qualifications**
* 7\+ years of relevant industry experience in a heavily quantitative software engineering role
* Proficiency in programming languages such as Python or C\+\+
* Strong understanding of software design principles, best practices, testing methodologies, and version control systems
* Experience with building large\-scale data pipelines for signal discovery, data labeling, feature extraction, and metric computation
* Knowledge of AI fundamentals, including transformer architectures and model distillation techniques
* Experience evaluating the quality of machine learning models and translating quantitative findings into production tools
* Ability to navigate complex technical and product landscapes, define technical strategies, and create development roadmaps
**Responsibilities**
* Develop and implement novel metrics and sampling techniques to evaluate ML\-generated driving trajectories
* Design and employ creative simulation strategies to assess the driving performance of generative AI models
* Identify potential edge cases through simulation and data analysis, providing insights that inform model improvements
* Build and maintain scalable data pipelines for large\-scale simulations, data labeling, feature extraction, and metric computation
* Conduct detailed data analysis to diagnose regressions and assess model robustness
* Collaborate closely with research and engineering teams to develop, evaluate, and deploy large\-scale ML models in safety\-critical environments
* Contribute to the continuous improvement of evaluation methodologies and tools for autonomous driving systems
**Benefits**
* Competitive salary within the range of $238,000 to $302,000 USD based on experience and location
* Participation in Waymo’s discretionary annual bonus program
* Incentive plans including equity options
* Comprehensive health, dental, and vision insurance coverage
* Generous paid time off and leave policies
* Opportunities for professional growth and development within a leading autonomous vehicle company
* Flexible work arrangements, including remote work options where applicable
 Equal Opportunity
 Waymo is an equal opportunity employer committed to fostering an inclusive environment. We welcome applications from all qualified candidates regardless of race, ethnicity, gender, sexual orientation, age, disability, or any other protected characteristic. We believe diversity drives innovation and are dedicated to creating a workplace where everyone feels valued and empowered to contribute to our mission of safe and accessible autonomous mobility.</t>
        </is>
      </c>
    </row>
    <row r="24">
      <c r="A24" t="inlineStr">
        <is>
          <t>li-4371683088</t>
        </is>
      </c>
      <c r="B24" t="inlineStr">
        <is>
          <t>Senior Data Scientist</t>
        </is>
      </c>
      <c r="C24" t="inlineStr">
        <is>
          <t>MeshyAI</t>
        </is>
      </c>
      <c r="D24" t="inlineStr">
        <is>
          <t>linkedin</t>
        </is>
      </c>
      <c r="E24" t="inlineStr"/>
      <c r="F24" t="inlineStr"/>
      <c r="G24" t="inlineStr">
        <is>
          <t>Sunnyvale, CA</t>
        </is>
      </c>
      <c r="H24" t="inlineStr"/>
      <c r="I24" t="inlineStr">
        <is>
          <t>**About Meshy**
 Headquartered in
 **Silicon Valley** 
 ,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 fostering a diverse and innovative multi\-regional culture focused on solving global 3D challenges. Meshy is trusted by top developers, backed by premiere venture capital firms like
 **Sequoia and GGV** 
 ,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**Role Overview**
 We are hiring our first Senior Data Scientist in the US. This is a high\-impact, foundational role. You will design, build, and deploy advanced analytical and machine learning solutions that directly influence product direction, growth strategy, and monetization.
**You Will Lead Projects Such As**
* Recommendation systems
* User segmentation \&amp; behavioral modeling
* Churn analysis (including NLP\-based parsing of text feedback)
* LTV forecasting \&amp; revenue prediction
* Business and growth forecasting
 This role requires strong technical depth, business intuition, and the ability to translate models into actionable decisions.
**Key Responsibilities**
* Design and deploy high\-impact ML solutions, including recommendation systems, user segmentation, churn prediction, and LTV/revenue forecasting to drive engagement and monetization.
* Apply NLP techniques to analyze unstructured data (e.g., churn feedback) and uncover actionable product and business insights.
* Leverage both structured (schema\-ready) and raw datasets to identify high\-value modeling opportunities aligned with company priorities.
* Design and evaluate experiments to measure model performance and quantify business impact.
* Translate complex analytical outputs into clear, decision\-ready insights and present findings to senior leadership to influence strategic direction.
* Help define Meshy’s long\-term data science roadmap and establish best practices in modeling, experimentation, and measurement.
* Mentor junior team members through technical guidance, code reviews, and modeling leadership, strengthening overall team capability.
**Qualifications Required**
* 5\+ years of experience in data science, applied ML, or related roles
* Strong experience building production\-level ML models
* Proficiency in Python (Pandas, Scikit\-learn, PyTorch or similar)
* Solid understanding of statistical modeling and experimentation
* Experience with recommendation systems, forecasting, or predictive modeling
* Practical experience applying AI tools in data analysis workflows, or a strong demonstrated interest in leveraging AI for analytical problem\-solving
* Expert in SQL
* Experience working with both structured and unstructured datasets
* Ability to communicate complex modeling insights to non\-technical stakeholders
**Preferred**
* Experience in consumer SaaS, marketplace, or creator economy platforms
* Experience applying NLP to real\-world product problems
* Experience with LTV modeling and growth analytics
* Familiarity with causal inference methods
* Experience deploying models into production environments
* Interest in generative AI or 3D/creative technology
* Fluent in both English and Mandarin, with the ability to communicate at a professional level in both written and verbal forms.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is>
      </c>
    </row>
    <row r="25">
      <c r="A25" t="inlineStr">
        <is>
          <t>li-4371397785</t>
        </is>
      </c>
      <c r="B25" t="inlineStr">
        <is>
          <t>Data Scientist | Clinical AI</t>
        </is>
      </c>
      <c r="C25" t="inlineStr">
        <is>
          <t>RemoteHunter</t>
        </is>
      </c>
      <c r="D25" t="inlineStr">
        <is>
          <t>linkedin</t>
        </is>
      </c>
      <c r="E25" t="inlineStr"/>
      <c r="F25" t="inlineStr"/>
      <c r="G25" t="inlineStr"/>
      <c r="H25" t="inlineStr"/>
      <c r="I25"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
      <c r="A26" t="inlineStr">
        <is>
          <t>li-4225062630</t>
        </is>
      </c>
      <c r="B26" t="inlineStr">
        <is>
          <t>Senior/Staff Applied Scientist</t>
        </is>
      </c>
      <c r="C26" t="inlineStr">
        <is>
          <t>Glean</t>
        </is>
      </c>
      <c r="D26" t="inlineStr">
        <is>
          <t>linkedin</t>
        </is>
      </c>
      <c r="E26" t="inlineStr"/>
      <c r="F26" t="inlineStr"/>
      <c r="G26" t="inlineStr"/>
      <c r="H26" t="inlineStr"/>
      <c r="I26"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building a world\-class Data Organization composed of product data science, applied science, data engineering and business intelligence groups. This is an applied science role based in our Palo Alto or San Francisco office. It covers a subset of:
**A/B Experimentation**
* Collaborate with product data science and engineering teams to identify techniques, tooling and process improvements in online A/B experimentation to assist rigorous decision making across all relevant product domains.
* Develop and maintain our A/B experimentation platform based on stakeholder feedback
* Write code or identify vendors to deploy these techniques to production in a scalable manner that’s easy to use by engineering, product data science, product management and design teams
**Generative AI Evaluation**
* End to end evaluation of various hero use cases like document/URL uploads, including evaluation set generation, coming up with evaluation criteria and methods to interpret the results.
* Breaking down end to end evaluations into more granular evaluation of various tasks \&amp; skills including but not limited to content summarization/analysis/generation, multi\-step reasoning \&amp; strategizing, tool selection \&amp; use, coding \&amp; system design.
* Design, development and ownership of best practices, tools and processes across various evaluation problems, e.g. query intent classification, standardizing the use of best statistical principles to handle LLM stochasticity, industry benchmarking.
**About You**
* You have 5\+ years of experience as a Masters degree holder, 3\+ as a PhD degree holders (Masters/PhD degree in Statistics, Mathematics or Computer Science, or another quantitative field)
* You’re strong in statistics and/or machine learning. You have experience in applying these skills into tangible improvements in products, internal tools, and processes in a pragmatic way that puts business urgencies first.
* You are very proficient in Python, e.g. proficient enough to maintain an internal source\-controlled library used by dozens of others.
* You are concise and precise in written and verbal communication. Technical documentation is your strong suit.
* You are proficient in SQL and the modern data stack (e.g. source\-controlled dbt pipelines for ETL/ELT).
* You are strong at defining good product KPIs/guardrail metrics, dashboarding and analysis of raw data to derive strategic insights.
* You have experience in B2B SaaS.
* You have experience working on ranking, developing, and maintaining A/B experimentation platforms and/or ML measurement problems.
* You are passionate about using AI to improve the productivity of data teams as well as non\-data professionals trying to derive more value of their company’s data.
**Location:**
* This role is hybrid (3\-4 days a week in one of our SF Bay Area offices)
**Compensation \&amp; Benefits**
 The standard base salary range for this position is $175,000 \- $230,000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7">
      <c r="A27" t="inlineStr">
        <is>
          <t>li-4363247221</t>
        </is>
      </c>
      <c r="B27" t="inlineStr">
        <is>
          <t>Data Scientist Principal Technical Specialist</t>
        </is>
      </c>
      <c r="C27" t="inlineStr">
        <is>
          <t>Dexian</t>
        </is>
      </c>
      <c r="D27" t="inlineStr">
        <is>
          <t>linkedin</t>
        </is>
      </c>
      <c r="E27" t="inlineStr"/>
      <c r="F27" t="inlineStr"/>
      <c r="G27" t="inlineStr">
        <is>
          <t>Washington, DC</t>
        </is>
      </c>
      <c r="H27" t="inlineStr"/>
      <c r="I27" t="inlineStr">
        <is>
          <t>***Data Scientist Principal Technical Specialist***
 This is a remote role, US Citizens or Green Card holders only.
 The qualified applicant will be working with \[Clients] innovation programs, applying artificial intelligence and machine learning techniques to enhance data\-driven decision\-making in healthcare, defense, and regulatory environments.
 This position will leverage AI/ML to optimize processes, improve automation, and deliver intelligent solutions for stakeholders.
**Roles and Responsibilities**
 \* Learn and understand business processes and identify opportunities for AI/ML integration.
 \* Design, develop, test, and deploy machine learning models and AI\-driven applications.
 \* Implement data pipelines for preprocessing, feature engineering, and model training.
 \* Apply deep learning, natural language processing (NLP), and predictive analytics to healthcare and regulatory datasets.
 \* Integrate AI/ML models into production systems, ensuring scalability and reliability.
 \* Perform model evaluation, validation, and continuous improvement.
 \* Document methodologies, maintain reproducibility, and ensure compliance with industry standards.
 \* Collaborate across engineering, data, and operations teams to deploy secure, efficient solutions.
 \* Support broader software, data science, and automation initiatives.
**Basic Qualifications**
 \* Bachelors degree in computer science, Data Science, Engineering, or related field and 5\+ years of experience in AI/ML development; OR 8\+ years of relevant experience in lieu of degree.
 \* Minimum 3\+ years of experience in machine learning, deep learning, or AI application development.
 \* Strong Python skills and experience with ML frameworks (TensorFlow, PyTorch, Scikit learn)
 \* Experience building ML pipelines and deploying them as scalable APIs using FastAPI, Docker, and Azure Container Apps
 \* Knowledge of NLP, computer vision, or time series modeling
 \* Proficiency with relational and NoSQL databases
 \* Strong experience with relational databases such as PostgreSQL, MySQL, and MSSQL, including schema design, indexing, and query optimization
 \* Experience with cloud platforms (Azure, AWS, GCP) and containerized/serverless deployments
 \* Understanding of identity and access management and secure system integration
 \* Familiarity with frontend collaboration and API driven architectures
 \* Strong Linux, DevOps, and CI/CD experience, including server management, environment configuration, and troubleshooting for ML deployments
 \* Experience consuming OpenAPI\-generated clients to ensure consistent communication between frontend and backend services.
 \* Ability to communicate clearly and accurately in both oral and written forms
 \* Must be a Green Card Holder or a US Citizen
**Preferred Qualifications**
 \* Experience designing or implementing process automations (e.g., RPA), to streamline repetitive tasks and improve operational efficiency.
 \* Experience with reinforcement learning, big data tools, or MLOps.
 \* Experience applying AI/ML in healthcare or regulatory domains.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https://dexian.com/.
 Dexian is an Equal Opportunity Employer that recruits and hires qualified candidates without regard to race, religion, sex, sexual orientation, gender identity, age, national origin, ancestry, citizenship, disability, or veteran status.</t>
        </is>
      </c>
    </row>
    <row r="28">
      <c r="A28" t="inlineStr">
        <is>
          <t>li-4371510112</t>
        </is>
      </c>
      <c r="B28" t="inlineStr">
        <is>
          <t>Data Scientist</t>
        </is>
      </c>
      <c r="C28" t="inlineStr">
        <is>
          <t>Recruiting from Scratch</t>
        </is>
      </c>
      <c r="D28" t="inlineStr">
        <is>
          <t>linkedin</t>
        </is>
      </c>
      <c r="E28" t="inlineStr"/>
      <c r="F28" t="inlineStr"/>
      <c r="G28" t="inlineStr"/>
      <c r="H28" t="inlineStr"/>
      <c r="I28"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**About Our Client:** 
 A pioneer in K–12 education since 2000, we are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we serve more than 10 million students in all 50 states. We are a leader in creating immersive, rigorous digital learning experiences that look great, play great, and help students expect great things of themselves. We have been described as the best tech company in education, and the best education company in tech.
**Role:** 
 As a
 **Data Scientist** 
 , you will join our
 **Supply Chain Analytics team** 
 , where data science directly impacts how educational materials reach classrooms across the country. You will develop machine learning models to forecast demand, optimize inventory, and reduce operational costs across tens of thousands of ISBNs and hundreds of millions of dollars in annual revenue.
 You will work on a
 **cross\-functional scrum team** 
 alongside Analytics Engineers and Data Analysts to build production\-grade data products. This role reports to the
 **Data Science Manager for Sales, Marketing, and Finance** 
 , giving you the opportunity to influence decisions across the entire data stack—from raw data ingestion to executive\-facing insights.
 Your work will have a tangible impact on ensuring students and educators receive the right materials, at the right time, at the right cost.
**What You’ll Do:** 
 Our Data Science team builds advanced analytics and machine learning solutions that power strategic decision\-making across the organization. In this role, you will:
* **Develop, train, and deploy machine learning models** 
 to forecast demand, optimize inventory levels, and improve supply chain efficiency
* Contribute across the
 **full machine learning lifecycle** 
 , including research, feature engineering, model evaluation, deployment, and monitoring
* Apply advanced statistical and time series methods to uncover patterns, explain drivers, and recommend actionable strategies
* Partner cross\-functionally with Supply Chain, Analytics Engineering, and business stakeholders to deliver high\-quality, production\-ready data products
* Participate in data ingestion, transformation, modeling, and analysis to ensure end\-to\-end ownership of solutions
* Translate complex analyses into
 **clear, compelling narratives** 
 for non\-technical partners
* Help elevate the broader Data Science practice by leading learning sessions, sharing best practices, and proposing new tools or architectures
**Example Projects You Might Work On:** 
* Building and deploying
 **time series forecasting models** 
 to predict demand across thousands of SKUs with seasonal and regional variability
* Optimizing inventory placement and replenishment strategies to reduce stockouts and excess inventory
* Developing model monitoring frameworks to detect drift and ensure long\-term forecasting accuracy
* Partnering with Finance to quantify cost savings and revenue impact from improved forecasting accuracy
* Collaborating with Analytics Engineers to productionize models using cloud\-based ML platforms
**Basic Requirements:** 
* **2\+ years of experience** 
 in a Data Scientist role focused on
 **supply chain forecasting, demand planning, or logistics optimization**
* Strong foundation in
 **statistical methods and time series forecasting** 
 (e.g., SARIMA, Prophet, XGBoost)
* Expert\-level
 **Python** 
 skills for data cleaning, analysis, and modeling
* Expert\-level
 **SQL** 
 skills for data analysis and exploration
* Experience training and evaluating machine learning models using libraries such as
 **scikit\-learn, PyTorch, XGBoost, or tidymodels**
* Experience deploying machine learning models into production environments (e.g.,
 **AWS SageMaker, Databricks, Snowpark ML** 
 )
* Familiarity with software development best practices, including
 **git\-based version control and testing**
* Excellent written and verbal communication skills, especially when working with non\-technical stakeholders
* Demonstrated ability to lead self\-directed projects and collaborate cross\-functionally
**Preferred Requirements:** 
* Experience working with
 **Snowflake**
* Familiarity with
 **container technologies** 
 such as Docker and Kubernetes
* Background in
 **education, edtech, or mission\-driven organizations**
**What We Offer:** 
 Salary is only one component of the Total Rewards package, which includes a 401(k) plan, competitive health insurance and mental health options, basic life insurance, paid time off, parental leave, and access to best\-in\-class development programs.
 The
 **gross annual salary range for this role is $100,000 – $132,000** 
 , and the position is eligible for an
 **annual discretionary bonus** 
 based on individual and company performance.</t>
        </is>
      </c>
    </row>
    <row r="29">
      <c r="A29" t="inlineStr">
        <is>
          <t>li-4371853376</t>
        </is>
      </c>
      <c r="B29" t="inlineStr">
        <is>
          <t>Applied Scientist</t>
        </is>
      </c>
      <c r="C29" t="inlineStr">
        <is>
          <t>Microsoft</t>
        </is>
      </c>
      <c r="D29" t="inlineStr">
        <is>
          <t>linkedin</t>
        </is>
      </c>
      <c r="E29" t="inlineStr"/>
      <c r="F29" t="inlineStr"/>
      <c r="G29" t="inlineStr">
        <is>
          <t>Reston, VA</t>
        </is>
      </c>
      <c r="H29" t="inlineStr"/>
      <c r="I29" t="inlineStr">
        <is>
          <t>**Overview**
 The
 **Microsoft Discovery and Quantum** 
 (MDQ) division develops and delivers advanced Artificial Intelligence (AI), cloud capabilities, and strategic infrastructure to help solve the world’s major challenges. From accelerated scientific discovery through AI, to breakthroughs in quantum computing, to unique AI and edge platforms for bio\-intelligence and biosecurity, and to advanced robotics and AI capabilities to accelerate positive impact in the physical world, joining MDQ means building the future, partnering with government, and working in an exhilarating impact\-focused environment.
 MDQ’s
 **Discovery Labs** 
 brings together researchers, advanced AI systems, and high\-impact science partners to transform how science is done. We build and deploy novel AI systems that operate across the full scientific lifecycle, from early hypothesis generation to data generation in complex real‑world environments and laboratories to translation of novel discoveries into products, spanning the biological, chemical, and material science domains.
 As an
 **Applied Scientist in Discovery Labs** 
 , you will help design and build
 **new AI systems for biological discovery** 
 , working at the intersection of large language models, agentic workflows, autonomous systems, and applied biological sciences. You will contribute to platforms that autonomously generate multi\-modal biological data and analyze structured and unstructured data to produce actionable scientific insights. You will contribute to critical research on the biosecurity and trustworthiness of these AI systems. This role focuses on translating cutting‑edge research into real‑world impact, supporting scientists, engineers, and partners in solving some of the world’s most complex biological challenges.
 Microsoft’s mission is to empower every person and every organization on the planet to achieve more. In Discovery Labs, that mission extends to empowering the scientific community with AI systems that accelerate discovery, improve health and biosecurity, and deepen our understanding of the living world.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and mission every day.
**Responsibilities**
* Establish and maintain collaborative relationships with relevant research, product, and business groups within and outside of Microsoft, providing expertise or technology to drive meaningful business impact.
* Apply research efforts to solve immediate product needs by bridging the gap between researchers and development teams.
* Serve as a domain specialist on a wide range of industry and market trends, sharing knowledge of emerging products and applied research areas to guide business decisions and empower product teams.
* Regularly review product requirements, selecting and integrating the most effective research\-based solutions to meet or exceed business objectives.
* Provide mentorship to less experienced team members, sharing insights, onboarding support, and technical guidance that fosters collaboration and nurtures future talent.
* Document ongoing research, experimentation outcomes, and future plans, sharing findings internally and externally.
* Embody Microsoft’s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2\+ years of experience applying statistics, data science, or bioinformatics skills in academic biological research settings, clinical settings, or in the pharmaceutical industry.
* 2\+ years of experience authoring peer\-reviewed publications, summaries of research outcomes to senior leadership and key stakeholders, or technical documents used by decision makers and engineering teams.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
      <c r="A30" t="inlineStr">
        <is>
          <t>li-4371849553</t>
        </is>
      </c>
      <c r="B30" t="inlineStr">
        <is>
          <t>Principal Applied Scientist</t>
        </is>
      </c>
      <c r="C30" t="inlineStr">
        <is>
          <t>Microsoft</t>
        </is>
      </c>
      <c r="D30" t="inlineStr">
        <is>
          <t>linkedin</t>
        </is>
      </c>
      <c r="E30" t="inlineStr"/>
      <c r="F30" t="inlineStr"/>
      <c r="G30" t="inlineStr">
        <is>
          <t>Redmond, WA</t>
        </is>
      </c>
      <c r="H30" t="inlineStr"/>
      <c r="I30"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It is an incredible time for AI initiatives at Microsoft. We're pushing the boundaries of AI and Machine Learning across multiple domains to advance Microsoft’s ambitious AI goals. Microsoft Copilot Studio is our comprehensive agent building platform that lets its customers create conversational and autonomous agents using natural language or a graphical interface. Copilot Studio makes it simple to design, test, and deploy solutions tailored to its customers’ industry, company, department, or role, whether they need agents for internal or external use cases.
 The Microsoft Copilot Studio Applied Science and Research organization seeks a seasoned
 **Principal Applied Scientist** 
 , a machine learning engineer to contribute to the development and integration of cutting\-edge AI technologies into Microsoft Copilot Studio, ensuring they are inclusive, ethical, and impactful.
 You will collaborate across product, design, research and engineering teams to bring innovative solutions to life, applying your expertise in machine learning, data science, and software engineering to solve complex problems. Your work will directly influence product quality and customer experiences.
 This role will combine machine learning and AI knowledge with software engineering expertise, while demonstrating a growth mindset and customer empathy. Join us in shaping the future of AI agents.
 You will play a crucial role in developing the Copilot Studio Applied Science and Research team’s direction in machine learning, Generative AI model fine\-tuning, Agent creation and deployment, AI evaluation and scaling.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experiment with AI architectures for improving Large Language Models (LLM) inference systems. This includes design patterns pertaining, but not limited to, Retrieval Agumented Generation (RAG), Context Engineering, Multi\-Agent architectures, tool design etc.
* Develop robust evaluation frameworks to assess model performance, monitor model behavior, conduct systematic benchmarking, and address identified weaknesses while ensuring compliance with customer standards.
* Build and maintain internal tools to streamline model fine\-tuning and evaluation workflows and automate repetitive tasks within secure development environments.
* Prepare and analyze data for machine learning, identifying optimal features and addressing data gaps.
* Implement machine learning algorithms, large\-scale model fine\-tuning, especially with closed and open source LLMs, Small Language Models (SLMs), multimodal or task\-specific models to solve real\-world customer problems and deliver measurable product and customer impact.
* Contribute to or enhance existing innovations by continuously refining well\-established models and training techniques through iterative improvements.
* Write efficient, high quality production code and debug complex distributed systems.
* Provide deep subject matter expertise in AI subfields (e.g., deep learning, Generative AI, Natural Language Processing(NLP), muti\-modal models, reinforcement learning) to help translate cutting\-edge research into practical, real\-world solutions that drive product innovation and business impact.
* Demonstrate deep understanding of small and large language models (SLMs and LLMs) architecture and optimization techniques to adapt out\-of\-the\-box solutions to particular business problems.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Statistics, Electrical/Computer Engineering, Physics, Mathematics or related field AND 9\+ years of experience in AI/ML, predictive analytics, software engineering or research
+ OR Master’s degree AND 7\+ years of relevant experience
+ OR PhD AND 5\+ year of relevant experience
+ OR equivalent experience
* Experience with MLOps Workflows, including CI/CD, monitoring, and retraining pipelines.
* Familiarity with modern LLMOps frameworks (e.g., LangChain, PromptFlow).
* Familiar with AI coding assistant, AI IDE, Agentic coding assistant such as GitHub Copilot, and Cursor.
* 3\+ years of experience conducting applied AI or NLP research in academic or industry settings.
* 3\+ year of experience developing and deploying live production systems or AI services.
* 2\+ years of experience working with Generative AI or large\-scale deep learning models and ML stacks.
* Experience across the product lifecycle from ideation to shipping.
 \#BICJOBS
 \#MCSJobs
 \#CopilotStudio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
      <c r="A31" t="inlineStr">
        <is>
          <t>li-4372104202</t>
        </is>
      </c>
      <c r="B31" t="inlineStr">
        <is>
          <t>Data Scientist</t>
        </is>
      </c>
      <c r="C31" t="inlineStr">
        <is>
          <t>Zillow</t>
        </is>
      </c>
      <c r="D31" t="inlineStr">
        <is>
          <t>linkedin</t>
        </is>
      </c>
      <c r="E31">
        <f>HYPERLINK("https://www.linkedin.com/jobs/view/4372104202", "https://www.linkedin.com/jobs/view/4372104202")</f>
        <v/>
      </c>
      <c r="F31">
        <f>HYPERLINK("https://www.wiraa.com/job-description/us8697D91B072C70B41D8810A2E1747BFA?source=Linkedin&amp;urlHash=BRrP", "https://www.wiraa.com/job-description/us8697D91B072C70B41D8810A2E1747BFA?source=Linkedin&amp;urlHash=BRrP")</f>
        <v/>
      </c>
      <c r="G31" t="inlineStr"/>
      <c r="H31" t="inlineStr"/>
      <c r="I31" t="inlineStr">
        <is>
          <t>**About The Company**
 Zillow Group is a leading real estate marketplace dedicated to empowering individuals to navigate the housing market with confidence. Renowned for its innovative approach, Zillow provides comprehensive tools and resources to assist users in buying, selling, financing, and renting properties. As the most\-visited real estate platform in the United States, Zillow is committed to transforming the industry through technology, data\-driven insights, and an inclusive culture. Recognized among the FORTUNE 100 Best Companies to Work For® and the PEOPLE Companies That Care® list, Zillow fosters an environment where employees are encouraged to grow, innovate, and make a meaningful impact. The company values diversity, inclusion, and equal opportunity, ensuring that all employees can thrive regardless of background or identity.
**About The Role**
 The Principal Data Scientist role at Zillow Group is a strategic and influential position within the Rentals Marketplace Ads team. This team is focused on analyzing and optimizing Zillow's Rentals product performance by leveraging large\-scale data analysis, measurement, and insights. As a key member of the Rentals Marketplace Ads team, you will work closely with product, strategy, engineering, sales, and marketing teams to support the growth of Zillow’s rentals marketplace. Your primary responsibility will be to uncover deep insights from complex datasets, identify trends, and develop data\-driven strategies to enhance user experience and marketplace performance. You will also mentor junior data scientists, collaborate across functions, and communicate findings effectively to stakeholders. The role offers a remote working arrangement, providing flexibility to operate from any location within the United States, subject to company policies. The position is highly impactful, directly influencing product initiatives, market strategies, and business growth in a competitive landscape.
**Qualifications**
* Ph.D. or Master’s degree in a quantitative field such as science, engineering, economics, finance, operations research, statistics, or related disciplines.
* Minimum of 8 years of experience in quantitative data analysis, experimentation, and complex problem\-solving.
* Strong understanding of statistical concepts, measurement methods, A/B testing, causal inference, and time series analysis.
* Proficiency in SQL, Python, and Excel; experience with visualization tools such as Tableau, Databricks, or similar is preferred.
* Excellent verbal and written communication skills, with the ability to translate complex insights into clear, actionable recommendations.
* Experience working cross\-functionally with product, engineering, marketing, and strategy teams.
* Keen understanding of online products and digital marketplaces.
* Ability to influence stakeholders and set realistic, data\-driven goals.
**Responsibilities**
* Analyze and interpret large, complex datasets to identify trends, patterns, and insights that support the growth and optimization of Zillow’s rentals ecosystem.
* Collaborate with product stakeholders to define key metrics, goals, and objectives, and develop strategies based on data insights.
* Design and execute experiments, including causal inference techniques and innovative experimental designs, to evaluate new features and pilot programs.
* Mentor and coach junior team members, providing guidance on analytic requests, code reviews, and best practices.
* Work closely with cross\-functional teams such as product, marketing, engineering, and corporate strategy to surface relevant insights for decision\-making.
* Partner with data engineering teams to design, develop, and optimize data pipelines and workflows supporting efficient data collection, storage, and processing.
* Communicate complex analytical findings clearly and effectively to diverse audiences, translating technical concepts into practical business actions.
* Utilize internal and third\-party data sources, including Databricks, Snowflake, and Big Data platforms, to develop solutions that accelerate business growth and improve decision\-making processes.
**Benefits**
* Competitive salary commensurate with experience and location.
* Eligibility for equity awards based on performance, experience, and geographic location.
* Flexible remote work arrangements, allowing employees to work from any approved location within the United States.
* Comprehensive health, dental, and vision insurance plans.
* Generous paid time off and holidays.
* Professional development opportunities and continuous learning programs.
* Inclusive and diverse work environment that fosters innovation and collaboration.
* Access to cutting\-edge tools and technologies to support your work.
 Equal Opportunity
 Zillow Group is an equal opportunity employer committed to fostering an inclusive and diverse environment. We do not discriminate based on race, color, religion, sex, national origin, sexual orientation, gender identity, age, disability, veteran status, or any other protected characteristic. We are dedicated to providing reasonable accommodations for qualified applicants with disabilities or special needs. Qualified applicants with arrest or conviction records will be considered in accordance with applicable laws and regulations. We believe that diversity and inclusion are essential to our success and strive to create a workplace where everyone can thrive.</t>
        </is>
      </c>
    </row>
    <row r="32">
      <c r="A32" t="inlineStr">
        <is>
          <t>li-4371556780</t>
        </is>
      </c>
      <c r="B32" t="inlineStr">
        <is>
          <t>Data Scientist - Strategic Data Solutions</t>
        </is>
      </c>
      <c r="C32" t="inlineStr">
        <is>
          <t>Apple</t>
        </is>
      </c>
      <c r="D32" t="inlineStr">
        <is>
          <t>linkedin</t>
        </is>
      </c>
      <c r="E32">
        <f>HYPERLINK("https://www.linkedin.com/jobs/view/4371556780", "https://www.linkedin.com/jobs/view/4371556780")</f>
        <v/>
      </c>
      <c r="F32" t="inlineStr"/>
      <c r="G32" t="inlineStr">
        <is>
          <t>Austin, TX</t>
        </is>
      </c>
      <c r="H32" t="inlineStr"/>
      <c r="I32" t="inlineStr">
        <is>
          <t>**Summary**
 Apple’s Strategic Data Solutions (SDS) team leads efforts to mitigate monetary losses, optimize various business processes, and improve the customer journey across our online and retail stores! Our team applies data science and machine learning to drive strategic impact across multiple lines of business at Apple. We are looking for an outstanding analyst who is interested in working closely with our Apple Online Store (AOS) partner teams; understanding their processes and analytic needs; and developing technical solutions along the way. They will sit side\-by\-side with our data scientists and analyze complex business problems, have access to internal and external data sources, and be expected to communicate relevant insights to senior leadership and key decision\-makers. The ideal candidate works well in collaborative environments with minimal formal structure and is comfortable in uncertain environments with competing priorities. They must possess proven business acumen, a strong quantitative / technical background, natural curiosity, and the ability to effectively shift between communications styles based on the audience (technical peer review through leadership update).
**Description**
* Support discovery of business problems
* Manage program performance metrics
* Perform data discovery and create proof of concepts
* Perform ad\-hoc and reoccurring statistical analyses
* Work with data warehouse architects and software developers to generate seamless business intelligence solutions for business partners
* Present results of analyses to business units and executive leadership
**Minimum Qualifications**
* BS / MS in technical field (math, statistics, engineering, computer science, analytics, or similar) preferred
* At least 3 years experience working as a data/business analyst, auditor, or related role
* Competent with SQL, big data systems and tools. Ability to do statistical analysis in any one of these languages: Python, R, Java, etc.
* Experience applying analytical techniques to provide solutions to real business problems
**Preferred Qualifications**
* Competent with Tableau
* Experience providing business intelligence to drive better decision\-making
* Experience eliciting business requirements and executive metrics
* Experience building executive level business cases and project plans
* Strong interpersonal skills with ability to connect and develop strong partnerships
* Creativity to go beyond current tools to deliver best solution to the problem
* Inquisitiveness and a desire for continued self\-improvement and development of new skills
* Comfort working independently and making key decisions on projects
* Ability to tell meaningful stories with data
* Strong verbal / written communication skills
* Any experience with Python is preferred
* Any experience working in fraud (retail, payments, shipping, identity, etc.) is a bonus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3">
      <c r="A33" t="inlineStr">
        <is>
          <t>li-4372177861</t>
        </is>
      </c>
      <c r="B33" t="inlineStr">
        <is>
          <t>Data Scientist</t>
        </is>
      </c>
      <c r="C33" t="inlineStr">
        <is>
          <t>Skyworks Solutions, Inc.</t>
        </is>
      </c>
      <c r="D33" t="inlineStr">
        <is>
          <t>linkedin</t>
        </is>
      </c>
      <c r="E33">
        <f>HYPERLINK("https://www.linkedin.com/jobs/view/4372177861", "https://www.linkedin.com/jobs/view/4372177861")</f>
        <v/>
      </c>
      <c r="F33" t="inlineStr"/>
      <c r="G33" t="inlineStr">
        <is>
          <t>Irvine, CA</t>
        </is>
      </c>
      <c r="H33" t="inlineStr"/>
      <c r="I33"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75764
**Description**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 Stay up\-to\-date with current trends in ML, especially those relevant to semiconductor, signal processing, or high\-dimensional time\-series data.
**Required Experience And Skills**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The typical base pay range for this role across the U.S. is currently USD $91,200 \- $177,200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34">
      <c r="A34" t="inlineStr">
        <is>
          <t>li-4364430153</t>
        </is>
      </c>
      <c r="B34" t="inlineStr">
        <is>
          <t>Data Scientist, Product Analytics</t>
        </is>
      </c>
      <c r="C34" t="inlineStr">
        <is>
          <t>Meta</t>
        </is>
      </c>
      <c r="D34" t="inlineStr">
        <is>
          <t>linkedin</t>
        </is>
      </c>
      <c r="E34">
        <f>HYPERLINK("https://www.linkedin.com/jobs/view/4364430153", "https://www.linkedin.com/jobs/view/4364430153")</f>
        <v/>
      </c>
      <c r="F34" t="inlineStr"/>
      <c r="G34" t="inlineStr">
        <is>
          <t>Chicago, IL</t>
        </is>
      </c>
      <c r="H34" t="inlineStr"/>
      <c r="I3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5">
      <c r="A35" t="inlineStr">
        <is>
          <t>li-4372184754</t>
        </is>
      </c>
      <c r="B35" t="inlineStr">
        <is>
          <t>Data Scientist</t>
        </is>
      </c>
      <c r="C35" t="inlineStr">
        <is>
          <t>Skyworks Solutions, Inc.</t>
        </is>
      </c>
      <c r="D35" t="inlineStr">
        <is>
          <t>linkedin</t>
        </is>
      </c>
      <c r="E35">
        <f>HYPERLINK("https://www.linkedin.com/jobs/view/4372184754", "https://www.linkedin.com/jobs/view/4372184754")</f>
        <v/>
      </c>
      <c r="F35" t="inlineStr"/>
      <c r="G35" t="inlineStr">
        <is>
          <t>Irvine, CA</t>
        </is>
      </c>
      <c r="H35" t="inlineStr"/>
      <c r="I35"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76982
**Description**
 Skyworks Solutions is seeking an early\-career Data Scientist to join our Data Analytics \&amp; AI Enablement team in Irvine, CA. In this role, you’ll apply machine learning, statistics, and data engineering fundamentals to real\-world problems across analog/RF design, test, and manufacturing. You’ll collaborate with experienced data scientists and engineers to build models, develop analytics, and create tools that drive measurable impact, such as improving yield and quality, detecting anomalies, and accelerating design workflows.
 This role is ideal for candidates with 2\-4 years of experience who are eager to learn, ship production\-quality work, and grow in a highly technical, supportive environment.
**Responsibilities**
* Contribute to predictive analytics for yield, quality, and reliability improvements.
* Build and evaluate models for anomaly detection, signal classification, and regression/forecasting on time\-series and high\-dimensional data.
* Prototype to production: help prepare features, training data, baselines, metrics, and documentation; assist with deployment and monitoring under guidance.
* Partner with domain experts (RF/design/product/manufacturing) to translate business problems into data/ML solutions.
**Required Experience And Skills**
* Education \&amp; Experience (one of the following):
 Master’s degree (MS/MA/MEng) in Data Science, Computer Science, Electrical Engineering, Statistics, Applied Math, or a related field with ≥1 year of relevant experience (industry or research).
 Bachelor’s degree (BS/BA) in a related field with ≥5 years of relevant professional experience.
* Proficiency in Python and core data/ML libraries: pandas, NumPy, scikit\-learn; experience with Jupyter and Git.
* Solid understanding of statistics, model evaluation (e.g., cross\-validation, calibration, ROC/PR), and feature engineering.
* Ability to work with structured and semi\-structured data, write clean, reproducible code, and explain findings to non\-DS stakeholders. Strong communication, curiosity, and a collaborative mindset.
**Desired Experience And Skills**
* Exposure to deep learning frameworks (PyTorch or TensorFlow) for time\-series, signals, or tabular tasks.
* Basic familiarity with SQL, data pipelines, and ML workflow tools (e.g., MLflow, Airflow, DVC).
* Understanding of semiconductor/RF or electronics concepts (e.g., device/circuit behavior, test data, signal integrity). not required but a plus.
* Experience handling large datasets (e.g., waveform/sensor data, EDA outputs) and optimizing performance.
* Full‑stack development experience is preferred, such as building internal data/ML tools or dashboards (e.g., FastAPI/Flask, React/Vue, RESTful APIs), integrating models into services, and using Docker and basic CI/CD.
* Experience with cloud platforms (Azure/AWS/GCP) is beneficial.
 The typical base pay range for this role across the U.S. is currently USD $91,200 \- $177,200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36">
      <c r="A36" t="inlineStr">
        <is>
          <t>li-4372210730</t>
        </is>
      </c>
      <c r="B36" t="inlineStr">
        <is>
          <t>Data Scientist</t>
        </is>
      </c>
      <c r="C36" t="inlineStr">
        <is>
          <t>Pathpoint</t>
        </is>
      </c>
      <c r="D36" t="inlineStr">
        <is>
          <t>linkedin</t>
        </is>
      </c>
      <c r="E36">
        <f>HYPERLINK("https://www.linkedin.com/jobs/view/4372210730", "https://www.linkedin.com/jobs/view/4372210730")</f>
        <v/>
      </c>
      <c r="F36">
        <f>HYPERLINK("https://jobs.lever.co/pathpoint/fde294ee-399e-480a-a1d6-c078720c00aa/apply?lever-source=LinkedIn&amp;urlHash=L8JV", "https://jobs.lever.co/pathpoint/fde294ee-399e-480a-a1d6-c078720c00aa/apply?lever-source=LinkedIn&amp;urlHash=L8JV")</f>
        <v/>
      </c>
      <c r="G36" t="inlineStr"/>
      <c r="H36" t="inlineStr"/>
      <c r="I36" t="inlineStr">
        <is>
          <t>Pathpoint is building the modern distribution infrastructure for the $120B E\&amp;S insurance market. Today, more than 20% of commercial insurance business is placed into the E\&amp;S market, yet agents, brokers, and carriers rely on analog, inefficient, and imprecise systems, paperwork, and tools in order to transact. Pathpoint is the only wholesale distribution platform that uses technology to connect carriers and agents around the country, streamlining and automating submissions, underwriting, binding, compliance, payments, and service more through technology and people. All brought to you by a team committed to raising the bar in E\&amp;S insurance. (Learn more)
 As a data scientist at Pathpoint, you will leverage our data for actionable insights to improve our ability to move faster and more often with higher quality, data\-driven decision making. You will become the go\-to expert who understands our products and customers deeply and can translate their business needs into efficient, analytical execution. And as our team's dedicated data scientist, you'll have the opportunity to shape the direction of our small but highly impactful Data function.
**What we look for:**
* 2\-5 years of experience as a data scientist in a related insurtech or financial services field
* Bachelor’s degree in a quantitative field (e.g., Mathematics, Statistics, Data Science, Computer Science)
* Expert with SQL and proficiency with either Python or R
* Proficiency with descriptive and inferential statistics
* Familiarity with building, deploying, and maintaining machine learning models in production environments
* Comfortable communicating recommendations and analysis in compelling data visualizations
* Experience or interest in building out the team's agentic analytics capabilities
**What you'll do:**
* Collaborate across Sales, Underwriting, Operations, Finance, and Engineering to understand business needs and scope data requirements, then drive those projects to completion with minimal guidance
* Work with product, insurance, CRM and more datasets end\-to\-end\-\-from ingestion and transformation through analysis and delivery\-\-using a range of analytical and statistical approaches
* Build and maintain models that help the business predict, prioritize, and act quickly and more frequently
* Create visualizations, dashboards, and reports to effectively communicate insights tailored to different audiences
**Data team stack:**
* Cloud Services: AWS
* Databases: Postgres, Redshift
* ETL: Polytomic
* Transformation and Modeling: dbt
* Analytics: Hex, Metabase
* AI \&amp; Dev: Claude, Cursor
* Version Control: GitHub
**What we offer:**
* Insurance coverage fit for an insurance company – with some plans at no cost to you
* Competitive compensation, equity, and total rewards
* 401(k) with an annual company match
* 20\-days of PTO (increased to 25\-days after 2\-years)
* Professional development opportunities
* Remote\-first working environment with investments in in\-person collaboration
* Annual $500 home office stipend
* Monthly WiFi stipend
* Generous paid parental leave
* An early stage, tech\-enabled insurance startup offering unique opportunities for growth
**Pathpoint's Values:**
**Hard Problems Drive Us** 
 : We believe the insurance industry hasn’t kept up with changing times and fixing that is a hard problem worth solving.
**We Start with Why** 
 : Seek to understand what customers care about. Use data to figure out the problem.
**We Take Ownership and Accountability** 
 : We think people are their happiest when they have high ownership and are empowered to move decisively to work on problems.
**We Work Together** 
 : Effective teamwork is how we build and maintain customer value.
**We Move Forward** 
 : We value the ability to persist through adversity to achieve goals and believe momentum plays an important role.
 Pathpoint is an equal opportunity employer that values diversity, inclusion, and belonging. We do not discriminate on the basis of race, religion, color, national origin, gender, sexual orientation, age, marital status, veteran status, or disability status.
**Note:** 
 We are unable to provide visa sponsorship for this position at this time. By applying to this job, you confirm that you are eligible to work in the U.S. without requiring visa sponsorship now or in the future. Thank you for your understanding.
*Don’t meet every single requirement? Studies have shown that women and people of color are less likely to apply to jobs unless they meet every single qualification. At Pathpoint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
      <c r="A37" t="inlineStr">
        <is>
          <t>li-4371578161</t>
        </is>
      </c>
      <c r="B37" t="inlineStr">
        <is>
          <t>Research Data Scientist | Remote</t>
        </is>
      </c>
      <c r="C37" t="inlineStr">
        <is>
          <t>Crossing Hurdles</t>
        </is>
      </c>
      <c r="D37" t="inlineStr">
        <is>
          <t>linkedin</t>
        </is>
      </c>
      <c r="E37">
        <f>HYPERLINK("https://www.linkedin.com/jobs/view/4371578161", "https://www.linkedin.com/jobs/view/4371578161")</f>
        <v/>
      </c>
      <c r="F37" t="inlineStr"/>
      <c r="G37" t="inlineStr">
        <is>
          <t>New York, NY</t>
        </is>
      </c>
      <c r="H37" t="inlineStr"/>
      <c r="I37" t="inlineStr">
        <is>
          <t>**Position:** 
 Data Scientist IV
**Type:** 
 Full\-time
**Compensation:** 
 $80 – $110/hour
**Location:** 
 New York, NY, USA (Onsite)
**Commitment:** 
 Full\-time
**Role Responsibilities** 
* Execute, debug, and optimize distributed compute workflows for metric computation, analysis, and modeling across large and high\-dimensional datasets.
* Apply advanced statistics, machine learning, programming, data modeling, simulation, and mathematical techniques to identify patterns, generate insights, and support biosensor product development.
* Design, develop, and evaluate predictive models and advanced algorithms to maximize value extraction from biosensor and sensor\-based datasets.
* Generate, test, and analyze hypotheses through structured experimentation and interpret results to guide product and R\&amp;D decisions.
* Collaborate closely with engineering teams to translate analytical prototypes into scalable products, services, and features.
* Provide analytical guidance and recommendations for large\-scale implementation of data\-driven solutions.
* Leverage data visualization and exploratory analysis to inform strategic decisions around future biosensing research and development directions.
* Support continuous improvement of data pipelines, modeling approaches, and analytical methodologies.
**Requirements** 
* Master’s or PhD degree in Computer Science, Statistics, Neuroscience, Biomedical Engineering, or a closely related field.
* Strong experience working with large\-scale, real\-world datasets, particularly sensor or biosensor data.
* Hands\-on experience with signal processing in time\-domain signals and/or medical imaging systems.
* Strong experience of performing data extraction, manipulation, modeling, and visualization using Python, R, MATLAB, or SQL.
* Proficiency in data structures, algorithms, and scientific computing methodologies.
* Experience with scientific computing and machine learning libraries such as NumPy, SciPy, Pandas, Scikit\-learn, dplyr, and caret.
* Experience with data visualization libraries including Matplotlib, Pyplot, seaborn, or ggplot2\.
* Strong ability to present statistical and machine learning findings to both technical and non\-technical audiences.
* Excellent analytical, problem\-solving, and collaboration skills.
**Application Process** 
* Upload resume
* Interview (15–30 min)
* Submit form</t>
        </is>
      </c>
    </row>
    <row r="38">
      <c r="A38" t="inlineStr">
        <is>
          <t>li-4372205716</t>
        </is>
      </c>
      <c r="B38" t="inlineStr">
        <is>
          <t>Data Scientist I</t>
        </is>
      </c>
      <c r="C38" t="inlineStr">
        <is>
          <t>Worldpay</t>
        </is>
      </c>
      <c r="D38" t="inlineStr">
        <is>
          <t>linkedin</t>
        </is>
      </c>
      <c r="E38">
        <f>HYPERLINK("https://www.linkedin.com/jobs/view/4372205716", "https://www.linkedin.com/jobs/view/4372205716")</f>
        <v/>
      </c>
      <c r="F38" t="inlineStr"/>
      <c r="G38" t="inlineStr">
        <is>
          <t>Boston, MA</t>
        </is>
      </c>
      <c r="H38" t="inlineStr"/>
      <c r="I38" t="inlineStr">
        <is>
          <t>**Job Description**
**Are you ready to write your next chapter?**
 Make your mark at one of the biggest names in payments. We’re looking for a Data Scientist to join our ever evolving team and help us unleash the potential of every business.
**What You’ll Own As The Data Scientist**
* Analyze and extract insights from internal and external data.
* Employ machine learning and statistical modeling to create and enhance data\-driven products.
* Work with Big Data and transform complex datasets into more usable formats.
* Utilize a variety of data science tools and programming languages such as Python, R, and SQL.
* Work independently and collaborate with other groups to solve complex problems.
* Create and present analyses to internal and external partners and clients.
* Document models and write code to track and monitor models and product performance.
* Make pragmatic and business\-aware choices when trading off sophistication and accuracy versus implementation and performance costs.
* Participate in project planning sessions, analyze requirements, and provide design recommendations for complex analytical systems.
* Other related duties as assigned.
**What You’ll Bring**
* Degree in Data Science, Statistics, Decision Sciences, Applied Mathematics, Economics, Computer Science, or an equivalent combination of education, training, and work experience.
* Knowledge in machine learning, artificial intelligence, statistical modeling, data visualization, and data analysis.
* Proficient in data science tools and programming languages such as Python, R, and SQL.
* Experience or knowledge of cloud\-based technology.
* Ability to collaborate with others and solve complex problems.
* Outstanding verbal and written communication skills to technical and non\-technical audiences at all levels.
* Excellent analytical, decision\-making, problem\-solving, team, and time management skills.
* Positive outlook, strong work ethic, and responsiveness to internal and external clients and contacts.
**About The Team**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Worldpay is dedicated to offering individuals rewarding career opportunities and competitive compensation. For this full\-time position, the good faith estimated annual salary range upon hire is $101,100\.00\-$152,550\.00\.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39">
      <c r="A39" t="inlineStr">
        <is>
          <t>li-4372206426</t>
        </is>
      </c>
      <c r="B39" t="inlineStr">
        <is>
          <t>Applied Data Scientist</t>
        </is>
      </c>
      <c r="C39" t="inlineStr">
        <is>
          <t>Cresta</t>
        </is>
      </c>
      <c r="D39" t="inlineStr">
        <is>
          <t>linkedin</t>
        </is>
      </c>
      <c r="E39">
        <f>HYPERLINK("https://www.linkedin.com/jobs/view/4372206426", "https://www.linkedin.com/jobs/view/4372206426")</f>
        <v/>
      </c>
      <c r="F39" t="inlineStr"/>
      <c r="G39" t="inlineStr"/>
      <c r="H39" t="inlineStr"/>
      <c r="I39"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
 Join us on this thrilling journey to revolutionize the workforce with AI. The future of work is here, and it's at Cresta.
**About The Role**
 As an
 **Applied Data Scientist** 
 on our
 **Insights** 
 team, you will help pioneer the next generation of Cresta features that power how enterprises understand and optimize every customer interaction. You’ll partner directly with Product Managers, Machine Learning Engineers, other Data Scientists, and a set of strategic design\-partner customers to solve their biggest challenges.
 If you love working from first principles in a rapid iteration loop with customers \- this is your chance to have an outsized impact on the customer experience industry.
**What You’ll Do**
- Co\-develop new capabilities with a small number of high\-impact enterprise customers along with our product, engineering, and design teams; using their real workflows and constraints as your testbed
- Communicate effectively across all levels of the organization
- Plan and run short, focused design\-partner engagements (days to weeks) where you ship early versions, collect structured feedback, and iterate quickly
- Generalize learnings from each design partner into reusable, productized capabilities rather than one\-off bespoke models
 Partner with domain experts to curate high\-quality eval guidelines and datasets for domains such as CSAT prediction and outcome prediction (across both humanhuman and humanAI interactions)
 - Use the best tools \+ models for the job (simple and interpretable where it matters, sophisticated where it can drive outsized value
- Write clear specs and experiment reports that make tradeoffs and assumptions explicit
- Stay close to the research frontier in ML/AI, LLMs, and evals, translating promising ideas into pragmatic, shippable improvements
- Where applicable, help translate your solutions into publications, whitepapers, technical blogs, etc.
**What We’re Looking For**
* 3\+ years building and shipping models for real\-world business applications, ideally in NLP and LLM\-based systems
* Strong proficiency in Python and standard ML / data tooling (e.g., SQL, data pipelines, experiment frameworks)
* World\-class first principles thinking and ML intuition
* Ability to turn ambiguous product asks into crisp problem statements, eval specs, metrics, and hypotheses
* Experience working directly with customers or internal stakeholders to understand constraints, explain tradeoffs, and iterate on solutions
* Comfort working with design\-partner style engagements where requirements evolve rapidly and you’re expected to co\-create the solution
* Track record of building evaluation suites that go beyond single scalar metrics to capture reliability, safety, and qualitative user experience
* Strong written and verbal communication skills; able to clearly explain complex technical work to both engineers and non\-technical partners
**Bonus Points**
* Experience building ML or analytics systems for customer experience, contact centers, or enterprise SaaS
* Prior work on analytics / insights products (e.g., deep research systems, anomaly detection, customer experience analytics, voice of customer)
* Published work at ML / NLP conferences
**Perks \&amp; Benefits**
 We offer a comprehensive and people\-first benefits package to support you at work and in life:
* Comprehensive medical, dental, and vision coverage with plans to fit you and your family
* Flexible PTO to take the time you need, when you need it
* Paid parental leave for all new parents welcoming a new child
* Retirement savings plan to help you plan for the future
* Remote work setup budget to help you create a productive home office
* Monthly wellness and communication stipend to keep you connected and balanced
* In\-office meal program and commuter benefits provided for onsite employees
**Compensation At Cresta**
 Cresta’s approach to compensation is simple: recognize impact, reward excellence, and invest in our people. We offer competitive, location\-based pay that reflects the market and what each individual brings to the table.
 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
**Salary Range** 
 : $150,000–$200,000 \&amp; Offers Equity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40">
      <c r="A40" t="inlineStr">
        <is>
          <t>li-4371584235</t>
        </is>
      </c>
      <c r="B40" t="inlineStr">
        <is>
          <t>Data Scientist, Online</t>
        </is>
      </c>
      <c r="C40" t="inlineStr">
        <is>
          <t>The Home Depot</t>
        </is>
      </c>
      <c r="D40" t="inlineStr">
        <is>
          <t>linkedin</t>
        </is>
      </c>
      <c r="E40">
        <f>HYPERLINK("https://www.linkedin.com/jobs/view/4371584235", "https://www.linkedin.com/jobs/view/4371584235")</f>
        <v/>
      </c>
      <c r="F40" t="inlineStr"/>
      <c r="G40" t="inlineStr">
        <is>
          <t>Atlanta, GA</t>
        </is>
      </c>
      <c r="H40" t="inlineStr"/>
      <c r="I40" t="inlineStr">
        <is>
          <t>Req167506
**Position Purpose**
 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Based on the specific data science team, this role would need to be knowledgeable in one or more data science specializations, such as optimization, computer vision, recommendation, search or NLP.
 As a Data Scientist, you will apply advanced analytics methods and algorithms for identifying trends and providing business solutions. This role is expected to present insights and recommendations to non\-technical audiences and explain the benefits and impacts of the recommended solutions. In addition, Data Scientists collaborate with business partners and cross\-functional teams, requiring effective communication skills, building relationships, and focus on understanding the overall business area being supported.
**Key Responsibilities**
* 55% Solution Development \- Design and develop algorithms and models to use against large datasets to create business insights; Participates in large data analytics project teams by serving as a technical lead for analytics projects; May lead small projects and work independently on solution development; Execute tasks with high levels of efficiency and quality; Make appropriate selection, utilization and interpretation of advanced analytical methodologies
* 20% Communicating Results \- Effectively communicate insights and recommendations to both technical and non\-technical leaders and business customers/partners; Present recommendations in a confident manner in order to influence execution of recommendation; Prepare reports, updates and/or presentations related to progress made on a project or solution; Clearly communicate impacts of recommendations to drive alignment and appropriate implementation
* 10% Business Collaboration \- Incorporate business knowledge into solution approach; Effectively develop trust and collaboration with internal customers and cross\-functional teams; Work with project teams and business partners to determine project goals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Build and maintain library of reusable algorithms for future use, ensuring developed codes are documented
**Direct Manager/Direct Reports**
* This position typically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Masters in a quantitative field (Computer Science, Math, Statistics, etc.) or equivalent work experience
* 4\+ years of experience in business intelligence and analytics
* Working knowledge of Microsoft Excel and Power Point
* Experience in a modern scripting language (preferably Python)
* Proficient running queries against data (preferably with Google BigQuery or SQL)
* Proficient with data visualization software (preferably Tableau)
* Proficient utilizing statistical techniques to identify key insights that help solve business problems
* Knowledgeable in Prescriptive Modeling like optimization, computer vision, recommendation, search or NLP
* Demonstrated experience in predictive modeling, data mining and data analysis
**Minimum Education**
* The knowledge, skills and abilities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Action Oriented: Taking on new opportunities and tough challenges with a sense of urgency, high energy, and enthusiasm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Customer Focus: Building strong customer relationships and delivering customer\-centric solutions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Plans and Aligns: Planning and prioritizing work to meet commitments aligned with organizational goals
* Self\-Development: Actively seeking new ways to grow and be challenged using both formal and informal development channels</t>
        </is>
      </c>
    </row>
    <row r="41">
      <c r="A41" t="inlineStr">
        <is>
          <t>li-4366201838</t>
        </is>
      </c>
      <c r="B41" t="inlineStr">
        <is>
          <t>Senior Data Scientist</t>
        </is>
      </c>
      <c r="C41" t="inlineStr">
        <is>
          <t>Forbright Bank</t>
        </is>
      </c>
      <c r="D41" t="inlineStr">
        <is>
          <t>linkedin</t>
        </is>
      </c>
      <c r="E41">
        <f>HYPERLINK("https://www.linkedin.com/jobs/view/4366201838", "https://www.linkedin.com/jobs/view/4366201838")</f>
        <v/>
      </c>
      <c r="F41" t="inlineStr"/>
      <c r="G41" t="inlineStr"/>
      <c r="H41" t="inlineStr"/>
      <c r="I41" t="inlineStr">
        <is>
          <t>**COMPANY DESCRIPTION:** 
 Forbright is a nationwide full\-service bank and commercial lender focused on helping to build a brighter future for our clients and the communities we serve. Forbright is committed to exceptional client service by providing seamless, innovative personal banking services to depositors and creative financing solutions to visionary middle market businesses and investors in healthcare, technology, financial services, real estate, and other industries.
**COMPANY CULTURE:** 
 We are a dynamic, high energy, fun, and fast\-paced organization that has an exciting growth trajectory, meaningful mission, and embedded responsible practices into our daily interactions. We offer our team members a culture of collaboration, inclusion, flexibility, recognition, and giving back. We look to hire individuals that are passionate about our mission, and who are motivated, customer and results\-oriented, innovative, adaptable, and thoughtful.
**COMPANY MISSION:** 
 We are a mission\-driven institution. We operate a sound dynamic institution that is well capitalized, liquid, profitable and uses best practices to manage risk and assure compliance with laws and regulations. We use Forbright’s capital, capabilities, innovation, and expertise to help our clients succeed and contribute broadly to building a brighter future.
**JOB SUMMARY:** 
 The Senior Data Scientist is responsible for serving as Forbright’s steward of advanced analytics for commercial lending, with end\-to\-end responsibility for developing, maintaining, and evolving data\-driven insights that inform portfolio strategy, risk management, and growth decisions. This role aids in moving the organization into predictive and forward\-looking analytics in areas such as loan profitability, portfolio yield, risk, payoffs, and future income outlook.
**DUTIES AND RESPONSIBILITIES:**
* Develop and implement advanced statistical and machine learning models to predict loan performance, borrower risk, prepayment likelihood, and renewal opportunities
* Partner with credit, portfolio management, and lending teams to identify high\-impact use cases for data\-driven solutions
* Automate data ingestion, transformation, and reporting processes to streamline analytics workflows
* Build dashboards and data visualizations that communicate insights effectively to executive and front\-line stakeholders
* Design and execute experiments and A/B tests to measure the effectiveness of lending strategies and risk policies
* Leverage R or Python for model development, statistical analysis, and data manipulation
* Work with structured and unstructured data, including loan files, collateral valuations, market data, and financial statements
* Stay informed on emerging AI techniques and assess their applicability to commercial lending and banking operations
* Mentor analysts and contribute to building a data\-driven culture within the Bank
* Perform other duties as assigned
**QUALIFICATIONS:**
* Bachelor’s Degree in Data Science, Statistics, Applied Mathematics, Computer Science, Economics, or a related quantitative field required; Master’s Degree preferred
* Minimum of 5 years of professional experience in data analytics, data science, or quantitative modeling required
* Direct experience in banking, with preference for commercial lending analytics
* Demonstrated ability to deliver predictive models and advanced analytics projects with measurable business impact
* Proficiency in Python or R for statistical modeling, data wrangling, and automation
* Experience with BI tools such as Power BI or Tableau for dashboard and visualization development
* Strong SQL skills for data extraction and transformation
* Familiarity with cloud\-based data environments (e.g., Azure, AWS, or GCP) preferred
* Hands\-on experience with large language models preferred
* Proficiency with Microsoft Office tools (Outlook, Word, PowerPoint, Excel)
* Excellent verbal, written, and interpersonal communication skills
* Strong organizational skills and attention to detail
* Outstanding problem\-solving and time management skills
* Self\-motivated, self\-directed, and results\-oriented
* Adaptable and able to multitask in a fast\-paced environment
* Can work independently and within a team; solution\-oriented with a collaborative approach
*The pay range for this position is below. The specific rate will depend on the successful candidate’s qualifications and prior experience. $145,000 (entry level qualifications) to $165,000 (highly experienced).*
**POSITION REQUIREMENTS:** 
 We are committed to creating an inclusive workplace where all employees are capable of performing their job position. Work is primarily conducted in an office setting while certain positions may allow for remote work through the use of technology at management discretion. The functions described below are representative of those to successfully perform duties of this job. Reasonable accommodations may be made to enable employees to perform the essential functions. While performing duties of this job, the employee may be regularly required for extended periods of time to:
* Remain in a stationary position
* Use hands and fingers
* Utilize a computer monitor with visual acuity
* Operate technology or other office machinery such as printers, scanners, etc
* Communicate clearly verbally and/or in writing with others
**ADDITIONAL DUTIES:** 
 For Forbright Bank to remain efficient and nimble as a growing organization, team members are expected to exhibit a high level of flexibility regarding any duties that may be situationally assigned outside of this job description.
**PERKS/BENEFITS:**
* Comprehensive health, dental, and vision plans
* 4 weeks PTO
* 401k \+ company match
* Metro SmartTrip benefits ($50/mo)
* Remote or hybrid work schedules for most positions
* Incentives for purchasing solar panels, electric vehicles, biking to work, etc
* Paid subscriptions to Veterans Compost, Capital Bikeshare, Imperfect Foods reimbursement, and more!
* Best Workplaces for Commuters 2023 \&amp; 2024 winner
* The Washington Post Top Workplaces 2023, 2024, and 2025 winner
* American Banker Best Banks to Work For 2023 winner
**CORE PRINCIPLES:**
* Excellence: Excellence is not a goal, but a standard, reflected in the precision of our work and the quality of our decisions. Excellence is a discipline that compounds over time and creates lasting value; it must be measured and managed
* People: Our people are our greatest strength. We foster a culture of respect, inclusion, and ambition \- where everyone matters. We celebrate collaboration and teamwork and prize loyalty \- to one another, the company, our mission, and values
* Innovation: We invest boldly in technology, harnessing innovation not for its own sake but to make banking and lending better, faster, and smarter for our clients, more efficient for our team, and more profitable for our shareholders. By combining human insight with technological excellence, we strengthen our ability to serve, to adapt, and to succeed in a changing world. Innovation is a continuous investment in new ideas
* Sound Practices: Our foundation rests on prudence, care, integrity, and discipline. We manage credit and business risk with rigor and fundamentals\-based judgment, act with transparency, and uphold the highest standards of corporate governance and regulatory compliance to ensure sustainable growth and enduring financial strength
* Distinct Value: We focus our energy where we add value. We avoid the commoditized and the ordinary, choosing to compete through insight, specialization, technology and service. By concentrating on areas where expertise matters and relationships endure, we create differentiation that is defensible and lasting
* Clients: We exist to advance our clients’ success and to help them grow. We listen deeply, think creatively, and deliver solutions that solve problems, drive impact and add value. Every client relationship is built on partnership, performance, and purpose
* Shareholders: We are committed to creating exceptional value for our shareholders. We invest for the long term and view our shareholders as partners – not observers \- in value creation. We allocate capital wisely, execute with precision, and continuously adapt our business model to pursue the most attractive, risk\-adjusted returns. We work to make rational decisions, avoid unnecessary complexity, maintain strong liquidity and capital, and communicate with clarity and honesty. We measure success both by current performance and by the durability and quality of the long\-term value we build
* Communities and the Environment: We believe prosperity and responsibility go hand in hand. We invest in inclusive opportunity and environmental stewardship. Our goal is simple \- to do our part build a brighter, more sustainable future for the communities we serve and the world we share
*It is the policy of Forbright Bank to provide equal employment opportunities to all qualified individuals and to administer all aspects and conditions of pre\-employment and employment without regard to protected characteristics.*
*Employment with Forbright Bank is at\-will, which means that either you or the Company may terminate the relationship at any time.*
 By applying, you acknowledge that you have reviewed our
 **CCPA Privacy Notice** 
 .
 We may use artificial intelligence (AI) tools to support parts of the hiring process, such as reviewing applications, analyzing resumes, assessing responses, and interview recording, transcription, and summarization. These tools assist our recruitment team but do not replace human judgment. Final hiring decisions are ultimately made by humans. If you would like more information about how your data is processed, please contact us.</t>
        </is>
      </c>
    </row>
    <row r="42">
      <c r="A42" t="inlineStr">
        <is>
          <t>li-4372115923</t>
        </is>
      </c>
      <c r="B42" t="inlineStr">
        <is>
          <t>Data Scientist</t>
        </is>
      </c>
      <c r="C42" t="inlineStr">
        <is>
          <t>Acumenz Consulting</t>
        </is>
      </c>
      <c r="D42" t="inlineStr">
        <is>
          <t>linkedin</t>
        </is>
      </c>
      <c r="E42">
        <f>HYPERLINK("https://www.linkedin.com/jobs/view/4372115923", "https://www.linkedin.com/jobs/view/4372115923")</f>
        <v/>
      </c>
      <c r="F42" t="inlineStr"/>
      <c r="G42" t="inlineStr">
        <is>
          <t>San Jose, CA</t>
        </is>
      </c>
      <c r="H42" t="inlineStr"/>
      <c r="I42" t="inlineStr">
        <is>
          <t>📍 San Jose, CA (Cupertino – Hybrid)
 We are looking for a
 **Data Scientist** 
 to join a high\-impact team supporting a leading enterprise client in Cupertino. This is a hybrid role requiring onsite presence Tuesday–Thursday.
**What You’ll Do:** 
* Work closely with business stakeholders to translate requirements into analytical solutions
* Perform data analysis using advanced SQL
* Build and implement basic machine learning models (Regression, Decision Trees, Clustering)
* Support data\-driven decision making across business teams
* Collaborate in a cross\-functional, business\-facing environment
**Required Skills:** 
* Strong proficiency in
 **SQL**
* Experience with
 **basic ML modeling** 
 (Regression, Decision Trees, Clustering)
* Business\-facing experience / stakeholder interaction
* Ability to work onsite in Cupertino 3 days/week
**Nice to Have:** 
* Experience with
 **PySpark**
* Consulting background is a plus
 If you’re a data\-driven problem solver who enjoys bridging analytics and business, we’d love to connect.
 📩 Interested? Send your resume or message me directly.</t>
        </is>
      </c>
    </row>
    <row r="43">
      <c r="A43" t="inlineStr">
        <is>
          <t>li-4372111053</t>
        </is>
      </c>
      <c r="B43" t="inlineStr">
        <is>
          <t>Data Scientist II</t>
        </is>
      </c>
      <c r="C43" t="inlineStr">
        <is>
          <t>Tempus AI</t>
        </is>
      </c>
      <c r="D43" t="inlineStr">
        <is>
          <t>linkedin</t>
        </is>
      </c>
      <c r="E43">
        <f>HYPERLINK("https://www.linkedin.com/jobs/view/4372111053", "https://www.linkedin.com/jobs/view/4372111053")</f>
        <v/>
      </c>
      <c r="F43" t="inlineStr"/>
      <c r="G43" t="inlineStr"/>
      <c r="H43" t="inlineStr"/>
      <c r="I43" t="inlineStr">
        <is>
          <t>**About The Company** 
 Tempus is a leading technology company dedicated to transforming healthcare through data\-driven insights and innovative analytical solutions. Our platform integrates vast amounts of clinical, genomic, and imaging data to enable researchers, clinicians, and life sciences companies to make more informed decisions. We are committed to advancing precision medicine by providing cutting\-edge tools that facilitate scientific discovery, improve patient outcomes, and accelerate drug development. With a collaborative and innovative environment, Tempus empowers its team members to push the boundaries of biomedical research and healthcare technology.
**About The Role** 
 We are seeking a highly skilled Scientific Data Analyst and Client Onboarding Specialist to join our team. In this role, you will serve as a vital link between our clients—primarily researchers and scientists—and our technical platform. Your primary responsibilities will include onboarding new clients, understanding their scientific hypotheses, translating their needs into platform workflows, and providing ongoing technical support. You will collaborate closely with cross\-functional teams, including Product, Engineering, and Data Science, to ensure the delivery of tailored solutions that meet client requirements. This position offers a unique opportunity to work at the intersection of science and technology, contributing directly to groundbreaking research and healthcare advancements.
**Qualifications** 
* Master’s or Ph.D. in Computational Biology, Bioinformatics, Genomics, Data Science, or related life sciences
* Proven experience analyzing large\-scale biomedical datasets (e.g., NGS data, clinical trial data, real\-world data)
* Hands\-on experience with analytical tools and programming languages, especially R (required), Python, and SQL
* Familiarity with cloud computing environments such as AWS or GCP
* Excellent written and verbal communication skills for client\-facing interactions
* Strong problem\-solving skills with a pragmatic approach to scientific and technical challenges
* Ability to work collaboratively in a fast\-paced team environment and adapt to shifting priorities
* Experience in biotech, pharma, or healthcare technology sectors (preferred)
* Knowledge of distributed computing environments and analytical platforms (preferred)
* Experience with oncology research or R package development (preferred)
* Proficiency with analytical tools such as Pandas, NumPy, SciPy, Scikit\-learn, Jupyter Notebooks, RStudio, and visualization libraries like ggplot, Plot.ly, and D3 (preferred)
**Responsibilities** 
* Lead the technical and scientific onboarding process for new clients, ensuring a seamless transition onto the Tempus Data Ecosystem and analytical platform
* Engage with clients, primarily researchers and scientists, to understand their specific scientific hypotheses and questions, such as biomarker discovery, target identification, and clinical trial design
* Translate client scientific needs into actionable steps within the Tempus platform, including designing workflows, structuring queries, and guiding complex data analysis
* Identify and implement technological solutions and workflow improvements to enhance the client experience, making platform interactions more intuitive and efficient
* Act as the voice of the client by collaborating with internal teams to prioritize features and resolve technical challenges
* Create high\-quality technical documentation, tutorials, and training materials to support clients in utilizing platform features effectively
* Provide ongoing technical support and training to clients, ensuring they maximize the platform’s capabilities for their scientific research
* Continuously seek feedback from clients to improve platform functionality and scientific workflows
**Benefits** 
* Competitive salary range of $80,000 \- $120,000 USD, depending on location and experience
* Additional compensation options, including incentive bonuses and restricted stock units
* Comprehensive health insurance plans, including medical, dental, and vision coverage
* Flexible work arrangements, including remote work opportunities
* Generous paid time off and holiday policies
* Professional development opportunities and ongoing training
* Inclusive and collaborative work environment that encourages innovation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or disability. We consider qualified applicants with arrest or conviction records in accordance with applicable laws, including the Los Angeles County Fair Chance Ordinance and the California Fair Chance Act.</t>
        </is>
      </c>
    </row>
    <row r="44">
      <c r="A44" t="inlineStr">
        <is>
          <t>li-4371563905</t>
        </is>
      </c>
      <c r="B44" t="inlineStr">
        <is>
          <t>Data Scientist IV | Remote</t>
        </is>
      </c>
      <c r="C44" t="inlineStr">
        <is>
          <t>Crossing Hurdles</t>
        </is>
      </c>
      <c r="D44" t="inlineStr">
        <is>
          <t>linkedin</t>
        </is>
      </c>
      <c r="E44">
        <f>HYPERLINK("https://www.linkedin.com/jobs/view/4371563905", "https://www.linkedin.com/jobs/view/4371563905")</f>
        <v/>
      </c>
      <c r="F44" t="inlineStr"/>
      <c r="G44" t="inlineStr">
        <is>
          <t>New York, NY</t>
        </is>
      </c>
      <c r="H44" t="inlineStr"/>
      <c r="I44" t="inlineStr">
        <is>
          <t>**Position:** 
 Data Scientist IV
**Type:** 
 Full\-time
**Compensation:** 
 $80 – $110/hour
**Location:** 
 New York, NY, USA (Onsite)
**Commitment:** 
 Full\-time
**Role Responsibilities** 
* Execute, debug, and optimize distributed compute workflows for metric computation, analysis, and modeling across large and high\-dimensional datasets.
* Apply advanced statistics, machine learning, programming, data modeling, simulation, and mathematical techniques to identify patterns, generate insights, and support biosensor product development.
* Design, develop, and evaluate predictive models and advanced algorithms to maximize value extraction from biosensor and sensor\-based datasets.
* Generate, test, and analyze hypotheses through structured experimentation and interpret results to guide product and R\&amp;D decisions.
* Collaborate closely with engineering teams to translate analytical prototypes into scalable products, services, and features.
* Provide analytical guidance and recommendations for large\-scale implementation of data\-driven solutions.
* Leverage data visualization and exploratory analysis to inform strategic decisions around future biosensing research and development directions.
* Support continuous improvement of data pipelines, modeling approaches, and analytical methodologies.
**Requirements** 
* Master’s or PhD degree in Computer Science, Statistics, Neuroscience, Biomedical Engineering, or a closely related field.
* Strong experience working with large\-scale, real\-world datasets, particularly sensor or biosensor data.
* Hands\-on experience with signal processing in time\-domain signals and/or medical imaging systems.
* Strong experience of performing data extraction, manipulation, modeling, and visualization using Python, R, MATLAB, or SQL.
* Proficiency in data structures, algorithms, and scientific computing methodologies.
* Experience with scientific computing and machine learning libraries such as NumPy, SciPy, Pandas, Scikit\-learn, dplyr, and caret.
* Experience with data visualization libraries including Matplotlib, Pyplot, seaborn, or ggplot2\.
* Strong ability to present statistical and machine learning findings to both technical and non\-technical audiences.
* Excellent analytical, problem\-solving, and collaboration skills.
**Application Process** 
* Upload resume
* Interview (15–30 min)
* Submit form</t>
        </is>
      </c>
    </row>
    <row r="45">
      <c r="A45" t="inlineStr">
        <is>
          <t>li-4371569890</t>
        </is>
      </c>
      <c r="B45" t="inlineStr">
        <is>
          <t>Senior Data Scientist | Remote</t>
        </is>
      </c>
      <c r="C45" t="inlineStr">
        <is>
          <t>Crossing Hurdles</t>
        </is>
      </c>
      <c r="D45" t="inlineStr">
        <is>
          <t>linkedin</t>
        </is>
      </c>
      <c r="E45">
        <f>HYPERLINK("https://www.linkedin.com/jobs/view/4371569890", "https://www.linkedin.com/jobs/view/4371569890")</f>
        <v/>
      </c>
      <c r="F45" t="inlineStr"/>
      <c r="G45" t="inlineStr">
        <is>
          <t>New York, NY</t>
        </is>
      </c>
      <c r="H45" t="inlineStr"/>
      <c r="I45" t="inlineStr">
        <is>
          <t>**Position:** 
 Data Scientist IV
**Type:** 
 Full\-time
**Compensation:** 
 $80 – $110/hour
**Location:** 
 New York, NY, USA (Onsite)
**Commitment:** 
 Full\-time
**Role Responsibilities** 
* Execute, debug, and optimize distributed compute workflows for metric computation, analysis, and modeling across large and high\-dimensional datasets.
* Apply advanced statistics, machine learning, programming, data modeling, simulation, and mathematical techniques to identify patterns, generate insights, and support biosensor product development.
* Design, develop, and evaluate predictive models and advanced algorithms to maximize value extraction from biosensor and sensor\-based datasets.
* Generate, test, and analyze hypotheses through structured experimentation and interpret results to guide product and R\&amp;D decisions.
* Collaborate closely with engineering teams to translate analytical prototypes into scalable products, services, and features.
* Provide analytical guidance and recommendations for large\-scale implementation of data\-driven solutions.
* Leverage data visualization and exploratory analysis to inform strategic decisions around future biosensing research and development directions.
* Support continuous improvement of data pipelines, modeling approaches, and analytical methodologies.
**Requirements** 
* Master’s or PhD degree in Computer Science, Statistics, Neuroscience, Biomedical Engineering, or a closely related field.
* Strong experience working with large\-scale, real\-world datasets, particularly sensor or biosensor data.
* Hands\-on experience with signal processing in time\-domain signals and/or medical imaging systems.
* Strong experience of performing data extraction, manipulation, modeling, and visualization using Python, R, MATLAB, or SQL.
* Proficiency in data structures, algorithms, and scientific computing methodologies.
* Experience with scientific computing and machine learning libraries such as NumPy, SciPy, Pandas, Scikit\-learn, dplyr, and caret.
* Experience with data visualization libraries including Matplotlib, Pyplot, seaborn, or ggplot2\.
* Strong ability to present statistical and machine learning findings to both technical and non\-technical audiences.
* Excellent analytical, problem\-solving, and collaboration skills.
**Application Process** 
* Upload resume
* Interview (15–30 min)
* Submit form</t>
        </is>
      </c>
    </row>
    <row r="46">
      <c r="A46" t="inlineStr">
        <is>
          <t>li-4372197880</t>
        </is>
      </c>
      <c r="B46" t="inlineStr">
        <is>
          <t>Data Scientist, Data &amp; Science Solutions (Remote)</t>
        </is>
      </c>
      <c r="C46" t="inlineStr">
        <is>
          <t>Caris Life Sciences</t>
        </is>
      </c>
      <c r="D46" t="inlineStr">
        <is>
          <t>linkedin</t>
        </is>
      </c>
      <c r="E46">
        <f>HYPERLINK("https://www.linkedin.com/jobs/view/4372197880", "https://www.linkedin.com/jobs/view/4372197880")</f>
        <v/>
      </c>
      <c r="F46" t="inlineStr"/>
      <c r="G46" t="inlineStr"/>
      <c r="H46" t="inlineStr"/>
      <c r="I46" t="inlineStr">
        <is>
          <t>**At Caris, we understand that cancer is an ugly word—a word no one wants to hear, but one that connects us all. That’s why we’re not just transforming cancer care—we’re changing lives.**
 We introduced precision medicine to the world and built an industry around the idea that every patient deserves answers as unique as their DNA. Backed by cutting\-edge molecular science and AI, we ask ourselves every day:
 *“What would I do if this patient were my mom?”* 
 That question drives everything we do.
 But our mission doesn’t stop with cancer. We're pushing the frontiers of medicine and leading a revolution in healthcare—driven by innovation, compassion, and purpose.
**Join us in our mission to improve the human condition across multiple diseases. If you're passionate about meaningful work and want to be part of something bigger than yourself, Caris is where your impact begins.**
**Summary**
**Position Summary**
 The Data Scientist, Data \&amp; Science Solutions at Caris Life Sciences will contribute to the delivery of analytics and research that demonstrate the value of Caris molecular and clinical data products. This role focuses on supporting analytics projects that generate biological insights relevant to drug discovery and translational research. This role will work closely with senior data scientists and cross\-functional partners to analyze clinico\-genomic data, develop analytical solutions, collaborate on research initiatives, and support a variety of strategic partnerships. A successful candidate will have the analytical, code\-oriented mindset to write clean, reproducible code, and the communication skills and expertise needed to translate technical, scientific results for biopharmaceutical partners.
**Job Responsibilities**
* Contribute to analytics and research that support internal stakeholders and external partners.
* Assist in the development and evaluation of molecular signatures and analytical approaches that leverage Caris' data to support partner research and drug discovery strategies.
* Support preparation of analytical results and figures for internal reviews and client\-facing discussions.
* Develop and maintain tools, workflows, and automated solutions to scale data analytics and data science operations.
* Support the Biopharma Solutions team with feasibility assessments and tooling to optimize workflows.
* Write well\-structured, well\-documented, and reproducible code, including efficient queries and organized codebases.
**Required Qualifications**
* PhD in Computational Biology, Bioinformatics, Mathematics, Data Science, Engineering, or related scientific field.
* Strong programming skills in Python or R, with experience developing reproducible analysis workflows.
* Experience with Linux ecosystem, Git, and queries from SQL or related database families.
* Experience with molecular genetics data and/or multimodal real\-world data (RWD).
* Ability to translate biological and scientific questions into analytical or statistical approaches and deliver data\-driven insights.
* Strong verbal and written communication skills, with the ability to explain complex technical concepts in clear language.
**Preferred Qualifications**
* Experience with interpretation of clinical health records including Electronic Health Records, insurance claims data, or patient histories.
* Experience collaborating directly with external partners or clients, particularly in biopharma or healthcare.
* Good code documentation practices and experience with workflow management packages.
* Experience working in cloud or HPC clusters.
**Physical Demands**
* Will work at a computer most of the time, with some time spent collaborating with subject matter experts and business group leaders either in person or through remote conferencing.
* Visual acuity and analytical skill to distinguish fine detail.
* Must possess ability to sit and/or stand for long periods of time.
**Training**
* All job specific, safety, and compliance training are assigned based on the job functions associated with this employee.
**Other**
* This position may require periodic travel and some evenings, weekends, and/or holidays.
 Annual Hiring Range
 $132,000\.00 \- $152,000\.00
 Actual compensation offer to candidate may vary from posted hiring range based upon geographic location, work experience, education, and/or skill level. The pay ratio between base pay and target incentive (if applicable) will be finalized at offer.
**Conditions of Employment:** 
 Individual must successfully complete pre\-employment process, which includes criminal background check, drug screening, credit check ( applicable for certain positions) and reference verification.
 This job description reflects management’s assignment of essential functions. Nothing in this job description restricts management’s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is>
      </c>
    </row>
    <row r="47">
      <c r="A47" t="inlineStr">
        <is>
          <t>li-4371583053</t>
        </is>
      </c>
      <c r="B47" t="inlineStr">
        <is>
          <t>Data Scientist III | Remote</t>
        </is>
      </c>
      <c r="C47" t="inlineStr">
        <is>
          <t>Crossing Hurdles</t>
        </is>
      </c>
      <c r="D47" t="inlineStr">
        <is>
          <t>linkedin</t>
        </is>
      </c>
      <c r="E47">
        <f>HYPERLINK("https://www.linkedin.com/jobs/view/4371583053", "https://www.linkedin.com/jobs/view/4371583053")</f>
        <v/>
      </c>
      <c r="F47" t="inlineStr"/>
      <c r="G47" t="inlineStr">
        <is>
          <t>Menlo Park, CA</t>
        </is>
      </c>
      <c r="H47" t="inlineStr"/>
      <c r="I47" t="inlineStr">
        <is>
          <t>**Position:** 
 Data Scientist III
**Type:** 
 Full\-time
**Compensation:** 
 $70 – $95/hour
**Location:** 
 Menlo Park, CA, USA (Onsite)
**Commitment:** 
 Full\-time
**Role Responsibilities** 
* Conduct rigorous analysis of large, complex datasets to identify trends, patterns, and actionable insights across products, platforms, partners, and user interactions.
* Design, implement, and maintain critical metrics to measure ecosystem health, growth, and engagement.
* Develop and execute structured experiments to evaluate new product features, ecosystem strategies, and partnerships.
* Collaborate closely with cross\-functional teams including Product and Engineering to define analytical requirements and inform strategic decision\-making.
* Build sophisticated dashboards and detailed reports to communicate insights to both technical and non\-technical stakeholders.
* Perform ad hoc analyses to support urgent business and strategic inquiries with high\-quality, timely insights.
* Apply advanced statistical modeling and analytical techniques to solve complex business problems.
* Support strategic initiatives by translating data into clear, actionable recommendations.
**Requirements** 
* Bachelor’s or Master’s degree in Data Science, Statistics, Computer Science, Economics, or a closely related quantitative field.
* Strong professional experience in data science, analytics, or a comparable role.
* Strong proficiency in SQL and at least one programming language such as Python or R.
* Hands\-on experience with data visualization tools including Tableau, Unidash, or Metrics360\.
* Excellent communication skills with the ability to clearly present complex findings to diverse stakeholders.
* Demonstrated ability to work independently and manage competing priorities in a fast\-paced environment.
* Strong analytical, modeling, and problem\-solving skills with attention to detail.
* Experience working with large\-scale datasets in technology or platform ecosystems preferred.
* Familiarity with internal data tools such as Presto, Scuba, or Hive preferred.
* Experience with experimentation design and causal inference methodologies preferred.
**Application Process** 
* Upload resume (portfolio required)
* Interview (15–30 min)
* Submit form</t>
        </is>
      </c>
    </row>
    <row r="48">
      <c r="A48" t="inlineStr">
        <is>
          <t>li-4365334814</t>
        </is>
      </c>
      <c r="B48" t="inlineStr">
        <is>
          <t>Senior Applied Scientist, Causal Inference</t>
        </is>
      </c>
      <c r="C48" t="inlineStr">
        <is>
          <t>LinkedIn</t>
        </is>
      </c>
      <c r="D48" t="inlineStr">
        <is>
          <t>linkedin</t>
        </is>
      </c>
      <c r="E48">
        <f>HYPERLINK("https://www.linkedin.com/jobs/view/4365334814", "https://www.linkedin.com/jobs/view/4365334814")</f>
        <v/>
      </c>
      <c r="F48" t="inlineStr"/>
      <c r="G48" t="inlineStr">
        <is>
          <t>Mountain View, CA</t>
        </is>
      </c>
      <c r="H48" t="inlineStr"/>
      <c r="I4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data science research, model improvement, advanced experiments, observational causal studies to quantify the cause and effect in the ecosystem, identify business opportunities and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BS and 5\+ years of relevant work experience, MS and 3\+ years of relevant work experience, or Ph.D. and 1\+ years of relevant work/academia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9">
      <c r="A49" t="inlineStr">
        <is>
          <t>li-4365797022</t>
        </is>
      </c>
      <c r="B49" t="inlineStr">
        <is>
          <t>Data Scientist</t>
        </is>
      </c>
      <c r="C49" t="inlineStr">
        <is>
          <t>Shanghai Yanfu Investments Co., Ltd.</t>
        </is>
      </c>
      <c r="D49" t="inlineStr">
        <is>
          <t>linkedin</t>
        </is>
      </c>
      <c r="E49">
        <f>HYPERLINK("https://www.linkedin.com/jobs/view/4365797022", "https://www.linkedin.com/jobs/view/4365797022")</f>
        <v/>
      </c>
      <c r="F49" t="inlineStr"/>
      <c r="G49" t="inlineStr">
        <is>
          <t>New York, United States</t>
        </is>
      </c>
      <c r="H49" t="inlineStr"/>
      <c r="I49" t="inlineStr">
        <is>
          <t>岗位：数据科学家
**工作地点：上海市，中国，线下办公** 
 关于我们：
 上海衍复投资管理有限公司成立于2019年，是一家用量化方法从事投资管理的科技公司。公司的策略团队多元化，包括海外头部对冲基金工作多年的行家里手，美国大学任教职后回归业界的学者派和国内外顶级学府毕业后在衍复成长起来的中坚派；工程团队核心成员均来自清北交复等顶级院校，大部分有一线互联网公司的工作经历，团队具有丰富的技术经验和良好的技术氛围。公司致力于通过10\-20年的时间，把衍复打造为投资人广泛认可的头部资管品牌。
 衍复鼓励充分交流合作，我们相信自由开放的文化是优秀的人才发挥创造力的土壤。我们希望每位员工都可以在友善的合作氛围中充分实现自己的职业发展潜力。
 【工作职责】
 1\. 深入探索和分析原始数据，发现潜在的业务机会和数据价值
 2\. 针对不同类型的数据，选择合理的建模方法，产出具有业务逻辑的数据结果
 3\. 关注前沿数据分析与建模技术，评估其可行性并在实际工作中创新应用
 【任职资格】
 1\. 国内外知名院校理工科相关专业，博士优先
 2\. 深入理解不同模型的特性，具备模型选型和应用优化的实践能力
 3\. 了解数据科学在量化投资中的实践应用，有相关项目经验优先
 4\. 对数据科学工作充满热情，自驱力强，逻辑严谨，善于合作
 5\. 熟练使用 Linux、Python、SQL 进行数据分析和建模
 衍复提供：
 强竞争力的薪酬
 新人的全方位培训
 不设限的发展空间
 About the job
 Data Scientist
**Working Location: Shanghai, China, onsite** 
 About our team
 YanFu is a quantitative hedge fund with a strong academic atmosphere and research orientation. We are committed to establishing an engineering culture and believe that a free and open culture can make excellent talents give full play to their creativity. Our founder has always been active in the front line of strategy development, training new members. State\-of\-the\-art level skills of quantitative investments can be cultivated in YanFu.
 We believe that a free and open culture allows talented people to be creative at their best. In the meantime, the company will regularly organize seminars to promote technical exchanges within the company and communication between different departments. We truly care about the needs and feelings of every employee, and hope team members can fully realize their career development potential in a friendly working environment.
**Job Responsibilities** 
1. Delve into and analyze raw data to identify potential business opportunities and extract data\-driven value.
2. Select appropriate modeling methods for different types of data to produce data results aligned with business logic.
3. Stay updated on cutting\-edge data analysis and modeling technologies, assess their feasibility, and innovatively apply them in practical work.
**Qualifications** 
1. A degree in a STEM\-related field from a reputable university, with a Ph.D. preferred.
2. Deep understanding of the characteristics of different models, with practical ability in model selection and application optimization.
3. Familiarity with the practical application of data science in quantitative investing, with relevant project experience preferred.
4. Passion for data science, strong self\-motivation, rigorous logical thinking, and excellent collaboration skills.
5. Proficiency in using Linux, Python, and SQL for data analysis and modeling.
 【Language Requirement】: Mandarin And English
 What we offer:
 Highly competitive salary package
 Full training for new members
 Unlimited development space</t>
        </is>
      </c>
    </row>
    <row r="50">
      <c r="A50" t="inlineStr">
        <is>
          <t>li-4371583033</t>
        </is>
      </c>
      <c r="B50" t="inlineStr">
        <is>
          <t>Principal Data Scientist | Remote</t>
        </is>
      </c>
      <c r="C50" t="inlineStr">
        <is>
          <t>Crossing Hurdles</t>
        </is>
      </c>
      <c r="D50" t="inlineStr">
        <is>
          <t>linkedin</t>
        </is>
      </c>
      <c r="E50">
        <f>HYPERLINK("https://www.linkedin.com/jobs/view/4371583033", "https://www.linkedin.com/jobs/view/4371583033")</f>
        <v/>
      </c>
      <c r="F50" t="inlineStr"/>
      <c r="G50" t="inlineStr">
        <is>
          <t>New York, NY</t>
        </is>
      </c>
      <c r="H50" t="inlineStr"/>
      <c r="I50" t="inlineStr">
        <is>
          <t>**Position:** 
 Data Scientist IV
**Type:** 
 Full\-time
**Compensation:** 
 $80 – $110/hour
**Location:** 
 New York, NY, USA (Onsite)
**Commitment:** 
 Full\-time
**Role Responsibilities** 
* Execute, debug, and optimize distributed compute workflows for metric computation, analysis, and modeling across large and high\-dimensional datasets.
* Apply advanced statistics, machine learning, programming, data modeling, simulation, and mathematical techniques to identify patterns, generate insights, and support biosensor product development.
* Design, develop, and evaluate predictive models and advanced algorithms to maximize value extraction from biosensor and sensor\-based datasets.
* Generate, test, and analyze hypotheses through structured experimentation and interpret results to guide product and R\&amp;D decisions.
* Collaborate closely with engineering teams to translate analytical prototypes into scalable products, services, and features.
* Provide analytical guidance and recommendations for large\-scale implementation of data\-driven solutions.
* Leverage data visualization and exploratory analysis to inform strategic decisions around future biosensing research and development directions.
* Support continuous improvement of data pipelines, modeling approaches, and analytical methodologies.
**Requirements** 
* Master’s or PhD degree in Computer Science, Statistics, Neuroscience, Biomedical Engineering, or a closely related field.
* Strong experience working with large\-scale, real\-world datasets, particularly sensor or biosensor data.
* Hands\-on experience with signal processing in time\-domain signals and/or medical imaging systems.
* Strong experience of performing data extraction, manipulation, modeling, and visualization using Python, R, MATLAB, or SQL.
* Proficiency in data structures, algorithms, and scientific computing methodologies.
* Experience with scientific computing and machine learning libraries such as NumPy, SciPy, Pandas, Scikit\-learn, dplyr, and caret.
* Experience with data visualization libraries including Matplotlib, Pyplot, seaborn, or ggplot2\.
* Strong ability to present statistical and machine learning findings to both technical and non\-technical audiences.
* Excellent analytical, problem\-solving, and collaboration skills.
**Application Process** 
* Upload resume
* Interview (15–30 min)
* Submit form</t>
        </is>
      </c>
    </row>
    <row r="51">
      <c r="A51" t="inlineStr">
        <is>
          <t>li-4372162908</t>
        </is>
      </c>
      <c r="B51" t="inlineStr">
        <is>
          <t>Senior Data Scientist</t>
        </is>
      </c>
      <c r="C51" t="inlineStr">
        <is>
          <t>Ocrolus</t>
        </is>
      </c>
      <c r="D51" t="inlineStr">
        <is>
          <t>linkedin</t>
        </is>
      </c>
      <c r="E51">
        <f>HYPERLINK("https://www.linkedin.com/jobs/view/4372162908", "https://www.linkedin.com/jobs/view/4372162908")</f>
        <v/>
      </c>
      <c r="F51" t="inlineStr"/>
      <c r="G51" t="inlineStr">
        <is>
          <t>New York, NY</t>
        </is>
      </c>
      <c r="H51" t="inlineStr"/>
      <c r="I51" t="inlineStr">
        <is>
          <t>Come build at the intersection of AI and fintech. At Ocrolus, we're on a mission to help lenders automate workflows with confidence—streamlining how financial institutions evaluate borrowers and enabling faster, more accurate lending decisions.
 Our AI\-powered data and analytics platform is trusted at scale, processing nearly one million credit applications every month across small business, mortgage, and consumer lending. By integrating state\-of\-the\-art open\- and closed\-source AI models with our human\-in\-the\-loop verification engine, Ocrolus captures data from financial documents with over 99% accuracy. Thanks to our advanced fraud detection and comprehensive cash flow and income analytics, our customers achieve greater efficiency in risk management, and provide expanded access to credit—ultimately creating a more inclusive financial system.
 Trusted by more than 400 customers—including industry leaders like Better Mortgage, Brex, Enova, Nova Credit, PayPal, Plaid, SoFi, and Square—Ocrolus stands at the forefront of AI innovation in fintech. Join us, and help redefine how the world's most innovative lenders do business.
 The data science team at Ocrolus builds high\-quality, impactful analytics and machine\-learning based products that empower lenders to make better credit, fraud, and operational risk decisions. Data scientists play a critical role in the full product development cycle and move fast to ideate, build, deploy, and maintain production quality models. If you are a data scientist looking to leverage your strong engineering abilities in building ML models end\-to\-end, then we want to talk to you!
**What you'll do**
* Partner with Product, Engineering, and other stakeholders to translate ambiguous business challenges into well\-defined data science problems
* Own the end\-to\-end lifecycle of data science models, from data exploration and feature engineering to deployment, monitoring, and continuous improvement in production
* Develop robust, scalable, and efficient models, thoughtfully balancing algorithmic complexity against interpretability, business needs, and delivery timelines
* Examples of data science initiatives include: using NLP/LLMs to classify transactions into standardized categories, training gradient boosting trees to predict loan default probability and loss\-given\-default based on transactional data, and building an entity resolution system to match financial documents across time with a specific borrower
**What you'll bring**
* 5\+ years of professional experience building and deploying machine learning models in a production environment
* Lending domain experience, applying data science principles in the management of portfolio risk or acquisition.
* Bachelor's or Master's degree in a quantitative discipline (e.g., Computer Science, Statistics, Finance, Math, Engineering)
* Full stack data\-science experience: ideating, building, deploying, monitoring, and maintaining production ML models that solve product needs and perform with high levels of accuracy, stability, and coverage
* The ability to communicate and present complex technical topics and results to various audiences
* Passion for understanding the "why" of the problem and the impact of solutions on client outcomes
* Deep understanding of statistics, probability, and machine learning algorithms
* Strong software engineering and data engineering fundamentals
* Expert\-level programming skills in Python and proficiency with core data science libraries (e.g., pandas, scikit\-learn, Hugging Face)
* **Excellent SQL skills and comfort working with large and complex data warehouses (Snowflake/Postgres)**
* Experience with CI/CD, shell scripting, Git/version control, REST/GRPC APIs, and cloud infrastructure (AWS: S3, EKS, etc)
**Bonus points**
* Experience working with messy, real\-world financial data (e.g., bank transaction streams, financial statements, credit reports)
* Portfolio of past data science accomplishments (including source code)
**Note:**
 The full\-time salary range for this role around $165,000 \+ equity \+ benefits. Base pay offered may vary depending on job\-related knowledge, skills, experience, and market location.
 Disclosure as required by N.Y.C. Admin. Code
* 
* 8\-102 and 8\-107(32\) of the full time salary compensation range for this role when being hired into our offices in New York City.
**Life at Ocrolus**
 We're a team of builders, thinkers, and problem solvers who care deeply about our mission — and each other. As a fast\-growing, remote\-first company, we offer an environment where you can grow your skills, take ownership of your work, and make a meaningful impact.
**Our culture is grounded in four core values:**
**Empathy –** 
 Understand and serve with compassion
**Curiosity –** 
 Explore new ideas and question the status quo
**Humility –** 
 Listen, be grounded, and remain open\-minded
**Ownership –** 
 Love what you do, work hard, and deliver excellence
 We believe diverse perspectives drive better outcomes. That's why we're committed to fostering an inclusive workplace where everyone has a seat at the table, regardless of race, gender, gender identity, age, disability, national origin, or any other protected characteristic.
 We look forward to building the future of lending together.</t>
        </is>
      </c>
    </row>
    <row r="52">
      <c r="A52" t="inlineStr">
        <is>
          <t>li-4354186857</t>
        </is>
      </c>
      <c r="B52" t="inlineStr">
        <is>
          <t>Senior Data Scientist -  Experimentation &amp; Measurement</t>
        </is>
      </c>
      <c r="C52" t="inlineStr">
        <is>
          <t>Sony Interactive Entertainment</t>
        </is>
      </c>
      <c r="D52" t="inlineStr">
        <is>
          <t>linkedin</t>
        </is>
      </c>
      <c r="E52">
        <f>HYPERLINK("https://www.linkedin.com/jobs/view/4354186857", "https://www.linkedin.com/jobs/view/4354186857")</f>
        <v/>
      </c>
      <c r="F52" t="inlineStr"/>
      <c r="G52" t="inlineStr"/>
      <c r="H52" t="inlineStr"/>
      <c r="I52"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Scientist \- Experimentation \&amp; Measurement
**San Mateo, CA**
**Overview:**
 As a Senior Data Scientist on the Decision Science team within the Data Science, Analytics, \&amp; Enablement (DSAE) organization at PlayStation, you will take a leading role in designing and interpreting experiments that evaluate the impact of PS4 to PS5 user migration initiatives, growth marketing strategies, and broader campaign performance. This role is focused on advancing our experimentation practices—bringing statistical rigor, clear measurement strategies, and deep causal inference expertise to some of the most critical initiatives across PlayStation.
**What You’ll Be Doing:**
* Lead the design, execution, and interpretation of A/B tests and quasi\-experiments to evaluate the impact of user migration initiatives (PS4 to PS5\), growth marketing strategies, and campaign performance.
* Partner with cross\-functional teams (product, engineering, marketing) to embed experimentation into development and iteration cycles.
* Serve as a thought leader on best practices for hypothesis development, metric selection, test structure, and results communication.
* Apply advanced causal inference methods when experimentation isn’t feasible or to inform test design and prioritization.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**Basic Requirements:**
* Master’s or PhD in Statistics, Economics, or Econometrics. Other degrees in quantitative disciplines may be considered.
* 5\+ years of experience in a data science experimentation\-focused role (3\+ with PhD).
* Deep expertise in A/B testing and causal inference, including quasi\-experimental methods.
* Proficiency in SQL for data extraction and transformation.
* Proficiency in Python, including statistical and data science libraries.
* Broad and applied knowledge of statistical techniques and machine learning modeling methods.
* Proven ability to influence product and business decisions through clear, actionable insights.
* Experience contributing to or developing experimentation frameworks, best practices, or internal tooling.
* Bonus: Interest in or knowledge of video games, gaming platforms, or player behavior.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$178,900—$268,300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3">
      <c r="A53" t="inlineStr">
        <is>
          <t>li-4372174149</t>
        </is>
      </c>
      <c r="B53" t="inlineStr">
        <is>
          <t>Data Scientist 3 - MLOps</t>
        </is>
      </c>
      <c r="C53" t="inlineStr">
        <is>
          <t>Captivation</t>
        </is>
      </c>
      <c r="D53" t="inlineStr">
        <is>
          <t>linkedin</t>
        </is>
      </c>
      <c r="E53">
        <f>HYPERLINK("https://www.linkedin.com/jobs/view/4372174149", "https://www.linkedin.com/jobs/view/4372174149")</f>
        <v/>
      </c>
      <c r="F53">
        <f>HYPERLINK("https://grnh.se/298y5tmr8us&amp;urlHash=DiPZ", "https://grnh.se/298y5tmr8us&amp;urlHash=DiPZ")</f>
        <v/>
      </c>
      <c r="G53" t="inlineStr">
        <is>
          <t>Annapolis Junction, MD</t>
        </is>
      </c>
      <c r="H53" t="inlineStr"/>
      <c r="I53"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senior level Data Scientist who has a significant MLOps and data science background.
**Responsibilities**
* Produce data visualizations that provide insight into dataset structure and meaning
* Work with subject matters experts (SMEs) to identify important information in raw data and develop scripts that extract this information from a variety of data formats (e.g., SQL tables, structured metadata, network logs)
* Incorporate SME input into feature vectors suitable for analytic development and testing
* Translate customer qualitative analysis process and goals into quantitative formulations that are coded into software prototypes
* Develop and implement statistical, machine learning, and heuristic techniques to create descriptive, predictive, and prescriptive analytics
* Develop statistical tests to make data\-driven recommendations and decisions
* Develop experiments to collect data or models to simulate data when required data are unavailable
* Develop feature vectors for input into machine learning algorithms
* Identify the most appropriate algorithm for a given dataset and tune input and model parameters
* Evaluate and validate the performance of analytics using standard techniques and metrics (e.g. cross validation, ROC curves, confusion matrices)
* Oversee the development of individual analytic efforts and guide team in analytic development process
* Guide analytic development toward solutions that can scale to large datasets
* Partner with software engineers and cloud developers to develop production analytics
* Develop and train machine learning systems based on statistical analysis of data characteristics to support mission automation
* Lead a team of data scientists in the development of multiple analytic efforts
* Work with customers and SMEs to define analytic requirements and guide the team in formulating analytics that meet requirements
* Guide the transition of prototyped analytics to production system
* Understand emerging machine learning and pattern recognition algorithms and guide a team of data scientists in integrating state\-of\-the\-art algorithms into solutions
* Delegate analysis responsibilities to one or more team members and monitor performance
**Requirements**
 Security Clearance:
* Must currently hold a Top Secret/SCI U.S. Government security clearance with a favorable Polygraph, therefore all candidates must be a U.S. citizen
 Minimum Qualifications:
* A minimum of ten (10\) years of experience in two (2\) or more of the following
+ Designing/Implementing machine learning
+ Data mining
+ Advanced analytical algorithms
+ Advanced statistical analysis
+ Artificial intelligence
+ Software engineering with data analysis software such as R, Python, SAS, or MATLAB.
* Bachelor's degree or higher from an accredited college or university in a quantitative discipline (e.g., statistics, mathematics, operations research, engineering or computer science)
* An additional four (4\) years of experience in software development, cloud development, analyzing datasets, or developing descriptive, predictive, and prescriptive analytics can be substituted for a Bachelor's degree.
* A Master's Degree from an accredited college or university in a quantitative discipline can be substituted for two (2\) years of experience for a total of eight (8\) years of experience required
* A Doctoral Degree from an accredited college or university in a quantitative discipline can be substituted for four (4\) years of experience for a total of six (6\) years of experience required.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$3,600 HSA Contribution
* 6 Weeks Paid Time Off
* Company Paid Employee Medical/Dental/Vision Insurance/Life Insurance/Short\-Term \&amp; Long\-Term Disability/AD\&amp;D</t>
        </is>
      </c>
    </row>
    <row r="54">
      <c r="A54" t="inlineStr">
        <is>
          <t>li-4371583957</t>
        </is>
      </c>
      <c r="B54" t="inlineStr">
        <is>
          <t>811662 Data Scientist $230,000.00</t>
        </is>
      </c>
      <c r="C54" t="inlineStr">
        <is>
          <t>B4Corp</t>
        </is>
      </c>
      <c r="D54" t="inlineStr">
        <is>
          <t>linkedin</t>
        </is>
      </c>
      <c r="E54">
        <f>HYPERLINK("https://www.linkedin.com/jobs/view/4371583957", "https://www.linkedin.com/jobs/view/4371583957")</f>
        <v/>
      </c>
      <c r="F54" t="inlineStr"/>
      <c r="G54" t="inlineStr">
        <is>
          <t>McLean, VA</t>
        </is>
      </c>
      <c r="H54" t="inlineStr"/>
      <c r="I54" t="inlineStr">
        <is>
          <t>Labor Category: Data Scientist
 Position Title: Data Scientist
 Position Level: Level 1 – Subject Matter Expert
 Salary: Up to $230,000\.00 per year
 Core Hours: 9am to 4pm
 Location: McLean VA
**Description**
 Position Requires a Top Secret (TS/SCI) Clearance with a Polygraph.
 This position is being bid on an closes on 2/23/26 – The Customer requires subject matter expertise to develop a tool to enhance their signature management capabilities and to integrate the Customer’s diverse data holdings
 The Customer requires subject matter expertise to develop a tool to enhance their signature management capabilities and to integrate the Customer’s diverse data holdings and to leverage novel AI/ML solutions to support the Customer’s operational requirements. The Data Scientist will work closely with other teams; however, the Customer project manager will manage the priorities. The Data Scientist will integrate with Customer team to develop an understanding of Customer data structures. The Data Scientist will build out schema and data models, as required by the Customer. The Data Scientist will complete the Customer’s systems administrator security course (approx. 8 hours of training). The Data Scientist will provide weekly highlights summarizing work progress as required by the Customer. The Data Scientist will provide briefings, to include presentation slides and user guide documentation, as required by the Customer.
**Details**
 Labor Category: Data Scientist
 Position Title: Data Scientist
 Position Level: Level 1 – Subject Matter Expert
 Salary: Up to $230,000\.00 per year
 Core Hours: 9am to 4pm
 Location: McLean VA
**Mandatory Requirements**
* Developmental (0\-2 years’ experience)
* Full Performance (3\-5 years’ experience)
* Senior (6\-10 years’ experience)
* Expert (11\-15 years’ experience)
* SME (16\+ years’ experience)
* Demonstrated experience with proficiency in Python.
* Demonstrated experience with data analytics and transformations.
* Demonstrated experience with complex graph database queries.
* Demonstrated experience in cloud compute environments.
* Demonstrated ability to effectively communicate (verbal and written) with technical and non\-technical personnel as well as all levels of management and staff.
**Optional Requirements**
* Demonstrated experience with proficiency in SQL
* Demonstrated experience with Cypher
* Demonstrated experience with Amazon Web Service (AWS), (Lambda)
* Demonstrated experience with Docker
**B4CORP Company Information**
 B4Corp is a small defense contracting company that focuses on providing an optimum environment for mission\-focused, highly 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our outstanding compensation and benefits package. B4Corp’s benefits reflect the company’s policy of putting the employees first. B4Corp’s maximum flexibility comp / makeup time policy, along with the company’s cafeteria\-style benefit plan that allows employees to maximize their Benefit Dollars, reflects B4Corp’s commitment to its employees.
**Compensation**
* Outstanding Salaries
**Retirement**
* Full Vanguard 401k Plan – Featuring a full scope of investment options – 100% employer matched contribution up to 6% of employee's salary – Ability to max out 401k savings $57k ($63\.5k if over 50\)
* Employees receive B4Corp phantom stock each year (2\-year vesting period)
**Insurance**
* Medical – United Health Care (UHC) (multiple plan options)
* Dental – United Concordia (UC) Flex Plan
* Vision – Vision Service Plan Insurance Co (VSP) Signature Plans
* Mutual of Omaha short\-term disability (60% of salary up to $2,000\.00/week)
* Mutual of Omaha long\-term disability (60% of salary up to $10,000\.00/month)
* Mutual of Omaha life insurance ($200,000\.00\)
**Employee Referral Bonus**
* Refer a friend or a coworker and receive $3,000 per year for every year the person works for B4CORP
**Paid Time Off (PTO)**
* Seven weeks of leave per year (including ten federal holidays)
* Flexible work schedule with comp time (with customer approval)
 Internal Tracking \-V\-4175\.02
 If You Would Like To Complete a Detailed B4Corp Employment Application, Please Do So Using This Form (You Only Need To Fill Out This Application Once For B4Corp Or If You Have Updates To The Information.)
 https://b4corp.com/b4corp\-employment\-application/.
 This form will help us find you the best position quicker.
*B4Corp is an EEO and e\-Verify employer. All qualified applicants will receive consideration for employment without regard to race, color, religion, gender, sexual orientation or national origin. Please take the time to review and complete these three voluntary identification forms if you choose to do so and email them to hr@b4corp.com.*</t>
        </is>
      </c>
    </row>
    <row r="55">
      <c r="A55" t="inlineStr">
        <is>
          <t>li-4372112044</t>
        </is>
      </c>
      <c r="B55" t="inlineStr">
        <is>
          <t>Data Scientist - AI</t>
        </is>
      </c>
      <c r="C55" t="inlineStr">
        <is>
          <t>Munich Re</t>
        </is>
      </c>
      <c r="D55" t="inlineStr">
        <is>
          <t>linkedin</t>
        </is>
      </c>
      <c r="E55">
        <f>HYPERLINK("https://www.linkedin.com/jobs/view/4372112044", "https://www.linkedin.com/jobs/view/4372112044")</f>
        <v/>
      </c>
      <c r="F55">
        <f>HYPERLINK("https://www.wiraa.com/job-description/us2C12B745FD544F7643E2A693029E8F85?source=Linkedin&amp;urlHash=sJ35", "https://www.wiraa.com/job-description/us2C12B745FD544F7643E2A693029E8F85?source=Linkedin&amp;urlHash=sJ35")</f>
        <v/>
      </c>
      <c r="G55" t="inlineStr"/>
      <c r="H55" t="inlineStr"/>
      <c r="I55" t="inlineStr">
        <is>
          <t>**About The Company**
 American Modern Insurance Group, Inc., a subsidiary of Munich Re, is a distinguished leader in the specialty insurance sector. Headquartered in Amelia, Ohio, the company specializes in providing innovative insurance solutions for residential properties such as manufactured homes and specialty dwellings, as well as recreational markets including boats, personal watercraft, classic cars, and more. With a commitment to covering unique and complex risks that competitors often cannot, American Modern writes admitted insurance products across all 50 states, boasting a premium volume of $2\.2 billion. As part of Munich Re's Global Specialty Insurance division, the organization offers a dynamic environment where employees are empowered to grow their careers and make impactful contributions. The company values innovation, customer\-centric solutions, and a collaborative culture that fosters professional development and work\-life balance.
**About The Role**
 We are seeking an experienced and strategic Principal Data Scientist to join our Predictive Analytics team remotely. In this leadership role, you will spearhead the development and execution of our Artificial Intelligence and Machine Learning (AI/ML) strategies, playing a pivotal role in transforming data into actionable insights. As a senior member of the team, you will collaborate with cross\-functional stakeholders to identify complex business challenges and craft tailored AI/ML solutions that enhance decision\-making, optimize operations, and drive business growth. Your expertise will be instrumental in developing, deploying, and maintaining advanced predictive models, utilizing state\-of\-the\-art techniques including Large Language Models (LLMs) for natural language processing tasks. This position offers an excellent opportunity to lead innovative projects, mentor junior team members, and stay at the forefront of industry advancements, ultimately shaping the future of analytics within the organization.
**Qualifications**
* Master's degree in Business Analytics, Statistics, Computer Science, or related fields such as Economics or Operations Research
* Six (6\) or more years of experience in data science or predictive analytics within the insurance industry
* Eight (8\) or more years of predictive modeling experience in other industries
* Expert proficiency in Python, including libraries such as NumPy, pandas, and scikit\-learn
* Experience with R programming language
* Deep understanding of AI and machine learning concepts, including supervised, unsupervised learning, deep learning, and NLP
* Experience with big data platforms such as Databricks; familiarity with cloud services like AWS or Azure is a plus
* Strong knowledge of data structures, algorithms, and software design patterns
* Experience working in agile environments, with familiarity with Scrum or Kanban methodologies
* Proficiency with MLflow for model management, versioning, and deployment
* Excellent communication skills and ability to convey complex technical concepts to non\-technical audiences
* Leadership skills with experience guiding and mentoring junior team members
**Responsibilities**
* Lead the development and implementation of the company's AI/ML strategy aligned with business objectives
* Design, develop, deploy, and monitor predictive models using Python and advanced machine learning techniques to optimize business outcomes
* Leverage expertise in Large Language Models to develop innovative NLP solutions for text analysis and natural language processing tasks
* Collaborate with cross\-functional teams including data engineering, product management, and business units to identify key problems and craft data\-driven solutions
* Design and implement data pipelines and architectures in partnership with data engineering teams
* Conduct complex predictive analytics analyses, prepare presentations, and communicate findings to internal and external stakeholders
* Identify operational issues and anomalies, recommend data cleaning and modeling techniques to improve accuracy
* Document methodologies, assumptions, and results, ensuring clarity and reproducibility
* Stay current with industry trends, tools, and best practices in AI/ML to continuously enhance analytical capabilities
* Mentor and guide junior data scientists and analysts, fostering a culture of innovation and continuous learning
* Ensure models adhere to regulatory standards and support rate filings or compliance documentation as needed
**Benefits**
* Health insurance options including PPO and High Deductible plans, with prescription coverage
* Vision and dental insurance plans
* Short and Long Term Disability coverage
* Supplemental Life and AD\&amp;D insurance plans for employees and dependents
* Voluntary benefits such as accident, critical illness, and hospital indemnity plans
* Robust 401(k) plan with up to 5% employer match
* Company\-funded retirement savings plan
* Paid time off starting at 24 days annually, with additional days for milestone anniversaries
* Annual bonus eligibility
* Wellness programs, on\-site fitness facilities, walking trails, and health centers
* Financial assistance programs for adoption and infertility treatments
* Tuition reimbursement and educational bonuses
* Free parking and subsidized on\-site amenities including cafeteria and coffee shop
* Volunteer time off and charitable matching gifts program
 Equal Opportunity
 American Modern Insurance Group, Inc. is an equal opportunity employer. We are committed to fostering an inclusive workplace where diversity is valued and all employees are treated with respect and fairness. We provide reasonable accommodations to individuals with disabilities to ensure they can perform their essential job functions. We do not discriminate based on race, color, religion, gender, sexual orientation, gender identity, national origin, age, disability, or any other protected</t>
        </is>
      </c>
    </row>
    <row r="56">
      <c r="A56" t="inlineStr">
        <is>
          <t>li-4371703946</t>
        </is>
      </c>
      <c r="B56" t="inlineStr">
        <is>
          <t>Data Scientist II - Client Analysis</t>
        </is>
      </c>
      <c r="C56" t="inlineStr">
        <is>
          <t>Socure</t>
        </is>
      </c>
      <c r="D56" t="inlineStr">
        <is>
          <t>linkedin</t>
        </is>
      </c>
      <c r="E56">
        <f>HYPERLINK("https://www.linkedin.com/jobs/view/4371703946", "https://www.linkedin.com/jobs/view/4371703946")</f>
        <v/>
      </c>
      <c r="F56">
        <f>HYPERLINK("https://jobs.ashbyhq.com/socure?ashby_jid=c1c5b2fd-2eab-4779-ab6d-c909eb6226a1&amp;utm_source=EvGpkkMeaL&amp;source=LinkedIn&amp;urlHash=77W2", "https://jobs.ashbyhq.com/socure?ashby_jid=c1c5b2fd-2eab-4779-ab6d-c909eb6226a1&amp;utm_source=EvGpkkMeaL&amp;source=LinkedIn&amp;urlHash=77W2")</f>
        <v/>
      </c>
      <c r="G56" t="inlineStr"/>
      <c r="H56" t="inlineStr"/>
      <c r="I56" t="inlineStr">
        <is>
          <t>**Why Socure?**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predictability or narrow scope, this won’t be your place. If you want to help build the future of identity with a team that holds a high bar for itself — keep reading.
**About The Role**
 We are currently looking for Data Scientist to join our Client Analysis team to be based anywhere remotely in the USA.
 In this unique role as Data Scientist, you will leverage your experience developing algorithms and analyzing massive data sets to tell data stories while also working in partnership with the go\-to\-market team to drive revenue generation for Socure by ensuring that potential and existing customers can understand \- through deep analysis \- the benefit and value of Socure’s products throughout the pre and post sales cycle.
 This is an excellent opportunity for a Data Scientist who thrives when they're able to communicate a data story to an audience (tech and non\-tech), and who is not satisfied only working behind the scenes. Data Scientists on the Client Analysis team are compensated for their part in driving new business with a generous incentive bonus opportunity on top of competitive base salary.
**What You'll Do**
* Analyze massive customer data sets, come up with actionable insights, and explain how our models perform and how we can help our customers build optimal risk management policies
* Act as a Data Science advocate: deeply understand Socure’s solutions (products, models and algorithms) and customers’ risk challenges to educate and influence from a scientific perspective
* Create convincing data stories to showcase how we can help our customers eliminate identity fraud, streamline their end\-user experience, and support their risk management efforts holistically
* Provide thought leadership and be the customer’s voice for building the next generation of Socure’s core models and product
* Create tools and automated workflows to improve the speed, accuracy, and reproducibility of our analysis
* Partner closely with GTM teams (Sales, Solution Consultants, Account Managers and Technical Account Managers) to derive creative ways of analysis and identify opportunities for upsell and product optimization
* Build ML models when it is advantageous to explore different approaches over the established models in production
**What You Bring**
* You have a degree in a quantitative field, or equivalent work experience \- advanced degree is preferred.
* You have 3\+ years working experience in data science, data analysis, or analytics engineering
* You have extensive theoretical and practical understanding of state\-of\-the\-art supervised and unsupervised machine learning methods
* You know how to write clean, performant code in Python, and have 2\+ years experience working with massive real\-life datasets
* You have experience querying relational databases with SQL
* You have experience working with cloud tools and technologies in AWS, Azure, Databricks, or GCP
* You know how to tell compelling stories with data (dashboarding, building interactive data stories and actionable presentations)
* You are able to explain very complex algorithms such as ML/AI models, and analyses to non\-technical audiences
* You are an excellent verbal and written communicator and are comfortable delivering presentations with clear, complete messages
* You thrive in a remote startup work environment and are excellent at setting clear goals and holding yourself accountable
* You have experience in identity verification and fraud prevention (strongly preferred)
**Technologies We Use**
 The client analysis team makes extensive use of the following tools, an ideal candidate will have experience with at least some of these tools and be excited to learn to use the other ones.
* Python ecosystem (Pyspark, Pandas, Numpy, H2O, SHAP, Seaborn, Jupyter, etc)
* Databricks
* Airflow
* Redshift, Snowflake, S3
* Apache Spark, Apache Arrow
* Amazon EMR
* Looker, Tableau
*Please note that we cannot provide sponsorship now or in the future for this role.*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
 Compensation Range: $130K \- $150K</t>
        </is>
      </c>
    </row>
    <row r="57">
      <c r="A57" t="inlineStr">
        <is>
          <t>li-4355360722</t>
        </is>
      </c>
      <c r="B57" t="inlineStr">
        <is>
          <t>Staff Data Scientist -  Experimentation &amp; Measurement</t>
        </is>
      </c>
      <c r="C57" t="inlineStr">
        <is>
          <t>Sony Interactive Entertainment</t>
        </is>
      </c>
      <c r="D57" t="inlineStr">
        <is>
          <t>linkedin</t>
        </is>
      </c>
      <c r="E57">
        <f>HYPERLINK("https://www.linkedin.com/jobs/view/4355360722", "https://www.linkedin.com/jobs/view/4355360722")</f>
        <v/>
      </c>
      <c r="F57" t="inlineStr"/>
      <c r="G57" t="inlineStr"/>
      <c r="H57" t="inlineStr"/>
      <c r="I57"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**Staff Data Scientist \- Experimentation \&amp; Measurement**
**Overview:**
 As a Staff Data Scientist on the Decision Science team at PlayStation, you will take a leading role in designing and interpreting experiments that evaluate the impact of key initiatives and programs. You’ll help shape how millions of players around the world experience PlayStation by bringing statistical rigor, clear measurement strategies, and deep causal inference expertise to some of the most critical initiatives across the company. This highly visible role will advance our experimentation practices and ensure that data\-driven insights inform the way we build, market, and evolve our products.
**What You’ll Be Doing:**
* Design, execute, and interpret A/B tests and quasi\-experiments, and apply advanced causal inference methods when experimentation isn’t feasible.
* Partner with cross\-functional teams (product, engineering, marketing) to embed experimentation into development and iteration cycles and communicate results with the company’s senior leadership.
* Mentor and guide other Data Scientists, providing thought leadership and technical direction.
* Serve as a thought leader on best practices for hypothesis development, metric selection, test structure, and results communication.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 Your insights will directly influence how PlayStation builds, markets, and evolves products across our ecosystem.
**Basic Requirements:**
* Master’s or PhD in Statistics, Economics, or Econometrics.
* 6\+ years of experience in a data science experimentation/causal inference\-focused role (4\+ with PhD).
* Deep expertise in A/B testing and causal inference, including quasi\-experimental methods.
* Proficiency in SQL and Python for data extraction, transformation, and analysis.
* Broad and applied knowledge of statistical techniques.
* Experience with machine learning modeling is a plus.
* Proven ability to influence product and business decisions through clear, actionable insights.
* Experience contributing to or developing experimentation frameworks, best practices, or internal tooling.
* Bonus: Passion for video games, player communities, or the gaming industry.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$212,200—$318,200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8">
      <c r="A58" t="inlineStr">
        <is>
          <t>li-4371578402</t>
        </is>
      </c>
      <c r="B58" t="inlineStr">
        <is>
          <t>Lead Data Scientist</t>
        </is>
      </c>
      <c r="C58" t="inlineStr">
        <is>
          <t>Stellar Consulting Solutions, LLC</t>
        </is>
      </c>
      <c r="D58" t="inlineStr">
        <is>
          <t>linkedin</t>
        </is>
      </c>
      <c r="E58">
        <f>HYPERLINK("https://www.linkedin.com/jobs/view/4371578402", "https://www.linkedin.com/jobs/view/4371578402")</f>
        <v/>
      </c>
      <c r="F58" t="inlineStr"/>
      <c r="G58" t="inlineStr">
        <is>
          <t>Pleasanton, CA</t>
        </is>
      </c>
      <c r="H58" t="inlineStr"/>
      <c r="I58" t="inlineStr">
        <is>
          <t>**Role:\-** 
**Lead** 
**Data Scientist** 
**Location:\-** 
**Pleasanton, CA** 
**Contract :\- Contract** 
 Rate: $75\-80/hr on W2
**Job Overview**
 :
 Lead Data Scientist
 Understand the frameworks used currently in terms of recommender system pipelines
 Come up with ways to improve the current algorithms and pipelines, responsible for the end\-to\-end testing of the algorithm along with collaborating with the MLOps team to see the model through
 Dataset Gathering \- Collect Data
 Transformer Architecture \- 1\. Customer Sequence Modeling, 2\. Multi Modal and Variable Length Inputs
 Offline Model \- 1\. Build Offline Model, 2\. Hyperparameter Tuning
 Build Online Inference Path \- 1\. Combine Offline with real time session features
 Data Quality \- 1\. Deployment, 2\. Success Metric Improvement</t>
        </is>
      </c>
    </row>
    <row r="59">
      <c r="A59" t="inlineStr">
        <is>
          <t>li-4372174788</t>
        </is>
      </c>
      <c r="B59" t="inlineStr">
        <is>
          <t>Data Scientist - Applied AI Research</t>
        </is>
      </c>
      <c r="C59" t="inlineStr">
        <is>
          <t>Fidelity Investments</t>
        </is>
      </c>
      <c r="D59" t="inlineStr">
        <is>
          <t>linkedin</t>
        </is>
      </c>
      <c r="E59">
        <f>HYPERLINK("https://www.linkedin.com/jobs/view/4372174788", "https://www.linkedin.com/jobs/view/4372174788")</f>
        <v/>
      </c>
      <c r="F59" t="inlineStr"/>
      <c r="G59" t="inlineStr">
        <is>
          <t>Roanoke, TX</t>
        </is>
      </c>
      <c r="H59" t="inlineStr"/>
      <c r="I59" t="inlineStr">
        <is>
          <t>**Job Description**
**The Role**
 The Data Scientist \- Applied AI Research will ideate, design, and develop NLP across our products. You will partner with other teams on technical matters and work closely with our engineers. The ideal candidate will be comfortable reading academic papers and designing experiments to assess utility of any new ideas.
* Work closely with the Agile team members to bring ML solutions into the product
* Benchmark and optimize existing ML solutions performance (e.g, model footprint or latency)
* Deliver reports on a sprint cadence
* Peer review code and reports written by teammates
* Bring good ideas during brainstorming sessions
**The Expertise And Skills You Bring**
* 1\+ years of Data Science experience, specializing with NLP.
* 1\+ years of generative AI experience including LLMs, Agents, MCPs, etc
* 1\+ years of experience working in an Agile environment.
* 1\+ years of experience with AWS products in a Linux environment. Experience with other cloud services can also count towards this.
* Experience developing and optimizing solutions from transformer\-based, fastText\-based or ensemble based models.
* Experience with Pytorch
* Understanding of text representation techniques and classification algorithms
* Deep understanding of experiment design and documentation
* Statistical acumen and experience applying statistical concepts to data science experiments.
* Deep knowledge of machine learning algorithms, with the ability to choose the optimal algorithm for a given problem.
* Ability to write robust and testable code, in Python
* Ability to write/read bash shell scripts, and comfortable on the Linux command line.
* Masters Degree or higher in a quantitative subject: Mathematics, Physics, Computer Science, Computational Linguistics, or similar.
**The Team**
 The Fidelity Labs Saifr team is missioned with bringing new products and capabilities to market, holding end to end responsibility for full solution development. We will introduce new products to market to be used daily across the globe, across all devices \&amp; browsers. The team experience is collaborative, innovative and engaged in a start\-up like atmosphere. This role has high visibility and potential in the organization. Our agile teams are based in multiple locations, predominantly in Boston, Dublin, Bangalore and Westlake. Scrum teams work on all aspects of our products and work interactively.
**Certifications**
 Category:
 Data Analytics and Insights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60">
      <c r="A60" t="inlineStr">
        <is>
          <t>li-4346479557</t>
        </is>
      </c>
      <c r="B60" t="inlineStr">
        <is>
          <t>Data Scientist</t>
        </is>
      </c>
      <c r="C60" t="inlineStr">
        <is>
          <t>PPG</t>
        </is>
      </c>
      <c r="D60" t="inlineStr">
        <is>
          <t>linkedin</t>
        </is>
      </c>
      <c r="E60">
        <f>HYPERLINK("https://www.linkedin.com/jobs/view/4346479557", "https://www.linkedin.com/jobs/view/4346479557")</f>
        <v/>
      </c>
      <c r="F60" t="inlineStr"/>
      <c r="G60" t="inlineStr">
        <is>
          <t>Pittsburgh, PA</t>
        </is>
      </c>
      <c r="H60" t="inlineStr"/>
      <c r="I60" t="inlineStr">
        <is>
          <t>**Job Description**
 PPG Digital Organization is seeking to drive growth and improve productivity for the company at scale in the areas of formulation development (new product development), product quality (manufacturing), and color matching. We are seeking a creative and motivated
 **Data Scientist** 
 to join our team to use scientific knowledge and translate to digital solutions.
 As a
 **Data Scientist** 
 , and member of our PPG Digital Organization, you'll be contributing to specific business projects utilizing machine learning, computer vision, advanced statistical analysis, data mining, optimization, and data visualization methods to drive product and service development that lie at the intersection of both digital and physical sciences. You will make recommendations on the data and provide insights into seeking rapid solutions through agile teams / sprints.
**Key Responsibilities**
* Devising and applying state of the art algorithms related to deep learning and reinforcement learning.
* Evaluate AI/ML readiness and provide data acquisition recommendations to bridge gaps
* Visualize data to discover and communicate solutions and opportunities.
* Application of advanced statistics on scientific problems.
* Producing meaningful and actionable results quickly with teams
* Employ Machine learning sub fields such as:
+ Multivariate data analysis and clustering based models
+ Classification \- discrete events and perceptions (image, voice, and text)
+ Regression models
+ Multi\-objective optimization
* Stay current of trends in applied machine learning, computer vision and advanced statistics.
* Collaborate with external partners to bring groundbreaking results to PPG operations.
* Work with global teams to translate innovative ideas into deployable digital products and services with quantifiable business impact.
**Qualifications**
* Ph.D. in Chemical Engineering, Chemistry, Polymer Science or equivalent
* Strong proficiency in machine learning, with experience in unstructured/cognitive learning algorithms.
* Strong proficiency with Python
* Minimum of 5 years of experience using data analysis techniques to solve business related problems regardless of industry. (School internship experience can count)
**Preferred Qualifications**
* Experience in delivering results at the intersection of machine learning, computer vision, engineering and material sciences
* Experience with Matlab, R and/or other statistical programming languages applying the appropriate statistical procedures to problems.
* Experience with state\-of\-the\-art deep learning frameworks such as TensorFlow, PyTorch, Keras or comparable technologies.
* Six Sigma methodology experience (Yellow belt and above).
* Experience working with both structured and distributed data technologies ranging from SQL to Hadoop, Hive and Spark.
* Experience with agile development methodology.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At PPG we use AI in the hiring process to make the process more efficient. AI tools do not make hiring decisions. You can learn more by going to https://careers.ppg.com/us/en/candidate\-resources.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61">
      <c r="A61" t="inlineStr">
        <is>
          <t>li-4363994573</t>
        </is>
      </c>
      <c r="B61" t="inlineStr">
        <is>
          <t>Data Scientist Senior - AI/ ML</t>
        </is>
      </c>
      <c r="C61" t="inlineStr">
        <is>
          <t>USAA</t>
        </is>
      </c>
      <c r="D61" t="inlineStr">
        <is>
          <t>linkedin</t>
        </is>
      </c>
      <c r="E61">
        <f>HYPERLINK("https://www.linkedin.com/jobs/view/4363994573", "https://www.linkedin.com/jobs/view/4363994573")</f>
        <v/>
      </c>
      <c r="F61" t="inlineStr"/>
      <c r="G61" t="inlineStr">
        <is>
          <t>Tampa, FL</t>
        </is>
      </c>
      <c r="H61" t="inlineStr"/>
      <c r="I6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 Bank AI/ML team is looking to fill several Senior Data Science positions. Candidates with backgrounds in model development for credit risk, marketing, or everyday banking are preferred.
 As a dedicated Data Scientist Senior you will translate business problems into applied statistical, machine learning, simulation, and optimization solutions to advise actionable business insights and drive business value through automation, revenue generation, and expense and risk reduction. In collaboration with engineering partners, delivers solutions at scale, and enables customer\-facing applications. Leverages database, cloud, and programming knowledge to build analytical modeling solutions using statistical and machine learning techniques. Collaborates with other data scientists to improve USAA’s tooling, growing the company’s library of internal packages and applications. Works with model risk management to validate the results and stability of models before being pushed to production at scale.
 We offer a flexible work environment that requires an individual to be
 **in the office 4 days per week.** 
 This position can be based in one of the following locations: San Antonio, TX, Plano, TX, Phoenix, AZ, Colorado Springs, CO, Charlotte, NC, or Tampa, FL.
 Relocation assistance is available for this position.
**What You'll Do**
* Gathers, interprets, and manipulates structured and unstructured data to enable advanced analytical solutions for the business.
* Develops scalable, automated solutions using machine learning, simulation, and optimization to deliver business insights and business value.
* Selects the appropriate modeling technique and/or technology with consideration to data limitations, application, and business needs.
* Develops and deploys models within the Model Development Control (MDC) and Model Risk Management (MRM) framework.
* Composes, and assists peers with composing, technical documents for knowledge persistence, risk management, and technical review audiences.
* Assesses business needs to propose/recommend analytical and modeling projects to add business value. Works with business and analytics leaders to prioritize analytics and modeling problems/research efforts.
* Builds and maintains a robust library of reusable, production\-quality algorithms and supporting code, to ensure model development and research efforts are transparent and based on the highest quality data.
* Translates complex business request(s) into specific analytical questions, executes on the analysis and/or modeling, and then communicates outcomes to non\-technical business colleagues with focus on business action and recommendations.
* Manages project milestones, risks, and impediments. Escalates potential issues that could limit project success or implementation.
* Develops best practices for engaging with Data Engineering and IT to deploy production\-ready analytical assets consistent with modeling best practices and model risk management standards.
* Maintains expertise and awareness of cutting\-edge techniques. Actively seeks opportunities and materials to learn new techniques, technologies, and methodologies.
* Serves as a mentor to junior data scientists in modeling, analytics, and computer science tasks.
* Participates in internal communities that drive the maintenance and transformation of data science technologies and culture.
* Ensures risks associated with business activities are effectively identified, measured, monitored, and controlled in accordance with risk and compliance policies and procedures.
**What You Have**
* Bachelor’s degree in mathematics, computer science, statistics, economics, finance, actuarial sciences, science and engineering, or other similar quantitative discipline; OR 4 years of experience in statistics, mathematics, quantitative analytics, or related experience (in addition to the minimum years of experience required) may be substituted in lieu of degree.
* 6 years of experience in a predictive analytics or data analysis OR Advanced Degree (e.g., Master’s, PhD) in mathematics, computer science, statistics, economics, finance, actuarial sciences, science and engineering, or other similar quantitative discipline and 4 years of experience in predictive analytics or data analysis.
* 4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
* Proven experience writing code that is easy to follow, well documented, and commented where necessary to explain logic (high code transparency).
* Strong experience in querying and preprocessing data from structured and/or unstructured databases using query languages such as SQL, HQL, NoSQL, etc.
* Strong experience in working with structured, semi\-structured, and unstructured data files such as delimited numeric data files, JSON/XML files, and/or text documents, images, etc.
* Demonstrated skill in performing ad\-hoc analytics using descriptive, diagnostic, and inferential statistics.
* Ability to assess and articulate regulatory implications and expectations of distinct modeling efforts.
* Advanced experience with the concepts and technologies associated with classical supervised modeling for prediction such as linear/logistic regression, discriminant analysis, support vector machines, decision trees, forest models, etc.
* Advanced experience with the concepts and technologies associated with unsupervised modeling such as k\-means clustering, hierarchical/agglomerative clustering, neighbors algorithms, DBSCAN, etc.
* Experience guiding and mentoring junior technical staff in business interactions and model building.
* Experience communicating analytical and modeling results to non\-technical business partners with emphasis on business recommendations and actionable applications of results.
**What Sets You Apart**
* Medium or large bank experience.
* Strong knowledge of Python and/or SAS.
* Control partner collaboration experience.
* Knowledge of Model Risk Management, Model Governance, and Regulatory requirements.
**Compensation range:** 
 The salary range for this position is: $143,320 \- $273,930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62">
      <c r="A62" t="inlineStr">
        <is>
          <t>li-4372225043</t>
        </is>
      </c>
      <c r="B62" t="inlineStr">
        <is>
          <t>Data Scientist</t>
        </is>
      </c>
      <c r="C62" t="inlineStr">
        <is>
          <t>CACI International Inc</t>
        </is>
      </c>
      <c r="D62" t="inlineStr">
        <is>
          <t>linkedin</t>
        </is>
      </c>
      <c r="E62">
        <f>HYPERLINK("https://www.linkedin.com/jobs/view/4372225043", "https://www.linkedin.com/jobs/view/4372225043")</f>
        <v/>
      </c>
      <c r="F62" t="inlineStr"/>
      <c r="G62" t="inlineStr">
        <is>
          <t>Lackland Air Force Base, TX</t>
        </is>
      </c>
      <c r="H62" t="inlineStr"/>
      <c r="I62" t="inlineStr">
        <is>
          <t>Job Title: Data Scientist
 Job Category: Science
 Time Type: Full time
 Minimum Clearance Required to Start: TS/SCI
 Employee Type: Regular
 Percentage of Travel Required: Up to 10%
 Type of Travel: Local
 \* \* \*
**The Opportunity**
 CACI is seeking a motivated Data Scientist (AI/ML Engineer) to develop and deploy complex Artificial Intelligence systems in support of defending the Department of Defense Air Force Information Network (AFIN). This role requires the application of advanced anomaly detection algorithms for identifying and isolating malicious threats. Methodologies will include, but are not limited to, supervised and unsupervised learning, Graph Neural Networks, and Deep Learning models.
 The Data Scientist will collaborate with a core group of senior software engineers and analytic developers to curate various technical products such as Big Data analytics, data dashboard visualizations, and cross\-domain data traversal solutions. These products will equip our customers with the tools and knowledge necessary to better understand, plan, manage, and safeguard the AFIN.
 The candidate must be able to work within a fast\-paced and cutting\-edge team. You will drive our cyber threat intelligence and detection mission by providing expert leadership and mentorship in the application of advanced AI/ML solutions. Additional responsibilities will include assisting in cultivating analyst/end\-user experience, data visualization, designing documentation, coding, code reviews, and analytic testing. You will also provide technical direction and research capabilities to the team responsible for the design, implementation, testing, deployment, and operation of the 35th IS’s cyber threat intelligence detection methods and the systems enabling their execution.
**Responsibilities**
* Architect, build, and deploy high\-performance ML models into production, ensuring scalability, reliability, and low latency.
* Lead key phases of the ML lifecycle, from data preparation and model development to evaluation and monitoring, while working within mission\-aligned constraints and collaborating across teams to evolve the pipeline responsibly.
* Develop and implement state\-of\-the\-art algorithms, specifically utilizing neural networks, including graph neural networks.
* Work closely with Product Managers, Software Engineers, and Government Stakeholders to align technical solutions with platform goals.
* Improve model performance through feature engineering, hyperparameter tuning, and advanced experimentation.
* Mentor junior software developers and provide technical guidance/expertise.
* Ensure appropriate documentation is developed in conjunction with all delivered analytics.
* Troubleshoot issues with existing analytics and processes, and research/implement solutions.
* Use your experience to guide analytic approaches or solutions to problems and situations for which information is incomplete or for which no precedent exists.
**Qualifications**
*Required:*
* Active TS/SCI security clearance.
* Master’s degree in data science, AI, or a related quantitative field.
* DOD Directive 8570 IAT I or II certification (Security\+ or equivalent).
* 5\+ years of industry experience in Machine Learning, with a focus on deploying models into production.
* Deep knowledge of ML frameworks such as PyTorch or TensorFlow.
* Strong command of Python. Experience with machine learning libraries such as Spark MLlib, Scikit\-learn, XGBoost, Keras, Hugging Face, PyTorch Geometric, MLflow.
* Extensive experience incorporating data from multiple sources, labeling data to make it more discoverable for training purposes and identifying hidden patterns.
* Experience with data visualization libraries and tools such as Matplotlib, Grafana, or Kibana.
* Ability to communicate complex problems and corresponding solutions with non\-technical leadership and customers.
* This position may require up to 10% travel within the Continental United States (CONUS).
**Desired**
* 2\+ years developing efficient analytic solutions at scale (operating over multiple PB of data).
* Experience with search technologies such as Elasticsearch (ELK stack) and Lucene.
* Experience with Confluence/Jira page and ticket development and organization.
* Experience with Docker/Kubernetes and building containerized products.
* Experience with CI/CD pipelines and Git\-related tools.
* Experience with data pipelines \- Pandas, NumPy, NiFi, and Kafka or similar libraries and technologies.
* Experience with collaborative platforms such as Jira and Confluence.
* Knowledge of professional software engineering practices and best practices for the full software development life cycle, including coding standards, code reviews, source control management, build processes, testing, and operations.
* Familiarity with network defense concepts and operations.
* Familiarity with cybersecurity principles and threat hunting methodologies.
* Familiarity with how to collect, store, and monitor data.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$93,500 \- $196,500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63">
      <c r="A63" t="inlineStr">
        <is>
          <t>li-4365353708</t>
        </is>
      </c>
      <c r="B63" t="inlineStr">
        <is>
          <t>Data Scientist</t>
        </is>
      </c>
      <c r="C63" t="inlineStr">
        <is>
          <t>Booz Allen Hamilton</t>
        </is>
      </c>
      <c r="D63" t="inlineStr">
        <is>
          <t>linkedin</t>
        </is>
      </c>
      <c r="E63">
        <f>HYPERLINK("https://www.linkedin.com/jobs/view/4365353708", "https://www.linkedin.com/jobs/view/4365353708")</f>
        <v/>
      </c>
      <c r="F63">
        <f>HYPERLINK("https://careers.boozallen.com/careers/JobDetail?jobId=119830&amp;source=JB-16500&amp;urlHash=PSfZ", "https://careers.boozallen.com/careers/JobDetail?jobId=119830&amp;source=JB-16500&amp;urlHash=PSfZ")</f>
        <v/>
      </c>
      <c r="G63" t="inlineStr">
        <is>
          <t>San Antonio, TX</t>
        </is>
      </c>
      <c r="H63" t="inlineStr"/>
      <c r="I63" t="inlineStr">
        <is>
          <t>**Job Number: R0232563**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analytical skills and data science knowledge to create real\-world impact. You’ll work closely with your customers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using coding\-based data analysis and querying to solve data\-driven problems in industry, business, or national security, including Python, Pandas, R, or SQL
* 2\+ years of experience using software or code frameworks for statistical analysis and exploratory data analytics to solve data\-driven problems in industry, business, or national security, including Tableau, SAS JMP, QLIK, Palantir, Python, or Seaborn
* Experience developing systems or data pipelines within technical and administrative constraints
* Experience designing and optimizing systems or pipelines in environments with competing parameters
* Experience with cascading effects for system architecture or pipelines
* Ability to contribute to multiple projects at once
* Ability to troubleshoot and push through development issues autonomously
* Ability to travel up to 25% of the time
* Secret clearance
* Bachelor’s degree
**Nice If You Have:**
* 1\+ years of experience performing geospatial data analysis using code\-based frameworks such as Python, GeoPandas, Shapely, or pyproj
* 1\+ years of experience with code\-based web data extraction, including Python with Playwright and lxml, or equivalent
* Experience performing geospatial analysis using off\-the\-shelf software such as ArcGIS and QGIS
* Experience coding or deploying code environments on disconnected or classified environments
* Experience with AI\-enhanced coding, including Cursor and Windsurf
* Top Secret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4">
      <c r="A64" t="inlineStr">
        <is>
          <t>li-4354277059</t>
        </is>
      </c>
      <c r="B64" t="inlineStr">
        <is>
          <t>Associate Data Scientist II</t>
        </is>
      </c>
      <c r="C64" t="inlineStr">
        <is>
          <t>Post Holdings</t>
        </is>
      </c>
      <c r="D64" t="inlineStr">
        <is>
          <t>linkedin</t>
        </is>
      </c>
      <c r="E64">
        <f>HYPERLINK("https://www.linkedin.com/jobs/view/4354277059", "https://www.linkedin.com/jobs/view/4354277059")</f>
        <v/>
      </c>
      <c r="F64">
        <f>HYPERLINK("https://jobs.postholdings.com/postholdings-home/jobs/29900?lang=en-us&amp;iis=Job+Board&amp;iisn=LinkedIn&amp;urlHash=lRyS", "https://jobs.postholdings.com/postholdings-home/jobs/29900?lang=en-us&amp;iis=Job+Board&amp;iisn=LinkedIn&amp;urlHash=lRyS")</f>
        <v/>
      </c>
      <c r="G64" t="inlineStr">
        <is>
          <t>St Louis, MO</t>
        </is>
      </c>
      <c r="H64" t="inlineStr"/>
      <c r="I64" t="inlineStr">
        <is>
          <t>**Business Unit Overview**
 Feeding the world is what we do – how we do it is unique. We are not your textbook consumer packaged goods company. While others may be slow to make change happen, Post continuously drives both inorganic and organic growth. Our history is evidence of that fact with over 100 years of heritage and growth from brands that transcend generations like Honey Bunches of Oats, Fruity Pebbles, Malt\-O\-Meal, Bob Evans, Kibbles 'n Bits, Egg Beaters, Peter Pan peanut butter and more. Our foodservice and ingredient businesses supply other products you love for brands, restaurants and stores.
 We have more than 55 offices and manufacturing sites and approximately 13,000 employees. Over the past 13 years, Post has made 28\+ acquisitions and innovative financial transactions and reached $8\.2 billion in net sales in fiscal 2025\. During turbulent times of market uncertainty, the food industry has provided a level of stability unlike other industries
 Post Holdings, Inc. is a Fortune 500® company headquartered in Brentwood, a suburb of St. Louis, Missouri. Our casual professional atmosphere encourages team members to collaborate, innovate and support our operating companies. Our passion and drive advance the reputation of our operating companies and brands—together, we make a difference.
**Responsibilities**
 The Associate Data Scientist will primarily focus on data science project execution, using Python, Tableau, Azure ML and SQL to solve challenging problems like forecasting and optimization across all business functions within our portfolio including sales, finance, logistics, operations, IT, and HR. The Associate Data Scientist will be responsible for deployment and support of Machine Learning or AI\-enabled software to empower hundreds of decision\-makers with the most accurate information about their business and competitive markets. The Associate Data Scientist will help to identify and introduce new cutting\-edge technologies to Post’s portfolio.
**KEY RESPONSIBLITIES**
***Data Science Execution***
* Contribute to the projects of the data science team, including delivery of high\-quality data, self\-service, and machine learning and Generative AI solutions, aligning to the overall strategic objectives.
* Apply cutting\-edge data science tools to enable Post Holdings and its divisions to make better decisions with data.
* Consult with marketing, sales, finance, manufacturing, and supply chain teams to understand the highest\-value business problems and create data science applications with quantifiable revenue lift or cost avoidance.
* Manage machine learning deployments to continually deliver robust, accurate forecasts or recommendations.
* Manage small projects where Associate Data Scientist is the only developer.
* Consult with internal stakeholders to drive delivering on the scope, success metrics, and delivery timeline.
* Develop clear and intuitive data visualizations and dashboards in Tableau, model data with dbt and SQL and present exploratory data analysis results to stakeholders.
* Communicate status, priorities and issues with data science leadership, project stakeholders and teammates in a timely manner.
***Cultivate a Data Driven Culture***
* Grow data literacy across the Post Holdings organization to where decisions at all levels are guided by data and analytics.
* Summarize and present key results from projects that leverage data science to help solve key business problems.
* Contribute to the corporate knowledge of data science and data culture and assist others as they learn data science.
* Become an expert on new features within the tool stack (dbt, Tableau, Snowflake and Data Science Python libraries) and share knowledge with others through Post’s training channels.
* Drive innovation by keeping abreast of emerging technologies and foster development of the team’s skill base.
* Prototype new tools and analysis methods with the intent of growing analytics, machine learning, and data science in every area of the company.
* Create documented procedures for configuring, maintaining, upgrading, testing, and coding of analytic applications.
* Visualize data in new and innovative ways to drive deeper understanding of the data for technical and non\-technical stakeholders.
* Partner with data scientists and champion best practices for algorithm development and cloud deployment.
* Continuously enhance existing development programs to teach practical applications of data science to young talent and elevate the skills of surrounding team members.
**Qualifications**
**QUALIFICATIONS / SKILLS**
* 3\+ years of experience with collaborative data science or data analytic projects with technical and non\-technical stakeholders, driving and communicating tangible business value succinctly.
* Bachelor’s degree in Computer Science, Management Information Systems, Economics, Finance, Business, Mathematics, Statistics, or other quantitative subject required, advanced degree preferred
* Functional experience in an object\-oriented programming language (Python 3\.x preferred)
* Knowledge of software design (libraries, classes, functions), testing (logging, debugging), and versioning (Git, continuous deployment)
* Experience with machine learning platforms and cloud computing, e.g., Microsoft Azure ML (preferred), Amazon SageMaker, Google Vertex AI
* Demonstrated expertise in open\-source libraries for advanced data analysis, statistical/machine learning models, and optimization, e.g. pandas, sci\-kit learn, scipy, and ortools for Python.
* Working knowledge or familiarity with business intelligence, reporting, or data visualization software packages (Tableau, PowerBI, Looker, Cognos, R Shiny, D3, Python matplotlib)
* Working knowledge in any SQL dialect and knowledge of relational database development in SQL, maintenance, and exception testing experience required (Snowflake, Oracle, or other).
* Experience with data modeling strategies, ETL architecture, and related technical documentation, understanding of universe structure types and corresponding functionality, ability to design, execute, and document test scenarios
* Advanced user in Microsoft Office Suite, including Excel, Word, PowerPoint \&amp; Visio
* Knowledge of SDLC/RDLC/DCLC, waterfall, and agile methodologies and practical application when managing or participating in any project, enhancements to database or system configuration, or fulfilling a request for data / reporting
* Wide degree of creativity and initiative in problem solving, as well as a drive to streamline / automate / improve and innovate
* Excellent written and verbal communication skills, including the ability to concisely convey analytical interpretation and/or data issues to non\-technical individuals
* Team player mentality that is results driven, customer focused, values learning and innovation
* Exhibit trustworthiness, expertise, and the capacity to lead through influence
* Self\-motivated, strong attention to detail, curious and strong desire to learn
 This is a hybrid role based in St. Louis. In\-office days are Tuesdays, Wednesdays and Thursdays.</t>
        </is>
      </c>
    </row>
    <row r="65">
      <c r="A65" t="inlineStr">
        <is>
          <t>li-4372213607</t>
        </is>
      </c>
      <c r="B65" t="inlineStr">
        <is>
          <t>Applied Scientist, Prime Video - Content Generation</t>
        </is>
      </c>
      <c r="C65" t="inlineStr">
        <is>
          <t>Prime Video &amp; Amazon MGM Studios</t>
        </is>
      </c>
      <c r="D65" t="inlineStr">
        <is>
          <t>linkedin</t>
        </is>
      </c>
      <c r="E65">
        <f>HYPERLINK("https://www.linkedin.com/jobs/view/4372213607", "https://www.linkedin.com/jobs/view/4372213607")</f>
        <v/>
      </c>
      <c r="F65" t="inlineStr"/>
      <c r="G65" t="inlineStr">
        <is>
          <t>Sunnyvale, CA</t>
        </is>
      </c>
      <c r="H65" t="inlineStr"/>
      <c r="I6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We are looking for an Applied Scientist to push the envelope of AI content generation. As a scientist at Prime Video, you will contribute directly to productions using innovative tools in computer vision, deep learning, and generative AI to transform entertainment experiences. The ideal candidate has deep knowledge in one of: graphics, deep learning, generative AI and/or reinforcement learning and experience applying them real\-world problems. You understand tradeoffs between business needs and model complexity, and you take calculated risks in developing rapid prototypes and iterative model improvements. You are excited to learn from and alongside seasoned scientists, engineers, and business leaders. You are an excellent communicator and effectively translate technical findings into production systems and business action (and customer delight).
 Key job responsibilities
* Build generative AI models that create production\-ready content, including movie content, localized assets, and visual marketing materials used across Prime Video's global platform.
* Drive end\-to\-end machine learning projects that have a high degree of ambiguity, scale, complexity.
* Build machine learning models, perform proof\-of\-concept, experiment, optimize, and deploy your models.
* Run experiments, gather data, and perform statistical analysis.
* Establish scalable, efficient, automated processes for large\-scale data analysis, machine\-learning model development, model validation and serving.
* Research new and innovative machine learning approaches.
* Share knowledge and research outcomes via internal and external conferences and journal publications
 A day in the life
 In this role, you will invent science and systems for content localization, generation, including graphics and machine learning\-based modeling systems. You will work with a team of scientists and product managers to design customer\-facing products, and you will work with technology teams to productize and maintain the associated solutions.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of building models for business application experience
**Preferred Qualifications**
* Have publications on top\-tier conferences, such as CVPR, ICCV, ECCV or NeurIPS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**Company** 
 \- Amazon.com Services LLC
 Job ID: A3180009</t>
        </is>
      </c>
    </row>
    <row r="66">
      <c r="A66" t="inlineStr">
        <is>
          <t>li-4363916173</t>
        </is>
      </c>
      <c r="B66" t="inlineStr">
        <is>
          <t>Senior Data Scientist</t>
        </is>
      </c>
      <c r="C66" t="inlineStr">
        <is>
          <t>Infosys</t>
        </is>
      </c>
      <c r="D66" t="inlineStr">
        <is>
          <t>linkedin</t>
        </is>
      </c>
      <c r="E66">
        <f>HYPERLINK("https://www.linkedin.com/jobs/view/4363916173", "https://www.linkedin.com/jobs/view/4363916173")</f>
        <v/>
      </c>
      <c r="F66" t="inlineStr"/>
      <c r="G66" t="inlineStr">
        <is>
          <t>San Francisco, CA</t>
        </is>
      </c>
      <c r="H66" t="inlineStr"/>
      <c r="I66" t="inlineStr">
        <is>
          <t>Infosys is seeking a dynamic and visionary
 **Senior Data Scientist** 
 to lead transformative digital initiatives for our global clients. In this strategic role, you will drive end\-to\-end consulting engagements from problem definition and business process analysis to solution architecture, development, and deployment within a global delivery framework. You will also play an important role in the development, configuration and deployment of the overall solution. You will guide teams on project processes, deliverables and contribute to the proposal development, client training and internal capability building and help detail the project scope. You will have the opportunity to shape value\-adding consulting solutions that enable our clients to meet the changing needs of the global landscape.
**Required Qualifications**
* Bachelor’s degree or foreign equivalent required from an accredited institution. Will also consider three years of progressive experience in the specialty in lieu of every year of education.
* Candidate must be located within the commuting distance of San Francisco, CAor be willing to relocate to any of these locations.
* Candidates authorized to work for any employer in the United States without employer\-based visa sponsorship are welcome to apply. Infosys is unable to provide immigration sponsorship for this role at this time
* At least 11 years of experience with Information Technology.
* Proven years of experience in Data, Analytics and AI preferably in the Retail CPG \&amp; logistics domain
* Expereince in Generative AI and Strategy implementation
* Able to lead the team at customer location and experience in managing large teams in a global delivery model
* Able to understand the architecture on any Cloud Data Platform / Hyperscaler and identify potential opportunities for improvement.
**Preferred Qualifications:**
* Ability to drive business growth by supporting pursuit initiatives, crafting compelling proposals, and presenting value\-driven solutions, build and nurture long\-term client relationships through strategic insights and delivery excellence.
* Ability to work in teams in a diverse, multi\-stakeholder environment comprising of Business and Technology teams, thrive in a culture that values continuous learning, innovation, and diversity.
* Experience and desire to work in a global delivery environment, collaborate with global teams to deliver excellence and foster a high\-performance environment.
*The job entails sitting as well as working at a computer for extended periods of time. Should be able to communicate by telephone, email or face to face. Travel may be required as per the job requirements.*
**Benefits**
 Along with competitive pay, as a full\-time Infosys employee you are also eligible for the following benefits:
* Medical/Dental/Vision/Life Insurance
* Long\-term/Short\-term Disability
* Health and Dependent Care Reimbursement Accounts
* Insurance (Accident, Critical Illness ,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67">
      <c r="A67" t="inlineStr">
        <is>
          <t>li-4371703025</t>
        </is>
      </c>
      <c r="B67" t="inlineStr">
        <is>
          <t>Data Scientist</t>
        </is>
      </c>
      <c r="C67" t="inlineStr">
        <is>
          <t>Jobs via Dice</t>
        </is>
      </c>
      <c r="D67" t="inlineStr">
        <is>
          <t>linkedin</t>
        </is>
      </c>
      <c r="E67">
        <f>HYPERLINK("https://www.linkedin.com/jobs/view/4371703025", "https://www.linkedin.com/jobs/view/4371703025")</f>
        <v/>
      </c>
      <c r="F67">
        <f>HYPERLINK("https://click.appcast.io/t/05O0pN6HRPF1TTxOtLiqs3xWfUg3pQM8BbNHLyEJ0yM=&amp;urlHash=J42c", "https://click.appcast.io/t/05O0pN6HRPF1TTxOtLiqs3xWfUg3pQM8BbNHLyEJ0yM=&amp;urlHash=J42c")</f>
        <v/>
      </c>
      <c r="G67" t="inlineStr">
        <is>
          <t>San Jose, CA</t>
        </is>
      </c>
      <c r="H67" t="inlineStr"/>
      <c r="I67" t="inlineStr">
        <is>
          <t>Dice is the leading career destination for tech experts at every stage of their careers. Our client, Zinoit Tech LLC, is seeking the following. Apply via Dice today!
**Position: Data Scientist**
**Location: San Jose, CA, 95113**
**Job Description:**
* Proficient in SQL (knowledge of PySpark will be excellent) Can do basic modeling (Regression, Decision Tree, Clustering) Understands the business and is business\-facing
* DATA ANALYTICS \- ADVANCED STATISTICAL ANALYSIS \&amp; MODELING
* Proficient in SQL (knowledge of PySpark will be excellent) Can do basic modeling (Regression, Decision Tree, Clustering) Understands the business and is business\-facing
* We’re looking for someone to be present in the Cupertino office (min three days a week \- Tues, Wed, Thur)</t>
        </is>
      </c>
    </row>
    <row r="68">
      <c r="A68" t="inlineStr">
        <is>
          <t>li-4371432943</t>
        </is>
      </c>
      <c r="B68" t="inlineStr">
        <is>
          <t>Data Scientist II for Published Clinical Evidence &amp; Competitive Intelligence Insights</t>
        </is>
      </c>
      <c r="C68" t="inlineStr">
        <is>
          <t>BioSpace</t>
        </is>
      </c>
      <c r="D68" t="inlineStr">
        <is>
          <t>linkedin</t>
        </is>
      </c>
      <c r="E68">
        <f>HYPERLINK("https://www.linkedin.com/jobs/view/4371432943", "https://www.linkedin.com/jobs/view/4371432943")</f>
        <v/>
      </c>
      <c r="F68" t="inlineStr"/>
      <c r="G68" t="inlineStr">
        <is>
          <t>Cambridge, MA</t>
        </is>
      </c>
      <c r="H68" t="inlineStr"/>
      <c r="I68"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AbbViesglobalInformation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thatimpactadvancement in our pipeline. The team is a global organization, with presences at the Lake County, Illinois headquarters and Boston, Massachusetts areas (US), as well as the Ludwigshafen site (Germany). Leveragingcutting\-edgetechnologies and scientificexpertise, we deliver industry\-leading capabilities to harness insights from published content for high\-impact decision\-making.Our teampossessesthe scientific and technicalexpertisetoutilizeand provide guidance on a wide range of knowledge sources, ensuring high\-quality answers for our clients.
 The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literature,patent,conference, news, clinicaltrial, and competitive intelligence data such as competitor pipelines.
 The Data Scientist should have sufficiently strong background in both science and technology to fulfil this role anddemonstratehigh motivation to expand their knowledge in a pharma context and as SME for key client groups. The role is expected to collaborate effectively within SPICE, EKA, and the larger IR organization, driving impactful results for all of AbbVie. Responsibilities include developing novel AI\-based capabilities for extracting, harmonizing, andmonitoringpublished clinical trial data, real\-world evidence, and other competitive insights. They will closely collaborate with internal expert teams to define requirements and integrate manually curated data and insights, thereby supporting pipeline strategy, corporate strategy, and commercial teams with essential intelligence for advancing AbbVies pipeline.
**Responsibilities**
* Leverage scientific domain and technical knowledge to support clients across AbbVie with the most relevant information and published insights for decision\-making. Key focus: Competitive Intelligence, Corporate and Pipeline Strategy groups and data.
* Build and design new methods and automated workflows to systematicallyidentify, extract, normalize and database key insights and evidence from publications as well as other published sources using GenAI and otherstate\-of\-the\-arttechnology and data science solutions
* Work with key stakeholders and expert teams toidentifynovel sources for manually curated competitive intelligence and clinical trial data and integrate in existing workflows to democratize access across AbbVie
* Support efforts for streamlining AbbVies systematic literature review process and knowledge extraction from (full\-text) publication resources
* Provide unique scientific insights andexpertiseby designing and developing solutions for finding, extracting, curating, and visualizing knowledge from published and internal data
* Monitor and be attuned tonewtechnologytrends relevant for knowledge analysis and insights discovery
* Achievegreat results,while overwhelminglydemonstratingkey AbbVie values and behaviors.
**Qualifications**
 Required:
* Bachelors degree (with 5 years of experience), Masters (4years), or Ph.D. (0\-2 years) in life sciences, medicine, pharmacy, bioinformatics, biomedical/clinical data science, or related field
* Solid scientific domain knowledge in late\-stage pharmaceutical developmentMedical Affairs, Clinical Development, Pharmacovigilance, HEOR, Epidemiologyproven by education or work experience
* Solid programming and informatics/data science/computer science background. Proficiency in Python.
* Experience analyzing publications, especially scientific literature
* Proven ability to translate complex scientific or clinical questions into actionable solutions and insights
* Initial experience with data consolidation, standardization, optimization, or exploratory data analysis
* Experience with relational databases and SQL (e.g., Oracle, Apache Hadoop)
* Strong analytical skills to process, analyze, visualize, and present results
* Systematic problem\-solving mindset, reliability, superior attention to detail
* Good communication skills for interdisciplinary teams and various audiences
* Good organizational skills: balance taking direction (from sponsors, partners, clients) with initiative for multiple projects
* Comfortable working in a dynamic, collaborative, fast\-paced environment with constantly shifting priorities
* Innate scientific curiosity, technical creativity, and innovative thinking. Motivated to break new ground in the field of information analysis and insights generation.
* Fluency in English
**Beneficial**
* Pharmaceutical industry experience.
* Experience with front\-end technologies (HTML, JavaScript, CSS, React)
* Basic working experience with Linux/Unix\-based OS and Docker
* Experience with GenAI models for knowledge extraction, their pitfalls, prompting and embedding them within Python workflows
* Basic understanding of agents/agentic workflows (MCP, A2A)
* Experience with drug pipeline or trial competitive intelligence databases (e.g., Clarivates Cortellis, Citelines Trialtrove, Pharmaprojects)
* Experience with data pipeline frameworks, text mining, NLP, semantic enrichment, ontologies, or data mining
* Knowledge of technologies for retrieval, analysis, and visualization (e.g., REST APIs, XML, JSON, Python libraries like Pydantic)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andwemayultimatelypaymore or less than the posted range. This range may bemodifiedin thefuture.
* We offer a comprehensive package of benefits including paid time off (vacation, holidays, sick),medical/dental/visioninsurance and 401(k) to eligibleemployees.
* This job is eligible toparticipatein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employeeremainsin the Company's sole andabsolutediscretion unless and until paid andmay bemodifiedat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69">
      <c r="A69" t="inlineStr">
        <is>
          <t>li-4372201911</t>
        </is>
      </c>
      <c r="B69" t="inlineStr">
        <is>
          <t>Applied Scientist, Robotics Delivery and Packaging Innovation (RDPI)</t>
        </is>
      </c>
      <c r="C69" t="inlineStr">
        <is>
          <t>Amazon</t>
        </is>
      </c>
      <c r="D69" t="inlineStr">
        <is>
          <t>linkedin</t>
        </is>
      </c>
      <c r="E69">
        <f>HYPERLINK("https://www.linkedin.com/jobs/view/4372201911", "https://www.linkedin.com/jobs/view/4372201911")</f>
        <v/>
      </c>
      <c r="F69" t="inlineStr"/>
      <c r="G69" t="inlineStr">
        <is>
          <t>Bellevue, WA</t>
        </is>
      </c>
      <c r="H69" t="inlineStr"/>
      <c r="I69" t="inlineStr">
        <is>
          <t>**Description**
 Do you want to be part of a team that's revolutionizing Amazon's fulfillment and packaging technology? Are you ready to optimize systems that process tens\-of\-millions of customer packages daily with the lowest cost to serve and a defect\-free customer experience? Do you have a passion for solving complex science challenges and building a sustainable e\-commerce experience?
 The Robotics Delivery and Packaging Innovation (RDPI) team is seeking an Applied Scientist who will join a team of experts in the field of Machine Learning (ML), Statistics, Operations Research, Computer Vision and Generative AI to work together to break new ground in the world of automated packaging solutions. The RDPI team owns mission\-critical automation and packaging solutions that impact billions of customer shipments annually across Amazon’s WW marketplaces. We manage billions of dollars in material spend and packaging labor costs while driving significant reductions in carbon emissions. Our team is revolutionizing e\-commerce through advanced packaging automation, innovative sortation technology, and sustainable solutions. We're dramatically reducing single\-use plastics across our network while developing next\-generation automated solutions that can handle the majority of our packaging needs. We're also transforming our supply chain through strategic investments in paper manufacturing and innovative materials, driving both substantial cost savings and environmental benefits. This is an exciting opportunity to work on large\-scale automation challenges that directly impact customer experience, operational efficiency, and environmental sustainability at one of the world's largest e\-commerce companies.
 You'll work in a collaborative environment where you can pursue ambitious research with many peta\-bytes of data, work on problems that haven’t been solved before, quickly implement and deploy your algorithmic ideas at scale, understand whether they succeed via statistically relevant experiments across millions of customers, and publish your research. You'll see the work you do directly improve the packaging experience of Amazon customers in the fulfillment technology space. If you are interested in robotics, computer vision, machine learning, operations research, statistics, big data, and building scalable solutions, this role is for you.
 Key job responsibilities
 A successful candidate in this role may perform some or all of the following responsibilities:
* Leverage generative AI technologies to develop scalable solutions for automated product compatibility and safety assessments (e.g., evaluating product shipping compatibility, safety requirements, and packaging configurations)
* Develop advanced AI models by extracting predictive features from multiple data sources (product/packaging images, product descriptions, sensor data, geospatial data) to forecast package\-related damages and optimize packaging decisions based on customer preference prediction
* Develop and implement computer vision solutions to automate packaging workflows and detect product/packaging defects in real\-time operations
* Build causal inference model to capture the downstream impacts of different packaging designs and delivery experience
* Design and implement robotic control algorithms to optimize machine efficiency and meet diverse business objectives
 A day in the life
 Scientists on our team work daily with dedicated product and engineering partners to bring innovative solutions from concept to production. You'll divide your time between deep technical work—building models, analyzing results, iterating on algorithms—and collaborative activities like design reviews, stakeholder presentations, and cross\-functional planning. You'll also have opportunities to support science initiatives across the broader RDPI organization (1500\+ people), partnering with diverse teams to solve high\-impact problems and scale your solutions across Amazon.
**About The Team**
 We are a team of scientists with diverse technical backgrounds spanning Machine Learning, Operations Research, Causal Inference, and Econometrics. We tackle complex, high\-impact problems that directly influence Amazon's strategic decisions and financial performance. Our solutions typically require combining multiple methodologies, and you'll work collaboratively with other scientists while partnering closely with product and engineering teams to bring your innovations into production systems. You'll have the opportunity to grow your expertise across disciplines while delivering measurable business impact at scale.
**Basic Qualifications**
* PhD, or Master's degree and 4\+ years of CS, CE, ML or related field experience
* Experience programming in Java, C\+\+, Python or related language
* Experience building machine learning models or developing algorithms for business application
* Experience implementing algorithms using both toolkits and self\-developed code
* Experience applying theoretical models in an applied environment
**Preferred Qualifications**
* Experience in state\-of\-the\-art deep learning models architecture design and deep learning training and optimization and model pruning
* Experience in professional software development
* Experience in designing experiments and statistical analysis of results
* Experience developing and implementing deep learning algorithms, particularly with respect to computer vision algorithms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A3180229</t>
        </is>
      </c>
    </row>
    <row r="70">
      <c r="A70" t="inlineStr">
        <is>
          <t>li-4372217320</t>
        </is>
      </c>
      <c r="B70" t="inlineStr">
        <is>
          <t>Applied Scientist , TSI Science</t>
        </is>
      </c>
      <c r="C70" t="inlineStr">
        <is>
          <t>Amazon</t>
        </is>
      </c>
      <c r="D70" t="inlineStr">
        <is>
          <t>linkedin</t>
        </is>
      </c>
      <c r="E70">
        <f>HYPERLINK("https://www.linkedin.com/jobs/view/4372217320", "https://www.linkedin.com/jobs/view/4372217320")</f>
        <v/>
      </c>
      <c r="F70" t="inlineStr"/>
      <c r="G70" t="inlineStr">
        <is>
          <t>Seattle, WA</t>
        </is>
      </c>
      <c r="H70" t="inlineStr"/>
      <c r="I70" t="inlineStr">
        <is>
          <t>**Description**
 Do you want to join an innovative team of scientists who use machine learning and statistical techniques to help Amazon provide the best customer experience by preventing eCommerce fraud? Are you excited by the prospect of analyzing and modeling terabytes of data and creating state\-of\-the\-art algorithms to solve real world problems? Do you like to own end\-to\-end business problems/metrics and directly impact the profitability of the company? Do you enjoy collaborating in a diverse team environment?
 If yes, then you may be a great fit to join the Amazon Selling Partner Trust \&amp; Store Integrity Science Team. We are looking for a talented scientist who is passionate to build advanced machine learning systems that help manage the safety of millions of transactions every day and scale up our operation with automation.
 Key job responsibilities
 Innovate with the latest GenAI/LLM/VLM technology to build highly automated solutions for efficient risk evaluation and automated operations
 Design, develop and deploy end\-to\-end machine learning solutions in the Amazon production environment to create impactful business value
 Learn, explore and experiment with the latest machine learning advancements to create the best customer experience
 A day in the life
 You will be working within a dynamic, diverse, and supportive group of scientists who share your passion for innovation and excellence.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Track record of leading large\-scale AI transformation projects, and strong publication record in top\-tier conferences/journals such as CVPR, NeuIPS, ICML, ACL, EMNLP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A3179953</t>
        </is>
      </c>
    </row>
    <row r="71">
      <c r="A71" t="inlineStr">
        <is>
          <t>li-4354176422</t>
        </is>
      </c>
      <c r="B71" t="inlineStr">
        <is>
          <t>Staff Data Scientist, Machine Learning - USA Remote</t>
        </is>
      </c>
      <c r="C71" t="inlineStr">
        <is>
          <t>Cepheid</t>
        </is>
      </c>
      <c r="D71" t="inlineStr">
        <is>
          <t>linkedin</t>
        </is>
      </c>
      <c r="E71">
        <f>HYPERLINK("https://www.linkedin.com/jobs/view/4354176422", "https://www.linkedin.com/jobs/view/4354176422")</f>
        <v/>
      </c>
      <c r="F71" t="inlineStr"/>
      <c r="G71" t="inlineStr">
        <is>
          <t>Boston, MA</t>
        </is>
      </c>
      <c r="H71" t="inlineStr"/>
      <c r="I71" t="inlineStr">
        <is>
          <t>**Bring more to life.**
 Are you ready to accelerate your potential and make a real difference within life sciences, diagnostics and biotechnology? At Cepheid,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At Cepheid, we are passionate about improving health care through fast, accurate, molecular diagnostic systems and tests. As a member of our team, you’ll get to make an immediate, measurable impact on a global scale, within an environment that fosters career growth and development. Our mission drives us to develop groundbreaking solutions for the world’s most complex health challenges. Together, we bring MORE change to the world. Learn about the Danaher Business System which makes everything possible.
 The Staff Data Scientist is responsible for leading the design and development of analytical techniques at the intersection of AI/ML and biological sequence data. The work will support both internal R\&amp;D processes as well as external customer products, all with the goal of advancing Cepheid’s diagnostic offerings.
 This position reports to the Senior Director of Machine Learning/Data Science and is part of the AI \&amp; Computational Biology group in the larger Technology \&amp; Innovation organization. The position is based in Sunnyvale, CA, with consideration for candidates located remotely or in the Boston, MA area. The Technology \&amp; Innovation organization is responsible for incubating new products, techniques, and processes that keep Cepheid at the forefront of molecular diagnostics.
**In This Role, You Will Have The Opportunity To**
* Provide thought leadership on challenging problems at the intersection of AI/ML and computational biology
* Lead the design and development of computational tools that will accelerate molecular diagnostics R\&amp;D
* Build AI/ML models to characterize pathogens from whole genome sequences
* Explore applications of genomic language models to supervise learning tasks for sequence data
* Design and implement robust model evaluation frameworks to assess production readiness to meet regulatory and commercialization requirements
**The Essential Requirements For The Job Include**
* Degree in Computer Science, Mathematics, Physics, Computational Biology or a related field and relevant experience as follows: Bachelor’s degree and 9\+ years of experience \&amp; post\-education experience ; Master’s degree and 7\+ years of experience \&amp; post\-education experience; or Doctoral degree and 4\+ years of experience \&amp; post\-education experience
* Strong foundation in ML / statistical learning fundamentals and hypothesis driven experimental design, including deep learning, statistical modeling, classification, regression
* Experience with Python data and ML stack (Scikit\-learn, PyTorch, TensorFlow, Jax)
* Experience developing ML models in a modern cloud environment
**Travel Requirements**
* Ability to travel; expected 5% overnight travel
**It would be a plus if you also possess previous experience in:**
* Machine learning models for sequence data
* Familiarity with bioinformatic pipelines and sequencing databases
* Developing machine learning models for healthcare and regulatory applications
 Cepheid, a Danaher operating company, offers a broad array of comprehensive, competitive benefit programs that add value to our lives. Whether it’s a health care program or paid time off, our programs contribute to life beyond the job. Check out our benefits at Danaher Benefits Info.
 At Cepheid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Cepheid can provide.
 The annual salary range for this role is $145,000 to $200,000 USD.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72">
      <c r="A72" t="inlineStr">
        <is>
          <t>li-4351649278</t>
        </is>
      </c>
      <c r="B72" t="inlineStr">
        <is>
          <t>Data Scientist -TS/SCI (FSP)</t>
        </is>
      </c>
      <c r="C72" t="inlineStr">
        <is>
          <t>IBM</t>
        </is>
      </c>
      <c r="D72" t="inlineStr">
        <is>
          <t>linkedin</t>
        </is>
      </c>
      <c r="E72">
        <f>HYPERLINK("https://www.linkedin.com/jobs/view/4351649278", "https://www.linkedin.com/jobs/view/4351649278")</f>
        <v/>
      </c>
      <c r="F72" t="inlineStr"/>
      <c r="G72" t="inlineStr">
        <is>
          <t>Annapolis Junction, MD</t>
        </is>
      </c>
      <c r="H72" t="inlineStr"/>
      <c r="I72"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**Your Role And Responsibilities**
 Seeking a versatile data scientist with TS/SCI US Government security clearance and FSP to join a small agile team building big data pipelines, AI/ML\-based analytics capabilities, and user interfaces for government customers. This project includes highly innovative work focused on leveraging AI/ML to discover patterns and develop insights across multiple data types and mission areas. The team is fast\-paced, collaborative, and cohesive, and depends on team members to communicate openly and to design solutions and deliver quality models on a regular, aggressive clip. Innovative application of advanced data science techniques is highly valued as the team regularly confronts novel challenges and use cases. The data scientist will design, develop, integrate, test, and deploy models using a combination of custom, open source, and off\-the\-shelf (GOTS/COTS) software packages and a variety of data types (structured, unstructured, non\-text).
**Required Technical And Professional Expertise**
* US Citizen with active TS/SCI clearance and in\-scope full\-scope polygraph required on Day 1
* 3\+ years of experience in data science, analytics, or machine learning.
* Proficiency in Python, R, or similar programming languages.
* Experience with tools such as Jupyter, Pandas, Scikit\-learn, TensorFlow, or PyTorch.
* Familiarity with cloud platforms (AWS, Azure, or GCP) and containerization (Docker, Kubernetes).
* Must be willing to work 5 days per week in SCIF in Annapolis Junction, MD.
**Preferred Technical And Professional Experience**
* 1\+ year of experience conducting data science work on AWS classified cloud architecture.
* AWS Certified Machine Learning Engineer.
* Experience supporting federal clients in defense, intelligence, or homeland security.
* Knowledge of classified data environments and secure data handling practices.
* Familiarity with NLP, computer vision, or geospatial analytics.
* Experience with Agile development methodologies.
* Experience installing and managing software on a high\-performance compute environment.
* Strong understanding of data wrangling, modeling, and visualization techniques.</t>
        </is>
      </c>
    </row>
    <row r="73">
      <c r="A73" t="inlineStr">
        <is>
          <t>li-4372201915</t>
        </is>
      </c>
      <c r="B73" t="inlineStr">
        <is>
          <t>Applied Scientist, Robotics Delivery and Packaging Innovation (RDPI)</t>
        </is>
      </c>
      <c r="C73" t="inlineStr">
        <is>
          <t>Amazon</t>
        </is>
      </c>
      <c r="D73" t="inlineStr">
        <is>
          <t>linkedin</t>
        </is>
      </c>
      <c r="E73">
        <f>HYPERLINK("https://www.linkedin.com/jobs/view/4372201915", "https://www.linkedin.com/jobs/view/4372201915")</f>
        <v/>
      </c>
      <c r="F73" t="inlineStr"/>
      <c r="G73" t="inlineStr">
        <is>
          <t>Bellevue, WA</t>
        </is>
      </c>
      <c r="H73" t="inlineStr"/>
      <c r="I73" t="inlineStr">
        <is>
          <t>**Description**
 Do you want to be part of a team that's revolutionizing Amazon's fulfillment and packaging technology? Are you ready to optimize systems that process tens\-of\-millions of customer packages daily with the lowest cost to serve and a defect\-free customer experience? Do you have a passion for solving complex science challenges and building a sustainable e\-commerce experience?
 The Robotics Delivery and Packaging Innovation (RDPI) team is seeking an Applied Scientist who will join a team of experts in the field of Machine Learning (ML), Statistics, Operations Research, Computer Vision and Generative AI to work together to break new ground in the world of automated packaging solutions. The RDPI team owns mission\-critical automation and packaging solutions that impact billions of customer shipments annually across Amazon’s WW marketplaces. We manage billions of dollars in material spend and packaging labor costs while driving significant reductions in carbon emissions. Our team is revolutionizing e\-commerce through advanced packaging automation, innovative sortation technology, and sustainable solutions. We're dramatically reducing single\-use plastics across our network while developing next\-generation automated solutions that can handle the majority of our packaging needs. We're also transforming our supply chain through strategic investments in paper manufacturing and innovative materials, driving both substantial cost savings and environmental benefits. This is an exciting opportunity to work on large\-scale automation challenges that directly impact customer experience, operational efficiency, and environmental sustainability at one of the world's largest e\-commerce companies.
 You'll work in a collaborative environment where you can pursue ambitious research with many peta\-bytes of data, work on problems that haven’t been solved before, quickly implement and deploy your algorithmic ideas at scale, understand whether they succeed via statistically relevant experiments across millions of customers, and publish your research. You'll see the work you do directly improve the packaging experience of Amazon customers in the fulfillment technology space. If you are interested in robotics, computer vision, machine learning, operations research, statistics, big data, and building scalable solutions, this role is for you.
 Key job responsibilities
 A successful candidate in this role may perform some or all of the following responsibilities:
* Leverage generative AI technologies to develop scalable solutions for automated product compatibility and safety assessments (e.g., evaluating product shipping compatibility, safety requirements, and packaging configurations)
* Develop advanced AI models by extracting predictive features from multiple data sources (product/packaging images, product descriptions, sensor data, geospatial data) to forecast package\-related damages and optimize packaging decisions based on customer preference prediction
* Develop and implement computer vision solutions to automate packaging workflows and detect product/packaging defects in real\-time operations
* Build causal inference model to capture the downstream impacts of different packaging designs and delivery experience
* Design and implement robotic control algorithms to optimize machine efficiency and meet diverse business objectives
 A day in the life
 Scientists on our team work daily with dedicated product and engineering partners to bring innovative solutions from concept to production. You'll divide your time between deep technical work—building models, analyzing results, iterating on algorithms—and collaborative activities like design reviews, stakeholder presentations, and cross\-functional planning. You'll also have opportunities to support science initiatives across the broader RDPI organization (1500\+ people), partnering with diverse teams to solve high\-impact problems and scale your solutions across Amazon.
**About The Team**
 We are a team of scientists with diverse technical backgrounds spanning Machine Learning, Operations Research, Causal Inference, and Econometrics. We tackle complex, high\-impact problems that directly influence Amazon's strategic decisions and financial performance. Our solutions typically require combining multiple methodologies, and you'll work collaboratively with other scientists while partnering closely with product and engineering teams to bring your innovations into production systems. You'll have the opportunity to grow your expertise across disciplines while delivering measurable business impact at scale.
**Basic Qualifications**
* PhD, or Master's degree and 4\+ years of CS, CE, ML or related field experience
* Experience programming in Java, C\+\+, Python or related language
* Experience building machine learning models or developing algorithms for business application
* Experience implementing algorithms using both toolkits and self\-developed code
* Experience applying theoretical models in an applied environment
**Preferred Qualifications**
* PhD, or a Master's degree and experience in state\-of\-the\-art deep learning models architecture design and deep learning training and optimization and model pruning
* Experience in patents or publications at top\-tier peer\-reviewed conferences or journals
* Experience in designing experiments and statistical analysis of results
* Experience with deep generative models (GANs, VAEs, diffusion models) for computer vision and image synthesis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A3180230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2026-02-13T04:03:22Z</dcterms:created>
  <dcterms:modified xsi:type="dcterms:W3CDTF">2026-02-13T04:03:22Z</dcterms:modified>
</cp:coreProperties>
</file>