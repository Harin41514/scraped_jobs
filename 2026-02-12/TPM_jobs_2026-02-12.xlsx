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deed" sheetId="1" state="visible" r:id="rId1"/>
    <sheet name="linkedin" sheetId="2" state="visible" r:id="rId2"/>
  </sheets>
  <definedNames/>
  <calcPr calcId="124519" fullCalcOnLoad="1"/>
</workbook>
</file>

<file path=xl/styles.xml><?xml version="1.0" encoding="utf-8"?>
<styleSheet xmlns="http://schemas.openxmlformats.org/spreadsheetml/2006/main">
  <numFmts count="4">
    <numFmt numFmtId="164" formatCode="yyyy-mm-dd h:mm:ss"/>
    <numFmt numFmtId="165" formatCode="YYYY-MM-DD HH:MM:SS"/>
    <numFmt numFmtId="166" formatCode="yyyy-mm-dd"/>
    <numFmt numFmtId="167" formatCode="YYYY-MM-DD"/>
  </numFmts>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1" applyAlignment="1" pivotButton="0" quotePrefix="0" xfId="0">
      <alignment horizontal="center" vertical="top"/>
    </xf>
    <xf numFmtId="165" fontId="0" fillId="0" borderId="0" pivotButton="0" quotePrefix="0" xfId="0"/>
    <xf numFmtId="167"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127"/>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in-45e536be771a6501</t>
        </is>
      </c>
      <c r="B2" t="inlineStr">
        <is>
          <t>Product Manager - Energy Markets</t>
        </is>
      </c>
      <c r="C2" t="inlineStr">
        <is>
          <t>Jetson Home Inc.</t>
        </is>
      </c>
      <c r="D2" t="inlineStr">
        <is>
          <t>indeed</t>
        </is>
      </c>
      <c r="E2" t="inlineStr"/>
      <c r="F2" t="inlineStr"/>
      <c r="G2" t="inlineStr">
        <is>
          <t>Remote, US</t>
        </is>
      </c>
      <c r="H2" s="2" t="n">
        <v>46065</v>
      </c>
      <c r="I2" t="inlineStr">
        <is>
          <t>### **About Jetson:**
Jetson is on a mission to accelerate the transition of 100 million homes across North America away from fossil fuels toward sustainable energy use. We believe in a future that is 100% electric and 100% better.
Homes are one of the largest sources of carbon emissions, yet adoption of solutions like heat pumps remains slow due to cost and complexity. Jetson is solving this by building the first fully vertically integrated home electrification company — making clean energy simple, transparent, and affordable.
We rely heavily on technology, automation, and data to scale this impact. At Jetson, we value people who are excellent at their craft, curious about new tools (including AI), and motivated to continuously improve how work gets done.
 **The Opportunity:**
We are looking for a product leader to define Jetson’s strategy for flexible load orchestration and the software software platforms that enable it. This PM will define the strategy and roadmap for what markets we enter, what products we offer to our customers, and the software platform we need to support those business models. In addition, this role will create a vision for a retail energy strategy that will enable Jetson’s future as a home energy provider.
 **What You Will Do:**
* Define the product vision, strategy, and roadmap for flexible orchestration, DERMS integration, and retail energy.
* Gather, document, and manage requirements for system telemetry ingestion, device orchestration, customer programs, data modeling, and the customer experience.
* Collaborate with Engineering, UX, Sales, and Marketing to launch cutting edge flexibility and Retail Energy offerings.
* Serve as the product expert, understanding market trends, competitor offerings, regulatory needs, and customer (utility/end\-user) pain points.
* Drive integration strategies with third\-party systems (HEMS, OEMs) and industry protocols (OpenADR, IEEE 2030\.5\).
* Oversee the product from concept to launch, including testing, pricing, GTM planning, and end\-of\-life.
* Use data to inform decisions, track product performance, and derive insights for improvements.
 **What You Bring:**
* Deep understanding of grid operations, energy markets, DER technologies, and regulated and unregulated utilities.
* Strong technical acumen with experience in software platforms, data, and control systems.
* Excellent communication, facilitation, and stakeholder management skills.
* Proven ability to translate complex market needs into actionable product requirements.
 **Job Type:**Full\-time
 **Pay:** $165,000 \- $195,000 per anum
 **Benefits:**
Dental Care
Extended Health Care
Vision Care
Life Insurance
Education Support
Equity
 **Work Location:** In office \- Vancouver preferred but remote for the ideal candidate.
 **Do you feel like you don't have everything that's listed above but can still do the job? If you have some of the skills and experience that we’re looking for and are willing to use your talent to learn the rest, we encourage you to apply!**</t>
        </is>
      </c>
    </row>
    <row r="3">
      <c r="A3" t="inlineStr">
        <is>
          <t>in-6f5ac366a0d81de3</t>
        </is>
      </c>
      <c r="B3" t="inlineStr">
        <is>
          <t>Product Manager</t>
        </is>
      </c>
      <c r="C3" t="inlineStr">
        <is>
          <t>Evolvers Group</t>
        </is>
      </c>
      <c r="D3" t="inlineStr">
        <is>
          <t>indeed</t>
        </is>
      </c>
      <c r="E3" t="inlineStr"/>
      <c r="F3" t="inlineStr"/>
      <c r="G3" t="inlineStr">
        <is>
          <t>Washington, DC, US</t>
        </is>
      </c>
      <c r="H3" s="2" t="n">
        <v>46065</v>
      </c>
      <c r="I3" t="inlineStr">
        <is>
          <t>**Product Manager \- Data Governance** 
**Job Description:**
We are seeking a Product Manager to define the end\-to\-end user experience and drive the execution of data access management capabilities at the Federal Reserve Board. This role will partner across multiple teams within the IT division to build access management workflows and integrations that balance usability, governance and security.
**Minimum Qualifications:**
* Experience managing complex workflow\-driven products and services.
* Experience building products that span multiple user personas and require coordination across multiple teams or systems
* Strong understanding of data access management, data governance or identity and access management concepts including familiarity with access control models such as RBAC and ABAC is a must.
* Proven ability to gather ambiguous requirements, synthesize input from diverse stakeholders (business, security, data governance etc.), and drive alignment towards a clear product direction.
* Comfortable working closely with engineering teams on foundational capabilities, APIs, and system integrations
* Demonstrated ability to operate in an agile environment, owning the product backlog, defining and refining user stories, and delivering value through iterative, incremental releases.
* Excellent communication and stakeholder management skills, with the ability to influence without authority and explain complex access and governance concepts clearly
* Experience working with or integrating access management tools and platforms (e.g. entitlement systems, approval workflows, policy engines, identity providers) is a plus.
* Experience working in regulated or compliance\-sensitive environments is a plus.
**Responsibilities:**
* Manage the end\-to\-end product strategy and roadmap for data access management, covering the full user experience for data stewards, owners, access requesters, and approvers.
* Define and deliver core foundational workflows and capabilities for requesting, approving, granting, reviewing, and revoking access to data
* Partner closely with business, engineering, data governance, security and compliance teams to gather requirements and translate them into clear product specifications and priorities
* Deeply understand user needs and pain points across different personas, and use that insight to drive intuitive, scalable, and compliant solutions
* Lead discovery efforts, including user research, journey mapping, and workflow design to ensure solutions are usable and aligned with real\-world processes
* Balance short\-term delivery with long\-term platform and architecture considerations to support scalable, policy\-driven access management solutions.
* Define success metrics and continuously measure, iterate, and improve the product based on usage data and user feedback
* Communicate product vis
Job Type: Contract
Pay: $67\.00 \- $75\.00 per hour
Application Question(s):
* Have you delivered a product involving data access management / IAM where you applied or worked with RBAC and/or ABAC access\-control models?
Ability to Commute:
* Washington, DC 20551 (Required)
Work Location: In person</t>
        </is>
      </c>
    </row>
    <row r="4">
      <c r="A4" t="inlineStr">
        <is>
          <t>in-00d936f455dfe839</t>
        </is>
      </c>
      <c r="B4" t="inlineStr">
        <is>
          <t>Entrepreneurship Program Manager</t>
        </is>
      </c>
      <c r="C4" t="inlineStr">
        <is>
          <t>East Stroudsburg University of Pennsylvania</t>
        </is>
      </c>
      <c r="D4" t="inlineStr">
        <is>
          <t>indeed</t>
        </is>
      </c>
      <c r="E4" t="inlineStr"/>
      <c r="F4" t="inlineStr"/>
      <c r="G4" t="inlineStr">
        <is>
          <t>East Stroudsburg, PA, US</t>
        </is>
      </c>
      <c r="H4" s="2" t="n">
        <v>46065</v>
      </c>
      <c r="I4" t="inlineStr">
        <is>
          <t>**East Stroudsburg University is creatign a pool to hire an Entrepreneurship Program Manager!** Located in the beautiful Pocono Mountains of Pennsylvania, ESU’s proximity to New York City and Philadelphia provides convenient access to internships, careers and social activities. Just minutes from campus are the country’s largest water parks, scenic Delaware Water Gap Recreation Area, Appalachian Trail, and other opportunities for recreational fun.
As the **9\-month Entrepreneurship Program Manager**, you will need to think creatively and be comfortable leading strategic initiatives to optimize ESU’s entrepreneurial programs to support student enrichment. You will be an active member of the Economic Development and Entrepreneurship team and will work closely with the Director of Business Accelerator and Entrepreneurship to create campus wide interest in entrepreneurial activities through workshops \&amp; presentations. You will thrive in this role if you like combining your previous business management experience with exemplary collaboration skills all while developing relationships to sustain various ESU initiatives such as the warrior startup challenge, Made in the Poconos competition, and Entrepreneurship club. To be successful in this role, the applicant must be deadline driven, demonstrate the ability to skillfully pivot between tasks along with cultivating a robust environment where students can successfully apply their newfound entrepreneurial skillset to their post graduate careers.
Your normal hours will be Monday to Friday 8:00 am to 4:30 pm, but you may have to flex your schedule from time to time based on the needs of the business to be a true Entrepreneurship Program Manager. This is a **9\-month position with the summer off.** When our team shows up for work, they are energized and motivated to succeed \- all while being the most crucial piece to keeping the ESU operations humming.
**What Will I Do At ESU? (AKA Essential Duties)**
* Develop, implement, and assess programs and events that introduce and engage students, faculty, and the campus to the concepts of entrepreneurship.
* Recruit students into the Warrior Startup Challenge and Entrepreneurship Club.
* Coordinate, promote, recruit, and organize the Warrior Startup Challenge.
* Recruit and mentor students to participate in tecBRIDGE business plan competitions (collegiate/non\-collegiate).
* Coordinate and facilitate the annual high school Future Business Leader Association (FBLA) ‘Made in the Poconos’ Innovator of the Year Award at ESU.
* Create and coordinate social media and content marketing strategies in collaboration with University Relations.
* Assist faculty who supervise internships for credit related to entrepreneurship and support students in gaining internships and externships.
**What We're Looking For (AKA Qualifications)**
* Bachelors Degree minimum, graduate degree preferred.
* Minimum three years of demonstrated experience in the area of entrepreneurship, business management, and mentoring early\-stage companies.
* Demonstrated ability to work with diverse groups, including students, faculty, businesses, and entrepreneurs
Effective communication/presentation and technical skills.
* Valid Drivers License.
* Experience as a founder of a company and/or company investor preferred.
* Able to read, write, and comprehend English; able to follow verbal instructions.
* Experience with Word, Excel, Teams required.
**What We Offer**
* **Outstanding** benefits package including benefits such as medical from date of hire, retirement contributions, employee wellness program, and paid leave
* **Salary: Based on Experience**
* Living by the Warrior Code:
* Accountable for One's Actions
* Committed to Self\-Growth
* Willing to Sacrifice for the Greater Good
* Positive, Honest, and Loyal
* Respectful of the Environment and Community
* Dedicated to Empowering Others
**And yes, legal made us spell this out…**  
Must be at least 18 years old and be able to read and write English. Employment with ESU is contingent on the selected candidate passing a thorough background check that includes: FBI fingerprinting, PA Child Abuse, and employment. We are proud ESU is an equal opportunity employer. For more information on President Long's 10\-point plan, click here: https://www.esu.edu/president/10\-action\-plan.cfm
Job Type: Full\-time
Benefits:
* 401(k)
* Dental insurance
* Employee assistance program
* Flexible spending account
* Health insurance
* Life insurance
* Paid time off
* Professional development assistance
* Tuition reimbursement
* Vision insurance
People with a criminal record are encouraged to apply
Education:
* Bachelor's (Required)
Experience:
* business management or Entrepreneurship: 3 years (Required)
Work Location: In person</t>
        </is>
      </c>
    </row>
    <row r="5">
      <c r="A5" t="inlineStr">
        <is>
          <t>in-0aa78b0ff72231d7</t>
        </is>
      </c>
      <c r="B5" t="inlineStr">
        <is>
          <t>Entrepreneurship Program Manager Pool</t>
        </is>
      </c>
      <c r="C5" t="inlineStr">
        <is>
          <t>East Stroudsburg University of Pennsylvania</t>
        </is>
      </c>
      <c r="D5" t="inlineStr">
        <is>
          <t>indeed</t>
        </is>
      </c>
      <c r="E5" t="inlineStr"/>
      <c r="F5" t="inlineStr"/>
      <c r="G5" t="inlineStr">
        <is>
          <t>East Stroudsburg, PA, US</t>
        </is>
      </c>
      <c r="H5" s="2" t="n">
        <v>46065</v>
      </c>
      <c r="I5" t="inlineStr">
        <is>
          <t>**East Stroudsburg University is creatign a pool to hire an Entrepreneurship Program Manager!** Located in the beautiful Pocono Mountains of Pennsylvania, ESU’s proximity to New York City and Philadelphia provides convenient access to internships, careers and social activities. Just minutes from campus are the country’s largest water parks, scenic Delaware Water Gap Recreation Area, Appalachian Trail, and other opportunities for recreational fun.
As the **9\-month Entrepreneurship Program Manager**, you will need to think creatively and be comfortable leading strategic initiatives to optimize ESU’s entrepreneurial programs to support student enrichment. You will be an active member of the Economic Development and Entrepreneurship team and will work closely with the Director of Business Accelerator and Entrepreneurship to create campus wide interest in entrepreneurial activities through workshops \&amp; presentations. You will thrive in this role if you like combining your previous business management experience with exemplary collaboration skills all while developing relationships to sustain various ESU initiatives such as the warrior startup challenge, Made in the Poconos competition, and Entrepreneurship club. To be successful in this role, the applicant must be deadline driven, demonstrate the ability to skillfully pivot between tasks along with cultivating a robust environment where students can successfully apply their newfound entrepreneurial skillset to their post graduate careers.
Your normal hours will be Monday to Friday 8:00 am to 4:30 pm, but you may have to flex your schedule from time to time based on the needs of the business to be a true Entrepreneurship Program Manager. This is a **9\-month position with the summer off.** When our team shows up for work, they are energized and motivated to succeed \- all while being the most crucial piece to keeping the ESU operations humming.
**What Will I Do At ESU? (AKA Essential Duties)**
* Develop, implement, and assess programs and events that introduce and engage students, faculty, and the campus to the concepts of entrepreneurship.
* Recruit students into the Warrior Startup Challenge and Entrepreneurship Club.
* Coordinate, promote, recruit, and organize the Warrior Startup Challenge.
* Recruit and mentor students to participate in tecBRIDGE business plan competitions (collegiate/non\-collegiate).
* Coordinate and facilitate the annual high school Future Business Leader Association (FBLA) ‘Made in the Poconos’ Innovator of the Year Award at ESU.
* Create and coordinate social media and content marketing strategies in collaboration with University Relations.
* Assist faculty who supervise internships for credit related to entrepreneurship and support students in gaining internships and externships.
**What We're Looking For (AKA Qualifications)**
* Bachelors Degree minimum, graduate degree preferred.
* Minimum three years of demonstrated experience in the area of entrepreneurship, business management, and mentoring early\-stage companies.
* Demonstrated ability to work with diverse groups, including students, faculty, businesses, and entrepreneurs
Effective communication/presentation and technical skills.
* Valid Drivers License.
* Experience as a founder of a company and/or company investor preferred.
* Able to read, write, and comprehend English; able to follow verbal instructions.
* Experience with Word, Excel, Teams required.
**What We Offer**
* **Outstanding** benefits package including benefits such as medical from date of hire, retirement contributions, employee wellness program, and paid leave
* **Salary: Based on Experience**
* Living by the Warrior Code:
* Accountable for One's Actions
* Committed to Self\-Growth
* Willing to Sacrifice for the Greater Good
* Positive, Honest, and Loyal
* Respectful of the Environment and Community
* Dedicated to Empowering Others
**And yes, legal made us spell this out…**  
Must be at least 18 years old and be able to read and write English. Employment with ESU is contingent on the selected candidate passing a thorough background check that includes: FBI fingerprinting, PA Child Abuse, and employment. We are proud ESU is an equal opportunity employer. For more information on President Long's 10\-point plan, click here: https://www.esu.edu/president/10\-action\-plan.cfm
Job Type: Full\-time
Pay: $46,551\.70 \- $56,062\.27 per year
Benefits:
* 401(k)
* Dental insurance
* Employee assistance program
* Flexible spending account
* Health insurance
* Life insurance
* Paid time off
* Professional development assistance
* Tuition reimbursement
* Vision insurance
People with a criminal record are encouraged to apply
Experience:
* business management or Entrepreneurship: 3 years (Required)
Work Location: In person</t>
        </is>
      </c>
    </row>
    <row r="6">
      <c r="A6" t="inlineStr">
        <is>
          <t>in-6321a1ff19f202d3</t>
        </is>
      </c>
      <c r="B6" t="inlineStr">
        <is>
          <t>Digital Product Owner III (HYBRID)</t>
        </is>
      </c>
      <c r="C6" t="inlineStr">
        <is>
          <t>Atlantic Union Bank</t>
        </is>
      </c>
      <c r="D6" t="inlineStr">
        <is>
          <t>indeed</t>
        </is>
      </c>
      <c r="E6" t="inlineStr"/>
      <c r="F6" t="inlineStr"/>
      <c r="G6" t="inlineStr">
        <is>
          <t>Glen Allen, VA, US</t>
        </is>
      </c>
      <c r="H6" s="2" t="n">
        <v>46065</v>
      </c>
      <c r="I6" t="inlineStr">
        <is>
          <t>The Digital Product Owner III will be responsible for managing the digital roadmap and strategic plan for assigned lines of business. This requires the ability to see how business, technology and operations all intersect to influence and drive digital experiences. Work will include implementation of strategic digital initiatives for the Consumer and Commercial money movement products included, but not limited to: Self Service capabilities and money movement; Mobile Deposit Capture, Zelle, Bill Pay, Transfers, Apple/Android/Samsung Pay. This role will be charged to create a fully integrated, elegant and seamless digital experience across the entire life cycle of customer awareness, enrollment and full engagement.
**Position Accountabilities**
* Drive digital improvements and recommendations for the Line of Business in creating and implementing digital visions, strategies and roadmaps that address the business needs and future growth
* Assess digital platforms in the external marketplace and make recommendations for potential partnerships
* Identify opportunities to leverage digital techniques for greatest strategic impact and defining the priority capabilities required to succeed
* Develop strategic plan for creating next generation money movement capabilities.
* Develop the business cases for digital opportunities within the Internet of Things(IOT) arena including virtual assistants(Alexa), Apple TV, etc as well as artificial intelligence arena.
* Lead multi\-disciplinary teams to shape and implement digital strategies, programs, and initiatives
* Support M\&amp;A integration work to minimize customer and operational impact
* Bring the voice of the customer and the voice of our teammates or into our product features, ensuring that features delivered are aligned with the intended business outcomes, and align work with our target architecture road map
* Partner with Marketing for acquisition support, product positioning, promotion of digital products and services and onboarding activities in the wealth space
* Interface with Training \&amp; Development to create and modify training for assigned digital products/services.
* Partner closely with Digital Business System Analyst to stay abreast of vendor roadmaps and enhancements.
* Understand all aspects of the internal and external environment including customer met/unmet digital needs through research efforts, in\-depth understanding of voice of the customer, industry trends, vendor/platform capabilities and best practices for servicing the digital needs of our customers
* Continuously assesses competitive moves and monitors performance against objectives.
* Present data, strategies and recommendations to senior management to build buy\-in to strategic recommendations
* Prioritize product requirements and coordinate release plans with IT and key constituents.
* Serve as primary business point of contact for implementation activities and work closely across with key constituents to meet scheduled milestones
* Guide and direct complex projects, identify key stakeholders and gain participation
**Organizational Relationship**
Reports to Digital Product Manager
**Position Qualifications**
Education \&amp; Experience
* Bachelor’s Degree Required
* Minimum of 5\-7 years of financial services experience, preferably in the digital space
Knowledge \&amp; Skills
* Experience with Artificial Intelligence a plus
* Strong PowerPoint and Excel skills to assemble \&amp; lead executive presentations
* Demonstrated experience developing and executing against a strategic plan
* Proven ability to develop product roadmaps, define requirements and lead implementation efforts successfully
* Superior analytical skills and ability to synthesize data and draw conclusions
* Demonstrated interpersonal and relationship management skills; ability to work well as part of a cross\-functional team and lead across the organization at multiple levels
* Ability to influence diverse, cross functional team to success without direct authority over the team
* Excellent verbal, writing and presentation skills
Salary offered will be based on several factors including but not limited to education, work experience, certifications, etc. This position is also eligible to participate in either an applicable incentive compensation plan for the position or a discretionary profit sharing bonus program. General information on our comprehensive benefits package can be found by visiting https://www.atlanticunionbank.com/about/careers/benefits.
We are proud to be an Equal Employment Opportunity employer. We maintain a drug\-free workplace.</t>
        </is>
      </c>
    </row>
    <row r="7">
      <c r="A7" t="inlineStr">
        <is>
          <t>in-685395e91a9f9af9</t>
        </is>
      </c>
      <c r="B7" t="inlineStr">
        <is>
          <t>Wire and Cable Product Manager/Sales</t>
        </is>
      </c>
      <c r="C7" t="inlineStr">
        <is>
          <t>Huestis Machine Corporation</t>
        </is>
      </c>
      <c r="D7" t="inlineStr">
        <is>
          <t>indeed</t>
        </is>
      </c>
      <c r="E7" t="inlineStr"/>
      <c r="F7" t="inlineStr"/>
      <c r="G7" t="inlineStr">
        <is>
          <t>Bristol, RI, US</t>
        </is>
      </c>
      <c r="H7" s="2" t="n">
        <v>46065</v>
      </c>
      <c r="I7" t="inlineStr">
        <is>
          <t>Huestis Machine Corporation is currently seeking a sales/product manager for our wire and cable division. The ideal candidate will preferably have a strong background in wire \&amp; cable equipment manufacturing processes. Must be able to write editorials for trade magazines on current and new products. Must be able to work closely with customers, and be a liaison between manufacturing and engineering as required. A history of proven sales ability and strategic planning is required. Must have a valid passport and be able to travel domestically as well as overseas for business and trade shows as needed.
Job Type: Full\-time
Pay: $75,000\.00 per year
Benefits:
* 401(k)
* 401(k) matching
* Dental insurance
* Flexible spending account
* Health insurance
* Life insurance
* Paid time off
* Vision insurance
Work Location: In person</t>
        </is>
      </c>
    </row>
    <row r="8">
      <c r="A8" t="inlineStr">
        <is>
          <t>in-ff3a73a8b6a6e03b</t>
        </is>
      </c>
      <c r="B8" t="inlineStr">
        <is>
          <t>Senior SAP Program Manager</t>
        </is>
      </c>
      <c r="C8" t="inlineStr">
        <is>
          <t>THE PMO SQUAD</t>
        </is>
      </c>
      <c r="D8" t="inlineStr">
        <is>
          <t>indeed</t>
        </is>
      </c>
      <c r="E8" t="inlineStr"/>
      <c r="F8" t="inlineStr"/>
      <c r="G8" t="inlineStr">
        <is>
          <t>Dallas, TX, US</t>
        </is>
      </c>
      <c r="H8" s="2" t="n">
        <v>46065</v>
      </c>
      <c r="I8" t="inlineStr">
        <is>
          <t>**Senior SAP Program Manager**
==============================
*(Enterprise Finance Transformation / Multi\-Vendor Environment)*
**Overview**
We are seeking a **Senior SAP Program Manager** to lead the implementation of new capabilities within our SAP environment as part of a broader Finance Transformation initiative.
This role requires a seasoned, hands\-on program leader who can establish strong program structure, drive cross\-functional accountability, and provide clear, executive\-ready visibility into program health. You will partner closely with Finance Transformation Business Leads, IT Leadership, and multiple vendor partners to ensure successful execution across a complex, enterprise landscape.
This is not a passive oversight role \- we are looking for a leader who builds structure, drives clarity, and does whatever it takes to move the program forward.
 **Key Responsibilities**
**Program Leadership \&amp; Governance**
* Lead complex, enterprise\-scale SAP programs involving onshore/offshore teams, multiple vendors, and internal stakeholders
* Establish and maintain a comprehensive program governance structure that provides routine and detailed visibility into:
	+ Established milestones
	+ Key decisions
	+ Entry and exit criteria for phases, deliverables, and major tasks
	+ Deliverables with baselined start/end dates and assigned owners
	+ Cross\-functional dependencies
	+ Critical path tracking and reporting
	+ Risks and issues with mitigation strategies
	+ Resource heat maps across business, IT, and vendor teams
	+ PTO calendars to proactively identify coverage gaps
* Continuously assess program health and provide independent, candid recommendations to improve likelihood of success
 **Executive Engagement \&amp; Reporting**
* Partner closely with Finance Transformation Business Leads and IT Leadership
* Engage regularly with the Program Steering Committee and Executive Sponsors
* Build and deliver status reporting tailored to multiple audiences:
	+ Detailed, tactical reporting for program teams
	+ Executive\-level summaries with insights, risks, trade\-offs, and recommended actions
* Refresh and evolve reporting structures as program needs shift
 **Cross\-Vendor \&amp; Cross\-Functional Alignment**
* Reinforce a collaborative team culture across business units and vendor partners
* Build strong working relationships across Finance, Generation, Supply Chain, HR, and Technology leadership
* Hold vendors and teams accountable while maintaining collaborative partnerships
* Proactively resolve tension and diffuse conflict in a constructive, professional manner
* Bridge understanding across teams and remove blockers, including engaging stakeholders outside the immediate program when necessary
 **Hands\-On Execution**
* Roll up sleeves to close gaps in program structure, documentation, or coordination
* Identify areas where additional clarity or alignment is needed and take initiative to address them
* Apply creative problem\-solving to sustain momentum through complex challenges
**Required Qualifications**
---------------------------
* 10\+ years of progressive program/project management experience
* Demonstrated experience leading complex, multi\-workstream enterprise programs
* Significant experience managing:
	+ Onshore and offshore delivery teams
	+ Multiple vendors simultaneously
	+ Cross\-functional enterprise stakeholders
* Strong executive presence and comfort presenting to Steering Committees and senior leaders
* Deep experience building structured, detailed program plans with:
	+ Clear milestones and baselines
	+ Dependency mapping
	+ Critical path analysis
	+ Risk and issue management
	+ Resource tracking
**Preferred Qualifications (PLUS)**
* Direct SAP implementation experience (S/4HANA or ECC)
* Experience in Finance Transformation initiatives
* Experience in regulated or asset\-intensive industries (e.g., utilities, manufacturing, energy)
* PMP or equivalent certification preferred
**What Success Looks Like**
---------------------------
* Clear, transparent program structure with no ambiguity in ownership, timelines, or dependencies
* Executives have confidence in program health and direction
* Vendors operate as an integrated team
* Risks are surfaced early and managed proactively
* The program moves forward with momentum, accountability, and clarity
**EEO Employer**
----------------
We welcome the diverse backgrounds and experiences that all employees and consultants bring to the table! *Women, BIPOC, LGBTQ, Veterans, and other under\-represented groups are highly encouraged to apply!*
The PMO Squad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This policy applies to all terms and conditions of employment, including recruiting, hiring, placement, promotion, termination, layoff, recall, transfer, leaves of absence, compensation, and training.
The PMO Squad does not intend to hire or contract the services of experienced or entry level job seekers who will need, now or in the future, direct sponsorship for employment authorization in the U.S. nor 3rd party employer C2C/C2H accommodations at this time. The PMO Squad is not open to third party solicitation or resumes for our posted FTE or contract positions. Resumes received from third party agencies that are unsolicited will be considered complimentary.</t>
        </is>
      </c>
    </row>
    <row r="9">
      <c r="A9" t="inlineStr">
        <is>
          <t>in-7373676abe39ff3b</t>
        </is>
      </c>
      <c r="B9" t="inlineStr">
        <is>
          <t>Program Manager for GRACE House OASAS</t>
        </is>
      </c>
      <c r="C9" t="inlineStr">
        <is>
          <t>Unity House of Cayuga County</t>
        </is>
      </c>
      <c r="D9" t="inlineStr">
        <is>
          <t>indeed</t>
        </is>
      </c>
      <c r="E9" t="inlineStr"/>
      <c r="F9" t="inlineStr"/>
      <c r="G9" t="inlineStr">
        <is>
          <t>Auburn, NY, US</t>
        </is>
      </c>
      <c r="H9" s="2" t="n">
        <v>46065</v>
      </c>
      <c r="I9" t="inlineStr">
        <is>
          <t>A career with a cause
At Unity House, we're dedicated to supporting people with disabilities. That's why we're dedicated to our employees. At Unity House, you'll empower people to learn, grow and thrive. In turn, Unity House will empower you with:
* Competitive Pay
* Full\-time benefits \- health insurance and more for working 30\+ hours per week
* Generous Paid Time Off \- PTO
* Peace of mind \- 401k contributions matched up to 3\.5%
* Wellness \- free comprehensive wellness and employee assistance programs
* Pay options \- early payday and direct deposit available
* Room to grow \- tuition reimbursement, free training and promotion opportunities
* So much more \- more details on benefits here
**Our mission**
To empower and enrich the lives of people in recovery, coping with a mental illness, and/or diagnosed with a developmental disability. This is accomplished by offering services and supports in an inclusive, people\-centered environment.
**Our vision**
All individuals are respected and lead lives of personal fulfillment and acceptance within our community
**Our values**
Honesty, Integrity and Respect
**Qualifications:**
Associates\-Degree required, Bachelor's\-Degree preferred. Three\-years experience in relevant human services field required. Present or past supervisory experience required. Computer skills and keyboarding familiarity required. Ability to be flexible and work in a team environment. Excellent interpersonal, communications and leadership/managerial skills essential. Evidence of understanding and empathy for the population served. Previous knowledge/experience with OASAS regulations and budgets preferred. NYS Driver's License in accordance with regulations and organization policies, practices, and procedures required; ability to travel.
**Hours: Full time, 40 hours per week \+ rotating on call**</t>
        </is>
      </c>
    </row>
    <row r="10">
      <c r="A10" t="inlineStr">
        <is>
          <t>in-a14d455b675839c9</t>
        </is>
      </c>
      <c r="B10" t="inlineStr">
        <is>
          <t>Program Manager – Space Force Launch Program Support (RSLP II)</t>
        </is>
      </c>
      <c r="C10" t="inlineStr">
        <is>
          <t>Bryce</t>
        </is>
      </c>
      <c r="D10" t="inlineStr">
        <is>
          <t>indeed</t>
        </is>
      </c>
      <c r="E10" t="inlineStr"/>
      <c r="F10" t="inlineStr"/>
      <c r="G10" t="inlineStr">
        <is>
          <t>Kirtland AFB, NM, US</t>
        </is>
      </c>
      <c r="H10" s="2" t="n">
        <v>46065</v>
      </c>
      <c r="I10" t="inlineStr">
        <is>
          <t>**Company Description**  
BryceTech is a trusted leader in complex technology domains, delivering data\-driven solutions in aerospace, biosecurity, and defense. We specialize in systems engineering, advanced analytics, R\&amp;D programs, and strategic advisory support. Our clients – including NASA, DoD, HHS, DHS, and other civil and national security agencies – rely on us to drive mission success and accelerate innovation.
BryceTech has been recognized in the *Washington Technology* Fast 50 ranking of top high\-growth small businesses for five consecutive years and received a GovCon Contractor of the Year Award in 2025, underscoring our strong growth, competitive positioning, and excellence in federal contracting. With a proven track record of winning sought\-after contracts, scaling high\-performance teams, and executing on critical government missions, BryceTech presents a compelling opportunity for strategic partnerships in the GovCon space.
 **Job Description**  
BryceTech is seeking an experienced Program Manager to lead and oversee program management support for the U.S. Space Force’s Rocket Systems Launch Program (RSLP II). This role serves as the Contractor Task Order Lead and primary interface with Government leadership, responsible for end\-to\-end execution of program management, acquisition support, cost control, and mission assurance activities supporting orbital and suborbital launch operations.
The Program Manager will provide strategic leadership across a multidisciplinary team supporting acquisition program management, PPBE activities, launch and rideshare service management, and acquisition engineering support in a highly secure, mission\-critical environment.
**Key Responsibilities:**
**Program \&amp; Contract Management**
* Serve as the Contractor Task Order Lead and single point of contact for the Government's Contracting Officer's Representative and technical leadership.
* Manage all aspects of task order execution, ensuring compliance with the Performance Work Statement (PWS), CDRLs, QASP, and security requirements.
* Develop, maintain, and execute the Task Order Management Plan (TOMP), including schedules, risk management, communications, quality management, and transition planning.
* Lead transition\-in and transition\-out activities to ensure zero degradation of mission support.
**Personnel \&amp; Subcontractor Management**
* Provide leadership and oversight for all contractor and subcontractor personnel.
* Ensure staffing continuity, rapid vacancy resolution, and compliance with clearance and training requirements.
* Manage subcontractor performance, integration, and Organizational Conflict of Interest (OCI) mitigation.
**Customer Engagement \&amp; Reporting**
* Plan and lead project kick\-off meetings, technical status meetings, and Quarterly Program Management Reviews (PMRs).
* Prepare and deliver Monthly Status Reports (MSRs), financial reports, presentations, and other required deliverables.
* Maintain continuous communication with Government stakeholders to identify emerging requirements and adjust priorities accordingly.
**Cost, Schedule \&amp; Risk Control**
* Oversee cost forecasting, budget execution, and limitation of funds tracking.
* Ensure accurate invoicing, labor hour reporting, and GSA ASSIST submissions.
* Lead risk identification, mitigation planning, and non\-conformance resolution efforts.
**Mission \&amp; Acquisition Support Oversight**
* Oversee contractor support to launch and rideshare service acquisition activities, mission integration, and readiness reviews.
* Ensure coordination across acquisition planning, PPBE support, systems engineering, safety, and mission assurance functions.
* Support classified and unclassified briefings, documentation, and reviews across multiple Space Force stakeholders.
**Qualifications** **Required Qualifications**
* Bachelor’s degree in engineering, business, program management, or a related field.
* 10\+ years of experience managing complex DoD or Intelligence Community programs.
* Demonstrated experience serving as a Program Manager or Task Order Lead on large government contracts.
* Strong understanding of DoD acquisition processes, PPBE, and program management best practices.
* Proven experience managing cost\-reimbursable contracts and multi\-disciplinary technical teams.
* Active TS/SCI clearance with eligibility for SAP and SCI access.
* Ability to work on\-site at Kirtland AFB and other Government locations as required.
**Desired Qualifications**
* Experience supporting Space Force, SSC, SMC, or launch\-related programs.
* Familiarity with RDT\&amp;E programs, launch vehicle acquisition, or mission integration activities.
* Experience supporting systems engineering, safety, and mission assurance functions.
* PMP or equivalent program management certification.
**Additional Information**  
Employment is contingent upon contract award.
BryceTech offers a full range of benefits, including competitive salary, a comprehensive health plan including dental and vision coverage, company\-paid life \&amp; disability insurance policies, 401(k) plan with company match, and an educational reimbursement program.
All your information will be kept confidential according to EEO guidelines.</t>
        </is>
      </c>
    </row>
    <row r="11">
      <c r="A11" t="inlineStr">
        <is>
          <t>in-cae54ad6f8fdab54</t>
        </is>
      </c>
      <c r="B11" t="inlineStr">
        <is>
          <t>Program Manager, V-TOP Region 2 Institution-Led Partnership</t>
        </is>
      </c>
      <c r="C11" t="inlineStr">
        <is>
          <t>Virginia Tech</t>
        </is>
      </c>
      <c r="D11" t="inlineStr">
        <is>
          <t>indeed</t>
        </is>
      </c>
      <c r="E11" t="inlineStr"/>
      <c r="F11" t="inlineStr"/>
      <c r="G11" t="inlineStr">
        <is>
          <t>Blacksburg, VA, US</t>
        </is>
      </c>
      <c r="H11" s="2" t="n">
        <v>46064</v>
      </c>
      <c r="I11" t="inlineStr">
        <is>
          <t>* 535138
* Blacksburg, Virginia
* Administrative \&amp; Professional
* Executive VP \&amp; Provost
**Job Description**
The Program Manager provides programmatic strategy and day\-to\-day leadership for the V\-TOP Region 2 Institution\-led Partnership initiatives. The role will convene regional partners; plan and execute key initiatives such as the Regional Career Trek Program and the Student Experience Conference \&amp; Expo; conduct a micro\-internship feasibility study; serve as the primary liaison to statewide partners (VEDP/VOEE); supervise a student intern; and demonstrate outcomes through effective reporting and information sharing. Reports directly to the Associate Vice Provost for Career \&amp; Professional Development; collaborates closely with CPD Leadership Team and the Center for Economic \&amp; Community Engagement at Virginia Tech, this position collaborates closely with educational and workforce stakeholders across the region to advance equitable, high\-impact work\-based learning across the region. Represents Region 2/CPD at relevant state/regional convenings and professional associations. Attends relevant Career and Professional Development team meetings.
Full\-time, exempt; based in Region 2 with frequent in\-region travel for partner meetings, treks, and events; periodic statewide meetings/conferences; hybrid/field\-based work typical of regional partnership roles. This is a restricted position, funded by the V\-TOP Institution\-Led Regional Partnership Grant. Continued employment is contingent upon available funding for future years.
**Required Qualifications**
* Bachelor’s degree or equivalent experience
* Demonstrated experience in planning and executing multi\-stakeholder programs/events and facilitating partner engagement.
* Strong relationship management, facilitation, and written/oral communication skills with diverse partners.
* Evidence of data\-informed planning and outcomes reporting; ability to manage budgets and timelines.
**Preferred Qualifications**
* Master’s degree in a related field.
* Experience in career services, employer engagement, workforce/economic development, or regional partnerships.
* Familiarity with Virginia’s talent ecosystem (e.g., VEDP, VOEE, workforce boards) and work\-based learning models (internships, micro\-internships).
**Overtime Status**
Exempt: Not eligible for overtime
**Appointment Type**
Restricted
**Salary Information**
55,000
**Hours per week**
40
**Review Date**
1/12/26
**Additional Information**
The successful candidate will be required to have a criminal conviction check.
**About Virginia Tech**
Dedicated to its motto, *Ut Prosim* (That I May Serve), Virginia Tech pushes the boundaries of knowledge by taking a hands\-on, transdisciplinary approach to preparing scholars to be leaders and problem\-solvers. A comprehensive land\-grant institution that enhances the quality of life in Virginia and throughout the world, Virginia Tech is an inclusive community dedicated to knowledge, discovery, and creativity. The university offers more than 280 majors to a diverse enrollment of more than 36,000 undergraduate, graduate, and professional students in eight undergraduate colleges, a school of medicine, a veterinary medicine college, Graduate School, and Honors College. The university has a significant presence across Virginia, including Blacksburg, the greater Washington, D.C. area, the Health Sciences and Technology Campus in Roanoke, sites in Newport News and Richmond, and numerous Extension offices and research institutes. A leading global research institution, Virginia Tech conducts more than $650 million in research annually.
Virginia Tech endorses and encourages participation in professional development opportunities and university shared governance. These valuable contributions to university shared governance provide important representation and perspective, along with opportunities for unique and impactful professional development.
Virginia Tech does not discriminate against employees, students, or applicants on the basis of age, color, disability, sex (including pregnancy), gender, gender identity, gender expression, genetic information, ethnicity or national origin, political affiliation, race, religion, sexual orientation, or military status, or otherwise discriminate against employees or applicants who inquire about, discuss, or disclose their compensation or the compensation of other employees or applicants, or on any other basis protected by law.
If you are an individual with a disability and desire an accommodation, please contact **(Sue Ellen Crocker)** at **(scrocker@vt.edu)** during regular business hours at least 10 business days prior to the event.</t>
        </is>
      </c>
    </row>
    <row r="12">
      <c r="A12" t="inlineStr">
        <is>
          <t>in-decafcc7a610685e</t>
        </is>
      </c>
      <c r="B12" t="inlineStr">
        <is>
          <t>Therapeutic Program Manager</t>
        </is>
      </c>
      <c r="C12" t="inlineStr">
        <is>
          <t>Virginia Tech</t>
        </is>
      </c>
      <c r="D12" t="inlineStr">
        <is>
          <t>indeed</t>
        </is>
      </c>
      <c r="E12" t="inlineStr"/>
      <c r="F12" t="inlineStr"/>
      <c r="G12" t="inlineStr">
        <is>
          <t>Blacksburg, VA, US</t>
        </is>
      </c>
      <c r="H12" s="2" t="n">
        <v>46064</v>
      </c>
      <c r="I12" t="inlineStr">
        <is>
          <t>* 535517
* Blacksburg, Virginia
* Teaching \&amp; Research Faculty
* Liberal Arts and Human Sciences
**Job Description**
The Engagement Center for Creative Aging is seeking a dedicated and passionate Therapeutic Program Manager to oversee the planning, coordination, and implementation of therapeutic, recreational, and social programming for our Adult Day Services participants. This position offers a unique opportunity to contribute to an innovative care model for older adults, while collaborating with a dynamic team of healthcare professionals, researchers, and students. The Therapeutic Program Manager will ensure the therapeutic needs of our participants are met, contribute to development of individualized care plans, oversee incorporation of student engagement, and support research initiatives related to therapeutic programming.
* Full\-time position with a salary based on qualifications and experience.
* This role will require both office and fieldwork within the Adult Day Services program, interacting directly with participants and staff.
* Flexibility may be required for scheduling programs, staff supervision, and research collaboration.
To Apply: Interested candidates should submit a resume and cover letter detailing their qualifications and experience in therapeutic program management and Adult Day Services.
**Required Qualifications**
* A master’s degree from an accredited institution in recreational therapy, occupational therapy, or a related field such as art, music, or physical education is required.
* At least one year of relevant experience in a healthcare or therapeutic setting (acute care hospital, rehabilitation facility, nursing home, etc.), or completion of a prescribed internship program in therapeutic practices is required.
* Strong organizational and leadership skills, with the ability to supervise and mentor staff and students.
* Excellent communication skills and the ability to collaborate effectively with interdisciplinary teams.
* Passion for working with older adults and a commitment to enhancing their quality of life through therapeutic programming.
* Ability to integrate research findings into practical service delivery and training.
**Preferred Qualifications**
* Certification as a Recreation Therapist is highly preferred.
* Knowledge of community\-based health and human services is preferred.
**Overtime Status**
Exempt: Not eligible for overtime
**Appointment Type**
Regular
**Salary Information**
commensurate with experience
**Hours per week**
* 
**Review Date**
March 10, 2026
**Additional Information**
The successful candidate will be required to have a criminal conviction check.
**About Virginia Tech**
Dedicated to its motto, *Ut Prosim* (That I May Serve), Virginia Tech pushes the boundaries of knowledge by taking a hands\-on, transdisciplinary approach to preparing scholars to be leaders and problem\-solvers. A comprehensive land\-grant institution that enhances the quality of life in Virginia and throughout the world, Virginia Tech is an inclusive community dedicated to knowledge, discovery, and creativity. The university offers more than 280 majors to a diverse enrollment of more than 36,000 undergraduate, graduate, and professional students in eight undergraduate colleges, a school of medicine, a veterinary medicine college, Graduate School, and Honors College. The university has a significant presence across Virginia, including Blacksburg, the greater Washington, D.C. area, the Health Sciences and Technology Campus in Roanoke, sites in Newport News and Richmond, and numerous Extension offices and research institutes. A leading global research institution, Virginia Tech conducts more than $650 million in research annually.
Virginia Tech endorses and encourages participation in professional development opportunities and university shared governance. These valuable contributions to university shared governance provide important representation and perspective, along with opportunities for unique and impactful professional development.
Virginia Tech does not discriminate against employees, students, or applicants on the basis of age, color, disability, sex (including pregnancy), gender, gender identity, gender expression, genetic information, ethnicity or national origin, political affiliation, race, religion, sexual orientation, or military status, or otherwise discriminate against employees or applicants who inquire about, discuss, or disclose their compensation or the compensation of other employees or applicants, or on any other basis protected by law.
If you are an individual with a disability and desire an accommodation, please contact **Joanna Culligan** at **joculligan@vt.edu** during regular business hours at least 10 business days prior to the event.</t>
        </is>
      </c>
    </row>
    <row r="13">
      <c r="A13" t="inlineStr">
        <is>
          <t>in-264df7ad09378878</t>
        </is>
      </c>
      <c r="B13" t="inlineStr">
        <is>
          <t>Salesforce.com Product Owner</t>
        </is>
      </c>
      <c r="C13" t="inlineStr">
        <is>
          <t>Boston Scientific</t>
        </is>
      </c>
      <c r="D13" t="inlineStr">
        <is>
          <t>indeed</t>
        </is>
      </c>
      <c r="E13" t="inlineStr"/>
      <c r="F13" t="inlineStr"/>
      <c r="G13" t="inlineStr">
        <is>
          <t>Arden Hills, MN, US</t>
        </is>
      </c>
      <c r="H13" s="2" t="n">
        <v>46064</v>
      </c>
      <c r="I13" t="inlineStr">
        <is>
          <t>**Additional Location(s):** N/A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Boston Scientific was recognized as a Glassdoor Best Place to Work in 2026, ranking No. 15 on the Top 100 list, reflecting the culture our employees experience every day.
The Salesforce.com (SFDC) Product Owner will apply their thorough understanding of Salesforce.com to collaborate with business functions in the creation of new capabilities in SFDC to further improve sales performance within a fast\-growing, innovative medical device Sales and Marketing organization. This role will act as a product owner supporting the Cardiology division, with a specific focus on Cardiac Rhythm Management (CRM) and Interventional Solutions (IS).
**Work model, sponsorship, relocation:**
At Boston Scientific, we value collaboration and synergy. This role follows a hybrid work model requiring employees to be in our local office at least three days per week. Boston Scientific will not offer sponsorship or take over sponsorship of an employment visa for this position at this time. Relocation assistance is not available for this position at this time.
**Your responsibilities will include:**
* Collaborate with Sales, Marketing, Medical Education, Operations and Finance to identify and define problems; collect and analyze data; evaluate current processes and procedures; prioritize business needs; and collaborate to create SFDC solutions
* Collaborate with cross\-functional teams to develop a strategy and capability roadmap
* Establish business value and priority for requirements, including rapid engagement, piloting and iteration
* Understand the voice of the business and users and related business processes
* Write and shepherd user stories through the intake process and work with the IT COE through the production development process
* Act as the product owner on a scrum team consisting of technical leads, developers and a scrum master; lead the team in gathering requirements, prioritization and testing of new features
* Work with a field team to understand and prioritize the needs of IT and Salesforce.com systems
* Collaborate with site and divisional IT business teams to ensure Salesforce.com resource support, including site\-level strat planning and AOP
* Perform formal user acceptance testing
* Collaborate on the creation, implementation and monitoring of success metrics
* Participate with the Business Programs Office in global design and use discussions at both project\- and program\-level efforts
* Stay current on new features, functionality and application capabilities of Salesforce.com to address business requirements
* Provide Tier 1 and Tier 2 user support in collaboration with the analyst team and escalate or manage unresolved issues
* Conduct primary research in the field to understand business drivers and uncover business opportunities to facilitate the planning and execution of SFDC
* Provide field sales support of the SFDC system specific to the business unit
* Train a national field team on new Salesforce.com features, data quality and new integrations
* Work with cross\-functional teams on application integrations with the Salesforce platform that complement the ecosystem
**Qualifications:**
**Required qualifications:**
* Education: Bachelor of Science or Bachelor of Arts in business administration or related field
* Minimum of 2 years' experience in business, operations or process improvement (areas of IT or sales preferred)
* Minimum of 2 years' experience with Salesforce.com administration or backend support
* Minimum of 2 years' experience working in the Agile framework (product owner role preferred)
* Strong data analysis skills with the ability to collect and analyze business information and draw accurate conclusions
* Ability to troubleshoot and solve complex business operations challenges
* Ability to conduct cost\-benefit analysis and develop a business case
* Strong ability to handle multiple tasks and prioritize work to positively impact business performance
* High sense of urgency and commitment to execution
* Outstanding communication skills with the ability to communicate at all levels of an organization; experience in sales training preferred
* Ability to effectively influence change across a national field team
* Experience with multiple Salesforce.com cloud platforms, such as Marketing Cloud, Communities and Service Cloud
* Ability to travel up to 10%
**Preferred qualifications:**
* MBA preferred
* Expert\-level Excel skills with advanced understanding of complex data structures and analysis
* Salesforce certification(s)
* Experience with budget analysis and value definition
* Six Sigma experience
* Medical device industry knowledge
 **Requisition ID: 624482**
**Minimum Salary: $****85000**
**Maximum Salary: $****161500**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14">
      <c r="A14" t="inlineStr">
        <is>
          <t>in-28077c5a2af2c431</t>
        </is>
      </c>
      <c r="B14" t="inlineStr">
        <is>
          <t>Program Manager II, Global Business Tools</t>
        </is>
      </c>
      <c r="C14" t="inlineStr">
        <is>
          <t>Google</t>
        </is>
      </c>
      <c r="D14" t="inlineStr">
        <is>
          <t>indeed</t>
        </is>
      </c>
      <c r="E14" t="inlineStr"/>
      <c r="F14" t="inlineStr"/>
      <c r="G14" t="inlineStr">
        <is>
          <t>Mountain View, CA, US</t>
        </is>
      </c>
      <c r="H14" s="2" t="n">
        <v>46064</v>
      </c>
      <c r="I14"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Mountain View, CA, USA; San Francisco, CA, USA**.### **Minimum qualifications:**
* Bachelor's degree or equivalent practical experience.
* 2 years of experience in program or project management.
### **Preferred qualifications:**
* Experience in program management and coordinating large cross\-organizational programs.
* Experience in program management fundamentals for technical cross\-functional projects (e.g., planning, execution, estimation, risk management, stakeholder management).
* Experience in helping teams measure and improve operational excellence, product excellence and accessibility.
* Ability to be comfortably working with data and pulling insights from data.
* Excellent investigative, problem\-solving, negotiation and organizational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Go To Market (GTM) organization, the umbrella organization for Global Business Applied AI (GBAI), provides business critical insights using analytics, ensures cross\-functional alignment of goals and execution, and helps teams drive strategic partnerships and new initiatives forward. We stay focused on aligning the highest\-level company priorities with strong day\-to\-day operations, and help evolve early stage ideas into future\-growth initiatives.  
The Global Business Organization (GBO) Tools teams are responsible for improving sales and support efficiency and effectiveness by building great tools for its users. Our team is the glue that binds the direction of the business with the needs of GBO in our CRM ecosytem. We accomplish this by partnering with Product Management, Engineering, Sales, gTech and GTM teams to deliver a delightful experience to our users.  
In this role, you will focus on advocating complex tooling initiatives and will partner with colleagues from Product Management, Engineering, Sales, gTech and GTM teams to ensure strategic alignment across multiple stakeholders, prioritization of seamless experiences for our customers and successful execution of high priority initiatives.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program objectives, scope, deliverables, and success metrics in collaboration with cross\-functional stakeholders.
* Develop and maintain program plans, schedules, governance, and communication structures.
* Facilitate cross\-functional collaboration and communication to ensure alignment and on\-time delivery.
* Drive governance and engagement cadence across multiple work streams to ensure clear decision and escalation paths.
* Collaborate with partner teams and subject matter experts to proactively identify and surface risks, action items or key dependencies impacting program delivery quality or timeline.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5">
      <c r="A15" t="inlineStr">
        <is>
          <t>in-3e688f3b752be6a2</t>
        </is>
      </c>
      <c r="B15" t="inlineStr">
        <is>
          <t>Program Manager II, NPI, Product Operations, Technical Infrastructure</t>
        </is>
      </c>
      <c r="C15" t="inlineStr">
        <is>
          <t>Google</t>
        </is>
      </c>
      <c r="D15" t="inlineStr">
        <is>
          <t>indeed</t>
        </is>
      </c>
      <c r="E15" t="inlineStr"/>
      <c r="F15" t="inlineStr"/>
      <c r="G15" t="inlineStr">
        <is>
          <t>Sunnyvale, CA, US</t>
        </is>
      </c>
      <c r="H15" s="2" t="n">
        <v>46064</v>
      </c>
      <c r="I15" t="inlineStr">
        <is>
          <t>### **Minimum qualifications:**
* Bachelor's degree or equivalent practical experience.
* 2 years of experience in program or project management.
* Experience working in networking, cloud, or data center environments.
* Experience managing NPI programs for Printed Circuit Board Assembly (PCBA) hardware.
### **Preferred qualifications:**
* 2 years of experience managing cross\-functional or cross\-team projects.
* Experience in multiple aspects of hardware and manufacturing operations.
* Experience working as an Engineer, including in manufacturing and test engineering.
* Knowledge of hardware Bill of Materials (BOMs), process documentation, assembly and test processes.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the New Product Introduction (NPI) Operations Program Manager, you will be instrumental in bringing innovative products to market efficiently and effectively. You will be the primary link between Product Operations/Supply Chain and hardware development, advocating operational excellence and guiding new products through the entire lifecycle, including production ramp within Contract Manufacturer/Original Design Manufacturer/Joint Development Manufacturer (CM/ODM/JDM) environments. Leading a team, you will ensure all products are built to Google's stringent quality and manufacturing requirements. Your projects will often span offices, time zones, and hemispheres. It's your job to coordinate the players and keep them up to date on progress and deadlines.Behind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Google.**Responsibilities**
--------------------
* Lead cross\-functional program teams within Google with external partners to prepare for production ramp or product transitions.
* Plan and execute operations development activities and ensure transition to production within cost, quality and capacity parameters. Ensure successful production transitions meeting program goals.
* Manage ramp readiness with internal teams as well as external partners (e.g., material availability, cost/assembly/test/capacity readiness and transition plans).
* Motivate cross\-functional teams to optimize the supply chain for specific reasons, while accounting for risks, changes in schedule or demand.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6">
      <c r="A16" t="inlineStr">
        <is>
          <t>in-bcb411b301bb1736</t>
        </is>
      </c>
      <c r="B16" t="inlineStr">
        <is>
          <t>Program Manager II, Global Business Tools</t>
        </is>
      </c>
      <c r="C16" t="inlineStr">
        <is>
          <t>Google</t>
        </is>
      </c>
      <c r="D16" t="inlineStr">
        <is>
          <t>indeed</t>
        </is>
      </c>
      <c r="E16" t="inlineStr"/>
      <c r="F16" t="inlineStr"/>
      <c r="G16" t="inlineStr">
        <is>
          <t>San Francisco, CA, US</t>
        </is>
      </c>
      <c r="H16" s="2" t="n">
        <v>46064</v>
      </c>
      <c r="I16"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Mountain View, CA, USA; San Francisco, CA, USA**.### **Minimum qualifications:**
* Bachelor's degree or equivalent practical experience.
* 2 years of experience in program or project management.
### **Preferred qualifications:**
* Experience in program management and coordinating large cross\-organizational programs.
* Experience in program management fundamentals for technical cross\-functional projects (e.g., planning, execution, estimation, risk management, stakeholder management).
* Experience in helping teams measure and improve operational excellence, product excellence and accessibility.
* Ability to be comfortably working with data and pulling insights from data.
* Excellent investigative, problem\-solving, negotiation and organizational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Go To Market (GTM) organization, the umbrella organization for Global Business Applied AI (GBAI), provides business critical insights using analytics, ensures cross\-functional alignment of goals and execution, and helps teams drive strategic partnerships and new initiatives forward. We stay focused on aligning the highest\-level company priorities with strong day\-to\-day operations, and help evolve early stage ideas into future\-growth initiatives.  
The Global Business Organization (GBO) Tools teams are responsible for improving sales and support efficiency and effectiveness by building great tools for its users. Our team is the glue that binds the direction of the business with the needs of GBO in our CRM ecosytem. We accomplish this by partnering with Product Management, Engineering, Sales, gTech and GTM teams to deliver a delightful experience to our users.  
In this role, you will focus on advocating complex tooling initiatives and will partner with colleagues from Product Management, Engineering, Sales, gTech and GTM teams to ensure strategic alignment across multiple stakeholders, prioritization of seamless experiences for our customers and successful execution of high priority initiatives.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program objectives, scope, deliverables, and success metrics in collaboration with cross\-functional stakeholders.
* Develop and maintain program plans, schedules, governance, and communication structures.
* Facilitate cross\-functional collaboration and communication to ensure alignment and on\-time delivery.
* Drive governance and engagement cadence across multiple work streams to ensure clear decision and escalation paths.
* Collaborate with partner teams and subject matter experts to proactively identify and surface risks, action items or key dependencies impacting program delivery quality or timeline.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7">
      <c r="A17" t="inlineStr">
        <is>
          <t>in-39d2462f9c4d21f8</t>
        </is>
      </c>
      <c r="B17" t="inlineStr">
        <is>
          <t>Program Manager II, Global Business Tools</t>
        </is>
      </c>
      <c r="C17" t="inlineStr">
        <is>
          <t>Google</t>
        </is>
      </c>
      <c r="D17" t="inlineStr">
        <is>
          <t>indeed</t>
        </is>
      </c>
      <c r="E17" t="inlineStr"/>
      <c r="F17" t="inlineStr"/>
      <c r="G17" t="inlineStr">
        <is>
          <t>New York, NY, US</t>
        </is>
      </c>
      <c r="H17" s="2" t="n">
        <v>46064</v>
      </c>
      <c r="I17"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Mountain View, CA, USA; San Francisco, CA, USA**.### **Minimum qualifications:**
* Bachelor's degree or equivalent practical experience.
* 2 years of experience in program or project management.
### **Preferred qualifications:**
* Experience in program management and coordinating large cross\-organizational programs.
* Experience in program management fundamentals for technical cross\-functional projects (e.g., planning, execution, estimation, risk management, stakeholder management).
* Experience in helping teams measure and improve operational excellence, product excellence and accessibility.
* Ability to be comfortably working with data and pulling insights from data.
* Excellent investigative, problem\-solving, negotiation and organizational skills
**About the job**
-----------------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Go To Market (GTM) organization, the umbrella organization for Global Business Applied AI (GBAI), provides business critical insights using analytics, ensures cross\-functional alignment of goals and execution, and helps teams drive strategic partnerships and new initiatives forward. We stay focused on aligning the highest\-level company priorities with strong day\-to\-day operations, and help evolve early stage ideas into future\-growth initiatives.  
The Global Business Organization (GBO) Tools teams are responsible for improving sales and support efficiency and effectiveness by building great tools for its users. Our team is the glue that binds the direction of the business with the needs of GBO in our CRM ecosytem. We accomplish this by partnering with Product Management, Engineering, Sales, gTech and GTM teams to deliver a delightful experience to our users.  
In this role, you will focus on advocating complex tooling initiatives and will partner with colleagues from Product Management, Engineering, Sales, gTech and GTM teams to ensure strategic alignment across multiple stakeholders, prioritization of seamless experiences for our customers and successful execution of high priority initiatives.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program objectives, scope, deliverables, and success metrics in collaboration with cross\-functional stakeholders.
* Develop and maintain program plans, schedules, governance, and communication structures.
* Facilitate cross\-functional collaboration and communication to ensure alignment and on\-time delivery.
* Drive governance and engagement cadence across multiple work streams to ensure clear decision and escalation paths.
* Collaborate with partner teams and subject matter experts to proactively identify and surface risks, action items or key dependencies impacting program delivery quality or timeline.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8">
      <c r="A18" t="inlineStr">
        <is>
          <t>in-adfe0f240b4ea8d0</t>
        </is>
      </c>
      <c r="B18" t="inlineStr">
        <is>
          <t>Technical Program Manager, Efficiency Metrics</t>
        </is>
      </c>
      <c r="C18" t="inlineStr">
        <is>
          <t>Google</t>
        </is>
      </c>
      <c r="D18" t="inlineStr">
        <is>
          <t>indeed</t>
        </is>
      </c>
      <c r="E18" t="inlineStr"/>
      <c r="F18" t="inlineStr"/>
      <c r="G18" t="inlineStr">
        <is>
          <t>Sunnyvale, CA, US</t>
        </is>
      </c>
      <c r="H18" s="2" t="n">
        <v>46064</v>
      </c>
      <c r="I18" t="inlineStr">
        <is>
          <t>### **Minimum qualifications:**
* Bachelor's degree in a technical field, or equivalent practical experience.
* 8 years of experience in program management.
### **Preferred qualifications:**
* 8 years of experience managing cross\-functional or cross\-team projects.
* Understanding of the areas of opportunity and metrics/challenges in utilization and efficiency of the infrastructure.
* Excellent program management skills, with the ability to successfully drive and land complex cross\-functional programs, in the area of compute, storage, and ML hardware/software resource efficiency programs for the data center.
* Excellent verbal and written communication and presentation skills, with the ability to interact with both technical and non\-technical audiences
* Strong problem\-solving, negotiation and organizational skills.
**About the job**
-----------------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force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Lead large programs within efficiency with a strong focus on metrics, that deliver towards measurable impact and a more efficient use of resources in the Google fleet, and deliver towards Google's 2030 sustainability goals.
* Develop processes and tools, in partnership with the Engineering and Data Science teams, to measure top\-level metrics for the portfolio of efficiency and sustainability initiatives in AI2\.
* Partner with finance and key stakeholders in areas adjacent to efficiency to build robust and auditable mechanisms to track and report impact at the company level, scaling the existing processes we have today.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19">
      <c r="A19" t="inlineStr">
        <is>
          <t>in-9d1bad8157155e5e</t>
        </is>
      </c>
      <c r="B19" t="inlineStr">
        <is>
          <t>Program Manager, Advanced Education General Dentistry (8a-5p) Research &amp; Academics, Johnson City, TN</t>
        </is>
      </c>
      <c r="C19" t="inlineStr">
        <is>
          <t>Ballad Health</t>
        </is>
      </c>
      <c r="D19" t="inlineStr">
        <is>
          <t>indeed</t>
        </is>
      </c>
      <c r="E19" t="inlineStr"/>
      <c r="F19" t="inlineStr"/>
      <c r="G19" t="inlineStr">
        <is>
          <t>Johnson City, TN, US</t>
        </is>
      </c>
      <c r="H19" s="2" t="n">
        <v>46064</v>
      </c>
      <c r="I19" t="inlineStr">
        <is>
          <t>**Job Description:**  
Summary:
This role supports the work of multiple facets of the Advanced Education in General Dentistry (AEGD) program based at JMH. This dental residency program is accredited through the Commission on Dental Accreditation (CODA) and requires administration. This role is responsible for coordinating various aspects of the graduate dental education meetings logistics and activities, compiling materials and records needed to review and track accreditation, performing follow\-up on committee decisions. Successful performance of the job duties requires the ability to work with minimal supervision, comprehension of accreditation requirements and CODA policies and procedures, and the ability to manage multiple tasks and deadlines concurrently.
A. Manages regular (and more often as necessitated) AEGD Committee agenda and meetings, ensuring adherence of CODA requirements and institutional policies and procedures in coordination with support of the residency Program Director and residents.
B. Maintains accurate and complete meeting minutes with annotations referencing specific CODA institutional requirements for each requirement or action, and an attendance roster.
C. Oversee the administrative processes and provides counsel, in concert with the Program Director, to faculty and staff related to dental residency responsibilities, including new program requests, changes in resident complement, program structure/duration, new program directors, and participating sites, according to CODA requirements and institutional policies and procedures. Including:
* A. CODA required placement between programs and participating sites.
* B. Teaching/faculty agreements.
* C. Resident rotational requirements
* D. Resident recruitment, orientation, graduation and external rotations.
D. Works with the DIO and Program Director on annual CODA reporting documents and evaluations.
E. Produces monthly reports on productivity within the training program.
F. Establishes strong working relationships with Residency Program Directors and clinic management, and residents.
G. Coordinate and oversee the periodic CODA site visits.
H. Act as a liaison with the DIO between residents and hospital administration when necessary. Works closely with the Chief Medical Officer, Risk Management and other hospital and system resources.
I. Development of policies in concert with the DIO compliant with CODA requirements.
J. Annually oversees updated external program advertising/media through websites, brochures, postcards, publications, and other such media in concert with the Ballad Health media team.
K. Any other assigned duties as determined by the Program Director.
Requirements:
A Bachelor’s degree from an accredited college or university and/or three to five years of work experience in a responsible administrative field is required. A combination of education and experience may be taken into consideration. Proficiency in the use of Microsoft Office (Word, Excel, PowerPoint) is also required.
**Work Requirements:**
Shift: Day  
On Call: No  
Weekends: No  
Travel Required: No Travel  
Shift Details: 8a\-5p  
City/State: JOHNSON CITY, TN
**Location:**  
Ballad Health Corporate</t>
        </is>
      </c>
    </row>
    <row r="20">
      <c r="A20" t="inlineStr">
        <is>
          <t>in-714d81f16b6d056b</t>
        </is>
      </c>
      <c r="B20" t="inlineStr">
        <is>
          <t>Product Manager</t>
        </is>
      </c>
      <c r="C20" t="inlineStr">
        <is>
          <t>Summit 7 Systems</t>
        </is>
      </c>
      <c r="D20" t="inlineStr">
        <is>
          <t>indeed</t>
        </is>
      </c>
      <c r="E20" t="inlineStr"/>
      <c r="F20" t="inlineStr"/>
      <c r="G20" t="inlineStr">
        <is>
          <t>Huntsville, AL, US</t>
        </is>
      </c>
      <c r="H20" s="2" t="n">
        <v>46064</v>
      </c>
      <c r="I20" t="inlineStr">
        <is>
          <t>**Responsibilities:**
* Reports to Director of Product Management
* Creates/maintains service descriptions, product roadmaps, and marketing collateral
* Follows and executes defined product release process with the Product Development Board
* Supports lifecycle management of portfolio offerings in project services and managed services
* Develops and maintains a working knowledge of Microsoft Cloud Platforms (Office 365 and Azure) and their alignment to compliance standards of the Defense Industrial Base (DIB)
* Develops and maintains working knowledge of DIB security compliance standards including NIST, CMMC, and ITAR and their impact on the product portfolio.
* Creates products and SKUs in CRMs (ServiceNow, Dynamics) for Microsoft, Distributors, and other Partner products in support of Sales/Delivery/PMO/Finance activities
* Creates/manages CRM product eligibility rules, product relationships (bundling), and product offering characteristics to enable efficient quoting and procurement processes
* Regularly reviews Microsoft/Partner catalogs and price lists to update SKUs in CRMs and communicate changes to the Go\-To\-Market (GTM) Teams
* Delivers live and virtual product training for internal and external stakeholders on solutions, products, and high\-level technology; supports industry events and customer meetings
* Collaborates cross\-functionally with Sales and Delivery Teams to ensure products are both market\-ready and operationally deliverable, aligning GTM strategies with service capabilities
* Manages product Lists/Rules in CRM to achieve pricing model target margins
* Conducts market and customer research to determine product requirements, value propositions, competitive positioning, and then translates them into offerings and feature enhancements
* Works with company stakeholders to define product KPIs, analytics, and reporting needs
* Creates CRM product reports and dashboards to provide insights into product line(s) data
* Additional duties as assigned
 **Job Requirements:**
* 3\+ years of experience in product management, technical support, sales, or marketing in a technology company; MSP, MSSP, or SaaS experience a plus
* Understanding of Microsoft Cloud Platforms, cybersecurity, and regulatory compliance
* Experience writing product requirements and product marketing collateral
* Familiarity with product lifecycle, product launches, and GTM activities
* Experience with IT software/ or hardware product catalogs including SKUs, pricing, and lifecycle
* Effective at cross\-functional collaboration (e.g. R\&amp;D, Sales, Marketing, Finance, IT)
* Hands\-on experience with CRM tools (e.g. ServiceNow, Salesforce, Dynamics, HubSpot)
* Entrepreneurial spirit and aptitude for analyzing technology, products, and services
* Proficient with Microsoft Office Suite (Word, PowerPoint, etc.) and specifically Excel (X/VLOOKUPS, Pivot Tables, etc.)
* Experience creating/presenting technical product information to people at all technical levels
* Ability to work independently and meet deadlines in fast\-moving technology company
* Excellent communication skills \- written, verbal, and presentation
* U. S. citizenship and the ability to pass an extensive background check
**Export Control Notice:** This position may involve access to information subject to U.S. export control laws, including the International Traffic in Arms Regulations (ITAR) or the Export Administration Regulations (EAR). Qualified applicants will be considered regardless of national origin or immigration status. If a candidate does not meet the definition of a "U.S. Person" (as defined in 22 CFR 120\.15\), the company will assess whether an export license is required. If a license is required, any offer of employment will be contingent upon the candidate's eligibility for, and the company's ability to obtain, such a license in accordance with U.S. law. A "U.S. Person" includes U.S. citizens, lawful permanent residents, asylees, and refugees.
 *Summit 7 Systems is an equal opportunity/ affirmative action employer and an alcohol and drug free workplace. All qualified applicants will receive consideration for employment without regard to race, color, religion, sex, sexual orientation, gender identity, national origin, disability, or veteran status*</t>
        </is>
      </c>
    </row>
    <row r="21">
      <c r="A21" t="inlineStr">
        <is>
          <t>in-617b13f3b372d6c0</t>
        </is>
      </c>
      <c r="B21" t="inlineStr">
        <is>
          <t>Group Product Manager - Fintech Risk</t>
        </is>
      </c>
      <c r="C21" t="inlineStr">
        <is>
          <t>Intuit</t>
        </is>
      </c>
      <c r="D21" t="inlineStr">
        <is>
          <t>indeed</t>
        </is>
      </c>
      <c r="E21" t="inlineStr"/>
      <c r="F21" t="inlineStr"/>
      <c r="G21" t="inlineStr">
        <is>
          <t>Mountain View, CA, US</t>
        </is>
      </c>
      <c r="H21" s="2" t="n">
        <v>46064</v>
      </c>
      <c r="I21" t="inlineStr">
        <is>
          <t>Category Product Management
Location Mountain View, California
Job ID 19127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Intuit’s mission is to power prosperity, and a foundational element of that prosperity is Trust. We are seeking a Manager of Product Management to lead the Accounts Lifecycle Risk team. This role is at the heart of our Fintech strategy, responsible for protecting millions of customers from fraud while ensuring their experience is seamless, intuitive, and frictionless.
In this role, you will lead a team of product managers to define the future of how we welcome and protect our customers. Your scope covers the most critical touchpoints in the customer journey: from the moment they onboard to the ongoing protection of their accounts against Account Takeovers (ATO) and other emerging threats. You will balance a "security\-first" mindset with a "customer\-obsessed" approach, building scalable technical features that stop bad actors in their tracks without getting in the way of our legitimate customers.
 **Responsibilities**
Strategic Vision \&amp; Execution
* Balance Experience \&amp; Security: Develop and execute a roadmap that creates delightful experiences for "good" customers while preventing and mitigating bad actor activity.
* Domain Leadership: Drive the end\-to\-end Risk product strategy for Onboarding controls and ATO prevention, ensuring Intuit stays ahead of sophisticated fraud vectors. Leverage AI/ML, ecosystem data, and third party data to build automated, real\-time decisioning flows and controls.
* Scalable Feature Innovation: Work with engineering, policy, and AI teams to build reusable, scalable risk capabilities that can be deployed across various Intuit Fintech products.
* Operational Health: Monitor and report on key performance fraud and experience indicators across the account lifecycle.
People Leadership \&amp; Talent Development
* Team Growth: Lead, coach, and inspire a team of high\-performing Product Managers. You will be responsible for their career development, technical growth, and ability to deliver high\-impact results.
* Culture of Excellence: Foster a collaborative environment that values ownership, clarity, data\-driven decision\-making, and deep customer empathy.
Stakeholder Management \&amp; Communication
* Influence Leadership: Act as the primary voice for Account Lifecycle Risk to senior leadership and key stakeholders. You must be able to articulate complex risk/reward trade\-offs and gain buy\-in for major strategic shifts.
* Cross\-Functional Partnership: Work seamlessly with Design, Engineering, Risk Policy, AI Scientists, and Legal/Compliance to ensure our risk controls and experiences are both effective and delightful.
 **Qualifications**
* Experience: 10\+ years of Product Management experience, with a proven track record in Risk or high\-growth Fintech services.
* Proven People Leader: At least 5\+ years of experience managing and developing other Product Managers. You have a reputation for building strong team cultures and developing talent.
* Deep technical understanding of the Risk:
	+ Onboarding: KYC/KYB, Identity Verification, Fraud detection.
	+ Account Protection: ATO detection, adaptive authentication (MFA/2FA), risk signals
* Exceptional Communication: You are a master at storytelling. You can translate technical risk concepts into compelling business narratives for executive audiences and stakeholder partners.
* Platform \&amp; Scalability Mindset: You don't just solve for today; you build for tomorrow. You have experience delivering platform\-level features that serve multiple products or business units.
* Strategic \&amp; Analytical: Highly proficient in using data to identify trends, measure impact, and drive prioritization. You understand the math behind fraud—balancing loss rates against customer conversion.
* Education: BS or MS in a technical or business field, or equivalent experience in a highly technical product environment.
Join us at Intuit to build the next generation of Fintech Risk Products, accelerating our ability to innovate and protect our customers and the business!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$237,500 \- $321,500</t>
        </is>
      </c>
    </row>
    <row r="22">
      <c r="A22" t="inlineStr">
        <is>
          <t>in-fb1e43f758dc7c9f</t>
        </is>
      </c>
      <c r="B22" t="inlineStr">
        <is>
          <t>Technical Product Manager</t>
        </is>
      </c>
      <c r="C22" t="inlineStr">
        <is>
          <t>Synopsys</t>
        </is>
      </c>
      <c r="D22" t="inlineStr">
        <is>
          <t>indeed</t>
        </is>
      </c>
      <c r="E22" t="inlineStr"/>
      <c r="F22" t="inlineStr"/>
      <c r="G22" t="inlineStr">
        <is>
          <t>Sunnyvale, CA, US</t>
        </is>
      </c>
      <c r="H22" s="2" t="n">
        <v>46064</v>
      </c>
      <c r="I22" t="inlineStr">
        <is>
          <t>**We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**You Are:**  
You are an experienced and highly motivated engineer with a passion for semiconductor innovation and digital design solutions. You thrive in environments that challenge you to bridge customer needs with cutting\-edge technology, and you excel at translating complex technical concepts into actionable product strategies. With a deep understanding of EDA tools—especially in areas like synthesis, RTL architecture, place and route and ECO methodologies—you are eager to drive the development of next\-generation solutions. You bring a strong analytical mindset, a collaborative spirit, and a customer\-centric approach to every project. Your ability to engage directly with customers, understand their critical challenges, and translate those insights into high\-value product features sets you apart. You are a thought leader, comfortable presenting at industry forums and representing Synopsys as a subject matter expert. You are adept at managing cross\-functional teams, prioritizing product roadmaps, and ensuring releases meet the highest standards of quality and impact. Your enthusiasm for technology is matched by your commitment to inclusivity, mentorship, and continuous learning. If you are ready to lead transformative projects and be at the forefront of semiconductor innovation, Synopsys is the place for you.  
**What You’ll Be Doing:**  
* Engaging directly with customers to identify high\-value problems, particularly around optimizing power, performance, and area (PPA), and achieving multi\-physics closure in design.
* Analyzing and interpreting market trends to inform the Synopsys SCA roadmap, with a focus on advanced nodes and GenAI/Agentic flows.
* Collaborating with DRIs and field partners to pinpoint product gaps and evaluate new opportunities for tool enhancement and innovation.
* Defining and prioritizing product roadmaps by crafting Market Requirements Documents (MRDs) and partnering with Product Engineers to develop Product Requirements Documents (PRDs).
* Writing code prototypes for new features and products, serving as "executable specifications" to demonstrate functionality and requirements to development teams.
* Managing release readiness, including defining criteria for Alpha, Beta, Limited Customer Availability (LCA), and General Availability (GA) stages.
* Enabling partners and field teams with training, strategic campaigns, and benchmarks to ensure new products deliver on promised value.
* Representing Synopsys as a subject matter expert at customer forums, including TRMs and MRMs, and driving thought leadership at industry conferences.
 **The Impact You Will Have:**  
* Accelerate the adoption of Synopsys solutions, driving improved PPA outcomes for customers.
* Shape the direction of Synopsys’s product offerings by identifying and acting on emerging industry trends.
* Build stronger customer relationships through direct engagement, enabling tailored solutions that address their most critical challenges.
* Enhance Synopsys’s reputation as a technology leader by presenting at industry events and fostering thought leadership.
* Streamline product development processes through executable specifications, ensuring clarity and alignment across teams.
* Increase the commercial success of new products by ensuring release readiness and effective go\-to\-market strategies.
* Elevate partner and sales enablement, empowering teams to communicate product value and drive adoption.
 **What You’ll Need:**  
* Deep technical expertise in EDA tools, especially in synthesis, RTL architecture, place and route and ECO methodologies.
* Proven experience in product management, including roadmap prioritization, MRD/PRD development, and release readiness are a nice to have
* Strong coding skills for prototyping features and creating executable specifications.
* Ability to analyze market trends, customer feedback, and competitive landscapes to inform product strategy.
* Experience collaborating with cross\-functional teams (engineering, sales, marketing, partners) in a fast\-paced environment.
* Familiarity presenting at industry forums, conferences, and customer meetings as a subject matter expert.
 **Who You Are:**  
* Customer\-centric, with a passion for solving complex technical challenges.
* Analytical and strategic thinker, able to synthesize information and drive actionable decisions.
* Collaborative leader, skilled at working across teams and building consensus.
* Effective communicator, comfortable presenting to diverse audiences and stakeholders.
* Adaptable, curious, and committed to continuous learning and improvement.
* Inclusive and supportive, fostering a culture of mentorship and teamwork.
 **The Team You’ll Be A Part Of:**  
You’ll join a passionate and innovative product management team at Synopsys, focused on delivering state\-of\-the\-art solutions for semiconductor design, verification, and optimization. Our team works closely with engineering, sales, and marketing to ensure that our tools meet the evolving needs of our customers. Together, we drive product excellence, industry leadership, and customer success. **Rewards and Benefits**:  
We offer a comprehensive range of health, wellness, and financial benefits to cater to your needs. Our total rewards include both monetary and non\-monetary offerings. Your recruiter will provide more details about the salary range and benefits during the hiring process. **\#LI\-SV1**</t>
        </is>
      </c>
    </row>
    <row r="23">
      <c r="A23" t="inlineStr">
        <is>
          <t>in-2f9c3e19bdac9213</t>
        </is>
      </c>
      <c r="B23" t="inlineStr">
        <is>
          <t>NY SCION Program Manager</t>
        </is>
      </c>
      <c r="C23" t="inlineStr">
        <is>
          <t>New York City Department of Small Business Services</t>
        </is>
      </c>
      <c r="D23" t="inlineStr">
        <is>
          <t>indeed</t>
        </is>
      </c>
      <c r="E23" t="inlineStr"/>
      <c r="F23" t="inlineStr"/>
      <c r="G23" t="inlineStr">
        <is>
          <t>Manhattan, NY, US</t>
        </is>
      </c>
      <c r="H23" s="2" t="n">
        <v>46064</v>
      </c>
      <c r="I23" t="inlineStr">
        <is>
          <t>**NY SCION Program Manager**
============================
* DEPARTMENT OF BUSINESS SERV.
Posted On: 02/12/2026
* Full\-Time
Location
MANHATTAN
* No Exam Required
Department
Center Based Programs
Salary Range:
$62,868\.00 – $72,298\.00
**Save**
**Job Description**
-------------------
JOB TITLE: One (1\) Program Manager / Program Manager Associate.
Agency Description:  
The Department of Small Business Services (SBS) helps unlock economic potential and create economic security for all New Yorkers by connecting New Yorkers to good jobs, creating stronger businesses, and building a fairer economy in neighborhoods across the five boroughs.  
Division Description:  
The Division of Citywide Workforce Opportunity (CWO) at the NYC Department of Small Business Services (SBS) serves over 90,000 jobseekers and 900 employers each year through its employment and training programs. Specifically, CWO oversees a network of 18 Workforce1 (WF1\) career centers, operated in all five boroughs by workforce development providers under contract with SBS. CWO also manages three dozen training programs, in such areas as tech, health care, and construction, that are offered in collaboration with higher education institutions and non\-profit training providers.
CWO serves two core constituencies through its centers and programs. One is jobseekers, most of whom have traditionally been underserved and have not had ready access to employment and training opportunities. Eligible jobseekers can visit WF1 centers to take advantage of career services such as interviewing workshops, as well as direct connections to employment opportunities across NYC. They can also enroll in SBS’ training programs at no cost to them. The second constituency is employers. Working with a variety of internal and external partners, CWO seeks to identify employers who might benefit from hiring graduates of our training programs as well as those who might benefit from targeted recruitment services offered through the WF1 centers that enable employers to find qualified candidates for a variety of positions.
Job Description:  
NY SCION was launched in 2022 by the New York State Department of Labor (NYSDOL) to improve and expand employment opportunities for individuals with disabilities throughout New York State. The City of New York’s implementation of NYC NY SCION is a Multi\-agency Initiative that leverages expertise of The Mayor’s Office for People with Disabilities (MOPD), Mayor’s Office for Talent and Workforce Development (NYC Talent), NYC Workforce Development Board (WDB), and NYC Department of Small Business Services (SBS) who manages the high\-volume, employer demand\-driven system, Workforce1 Career Centers (WF1CC), successfully to connect talent to employers at scale.  
The mission of NY SCION is to improve the participation of individuals with disabilities, including individuals with intellectual and developmental disabilities, in workforce systems and improve their employment outcomes via a sustainable, job\-driven, inclusive model that involves businesses and workforce demand.  
Program Manager / Program Manager Associate will serve as a disability resource coordinator to jobseekers with disabilities at our Workforce1 Career Centers organizing community activities and events, forging strategic partnerships, and ensuring the provision of direct services. Will be integral to enhancing employment outcomes for individuals with disabilities by improving access to a suite of career services. Key activities include enhancing employment outcomes, expanding access to career center services, and fostering partnerships and collaborations.
Essential Responsibilities:
* Implement accessibility plan – including physical, programmatic, communication and digital accessibility – in partnership with training providers ensuring universal access for jobseekers at the Workforce1 Career Centers in the spirit of the law
* Provide disability\-related trainings, including Disability Etiquette and Awareness Training, best practices for conducting outreach to people with disabilities, creating an accessible job posting, and other topics, to all Workforce1 and New York State Department of Labor (NYSDOL) center staff approximately once per month.
* Provide Disability Etiquette and Awareness Training to Community Partners.
* Provide trainings for businesses on relevant topics.
* Review and analyze best practices for accessibility in job training.
* Conduct review of accessibility among sector\-based “cohort” trainings and make clear recommendations for increasing the physical, programmatic, and digital accessibility of trainings.
* Present recommendations to SBS leadership and SBS leadership determines what to adopt and over what timeline to develop concrete plan for increasing the physical, programmatic, and digital accessibility of trainings.
* Provide background training to all Workforce1 and NYSDOL center staff about Ticket to Work a Social Security's Program that supports career development for people ages 18 through 64 who receive Social Security disability benefits and want to work. The Ticket Program is free and voluntary.Hold quarterly Talent Coalition meeting to bring together Workforce1 and a variety of partners for better coordination of services.
* Provide in\-depth training to designated Workforce1 and NYSDOL center staff on case management requirements for Ticket to Work.
* Design a new approach to outreach and marketing to customers and delivering the Workforce1 orientation based on input from partner organizations and customers with disabilities; collect feedback; evaluate feedback and implement additional changes; iterate multiple times along with SBS.
* Launch regular review of reports produced about the impact of the NY SCION initiative.
* Develop ability to track Ticket to Work customers in SBS’ data system, Worksource1\. Regularly review projected revenue.
* Increase the capacity of the Workforce1 Career Centers and surrounding career pathways programs to serve individuals with disabilities.
* Travel throughout all five boroughs in New York City maintain office hours at Workforce1 Career Centers.
* Identify and leverage disability\-related resources and partners, including the NYS Education Department’s (NYSED) Adult Career and Continuing Education Services – Vocational Rehabilitation (ACCES\-VR) and the Office of Children and Family Services/NYS Commission for the Blind (OCFS/NYSCB), to support collaboration around a job seeker’s employment and/or training goal(s).
* Advising the workforce development system on how to effectively promote the participation of individuals with disabilities in existing career pathways systems and programs.
* Assist and train the Local Workforce Development Board (LWDB), Career Center staff, businesses, community colleges, and other training providers on such topics as rights under the Americans with Disabilities Act (ADA), Ticket to Work (TTW), accommodations, assistive technology, and assessments.
* Coordinate with career pathway programs’ direct service delivery staff, including career coaches.
* Assist in the recruitment of individuals with disabilities, including TTW Ticket Holders, to participate in career pathways programs, including funded career pathways training, and to utilize Career Center services.
* Identify career, training, and employment opportunities for individuals with disabilities using assessments.
* Obtain and maintain a credential to provide benefits advisement and work incentive counseling to job seekers in receipt of Social Security Administration (SSA) benefits (e.g., Social Security Disability Insurance (SSDI) and Supplemental Security Income (SSI)).
* Assist with expansion of the workforce development system's participation as an Employment Network (EN) under the TTW Program, including the assignment of appropriate Tickets to the Career Center under the New York Employment Services System (NYESS) Administrative Employment Network (AEN).
* Help ensure that individuals with disabilities access all the different programs and services they need, including career and training services offered through the Career Centers to participate in existing career pathways programs.
* Facilitate an effective approach to leverage resources needed for individuals with disabilities to fully participate in existing career pathway programs and to achieve their employment and/or training goal(s).
* Support the development of a sustainability plan and strategies that will continue the successful project components beyond the funding period.
Additional Information  
This position may be eligible for remote work up to 2 days per week, pursuant to the Remote Work Pilot Program agreed to between the City and DC37\.  
REQUIREMENTS:  
Program Manager Associate: 1 \- 2 years of full\-time, relevant experience in program management, workforce development, or working with community programs supporting and providing services to peoples with disabilities.
Program Manager: 3\+ years of full\-time, relevant experience in program management, workforce development, or working with community programs supporting and providing services to peoples with disabilities.  
All Applicants: Go to www.nyc.gov/jobs search for Job ID: \# 769800  
Note: We appreciate the interest and thank all applicants who apply, but only those candidates under consideration will be contacted.
If you are unable to apply via Jobs NYC, you can email your cover letter and resume to careers@sbs.nyc.gov with the following in the subject line: NYC SCION Program Manager.
If you do not have access to email, mail your cover letter \&amp; resume to:
NYC Department of Small Business Services
Human Resources Unit
1 Liberty Plaza, 11th Floor  
New York, New York 10006  
COMMUNITY COORDINATOR \- 56058 **Minimum Qualifications**
1\. A baccalaureate degree from an accredited college and two years of experience in community work or community centered activities in an area related to the duties described above; or
2\. High school graduation or equivalent and six years of experience in community work or community centered activities in an area related to the duties as described above; or
3\. Education and/or experience which is equivalent to "1" or "2" above. However, all candidates must have at least one year of experience as described in "1" above.
 **Preferred Skills**
\- A strong belief that individuals with disabilities, including individuals with developmental, intellectual, and other significant disabilities, can and deserve to work in their communities. \- Knowledge of federal, state, and local laws, policy, and procedures relating to equal opportunity and non\-discrimination employment of individuals with disabilities and other protected classes. \- Background in areas including sustainability, customized and supported employment, intersectionality, and personcentered planning is preferred. \- Strong understanding of local community agencies, service providers, stakeholders, and disabilityrelated resources, along with program management experience in developing, implementing, and evaluating sustainability strategies and continuous quality improvement efforts. \- An ability to communicate with diverse stakeholders, including business leaders, customers in minority groups, and workforce development staff. \- Proven ability to communicate effectively in both written and spoken formats. \- Deep understanding of job search strategies (r sum s, cover letters, interviewing, networking) and proven experience teaching these skills to diverse job seekers. \- Strong digital literacy and proficiency in leading remote meetings.  
**Public Service Loan Forgiveness**
As a prospective employee of the City of New York, you may be eligible for federal loan forgiveness programs and state repayment assistance programs. For more information, please visit the U.S. Department of Education’s website at https://studentaid.gov/pslf/.  
**Residency Requirement**
New York City residency is generally required within 90 days of appointment. However, City Employees in certain titles who have worked for the City for 2 continuous years may also be eligible to reside in Nassau, Suffolk, Putnam, Westchester, Rockland, or Orange County. To determine if the residency requirement applies to you, please discuss with the agency representative at the time of interview.  
**Additional Information**
The City of New York is an inclusive equal opportunity employer committed to recruiting and retaining a diverse workforce and providing a work environment that is free from discrimination and harassment based upon any legally protected status or protected characteristic, including but not limited to an individual's sex, race, color, ethnicity, national origin, age, religion, disability, sexual orientation, veteran status, gender identity, or pregnancy.
**Save**
Job ID
769800
Posted until
03/13/2026
Title code
56058
Civil service title
COMMUNITY COORDINATOR
Title classification
Non\-Competitive\-5
Business title
NY SCION Program Manager
* Experience Level: Experienced (Non\-Manager)
Job level
00
Number of positions
1
Work location
1 Liberty Plaza NYC
* Category: Constituent Services \&amp; Community Programs
NY SCION Program Manager</t>
        </is>
      </c>
    </row>
    <row r="24">
      <c r="A24" t="inlineStr">
        <is>
          <t>in-2b766d1bb31e8115</t>
        </is>
      </c>
      <c r="B24" t="inlineStr">
        <is>
          <t>Product Manager/Strategy 5-ProdDev</t>
        </is>
      </c>
      <c r="C24" t="inlineStr">
        <is>
          <t>Oracle</t>
        </is>
      </c>
      <c r="D24" t="inlineStr">
        <is>
          <t>indeed</t>
        </is>
      </c>
      <c r="E24" t="inlineStr"/>
      <c r="F24" t="inlineStr"/>
      <c r="G24" t="inlineStr">
        <is>
          <t>US</t>
        </is>
      </c>
      <c r="H24" s="2" t="n">
        <v>46064</v>
      </c>
      <c r="I24" t="inlineStr">
        <is>
          <t>Lead a team that acts as the central resource and driving force for the design, process, manufacturing, test, quality and marketing of product(s) as they move from conception to distribution. Organize interdepartmental activities ensuring completion of the project/product on schedule and within budget.
As a member of the product development division, you will specify, design and implement major changes to existing software architecture. Define project needs. Build and execute unit tests and unit test plans. Review integration and regression plans created by QA. Communicate with QA and porting engineering to ensure consistency, testability and portability across products in general.</t>
        </is>
      </c>
    </row>
    <row r="25">
      <c r="A25" t="inlineStr">
        <is>
          <t>in-7b40939cffdd0f7e</t>
        </is>
      </c>
      <c r="B25" t="inlineStr">
        <is>
          <t>Sr. Staff Technical Program Manager - Intuit - GBSG Fintech</t>
        </is>
      </c>
      <c r="C25" t="inlineStr">
        <is>
          <t>Intuit</t>
        </is>
      </c>
      <c r="D25" t="inlineStr">
        <is>
          <t>indeed</t>
        </is>
      </c>
      <c r="E25" t="inlineStr"/>
      <c r="F25" t="inlineStr"/>
      <c r="G25" t="inlineStr">
        <is>
          <t>Mountain View, CA, US</t>
        </is>
      </c>
      <c r="H25" s="2" t="n">
        <v>46064</v>
      </c>
      <c r="I25" t="inlineStr">
        <is>
          <t>**Overview**
------------
If you’re passionate about delivering awesome enterprise\-level outcomes at a scale that helps transform the lives of our customers, come join the Fintech PMO as a Senior Staff Technical Program Manager. The Fintech PMO exists to accelerate the technology and product outcomes of the Fintech organization and across the ecosystem by improving and enabling world\-class strategy, execution, and delivery. We drive for accountability and clarity while ensuring execution excellence, and empowering cross\-functional teams to scale and organize for speed
 **Responsibilities**
**Portfolio*** Connect the dots across various programs within a portfolio to simplify the ‘why/what/how’
* Be a part of the Portfolio Leadership Team to unblock/guide program teams’ delivery
* Defines and implements proven frameworks, best practices, tools, and templates that are repeatable, durable and scalable
* Identifies, recommends and drives continuous improvement opportunities to ensure outcome delivery and improve business efficiency
* Strong ability to enable the core team manage dependencies at scale through structure and right sized processes
* Outstanding communication skills with the ability to translate complex technical concepts into a clear narrative on business outcomes, trends, and predicted performance for executive audiences
**Program*** Demonstrates in\-depth understanding of organizational strategy and business drivers to facilitate the creation of portfolio strategy and drive execution decisions
* Leverages proven frameworks, best practices, and templates that are repeatable, durable, and scalable to enable rapid experimentation across the organization
* Develops and drives the operating rhythm of complex portfolios to set strategy, monitor performance, and instill accountability for the delivery of experimental capabilities
* Establishes credibility as a boundaryless change leader to formulate effective change strategy, develop change management plans, and drive adoption of new experimental capabilities
* Tests with rapid experimentation, shares learnings broadly and scales through others
* Collaborate with leaders in executive teams, product management, engineering, and other groups to achieve program goals
* Quickly pinpoint and resolve critical issues/risks. Clearly communicate actionable solutions, striking an effective balance between business needs and technical limitations.
* Share executive level program status, risks, dependencies, and change control information across the organization and at all levels.
* Ability to influence stakeholders at all levels leading to quick decisions
* Drive creation of program roadmaps and execution plans across all phases of planning, development, and production readiness and launch.
**General*** Demonstrates strong leadership skills with ability to influence
* Result oriented strong team player with ability to anchor stakeholders to primary objectives and outcomes
* Strategic thinker and effective communicator
* Thrive in establishing order and clarity amongst ambiguity and chaos
* Highly collaborative with desire to continuously streamline and improve processes where needed
* Ability to scale up to at least 10 scrum teams and comfortably work boundaryless with cross functional teams
* Anticipate, recognize, and work through resistance or setbacks independently
 **Qualifications**
* Strong Program Management experience, including 5\-10 or more years leading multiple complex software\-as\-a\-service (Saas) development projects.
* Excellent influencing skills. Demonstrated ability to work in a matrix environment and ability to influence at all levels and build strong partnerships across organizations in delivering the best outcome of complex programs.
* Outstanding communication skills appropriate for executive\-level audiences visually communicating goals of program, relationship to business goals, and other relevant success criteria.
* Has a clear understanding of SaaS technologies leading with AI Native first mindset to deliver high impact priorities for the business and customers
* Demonstrate AI proficiency
* Previous experience partnering with Data Science and Experimentation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6">
      <c r="A26" t="inlineStr">
        <is>
          <t>in-2af5a285bd591f1d</t>
        </is>
      </c>
      <c r="B26" t="inlineStr">
        <is>
          <t>Sr. Staff Technical Program Manager - Intuit - GBSG Fintech</t>
        </is>
      </c>
      <c r="C26" t="inlineStr">
        <is>
          <t>Intuit</t>
        </is>
      </c>
      <c r="D26" t="inlineStr">
        <is>
          <t>indeed</t>
        </is>
      </c>
      <c r="E26" t="inlineStr"/>
      <c r="F26" t="inlineStr"/>
      <c r="G26" t="inlineStr">
        <is>
          <t>Mountain View, CA, US</t>
        </is>
      </c>
      <c r="H26" s="2" t="n">
        <v>46064</v>
      </c>
      <c r="I26" t="inlineStr">
        <is>
          <t>**Overview**
------------
If you’re passionate about delivering awesome enterprise\-level outcomes at a scale that helps transform the lives of our customers, come join the Fintech PMO as a Senior Staff Technical Program Manager. The Fintech PMO exists to accelerate the technology and product outcomes of the Fintech organization and across the ecosystem by improving and enabling world\-class strategy, execution, and delivery. We drive for accountability and clarity while ensuring execution excellence, and empowering cross\-functional teams to scale and organize for speed
 **Responsibilities**
**Portfolio*** Connect the dots across various programs within a portfolio to simplify the ‘why/what/how’
* Be a part of the Portfolio Leadership Team to unblock/guide program teams’ delivery
* Defines and implements proven frameworks, best practices, tools, and templates that are repeatable, durable and scalable
* Identifies, recommends and drives continuous improvement opportunities to ensure outcome delivery and improve business efficiency
* Strong ability to enable the core team manage dependencies at scale through structure and right sized processes
* Outstanding communication skills with the ability to translate complex technical concepts into a clear narrative on business outcomes, trends, and predicted performance for executive audiences
**Program*** Demonstrates in\-depth understanding of organizational strategy and business drivers to facilitate the creation of portfolio strategy and drive execution decisions
* Leverages proven frameworks, best practices, and templates that are repeatable, durable, and scalable to enable rapid experimentation across the organization
* Develops and drives the operating rhythm of complex portfolios to set strategy, monitor performance, and instill accountability for the delivery of experimental capabilities
* Establishes credibility as a boundaryless change leader to formulate effective change strategy, develop change management plans, and drive adoption of new experimental capabilities
* Tests with rapid experimentation, shares learnings broadly and scales through others
* Collaborate with leaders in executive teams, product management, engineering, and other groups to achieve program goals
* Quickly pinpoint and resolve critical issues/risks. Clearly communicate actionable solutions, striking an effective balance between business needs and technical limitations.
* Share executive level program status, risks, dependencies, and change control information across the organization and at all levels.
* Ability to influence stakeholders at all levels leading to quick decisions
* Drive creation of program roadmaps and execution plans across all phases of planning, development, and production readiness and launch.
**General*** Demonstrates strong leadership skills with ability to influence
* Result oriented strong team player with ability to anchor stakeholders to primary objectives and outcomes
* Strategic thinker and effective communicator
* Thrive in establishing order and clarity amongst ambiguity and chaos
* Highly collaborative with desire to continuously streamline and improve processes where needed
* Ability to scale up to at least 10 scrum teams and comfortably work boundaryless with cross functional teams
* Anticipate, recognize, and work through resistance or setbacks independently
 **Qualifications**
* Strong Program Management experience, including 5\-10 or more years leading multiple complex software\-as\-a\-service (Saas) development projects.
* Excellent influencing skills. Demonstrated ability to work in a matrix environment and ability to influence at all levels and build strong partnerships across organizations in delivering the best outcome of complex programs.
* Outstanding communication skills appropriate for executive\-level audiences visually communicating goals of program, relationship to business goals, and other relevant success criteria.
* Has a clear understanding of SaaS technologies leading with AI Native first mindset to deliver high impact priorities for the business and customers
* Demonstrate AI proficiency
* Previous experience partnering with Data Science and Experimentation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27">
      <c r="A27" t="inlineStr">
        <is>
          <t>in-f408615eded07460</t>
        </is>
      </c>
      <c r="B27" t="inlineStr">
        <is>
          <t>Product Manager, Digital Marketing</t>
        </is>
      </c>
      <c r="C27" t="inlineStr">
        <is>
          <t>Colgate-Palmolive</t>
        </is>
      </c>
      <c r="D27" t="inlineStr">
        <is>
          <t>indeed</t>
        </is>
      </c>
      <c r="E27" t="inlineStr"/>
      <c r="F27" t="inlineStr"/>
      <c r="G27" t="inlineStr">
        <is>
          <t>Piscataway, NJ, US</t>
        </is>
      </c>
      <c r="H27" s="2" t="n">
        <v>46064</v>
      </c>
      <c r="I27" t="inlineStr">
        <is>
          <t>No Relocation Assistance Offered  
Job Number \#171416 \- Piscataway, New Jersey, United States  
**Who We Are**  
Colgate\-Palmolive Company is a global consumer products company operating in over 200 countries specializing in Oral Care, Personal Care, Home Care, Skin Care, and Pet Nutrition. Our products are trusted in more households than any other brand in the world, making us a household name!  
Join Colgate\-Palmolive, a caring, innovative growth company reimagining a healthier future for people, their pets, and our planet. Guided by our core values—Caring, Inclusive, and Courageous—we foster a culture that inspires our people to achieve common goals. Together, let's build a brighter, healthier future for all.
We are excited to invite applications for the position of Digital Product Manager within our Global Digital Applications Team. Operating within the world’s leading Oral Care Company, we are leveraging leading cloud based marketing technology to digitally connect. This role will support our Digital Marketing and Advertising Technology organization in deploying best in class technology to optimize and expand digital engagement programs leading to better targeting and engagement with our professionals, customers and consumers.
We are looking for a highly motivated individual to join our team to help realize our vision. This role will involve planning, business and data analysis, functional and technical design, focused on the implementation of Digital Marketing and Advertising technologies. The ideal candidate is very customer focused and works well both independently and within a team. The candidate needs to be a self\-starter, eager to learn and leverage new technologies to build the best digital experience for our customers. They need excellent communication skills, leadership qualities, and the ability to multitask.
**This position is based out of the Piscataway, NJ location. Work visa sponsorship is not available for this position.**
========================================================================================================================
**What you'll do:**
===================
* Assist in solutioning multi\-year MarTech roadmap centered on maximizing value from SFMC and Data Cloud (or similar MarTech Stack Salesforce Marketing Cloud, Adobe Experience Platform, Braze, HubSpot, etc.) , directly translating product and marketing strategies into technical requirements..
* Document requirements, user stories, success criteria, and testing plans to ensure traceability and successful delivery
* Manage product backlog including prioritization, scoring, tracking, and delivery
* Collaborate closely with IT and vendor partners to design, deliver, and integrate new MarTech solutions, ensuring all deployments are scalable and secure.
* Drive innovation by assessing emerging trends (like AI within the Salesforce ecosystem) to continuously elevate our marketing capabilities.
* Configuration, maintenance, and governance of SFMC and Data Cloud, ensuring seamless data flows, integration health, and absolute data integrity.
* Participate in cross\-functional sessions, guiding campaign design, and solutioning
* Utilize Agile/Scrum methodologies to delivery technology
* Demonstrate a proven ability to successfully deliver and support complex MarTech solutions against multi\-year roadmaps in a fast\-paced environment with competing priorities.
**Required Qualifications:**
============================
* Bachelor's Degree Computer Science, Information Technology, Mathematics, Engineering or similar
* 8\+ years hands on experience with MarTech platforms
* Experience acting as a technical lead or subject matter expert on at least one MarTech platform engagement (client projects, internal initiatives, or enterprise\-scale deployments).
* Experience with data integrations involving Customer Data Platforms (CDPs) or migrating between legacy and modern marketing platform
* Demonstrated experience creating and managing business requirements documents (BRDs), functional specs, technical specs, content strategy, interactions, SLAs, and test plans.
* Exposure to data governance, privacy compliance (GDPR, CCPA, FINRA), and preference center management.
**Preferred Qualifications:**
=============================
* Comfortable navigating ambiguity \- in business requirements, technology options and project direction
* Strong problem\-solving skills with ability to troubleshoot system issues and identify root causes across complex tech stacks.
* Proven ability to work in a cross\-functional and matrixed environment.**Certifications:**
* Salesforce Marketing Cloud Email Specialist Certification
* Salesforce Marketing Cloud Administrator Certification
* Salesforce Data Cloud Certification
 **Compensation and Benefits**  
Salary Range $150,000\.00 \- $175,000\.00 USD  
Pay is determined based on experience, qualifications, and location. Salaried employees may also be eligible for discretionary bonuses, profit\-sharing, and long\-term incentives for Executive\-level roles.  
Benefits: Salaried employees enjoy a comprehensive benefits package, including medical, dental, vision, basic life insurance, paid parental leave, disability coverage, and participation in the 401(k) retirement plan with company matching contributions subject to eligibility requirements. Additional benefits include a minimum of 15 vacation/PTO days (hourly employees receive a minimum of 120 hours) and 13 paid holidays (vacation days are prorated based on the employee's hire date within the calendar year). Paid sick leave is adjusted based on role and location in accordance with local laws. Detailed information regarding paid sick leave entitlements will be provided to employees upon hiring and may be subject to adjustments based on changes in legislation or company policies.  
**Our Commitment to Inclusion**  
Our journey begins with our people—developing strong talent with diverse backgrounds and perspectives to best serve our consumers around the world and fostering an inclusive environment where everyone feels a true sense of belonging. We are dedicated to ensuring that each individual can be their authentic self, is treated with respect, and is empowered by leadership to contribute meaningfully to our business.  
**Equal Opportunity Employer**  
Colgate is an equal opportunity employer and all qualified applicants will receive consideration for employment without regard to race, color, religion, gender, gender identity, sexual orientation, national origin, ethnicity, age, disability, marital status, veteran status (United States positions), or any other characteristic protected by law.  
Reasonable accommodation during the application process is available for persons with disabilities. Please complete this request form should you require accommodation.  
For additional Colgate terms and conditions, please click here.  
\#LI\-Hybrid</t>
        </is>
      </c>
    </row>
    <row r="28">
      <c r="A28" t="inlineStr">
        <is>
          <t>in-25eae46353980636</t>
        </is>
      </c>
      <c r="B28" t="inlineStr">
        <is>
          <t>Lead Technical Project/Program Manager</t>
        </is>
      </c>
      <c r="C28" t="inlineStr">
        <is>
          <t>AT&amp;T</t>
        </is>
      </c>
      <c r="D28" t="inlineStr">
        <is>
          <t>indeed</t>
        </is>
      </c>
      <c r="E28" t="inlineStr"/>
      <c r="F28" t="inlineStr"/>
      <c r="G28" t="inlineStr">
        <is>
          <t>Dallas, TX, US</t>
        </is>
      </c>
      <c r="H28" s="2" t="n">
        <v>46064</v>
      </c>
      <c r="I28" t="inlineStr">
        <is>
          <t>**This position requires office presence of a minimum of 5 days per week and is only located in the location(s) posted. No relocation is offered.**
**AT\&amp;T will not hire any applicants for this position who require employer sponsorship now or in the future.**
Join AT\&amp;T and help shape the future of communications and technology that connect the world. We value innovators who seek to explore the unknown and challenge the status quo. Bring your bold ideas and fearless spirit to redefine connectivity and transform how people share stories and experiences. At AT\&amp;T, you won’t just imagine the future—you’ll build it.
**What you’ll do:**
The Senior Project Manager will work as part of a dedicated project management team driving a large\-scale program at AT\&amp;T. This role focuses on managing assigned workstreams, coordinating with cross\-functional teams, and ensuring successful execution of project deliverables. In addition, the candidate will provide leadership and guidance to other project managers within the team, fostering collaboration and consistency across projects.
Key Responsibilities:
* Project Leadership: Manage projects from initiation through delivery, ensuring scope, schedule, and budget compliance.
* Cross\-Functional Collaboration: Partner with development teams locally and internationally to ensure seamless execution and integration.
* Planning \&amp; Execution: Develop and maintain detailed project plans, timelines, and budgets; monitor progress and mitigate risks.
* Strategic Influence: Contribute to product strategy and advocate for innovative, forward\-thinking solutions.
* Process Optimization: Continuously improve project management methodologies to enhance efficiency and effectiveness.
* Stakeholder Communication: Provide clear, consistent updates on project status, risks, and milestones to all stakeholders.
**What you’ll need:**
* Experience: Minimum 5\+ years in project management, including significant experience in both delivery and R\&amp;D environments.
* Leadership: Proven ability to lead and coordinate diverse roles within a large program, including project managers and cross\-functional teams, ensuring alignment and collaboration across all workstreams.
* Technical Expertise: Strong understanding of the software development lifecycle and Agile methodologies.
* Team Management: Demonstrated success in managing and motivating development teams and project managers to achieve high performance.
* Cultural Awareness: Experience working with U.S. IL \&amp; IN \-based teams; flexibility to accommodate late working hours for cross\-time\-zone coordination.
* Soft Skills: Exceptional interpersonal and communication skills; ability to influence and engage stakeholders at all levels.
* Location: Dallas, Texas
**What you’ll bring:**
* Bachelor’s degree (BS/BA) desired
* Project Management certification a plus
Our Lead Project/Program Manager, earns between $118,800\-$178,200 USD Annual, Not to mention all the other amazing rewards that working at AT\&amp;T offers. Individual starting salary within this range may depend on geography, experience, expertise, and education/training.
**Joining our team comes with amazing perks and benefits:**
* Medical/Dental/Vision coverage
* 401(k) plan
* Tuition reimbursement program
* Paid Time Off and Holidays (based on date of hire, at least 23 days of vacation each year and 9 company\-designated holidays)
* Paid Parental Leave
* Paid Caregiver Leave
* Additional sick leave beyond what state and local law require may be available but is unprotected
* Adoption Reimbursement
* Disability Benefits (short term and long term)
* Life and Accidental Death Insurance
* Supplemental benefit programs: critical illness/accident hospital indemnity/group legal
* Employee Assistance Programs (EAP)
* Extensive employee wellness programs
* Employee discounts up to 50% off on eligible AT\&amp;T mobility plans and accessories,
* AT\&amp;T internet (and fiber where available) and AT\&amp;T phone.
\#LI\-Onsite – Full\-time office role\-
Ready to join our team? Apply today.
**Weekly Hours:**
40**Time Type:**
Regular**Location:**
Dallas, Texas**Salary Range:**
$118,800\.00 \- $178,200\.00
It is the policy of AT\&amp;T to provide equal employment opportunity (EEO) to all persons regardless of age, color, national origin, citizenship status, physical or mental disability, race, religion, creed, gender, sex, sexual orientation, gender identity and/or expression, genetic information, marital status, status with regard to public assistance, veteran status, or any other characteristic protected by federal, state or local law. In addition, AT\&amp;T will provide reasonable accommodations for qualified individuals with disabilities. AT\&amp;T is a fair chance employer and does not initiate a background check until an offer is made.</t>
        </is>
      </c>
    </row>
    <row r="29">
      <c r="A29" t="inlineStr">
        <is>
          <t>in-0ebcc840c882041d</t>
        </is>
      </c>
      <c r="B29" t="inlineStr">
        <is>
          <t>Program Manager</t>
        </is>
      </c>
      <c r="C29" t="inlineStr">
        <is>
          <t>Valeris</t>
        </is>
      </c>
      <c r="D29" t="inlineStr">
        <is>
          <t>indeed</t>
        </is>
      </c>
      <c r="E29" t="inlineStr"/>
      <c r="F29" t="inlineStr"/>
      <c r="G29" t="inlineStr">
        <is>
          <t>Jeffersonville, IN, US</t>
        </is>
      </c>
      <c r="H29" s="2" t="n">
        <v>46064</v>
      </c>
      <c r="I29" t="inlineStr">
        <is>
          <t>### **Valeris is a fully integrated life sciences commercialization partner that provides comprehensive solutions that span the entire healthcare value chain. Formed by the merger of PharmaCord and Mercalis, Valeris™ revolutionizes the path from life sciences innovation to real\-life impact to build a world in which every patient gets the care they need. Valeris works on behalf of life sciences companies to improve the patient experience so that patients can access and adhere to critical medications. Backed by proven industry expertise, a deep commitment to patient care, the latest technology, and exceptionally talented team members, Valeris provides the data and strategic insights, patient support services and healthcare provider engagement tools to help life sciences companies successfully commercialize new products. Valeris provides commercialization solutions to more than 500 life sciences customers and has provided access and affordability support to millions of patients. The company is headquartered in Morrisville, North Carolina and Jeffersonville, Indiana. To learn more about Valeris, please visit** **www.valeris.com****.**
When you join the team as aProgram Manager, you'll have the opportunity to make a difference in the lives of our patients each day as they look to you as part of their dedicated support team for helping them navigate the tricky process of getting access to their complex medication. You will provide leadership to a team who will compassionately deliver an exceptional experience to many patients per day. You will also provide consultation to our clients as the program knowledge expert as you look for ways to optimize the impact of the program for continued patient support.
Key Responsibilities:
* Operational Program Management
	+ Understands client objectives and incorporates objectives into program service goals
	+ Ensures that PharmaCord executes program services in compliance with contracted service level
	+ Accountable for management of client service request queue (Both completion and work in progress)
	+ Responsible for the implementation and on\-going management of client\-specific business rules
	+ Proactively identifies opportunities for program improvements in scope of service and/or efficiency in the delivery of service
	+ Evaluates data and providing actionable insights that drive the Program forward consistent with client objectives
* Financial
	+ Monitors and provides weekly updates on items impacting program financial forecast
	+ Prepares activity summary for the development and review of client monthly invoices
* Team selection, hiring, training and development
	+ Identifies talent for open positions including development of internal candidates to prepare for promotional opportunities
	+ Partners with HR to ensure program staffing levels are achieved at all times
	+ Works proactively with Human Resources to develop a steady pipeline of candidates
	+ Drives training, development and retention of team
* Client support
	+ Prepares, reviews, analyzes client specific operational results
	+ Primary responsibility for the preparation of client business review meetings with operational metrics and data insights
	+ Point of contact for program/operational queries and issue resolution
	+ Assures client reporting of Adverse Events/ Product Complaint received are reported in accordance with client work instructions
* Utilize Valeris’ values as the driving force behind the team’s success
* On time adherence to training deadlines for all corporate policies and procedures
* Ensure all SOPs are followed with consistency
* Perform additional tasks or projects as assigned
Qualifications:
* 5\+ years of experience in the healthcare industry is required
* Bachelor’s degree is strongly preferred; Master’s degree is preferred
* Previous personnel/team management experience is required, experience managing managers is a plus
* Knowledge of the specialty drug product marketplace, health insurance claims processing, and commercialization of products and working with manufacturers is a plus
* Previous experience leading customer service teams is a plus
* Bi\-lingual in English and Spanish or Chinese/Mandarin is a plus
Physical Demands \&amp; Work Environment
* While performing the duties of this job, the employee is regularly required to talk or hear. The employee is frequently required to sit for long periods of time, use hands to type, handle or feel; and reach with hands and arms. Prefer candidates who can type at least 35 words per minute with 97% accuracy.
* Although very minimal, flexibility to travel as needed is preferred.
* This job operates in a professional office environment. This role routinely uses standard office equipment such as computers, phones, photocopiers, etc.
Why Work for Valeris?
We’re committed to supporting the well\-being and success of our team members. As part of our organization, full\-time employees can expect:
* Medical, dental, and vision plans, including HSA\- and FSA\-eligible options, with Valeris contributing toward premium costs
* Additional health support, including telehealth and Employee Assistance Program (EAP) services
* Company match on Health Savings Account contributions
* Free Basic Life and AD\&amp;D coverage equal to your annual earnings, with a minimum of $50,000 and a maximum of $300,000
* Company\-paid Short\-Term Disability coverage, with the option to purchase Long\-Term Disability
* 401(k) Retirement Savings Plan with 100% match on the first 5% you contribute, with immediate vesting
* Paid Time Off (PTO) and Sick Leave to support work\-life balance
* Team members receive nine paid holidays plus two floating holidays
* Opportunities for advancement in a company that supports personal and professional growth
* A challenging, stimulating work environment that encourages new ideas
* Work for a company that values diversity and makes deliberate efforts to create an inclusive workplace
* A mission\-driven, inclusive culture where your work makes a meaningful impact
Any offer of employment is contingent upon the successful completion of a background check and, depending on the position, a drug screen in accordance with company standards. Please note that this job description is not intended to be an exhaustive list of all duties, responsibilities, or activities associated with the position. Responsibilities and tasks may be modified at any time, with or without notice.
Our Commitment to Equal Opportunity
At Valeris, we don’t just accept difference – we celebrate it, support it and we thrive on it for the benefit of our employees, our products and our community. Valeris is proud to be an equal opportunity employer.
### **Important Notice**
Due to an increase in hiring scams, please be aware that if you are selected to move forward in our hiring process, a member of our Talent Acquisition team will contact you directly using an official @pharmacord.com and/or @valeris.com, @echo.newtonsoftware.com email address regarding next steps in our interview process.
### **Please Note:**
* PharmaCord will never use Microsoft Teams to reach out to candidates for interview scheduling. However, video interviews are typically conducted via Microsoft Teams. Official meeting links will always be sent from an @valeris.com, @pharmacord.com or @echo.newtonsoftware.com email address, or through our scheduling platform, Calendly.
* We will never request your bank account information at any stage of the hiring process.
* We will never send a check (electronic or physical) to purchase home office equipment.
If you receive any suspicious communication regarding employment with PharmaCord, please report it to our Talent Acquisition team immediately at careers@pharmacord.com</t>
        </is>
      </c>
    </row>
    <row r="30">
      <c r="A30" t="inlineStr">
        <is>
          <t>in-e44544281b6799cf</t>
        </is>
      </c>
      <c r="B30" t="inlineStr">
        <is>
          <t>Cyber Security Program Manager</t>
        </is>
      </c>
      <c r="C30" t="inlineStr">
        <is>
          <t>eClerx</t>
        </is>
      </c>
      <c r="D30" t="inlineStr">
        <is>
          <t>indeed</t>
        </is>
      </c>
      <c r="E30" t="inlineStr"/>
      <c r="F30" t="inlineStr"/>
      <c r="G30" t="inlineStr">
        <is>
          <t>Miami, FL, US</t>
        </is>
      </c>
      <c r="H30" s="2" t="n">
        <v>46064</v>
      </c>
      <c r="I30" t="inlineStr">
        <is>
          <t>**Cyber Security Program Manager**
**Location:** Miami, Florida, United States (3x week in Office)
**Hire Type:** Full\-time
**Department:** Technology
**Summary:**
We are seeking a highly skilled Technical Program Manager with expertise in Cyber Security to support one of our top clients, a leading global asset management firm. This role requires a seasoned professional with a strong background in program and project management, a deep understanding of information security controls and risk management, and a user centric approach to delivering impactful solutions.
**Responsibilities:**
* Define program scope, objectives, and success criteria aligned with strategic business goals.
* Develop and manage comprehensive program plans, including timelines, budgets, dependencies, and resource allocation.
* Partner with internal teams and external vendors to ensure seamless execution and delivery of initiatives.
* Provide clear, timely communication on program status, milestones, risks, and dependencies to senior leadership and key stakeholders.
* Proactively identify program risks and issues, and develop effective mitigation and contingency strategies.
* Monitor program performance against established metrics and implement corrective actions as needed to achieve desired outcomes.
* Drive continuous improvement within the Portfolio Delivery Office by leveraging industry best practices in program and technology delivery.
* Establish and maintain governance frameworks, standards, and methodologies to streamline and standardize program execution
**Eligibility Requirements:**
* Bachelor’s degree in Technology, Business Administration, or a related field.
* 7\&amp;\#43; years of experience in project or program management, with a proven track record of delivering complex, cross‑functional initiatives.
* Experience leading cybersecurity programs from strategy through execution, ensuring alignment with business objectives and regulatory requirements.
* Demonstrated experience partnering with Security Operations, Security Engineering, Identity \&amp; Access Management (IAM), and Governance, Risk \&amp; Compliance (GRC) teams to deliver successful outcomes.
* Strong understanding of core cybersecurity principles, including the CIA triad (Confidentiality, Integrity, Availability).
* Familiarity with industry security frameworks and standards such as NIST CSF, NIST SP 800‑53, and CIS Controls.
* Awareness of the evolving threat landscape, including malware, phishing, ransomware, and insider threats.
* Experience supporting vulnerability management and incident response programs.
* Understanding of regulatory and compliance requirements (e.g. GDPR, SOC 2, and SOX).
* Familiarity with network security concepts, including firewalls, IDS/IPS, VPNs, and zero‑trust architectures.
* Awareness of cloud security practices across platforms such as AWS, Azure, and Microsoft 365\.
* Understanding of identity and access management concepts, including MFA and SSO.
* Basic working knowledge of common security tools, such as SIEM platforms, endpoint protection solutions, and vulnerability scanners.
* Proficiency with program and project management tools, including MS Project, Jira, and Smartsheet.
* Familiarity with data visualization tools (e.g., Tableau, Power BI) and data integration platforms.
* Working knowledge of Agile and Waterfall delivery methodologies.
* PMP, PgMP, or equivalent program management certifications are a plus.
* CISM, CISSP, or equivalent cybersecurity certifications are a plus.
In the US, the target base salary for this role is $150,000\-$165,000 along with eligibility for a performance\-based bonus. Compensation is based on a range of factors that include relevant experience, knowledge, skills, other job\-related qualifications, and geography.
**What We Offer**
* Competitive salary and performance bonuses
* Flexible working hours
* Career growth opportunities and ongoing training
* Inclusive, supportive company culture
**How to Apply**
* Click "Apply Now" to submit your resume through our career site
* Be sure to include any relevant experience that aligns with the role.
* Qualified candidates will be contacted by a member of our recruitment team for next steps
**About eClerx**
eClerx is a leading provider of productized services, bringing together people, technology and domain expertise to amplify business results.
The firm provides business process management, automation, and analytics services to a number of Fortune 2000 enterprises, including some of the world’s leading financial services, communications, retail, fashion, media \&amp; entertainment, manufacturing, travel \&amp; leisure, and technology companies. Incorporated in 2000, eClerx is traded on both the Bombay and National Stock Exchanges of India. The firm employs more than 19,000 people across Australia, Canada, France, Germany, Switzerland, Egypt. India, Italy, Netherlands, Peru, Philippines, Singapore, Thailand, the UK, and the USA.
For more information, visit www.eclerx.com
You can also find us on:
https://www.linkedin.com/company/eclerx/
https://www.indeed.com/cmp/Eclerx/about
https://www.glassdoor.com/eClerx
eClerx is an Equal Opportunity Employer. All qualified applicants will receive consideration for employment without regard to race, color, religion, sex, national origin, disability or protected veteran status, or any other legally protected basis, in accordance with applicable law. We are also committed to protecting and safeguarding your personal data. Please find our policy here</t>
        </is>
      </c>
    </row>
    <row r="31">
      <c r="A31" t="inlineStr">
        <is>
          <t>in-2233ef792c5564ee</t>
        </is>
      </c>
      <c r="B31" t="inlineStr">
        <is>
          <t>Staff Product Manager, AI</t>
        </is>
      </c>
      <c r="C31" t="inlineStr">
        <is>
          <t>ClickUp</t>
        </is>
      </c>
      <c r="D31" t="inlineStr">
        <is>
          <t>indeed</t>
        </is>
      </c>
      <c r="E31" t="inlineStr"/>
      <c r="F31" t="inlineStr"/>
      <c r="G31" t="inlineStr">
        <is>
          <t>US</t>
        </is>
      </c>
      <c r="H31" s="2" t="n">
        <v>46064</v>
      </c>
      <c r="I31" t="inlineStr">
        <is>
          <t>Location
United States of America
Employment Type
Full time
Location Type
Remote
Department
Product
Compensation
$250K – $300K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This role will be pivotal in driving the development and enhancement of our AI\-driven features, ensuring they align with our users' needs and our company's strategic goals. The ideal candidate will have a strong background in AI technologies, a deep understanding of user\-centric product design, and experience in launching AI products. This is an unprecedented opportunity to be directly responsible for the next critical milestone in our growth journey .
The Role:
* Lead cross\-functional teams to conceptualize, design, and deliver innovative AI solutions.
* Collaborate with engineering, design, and data science teams to translate AI capabilities into user\-friendly features.
* Conduct market research and user feedback sessions to identify emerging trends and opportunities.
* Define and track key performance metrics to measure the success of AI initiatives.
* Foster a culture of continuous improvement and innovation within the AI Product team.
* Build close stakeholder relationships with Growth, Product Marketing, Lifecycle Marketing, and other teams to drive monetization.
* Work with our Analytics team to identify high leverage opportunities and build a portfolio of quick wins vs. big bets.
* Own and shape our long\-term product strategy.
* Work directly with leaders and execs to share learnings and pitch ideas for how to take our product activation and engagement to the next level.
Qualifications:
* Minimum of 5 years of experience as a Product Manager, preferably in SAAS.
* Previously led a team of engineers and designers; owned a roadmap, managed sprints, and drove the team towards achieving measured goals.
* Previous experience owning and driving critical business metrics.
* Experience running and analyzing experiments.
* Relentless attention to detail, ability to troubleshoot metrics and issues if needed.
* Outstanding communication skills (verbal and written).
* Growth mindset: you see challenges as opportunities.
* Ownership mindset: the buck stops with you.
* Analytical mindset: you use metrics to inform decision\-making and don't confuse correlation with causation.
* First principles thinking: you start with why and work backwards from the end goal.
* You find joy, have fun and can be yourself! We love our jobs and want team members who love theirs too.
Desirable:
* Worked on AI product/platform
* Previous experience in a B2B SaaS company.
\#LI\-Remote
\#LI\-CDG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32">
      <c r="A32" t="inlineStr">
        <is>
          <t>in-fe502ec47cf5c770</t>
        </is>
      </c>
      <c r="B32" t="inlineStr">
        <is>
          <t>Group Product Manager</t>
        </is>
      </c>
      <c r="C32" t="inlineStr">
        <is>
          <t>ClickUp</t>
        </is>
      </c>
      <c r="D32" t="inlineStr">
        <is>
          <t>indeed</t>
        </is>
      </c>
      <c r="E32" t="inlineStr"/>
      <c r="F32" t="inlineStr"/>
      <c r="G32" t="inlineStr">
        <is>
          <t>US</t>
        </is>
      </c>
      <c r="H32" s="2" t="n">
        <v>46064</v>
      </c>
      <c r="I32" t="inlineStr">
        <is>
          <t>Location
United States of America
Employment Type
Full time
Location Type
Remote
Department
Product
Compensation
$250K – $300K
**Salary and Benefits***At ClickUp, we believe in transparency and fairness in compensation. The range displayed reflects the minimum and maximum target salaries for the position across* ***all*** *US locations. Please note that the actual compensation for this position may vary and is dependent on factors such as geographic location, interview performance, years of experience, education level, and specific skills. We encourage candidates to discuss compensation expectations during the interview process to ensure alignment with their qualifications and our company’s compensation philosophy.**This position is eligible for the following benefits and perks:** *Equity*
* *401k*
* *Health, Dental, and Vision insurance*
* *Spending accounts*
* *Life \&amp; Disability*
* *Paid parental leave*
* *Flexible paid time off*
* *Enhanced employee assistance program*
* *Employee wellness stipend*
* *Professional development stipend*
Overview
Application
At ClickUp, we’re not just building software. We’re architecting the future of work! In a world overwhelmed by work sprawl, we saw a better way. That’s why we created the first truly converged AI workspace, unifying tasks, docs, chat, calendar, and enterprise search, all supercharged by context\-driven AI, empowering millions of teams to break free from silos, reclaim their time, and unlock new levels of productivity. At ClickUp, you’ll have the opportunity to learn, use, and pioneer AI in ways that shape not only our product, but the future of work itself. Join us and be part of a bold, innovative team that’s redefining what’s possible! 
About the Role
As a Group Product Manager, you will lead a team of Product Managers to drive the vision, strategy, and execution for a portfolio of high\-impact product areas within the core product. You will manage a team of 4\-6 Product Managers at various levels. You can expect \~30% of your time dedicated to individual contributions within the core product, leading by example.
Key Responsibilities
* Lead and mentor a team of Product Managers across multiple squads.
* Set product vision and strategy aligned with company goals.
* Own the group roadmap, balancing quick wins with long\-term initiatives.
* Collaborate cross\-functionally with engineering, design, analytics, GTM teams, and EPD leadership.
* Stay on top of metrics for all areas
* Establish product rituals and processes to streamline operations across the organization.
* Conduct market research and analyze user feedback.
* Define and track key performance metrics.
* Foster a culture of ownership and continuous improvement.
* Build strong stakeholder relationships.
* Present strategy and results to executives.
* Contribute as an IC on a specific area of your team.
* Hire and onboard Product Managers to the product organization.
Qualifications
* 10\+ years in Product Management, with 5\+ years managing a team of Product Managers.
* Proven experience in building and scaling B2B SaaS products in high\-growth environments.
* Strong analytical and data\-driven decision\-making skills.
* Excellent communication and stakeholder management abilities.
* Demonstrated ownership of business metrics and results.
* Comfortable with ambiguity, a fast pace, and high expectations.
* Experience in startups and/or at scale.
* High standards for product quality and user experience.
* Passionate about AI
Nice to Have
* Experience in leading AI\-driven products
* Background in developer platforms or productivity tools.
* Familiarity with ClickUp’s product areas (e.g., Views, Tasks, Whiteboard, Mobile, Chrome extension).
\#LI\-Remote
\#LI\-MAV
Unsure if you meet all the qualifications of this job description but are deeply excited about the role? We hire based on ambition, grit, and a passion for improving the way people work. If you think ClickUp is the company for you, we encourage you to apply!
At ClickUp, we assess every candidate based on the potential impact they can have. We hire the best people for the job and support each person’s journey to build their boldest career.
 **Equal Opportunity Employer**
*ClickUp is an Equal Opportunity Employer, and qualified applicants will receive consideration for employment without regard to race, color, religion, sex, sexual orientation, gender identity, or national origin.*
**Privacy Notice**
*ClickUp collects and processes personal data in accordance with applicable data protection laws.*
* *If you are a European Job Applicant, see our* *privacy policy* *for further details.*
* *If you are a Philippine Job Applicant, see our* *privacy policy* *and our* *Philippine Data Privacy Notice* *for further details.*
**Visa Sponsorship**
*Please note we are unable to sponsor or take over sponsorship of an employment visa for roles outside of engineering and product at this time. Sponsorship for engineering and product roles is not guaranteed, but is instead based on the business needs for that specific role at that time. Please reach out to the recruiter with any questions.*
**Fraud Alert**
ClickUp Talent Acquisition will only initiate contact via an **@****clickup.com** email or through our official careers portal on clickup.com. We will never request fees, payments, or sensitive personal information. Please disregard any offers received outside these channels and report them to support@clickup.com.</t>
        </is>
      </c>
    </row>
    <row r="33">
      <c r="A33" t="inlineStr">
        <is>
          <t>in-88cbc5f5562c2ac5</t>
        </is>
      </c>
      <c r="B33" t="inlineStr">
        <is>
          <t>Program Manager I</t>
        </is>
      </c>
      <c r="C33" t="inlineStr">
        <is>
          <t>Alutiiq</t>
        </is>
      </c>
      <c r="D33" t="inlineStr">
        <is>
          <t>indeed</t>
        </is>
      </c>
      <c r="E33" t="inlineStr"/>
      <c r="F33" t="inlineStr"/>
      <c r="G33" t="inlineStr">
        <is>
          <t>Tinker AFB, OK, US</t>
        </is>
      </c>
      <c r="H33" s="2" t="n">
        <v>46064</v>
      </c>
      <c r="I33" t="inlineStr">
        <is>
          <t>Job Description:  
Alutiiq Operations Services, LLC has an exciting opportunity for a Program Manager (Contract Manager) supporting Tinker Air Force Base located in Oklahoma City, OK. The Program Manager (Contract Manager) serves as single point of contact (POC) for the Base Operations Support Services (BOSS) contract supporting customers and community with full responsibility of its engineering, maintenance, operations, and quality management programs. The Program Manager (Contract Manager) will serve as the functional lead supporting the installation Department of Public Works program(s), having full authority to act for the company on all contract matters relating to daily operations of the contract and assuring performance objectives and standards are met.
* Responsible for ensuring that work performed under the PWS meets all requirements and responsibilities.
* Ultimately responsible for all contract activities and performance and holds the requisite authority to make and implement decisions regarding contract performance and changes to the contract.
* Establishes and sustains an ongoing performance\-based organization that applies best practices and continuous process improvement to achieve highest levels of service and significant cost savings.
* Ensures the customer’s facilities are operated and maintained cost effectively, efficiently, and are in first\-class condition. Directs and monitors the performance of the BOSS staff, resolves problems and/or conflicts and maintains open communication with staff, the customer, vendors, and other stakeholders.
* Ensures all documentation and deliverables are accurate, complete, and delivered on\-time, develops/presents formal presentations for various contract and corporate business requirements.
* Tracks, analyzes, and trends project costs/oversees the planning, budgeting, and financial process.
* Ensures compliance with training and certification requirements.
* Serves as primary point of contact between the company and the Government for all contract performance matters
* Accomplishes contract objectives, planning, budgeting, overseeing and documenting all aspects of each specific contract section.
* Works closely with management to make sure that the scope and direction of the contract is on schedule, and in conformance with the contract requirements.
* Directly accountable for and response of non\-conformance reports and for legal compliance of contracting activities including relationships with subcontractors and suppliers.
* Accountable for P\&amp;L of the project, Safety and Health of contracted and subcontracted personnel and customer employees and visitors affected directly or indirectly by contract activities.
* Directly accountable for Environmental conservation and performance directly or indirectly related by contract activities.
* Briefs Investigation reports to the U.S. Government after major losses (Including fatalities; multiple (over 3\) injuries (beyond first aid cases); lost time injuries over 5 days long; material losses; major breakdowns incurring or threatening over 24 hours shutdown of base operations; and environmental incidents affecting local or regional flora and fauna; or losses with the potential for extended and sustained (over 24 hours) negative media attention; Legal violations, etc.).
* Provides guidance and direction to finance and accounting, human resources, labor relations, training, security, safety, and environmental.
* Assumes and performs other duties and responsibilities not specifically outlined herein but which are logically and properly inherent to the position
**Job Requirements:**  
* The Contract Manager shall have as a minimum a bachelor’s degree or higher in business, engineering, or architectural disciplines, and shall have a minimum of 10 years’ management experience in facilities management.
* Experience with General Fund Enterprise Business Systems (GFEBS) software.
* Experience with RS Means cost estimating software is desired.
* Proven ability to manage and coordinate activities of staff engaged in planning and scheduling of maintenance and repair work.
* General knowledge of physical plant management including exposure to building systems, HVAC, plumbing and/or electrical.
* Knowledge of management, research, budgeting, public administration, statutory requirements of municipal infrastructure facilities and systems as they apply to OSHA, EPA guidelines, etc.
* Must have strong communication, briefing, and writing skills.
* Outstanding teambuilding skills are required.
* Secret Clearance Required
* Must be a US Citizen
**Preferred Qualifications and Experience:**
* Project Management Professional (PMP) and or Facilities Management Professional (FMP) certification desired.
* Experience in a military environment required, U.S. Air Force preferred.
* Experience managing a union workforce is highly preferred.
Salary range: $150,000 to $180,000 per year</t>
        </is>
      </c>
    </row>
    <row r="34">
      <c r="A34" t="inlineStr">
        <is>
          <t>in-ed465a9a5626050c</t>
        </is>
      </c>
      <c r="B34" t="inlineStr">
        <is>
          <t>Director, Delivery Leader (IT Solution Delivery)/(Program Manager) - Nationwide Financial</t>
        </is>
      </c>
      <c r="C34" t="inlineStr">
        <is>
          <t>Nationwide Mutual Insurance Company</t>
        </is>
      </c>
      <c r="D34" t="inlineStr">
        <is>
          <t>indeed</t>
        </is>
      </c>
      <c r="E34" t="inlineStr"/>
      <c r="F34" t="inlineStr"/>
      <c r="G34" t="inlineStr">
        <is>
          <t>Columbus, OH, US</t>
        </is>
      </c>
      <c r="H34" s="2" t="n">
        <v>46064</v>
      </c>
      <c r="I34"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care.**At Nationwide Financial, technology delivery is foundational to how we serve customers, partners, and the broader financial ecosystem. We are seeking a seasoned Director, Delivery Leader / Program Manager who can ensure operational excellence today while leading the transformation toward a more modern, product\-centric future.**
**Nationwide Financial is seeking a Director, Delivery Leader/Program Manager to lead technology delivery across critical business\-to\-business ecosystem, data warehousing, Financial Operations and Actuarial capabilities. This role is central to ensuring operational stability today while accelerating modernization for the future.**
**You will oversee IT delivery for essential platforms including payments, securities trading, eB2B integrations, actuarial services, document management, and data warehousing, partnering closely with business and enterprise leaders in a highly regulated environment.**
**As Nationwide evolves from a traditional project****‑****based model to a** **product‑centric operating model****, this role provides the leadership needed to ensure strong governance, disciplined execution, and effective risk management—while enabling faster, more responsive delivery.**
**If this opportunity aligns with your leadership experience and passion for delivery excellence, we welcome the opportunity to connect with you.**
**This role will work a hybrid schedule coming into the Columbus, Ohio office 2 days per week on Mondays \&amp; Tuesdays.**
**This role does not qualify for employer\-sponsored work authorization. Nationwide does not participate in the Stem OPT Extension program.**
\#LI\-AZ1
**Job Description Summary**
If you’re passionate about delivering technology solutions to support a company providing extraordinary care to its customers, then Nationwide Technology is the place for you. Our industry\-leading technology workforce embraces an agile work environment and a collaborative culture to deliver outstanding solutions and results. If that sounds like something you aspire to, we want to hear from you!  
As a Delivery Leader you’ll be responsible for delivering value and outcomes. Delivery leaders are expected to have an end\-to\-end vantage point on delivery, manage dependencies, remove blockers, engage partners, manage financials, maximize vendor relationships, and enable an iterative delivery of value. You will need to keep pace with software delivery and organizational change methods and tools. Delivery leaders should also understand relevant Financial and Agile/Lean/DevOps tools and techniques.**Job Description**
**Key Responsibilities:**
* Responsible for the End to End management of associates including but not limited to performance management, salary planning, training, development, workforce planning, hiring, and disciplinary actions; and attracts, hires, engages and develops the team through impactful recruitment, coaching and feedback.
* Accountable for the delivery of expected business outcomes, realization of benefits as outlined in the business case, drives incremental value, drives incremental planning, and drives dependency scope definition.
* Responsible for the communication, critical issue, visibility, change management guidance to deliver business outcomes.
* Managers the facilitation of contract negotiations, statement of work development and ensures our vendors are making expected progress.
* Drives the prioritization of work, handles complex issues/risks, governs dependencies.
* Leads all aspects of the delivery of status/health reports to drive value delivery tracking (ex: KPIs), optimizes the flow of value and ensures demand/capacity is managed.
* Manages and consults on complex and/or project/product financials.
* Serves as the top professional/coach to others around delivering business outcomes, benefit realization, agile delivery, and Lean.
* Active profession participant through communities of practice, industry involvement and/or standards organizations.
May perform other responsibilities as assigned.
**Reporting Relationships:** Reports to Executive Delivery Leader or Business Solution Area Executive; responsible for 4\-8 directs and in\-directs.
**Typical Skills and Experiences:**
 **Education:** Undergraduate studies (bachelor’s degree preferred) in management information systems, engineering, math, computer science, data analytics or comparable experience and education strongly preferred.
**License/Certification/Designation:** Technology certifications or PMI, SAFE, Agile or Lean designations are encouraged.
**Experience:** Ten or more years of experience in technology or related field. Five years demonstrated proficiency in delivering outcomes/projects. Three to five years of management experience is preferred. Awareness of new technologies and/or industry trends.
**Knowledge, Abilities and Skills:** Ability to make decisions and recommendations. Aptitude to influence, establish relationships and set priorities. Excellent verbal and written communication skills to interact with all levels of associates, senior management and/or vendors. Insurance/financial services industry knowledge a plus.
Other criteria, including leadership skills, competencies and experiences may take precedence.
Staffing exceptions to the above must be approved by the hiring manager’s leader and HR Business Partner.
**Values:** Regularly and consistently demonstrates Nationwide values.
**Job Conditions:**
 **Overtime Eligibility:** Exempt (Not Eligible)
**Working Conditions:** Normal office environment.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02/20/2026\. However, we encourage early submissions, as the posting may close sooner if a strong candidate slate is identified before the deadline.**Benefits**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Director, Delivery Leader : $149,000\.00\-$262,000\.00
The expected starting salary range for Director, Delivery Leader : $149,000\.00 \- $223,000\.00</t>
        </is>
      </c>
    </row>
    <row r="35">
      <c r="A35" t="inlineStr">
        <is>
          <t>in-4a0d6c6563eb1fbb</t>
        </is>
      </c>
      <c r="B35" t="inlineStr">
        <is>
          <t>Director, Delivery Leader (IT Solution Delivery)/(Program Manager) - Nationwide Financial</t>
        </is>
      </c>
      <c r="C35" t="inlineStr">
        <is>
          <t>Nationwide Mutual Insurance Company</t>
        </is>
      </c>
      <c r="D35" t="inlineStr">
        <is>
          <t>indeed</t>
        </is>
      </c>
      <c r="E35" t="inlineStr"/>
      <c r="F35" t="inlineStr"/>
      <c r="G35" t="inlineStr">
        <is>
          <t>Columbus, OH, US</t>
        </is>
      </c>
      <c r="H35" s="2" t="n">
        <v>46064</v>
      </c>
      <c r="I35"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care.**At Nationwide Financial, technology delivery is foundational to how we serve customers, partners, and the broader financial ecosystem. We are seeking a seasoned Director, Delivery Leader / Program Manager who can ensure operational excellence today while leading the transformation toward a more modern, product\-centric future.**
**Nationwide Financial is seeking a Director, Delivery Leader/Program Manager to lead technology delivery across critical business\-to\-business ecosystem, data warehousing, Financial Operations and Actuarial capabilities. This role is central to ensuring operational stability today while accelerating modernization for the future.**
**You will oversee IT delivery for essential platforms including payments, securities trading, eB2B integrations, actuarial services, document management, and data warehousing, partnering closely with business and enterprise leaders in a highly regulated environment.**
**As Nationwide evolves from a traditional project****‑****based model to a** **product‑centric operating model****, this role provides the leadership needed to ensure strong governance, disciplined execution, and effective risk management—while enabling faster, more responsive delivery.**
**If this opportunity aligns with your leadership experience and passion for delivery excellence, we welcome the opportunity to connect with you.**
**This role will work a hybrid schedule coming into the Columbus, Ohio office 2 days per week on Mondays \&amp; Tuesdays.**
**This role does not qualify for employer\-sponsored work authorization. Nationwide does not participate in the Stem OPT Extension program.**
\#LI\-AZ1
**Job Description Summary**
If you’re passionate about delivering technology solutions to support a company providing extraordinary care to its customers, then Nationwide Technology is the place for you. Our industry\-leading technology workforce embraces an agile work environment and a collaborative culture to deliver outstanding solutions and results. If that sounds like something you aspire to, we want to hear from you!  
As a Delivery Leader you’ll be responsible for delivering value and outcomes. Delivery leaders are expected to have an end\-to\-end vantage point on delivery, manage dependencies, remove blockers, engage partners, manage financials, maximize vendor relationships, and enable an iterative delivery of value. You will need to keep pace with software delivery and organizational change methods and tools. Delivery leaders should also understand relevant Financial and Agile/Lean/DevOps tools and techniques.**Job Description**
**Key Responsibilities:**
* Responsible for the End to End management of associates including but not limited to performance management, salary planning, training, development, workforce planning, hiring, and disciplinary actions; and attracts, hires, engages and develops the team through impactful recruitment, coaching and feedback.
* Accountable for the delivery of expected business outcomes, realization of benefits as outlined in the business case, drives incremental value, drives incremental planning, and drives dependency scope definition.
* Responsible for the communication, critical issue, visibility, change management guidance to deliver business outcomes.
* Managers the facilitation of contract negotiations, statement of work development and ensures our vendors are making expected progress.
* Drives the prioritization of work, handles complex issues/risks, governs dependencies.
* Leads all aspects of the delivery of status/health reports to drive value delivery tracking (ex: KPIs), optimizes the flow of value and ensures demand/capacity is managed.
* Manages and consults on complex and/or project/product financials.
* Serves as the top professional/coach to others around delivering business outcomes, benefit realization, agile delivery, and Lean.
* Active profession participant through communities of practice, industry involvement and/or standards organizations.
May perform other responsibilities as assigned.
**Reporting Relationships:** Reports to Executive Delivery Leader or Business Solution Area Executive; responsible for 4\-8 directs and in\-directs.
**Typical Skills and Experiences:**
 **Education:** Undergraduate studies (bachelor’s degree preferred) in management information systems, engineering, math, computer science, data analytics or comparable experience and education strongly preferred.
**License/Certification/Designation:** Technology certifications or PMI, SAFE, Agile or Lean designations are encouraged.
**Experience:** Ten or more years of experience in technology or related field. Five years demonstrated proficiency in delivering outcomes/projects. Three to five years of management experience is preferred. Awareness of new technologies and/or industry trends.
**Knowledge, Abilities and Skills:** Ability to make decisions and recommendations. Aptitude to influence, establish relationships and set priorities. Excellent verbal and written communication skills to interact with all levels of associates, senior management and/or vendors. Insurance/financial services industry knowledge a plus.
Other criteria, including leadership skills, competencies and experiences may take precedence.
Staffing exceptions to the above must be approved by the hiring manager’s leader and HR Business Partner.
**Values:** Regularly and consistently demonstrates Nationwide values.
**Job Conditions:**
 **Overtime Eligibility:** Exempt (Not Eligible)
**Working Conditions:** Normal office environment.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02/20/2026\. However, we encourage early submissions, as the posting may close sooner if a strong candidate slate is identified before the deadline.**Benefits**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Director, Delivery Leader : $149,000\.00\-$262,000\.00
The expected starting salary range for Director, Delivery Leader : $149,000\.00 \- $223,000\.00</t>
        </is>
      </c>
    </row>
    <row r="36">
      <c r="A36" t="inlineStr">
        <is>
          <t>in-bc740ad49769086a</t>
        </is>
      </c>
      <c r="B36" t="inlineStr">
        <is>
          <t>Senior AI Server Product Manager</t>
        </is>
      </c>
      <c r="C36" t="inlineStr">
        <is>
          <t>Dell Technologies</t>
        </is>
      </c>
      <c r="D36" t="inlineStr">
        <is>
          <t>indeed</t>
        </is>
      </c>
      <c r="E36" t="inlineStr"/>
      <c r="F36" t="inlineStr"/>
      <c r="G36" t="inlineStr">
        <is>
          <t>Round Rock, TX, US</t>
        </is>
      </c>
      <c r="H36" s="2" t="n">
        <v>46064</v>
      </c>
      <c r="I36" t="inlineStr">
        <is>
          <t>Showcasing excellence and innovation at every stage, AI Product Management is responsible for the cross\-functional management of AI\-optimized products or solutions through their entire lifecycle. Using a wealth of technical and industry experience, we work across functional areas to implement our products or solutions. We undertake thorough analysis of the markets to ensure we maximize profitability and adjust our product strategies to respond to competition. Our role also involves acting as subject matter experts for internal and external product events or partner meetings.
Join us to do the best work of your career and make a profound social impact as a **Senior AI Server Product Manager** on our **Server Product Management** team in **Round Rock, Texas or Hopkinton, Massachusetts**.  
**What you'll achieve**
As part of our Server Product Management Team, you will be responsible for cross\-functional management of AI\-optimized product(s) or solution(s) through their entire life\-cycle to achieve P\&amp;L goals. Also to uses technical and industry experience to formulate product/ solution strategies, working across functional areas to implement product/solution strategies. You'll also be analyzing markets to determine opportunities, ensuring offerings are defined to maximize profitability. You will be a Subject Matter Expertise (SME) for internal and external product events, including analyst meetings, press interviews, sales training and partner meetings.
 **You will:**
* Manage requirements for new complex product and solution offerings, including feature/cost trade off decisions, trade marking important features, and driving peripheral requirements for product platforms.
* Lead cross\-functional product teams
* Lead business case for enhancements or new products; makes recommendations and negotiates with other functional leaders
* Lead the most complex requirements gathering and management; provides interpretation and recommendations
* Be a SME for external and internal product events
**Take the first step towards your dream career**  
Every Dell Technologies team member brings something unique to the table. Here’s what we are looking for with this role:
**Essential Requirements**
* Experience in defining long\-term product strategy and vision
* Business and entrepreneurial acumen with strategic and critical thinking along with ability to lead executive presentations on product strategy
* Strong technical acumen with a history of building/delivering enterprise server products especially AI enabled products and components including but limited to GPU's, CPU accelerators
* Experience defining projects, collecting requirements, writing detailed functional specifications, coordinating efforts to scope and scheduling and deploying new feature sets
* Experience in writing product and customer requirements and using qualitative and quantitative data to prioritize decision\-making
**Desirable Requirements**
* Typically requires 15\+ years of related experience in a professional role with a Bachelor’s degree; or 12\+ years and a Master’s degree; or a PhD with 8\+ years experience; or equivalent experience
* Familiarity with AI (Artificial Intelligence)
Compensation
Dell is committed to fair and equitable compensation practices. The salary range for this position is $216,000 \- $280,000\.
Benefits and Perks of working at Dell Technologies
Your life. Your health. Supported by your benefits. You can explore the overall benefits experience that awaits you as a Dell Technologies team member — right now at MyWellatDell.com
**Who we are**
We believe that each of us has the power to make an impact. That’s why we put our team members at the center of everything we do. If you’re looking for an opportunity to grow your career with some of the best minds and most advanced tech in the industry, we’re looking for you.  
Dell Technologies is a unique family of businesses that helps individuals and organizations transform how they work, live and play. Join us to build a future that works for everyone because Progress Takes All of Us.  
**Application closing date: 17** **January 2025**  
Dell Technologies is committed to the principle of equal employment opportunity for all employees and to providing employees with a work environment free of discrimination and harassment. Dell encourages applicants of all ages.
 **Job ID:**R285026</t>
        </is>
      </c>
    </row>
    <row r="37">
      <c r="A37" t="inlineStr">
        <is>
          <t>in-b2e564fc7f018044</t>
        </is>
      </c>
      <c r="B37" t="inlineStr">
        <is>
          <t>Neuro and Stroke Program Manager</t>
        </is>
      </c>
      <c r="C37" t="inlineStr">
        <is>
          <t>HCA Healthcare Trident Hospital</t>
        </is>
      </c>
      <c r="D37" t="inlineStr">
        <is>
          <t>indeed</t>
        </is>
      </c>
      <c r="E37" t="inlineStr"/>
      <c r="F37" t="inlineStr"/>
      <c r="G37" t="inlineStr">
        <is>
          <t>Charleston, SC, US</t>
        </is>
      </c>
      <c r="H37" s="2" t="n">
        <v>46064</v>
      </c>
      <c r="I37" t="inlineStr">
        <is>
          <t>##### **Introduction**
Last year our HCA Healthcare colleagues invested over 156,000 hours volunteering in our communities. As a **Neuro and Stroke Program Manager** with HCA Healthcare Trident Hospital you can be a part of an organization that is devoted to giving back!
##### **Benefits**
HCA Healthcare Trident Hospital offers a total rewards package that supports the health, life, career and retirement of our colleagues. The available plans and programs include:
* Comprehensive medical coverage that covers many common services at no cost or for a low copay. Plans include prescription drug and behavioral health coverage as well as free telemedicine services and free AirMed medical transportation.
* Additional options for dental and vision benefits, life and disability coverage, flexible spending accounts, supplemental health protection plans (accident, critical illness, hospital indemnity), auto and home insurance, identity theft protection, legal counseling, long\-term care coverage, moving assistance, pet insurance and more.
* Free counseling services and resources for emotional, physical and financial wellbeing
* 401(k) Plan with a 100% match on 3% to 9% of pay (based on years of service)
* Employee Stock Purchase Plan with 10% off HCA Healthcare stock
* Family support through fertility and family building benefits with Progyny and adoption assistance.
* Referral services for child, elder and pet care, home and auto repair, event planning and more
* Consumer discounts through Abenity and Consumer Discounts
* Retirement readiness, rollover assistance services and preferred banking partnerships
* Education assistance (tuition, student loan, certification support, dependent scholarships)
* Colleague recognition program
* Time Away From Work Program (paid time off, paid family leave, long\- and short\-term disability coverage and leaves of absence)
* Employee Health Assistance Fund that offers free employee\-only coverage to full\-time and part\-time colleagues based on income.
Learn more about Employee Benefits
***Note: Eligibility for benefits may vary by location.***
Would you like to unlock your potential with a leading healthcare provider dedicated to the growth and development of our colleagues? Join the HCA Healthcare Trident Hospital family! We will give you the tools and resources you need to succeed in our organization. We are looking for an enthusiastic **Neuro and Stroke Program Manager** to help us reach our goals. Unlock your potential!
##### **Job Summary and Qualifications**
The **Neuro and Stroke Program Manager** ensures high quality, patient\-centered care through oversight of the overall daily function and staffing of the unit/department. The Manager monitors and evaluates the provision of nursing care in accordance with established policies/procedures and holds staff accountable for quality and clinical outcomes in support of facility objectives.
###### **What qualifications you will need:**
a) **Licensure/Certification/Registration:** Active South Carolina registered nursing license, Emergency Neurological Life Support Certification (ENLS), Basic life support
**b)** **Education**: Graduate of accredited school of nursing, experience leading diverse teams, including physician stakeholders, is required
**c)** **Experience:** Minimum of two years recent experience in stroke related patient population. Neuroscience/stroke clinicalexperience required
Trident Health is a 445\-bed HCA Healthcare hospital system comprised of two acute care hospitals, Trident Medical Center and Summerville Medical Center and three freestanding emergency departments, Brighton Park Emergency, Moncks Corner Medical Center and Centre Pointe Emergency.  
We provide care to nearly 375,000 South Carolina Low country residents each year. Every day Trident Health's more than 2,600 employees, more than 500 physicians and more than 130 volunteers are dedicated to fulfilling our mission.
"There is so much good to do in the world and so many different ways to do it."\- Dr. Thomas Frist, Sr.  
HCA Healthcare Co\-Founder
Be a part of an organization that invests in you! We are reviewing applications for our Manager Neuro opening. Qualified candidates will be contacted for interviews. Submit your application and help us raise the bar in patient care!
*We are an equal opportunity employer. We do not discriminate on the basis of race, religion, color, national origin, gender, sexual orientation, age, marital status, veteran status, or disability status.*</t>
        </is>
      </c>
    </row>
    <row r="38">
      <c r="A38" t="inlineStr">
        <is>
          <t>in-3f1450e6fd9b355f</t>
        </is>
      </c>
      <c r="B38" t="inlineStr">
        <is>
          <t>Program Manager Enterprise Risk Management</t>
        </is>
      </c>
      <c r="C38" t="inlineStr">
        <is>
          <t>Geisinger</t>
        </is>
      </c>
      <c r="D38" t="inlineStr">
        <is>
          <t>indeed</t>
        </is>
      </c>
      <c r="E38" t="inlineStr"/>
      <c r="F38" t="inlineStr"/>
      <c r="G38" t="inlineStr">
        <is>
          <t>Danville, PA, US</t>
        </is>
      </c>
      <c r="H38" s="2" t="n">
        <v>46063</v>
      </c>
      <c r="I38" t="inlineStr">
        <is>
          <t>### **Job Summary**
The Program Manager of Enterprise Risk Management reports directly to the Chief Risk and Compliance Officer and serves as the ERM program manager and strategic advisor on enterprise\-level risks. This individual contributor role is responsible for advancing the organization's ERM program through a consistent, strategic, and integrated approach to identifying, assessing, and managing risks. The position coordinates closely with other risk management units, internal audit, and business partners to align risk monitoring strategies and mitigation plans. It also supports the development of risk appetite frameworks and shares risk insights to inform strategic planning and operational decision\-making. The Program Manager provides advanced analytics and visualization, developing KPIs, dashboards, and actionable risk intelligence to support executive leadership and Board\-level reporting.  
### **Job Duties**
* Leads the maturation and enhancement of the ERM framework, tools, methodologies, and enterprise\-wide processes, including establishing and defining risk appetite.
* Strengthens ERM governance, including committee structures, reporting expectations, and escalation pathways.
* Facilitates enterprise\-wide risk assessments, including interviews, workshops, and scenario\-based analysis.
* Designs and delivers advanced analytics, dashboards, and KPIs for executive leadership and Board reporting.
* Produces high\-quality written risk reports, presentations, and enterprise risk profiles.
* Serves as a strategic advisor to executives on enterprise risks, emerging issues, and mitigation strategies.
* Partners with business leaders to embed mature risk practices into operational and strategic decision\-making.
* Oversees and monitor risk mitigation plans and strategies developed by first\-line business units to ensure alignment with enterprise risk appetite and timely execution.
* Integrates ERM with strategic planning, budgeting, and major organizational initiatives.
* Benchmarks ERM maturity against industry standards and recommend continuous\-improvement initiatives.
* Develops and executes a multi\-year ERM maturity roadmap aligned to organizational strategy.
Work is typically performed in an office environment. Travel may be required. Accountable for satisfying all job specific obligations and complying with all organization policies and procedures. The specific statements in this profile are not intended to be all\-inclusive. They represent typical elements considered necessary to successfully perform the job.
\#LI\-REMOTE
### **Position Details**
Additional Required Qualifications:
* One of the following professional certifications such as CRMA, CIA, CISA, CPA, or equivalent
* Proven experience engaging senior executives, including preparing high\-impact presentations.
* Deep knowledge of ERM frameworks such as COSO ERM and ISO 31000\.
* Demonstrated ability to drive organizational change and advance risk maturity.
* Strong communication, facilitation, and relationship\-building skills.
* Advanced proficiency in data analytics and visualization tools such as Tableau, Excel, and Power BI.
* Ability to design and produce actionable analytics, dashboards, and KPIs to inform executive and Board\-level decision\-making.
### **Education**
Bachelor's Degree\-Related Field of Study (Required), Master's Degree\-Related Field of Study (Preferred)  
### **Experience**
Minimum of 10 years\-Related work experience (Required)  
### **Certification(s) and License(s)**
OUR PURPOSE \&amp; VALUES: Everything we do is about caring for our patients, our members, our students, our Geisinger family and our communities. KINDNESS: We strive to treat everyone as we would hope to be treated ourselves. EXCELLENCE: We treasure colleagues who humbly strive for excellence. LEARNING: We share our knowledge with the best and brightest to better prepare the caregivers for tomorrow. INNOVATION: We constantly seek new and better ways to care for our patients, our members, our community, and the nation. SAFETY: We provide a safe environment for our patients and members and the Geisinger family We offer healthcare benefits for full time and part time positions from day one, including vision, dental and domestic partners. Perhaps just as important, from senior management on down, we encourage an atmosphere of collaboration, cooperation and collegiality. We know that a diverse workforce with unique experiences and backgrounds makes our team stronger. Our patients, members and community come from a wide variety of backgrounds, and it takes a diverse workforce to make better health easier for all. We are proud to be an affirmative action, equal opportunity employer and all qualified applicants will receive consideration for employment regardless to race, color, religion, sex, sexual orientation, gender identity, national origin, disability or status as a protected veteran.</t>
        </is>
      </c>
    </row>
    <row r="39">
      <c r="A39" t="inlineStr">
        <is>
          <t>in-61c772be983948ca</t>
        </is>
      </c>
      <c r="B39" t="inlineStr">
        <is>
          <t>Lead Program Manager, Cyber Tech</t>
        </is>
      </c>
      <c r="C39" t="inlineStr">
        <is>
          <t>Capital One</t>
        </is>
      </c>
      <c r="D39" t="inlineStr">
        <is>
          <t>indeed</t>
        </is>
      </c>
      <c r="E39" t="inlineStr"/>
      <c r="F39" t="inlineStr"/>
      <c r="G39" t="inlineStr">
        <is>
          <t>McLean, VA, US</t>
        </is>
      </c>
      <c r="H39" s="2" t="n">
        <v>46063</v>
      </c>
      <c r="I39" t="inlineStr">
        <is>
          <t>Lead Program Manager, Cyber Tech
Capital One is looking for a strategic and highly organized Lead Program Manager to join the Cyber Insider Threat and Technical Investigations program. You will ensure that our high\-level goals translate into successful, scalable results. Candidates should thrive in a cross\-functional and dynamic environment, where coordination with partner teams and stakeholders is required. You’ll be driving strategic planning, coordination across the team, enterprise, \&amp; industry, as well as driving process improvements for the team. Also, you’ll be expected to effectively manage all the moving pieces, teams, and tasks, displaying excellent strategic thinking, planning, organizational, and delegation skills.
General Responsibilities:
* Strategic Alignment: Align multiple projects with the company's broader strategic goals and manage dependencies across teams. You will be driving the delivery of key initiatives across the team.
* Risk Mitigation: Help to mitigate risks that are discovered by the larger team by collaborating with different teams within the organization.
* Process Improvement: Establish and refine project management methodologies to improve team velocity and quality.
* Stakeholder Collaboration and Communication: You’ll build cross functional relationships with key stakeholders, facilitate open collaboration, and communicate decisions and updates across teams. Ensure all relevant documents and decisions are saved and accessible for audit and review.
* Metric Development \&amp; Tracking: Monitor key performance indicators (KPIs) and project metrics to track progress, identify potential issues, and implement corrective actions.
* Culture Champion: Champion a culture of teamwork and proactive problem\-solving within the team and across stakeholder groups.
Basic Qualifications:
* High School Diploma, GED or equivalent certification.
* At least 4 years of experience working in program management
* At least 2 years of experience in data strategy
* At least 2 years of experience in stakeholder management
* At least 2 years of experience in risk mitigation
Preferred Qualifications:
* Bachelor's Degree or Military Experience
* Experience in a technology or cybersecurity organization
* 5\+ years of experience in Program or Project Management
* 3\+ years of experience in data strategy
* 2\+ years of experience in eDiscovery
* 2\+ years of experience in GenAI
* Project Management Professional (PMP) Certification
At this time, Capital One will not sponsor a new applicant for employment authorization, or offer any immigration related support for this position (i.e. H1B, F\-1 OPT, F\-1 STEM OPT, F\-1 CPT, J\-1, TN, E\-2, E\-3, L\-1 and O\-1, or any EADs or other forms of work authorization that require immigration support from an employer).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$197,300 \- $225,100 for Manager, Cyber Technical  
Richmond, VA: $179,400 \- $204,700 for Manager, Cyber Technical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
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t>
        </is>
      </c>
    </row>
    <row r="40">
      <c r="A40" t="inlineStr">
        <is>
          <t>in-9afcf089cfccba77</t>
        </is>
      </c>
      <c r="B40" t="inlineStr">
        <is>
          <t>PROGRAM MANAGER 2</t>
        </is>
      </c>
      <c r="C40" t="inlineStr">
        <is>
          <t>Meals on Wheels People</t>
        </is>
      </c>
      <c r="D40" t="inlineStr">
        <is>
          <t>indeed</t>
        </is>
      </c>
      <c r="E40" t="inlineStr"/>
      <c r="F40" t="inlineStr"/>
      <c r="G40" t="inlineStr">
        <is>
          <t>Gresham, OR, US</t>
        </is>
      </c>
      <c r="H40" s="2" t="n">
        <v>46063</v>
      </c>
      <c r="I40" t="inlineStr">
        <is>
          <t>Meals on Wheels People is an organization founded in and by the community! Over the past 50 years, our non\-profit has helped thousands of older adults in the Portland Metro area keep their independence through weekly meal delivery and social connections. Our culture reflects our five values: integrity, commitment, respect, inclusion, creativity, and TEAMWORK. With over 20 meal delivery centers throughout Multnomah, Washington, and Clark counties, our staff and thousands of volunteers ensure that no adult over 60 goes hungry or experiences social isolation.
Make a meaningful impact while working in a supportive and collaborative environment that values your well\-being. Enjoy the benefits of a four\-day workweek, ample quality time off, and a comprehensive benefits package, including medical, dental, and vision coverage, a 401(k)\-retirement plan, pet insurance, a wellness program, professional development opportunities, an Employee Assistance Program, and mileage reimbursement.
We are seeking a Program Manager II who is responsible for management of the day\-to\-day operation of the senior dining and Meals on Wheels home delivery services. Responsibilities include recruitment, management and development of employees and volunteers; programming to increase multicultural participation and socialization opportunities for seniors and growth of community involvement; management of local meal service partnerships and contracts. Responsible for meeting fundraising goals, cultivating contacts and support within the community and participating in committee leadership and/or special projects in support of the Strategic Plan.
**Principal Duties and Responsibilities (Essential Functions)**  
* Manage the safe and efficient preparation of senior dining and Meals on Wheels home delivery services following all Meals on Wheels People Food Service Manual procedures and Health Department regulations
* Achieve client satisfaction benchmarks of the Strategic Plan
* Plan and implement multicultural meals that generate interest and increased attendance in the meal program to achieve benchmarks of the Strategic Plan
* Ensure site operations remain within approved budget, monitoring inventory and expenses to meet budget allocations
* Responsible for recruitment, management, training and development of staff and volunteers
* Follow all guidelines to create and maintain a safe work environment for participants, volunteers and staff.
* Recruit, screen, train, schedule and recognize staff and volunteers
* Responsible for meeting fundraising goals as outlined in the annual fundraising plan
* Responsible for committee leadership and/or special projects in support of the Strategic Plan
* Develop and maintain effective community relations within assigned service area
* Manage assigned meal service partnerships and contracts for food insecure and insular populations
* Assist with planning and execution of regional community events that generate awareness of Meals on Wheels People services at the center and the agency, achieving annual fundraising and other community development goals.
* Complete all required administrative tasks as assigned
* Ensure Meals on Wheels People property and inventories are properly maintained and secured
* Participate in in\-service training and attend required meetings
* Support mission, vision, values and strategic plan of Meals on Wheels People, Inc.
* Other duties as assigned
**Education \&amp; Knowledge**  
* High School diploma or equivalent required; Associate certification or two years’ work experience in, Gerontology, Management, Social Work, Community Nutrition, or other related field preferred
* Knowledge of food service procedures and current Food Handler’s Card
* Current ServSafe certification or ability to obtain one within 18 months of hire
 **Skills, Abilities \&amp; Experience**  
* Minimum 2 year of experience in nutrition management or program management position
* Bilingual/Bicultural English/Spanish, Vietnamese, Russian, Asian or African languages strongly preferred
* Valid driver’s license, auto insurance and transportation required
* Proven ability to effectively engage and manage a team of employees and volunteers
* Excellent organizational, record keeping, time management and multi\-tasking skills including the ability to set priorities and be flexible to last\-minute changes
* Skill and motivation to work with a multicultural and socially diverse populations with the ability to effectively communicate with diverse populations including aging, minority, low income and persons with disabilities
* Proven experience in effectively managing budgets and fundraising activities
* Willing to work extended hours to support special activities and other deadlines
Any satisfactory combination of experience, training and/or education which ensures the ability to perform the work may substitute for the above qualifications.
**Working Conditions/Physical Demands**  
Fast paced, with significant people interaction. May be required to move up to 50lbs and occasional reaching, bending and stooping. Ability to operate general office equipment. Must pass drug and alcohol test and criminal background check.
**Disclaimer**  
The preceding job description has been designed to indicate the general nature and level of work performed by employees within this classification. It is not designed to contain or be interpreted as a comprehensive inventory of all duties, responsibilities and qualifications required of employees assigned to this job. This document does not create an employment contract, implied or otherwise; employment in this job is an “at will” employment relationship.
Please apply online at https://www.mowp.org/our\-story/careers/</t>
        </is>
      </c>
    </row>
    <row r="41">
      <c r="A41" t="inlineStr">
        <is>
          <t>in-e147ab9b5fff99ad</t>
        </is>
      </c>
      <c r="B41" t="inlineStr">
        <is>
          <t>Director - Equities High Touch Cash Product Manager</t>
        </is>
      </c>
      <c r="C41" t="inlineStr">
        <is>
          <t>Barclays</t>
        </is>
      </c>
      <c r="D41" t="inlineStr">
        <is>
          <t>indeed</t>
        </is>
      </c>
      <c r="E41" t="inlineStr"/>
      <c r="F41" t="inlineStr"/>
      <c r="G41" t="inlineStr">
        <is>
          <t>New York, NY, US</t>
        </is>
      </c>
      <c r="H41" s="2" t="n">
        <v>46063</v>
      </c>
      <c r="I41" t="inlineStr">
        <is>
          <t>### **Role summary**
### **We are seeking a hands‑on Product Manager to help define and own the delivery of the product strategy for the High Touch (HT) Cash Equities business.**
### **Candidate will work closely with front‑office users (Sales Trading/Trading) and partners across Technology, Compliance, Middle Office and Operations to translate real business problems / objectives into tangible outcomes and drive the delivery. Bringing deep knowledge of how financial markets operate with an understanding of the underlying market structure and associated regulation (ideally within US / APAC Equities market).**
### **Focus on delivery of tangible business benefits, ensuring proposed solutions meet expectations of the users. Own the regional book of work aligning with the global strategy where required, managing all risk and issues and becoming the SME for the product in the region. Present strategy to stakeholders provide clear transparent delivery plan and putting in place mitigating actions to address risk and issues.**
### **What you’ll do**
* ### **Define and drive strategy:** **Shape a clear product vision and roadmap; articulate the “why/what” and drive the “how” with business partners, ensuring business benefits are known and achieved.**
* ### **Lead discovery \&amp; analysis:** **Go beyond stated asks to uncover true root causes; transform complex, ambiguous problem statements into well‑scoped, testable solutions.**
* ### **Provide input into the Prioritisation process:** **Maintain an outcome‑oriented backlog, sequencing work to manage dependencies, risks and cross‑product trade‑offs. Ensuring stakeholders have the necessary information to allow them to make the critical prioritisation decisions.**
* ### **Partner with users and delivery teams:** **Build trust with front‑office users through transparent planning and reliable delivery.**
* ### **Launch, measure, iterate:** **Define success metrics and KPIs; test features, monitor adoption/performance, and iterate quickly to improve user and business outcomes, heavy focus on usability.**
* ### **Review and critique deliveries:** **Ensure deliveries are fit for purpose and that they are useable and achieve the stated objectives and are achieved in a cost effective manner.**
* ### **Ensure regulatory \&amp; control alignment:** **Work with Compliance and Control partners to embed applicable local rules and supervisory requirements into product design and delivery processes.**
* ### **Ownership, Focus on Delivery:** **Own the plan and drive the deliveries, monitor budgets and resource allocations.**
### **Outcomes \&amp; KPIs**
* ### **Increased** **front‑office adoption** **and satisfaction (measured via usage analytics and qualitative feedback).**
* ### **Cycle‑time** **reduction from discovery to release across high‑touch equities workflows.**
* ### **Measurable** **business impact** **(e.g., revenue enablement, cost avoidance, operational risk reduction) tied to roadmap.**
### **Background**
* ### **10\+ years** **in financial services with** **3\+ years** **partnering closely with front‑office users; exposure to** **AMER / APAC cash equities** **market structure and equity workflows**
* ### **Worked in a** **F****ront‑office** **role (Sales Trader/Trader/Business Management) seeking to move into product; or background in** **Equity Technology** **(BA/Project Manager); or currently working as an** **Equity Product Manager** **at another firm.**
### **Skills we value**
* ### **Product SME****: Detailed understanding of business workflows and objectives. Principal contact point for users and stakeholders in other functions/ businesses divisions.**
* ### **User relationship building:** **Earn trust by delivering on commitments and communicating transparently, clearly communicating the rationale for the decisions made**
* ### **Analytical problem‑solving:** **Drill into problem statements, validate hypotheses, and translate business needs into clear requirements and acceptance criteria.**
* ### **Communication:** **Break down complex topics into digestible narratives; present to senior stakeholders; translate between business and technology.**
* ### **Execution \&amp; ownership:** **Design the strategy, drive the plan end‑to‑end; actively manage** **dependencies, risks and issues****;** **do what it takes to land outcomes. Role requires hands on involvement not just management oversight.**
* ### **Product craft:** **Backlog management, roadmap definition, prioritisation techniques, discovery/experimentation, and data‑informed decision‑making.**
* ### **Regulatory awareness:** **Working knowledge of relevant equities regulations and how they influence product decisions and controls.**
* ### **Independent:** **Ability to work independently**
### **Responsibilities**
* ### **Maintain a** **product vision \&amp; strategy** **aligned to customer and market needs; socialise and align stakeholders.**
* ### **Run structured** **discovery** **(user interviews, journey mapping, problem framing) and define outcomes, success metrics and guardrails.**
* ### **Document** **requirements** **ensure aligned with user expectations, document measurable outcomes, manage the backlog.**
* ### **Track performance and** **iterate** **quickly.**
* ### **Coordinate with** **Compliance, Technology, MO/Ops** **to identify dependencies early and land remediation plans.**
* ### **Manage the** **product lifecycle** **front to back, from creation to launch and ongoing maintenance.**
### **Salary / Rate Minimum: 225, 000**
### **Salary / Rate Maximum: 300,000**
### 
### **The minimum and maximum salary/ rate information above include only base salary or base hourly rate. It does not include any other type of compensation or benefits that may be available.**
### 
### **This role is based in New York.**
### 
### ***Barclays is required by law to confirm that you have the Legal Right to***
### ***Work in any role that you apply for. If you currently hold a work visa***
### ***sponsored by Barclays, or you should require sponsorship from Barclays, you must declare this as part of your application. Sponsored visas are role and entity specific, and any changes must be reviewed. It is important that you ensure you are always working on the correct visa. Failure to accurately disclose your visa status or Legal Right to Work may result in your application or any employment offer being withdrawn at any time.***
**Purpose of the role**
To develop, launch, and manage the portfolio of financial products and services for the global markets, collaborating with a team of product managers, traders, risk managers, and other stakeholders to define product strategies, develop roadmaps, and bring new products to market, also playing a key role in gathering and analysis of market intelligence, identifying client needs, and developing competitive differentiators.
**Accountabilities**
* Development and execution of product strategy for financial products and services offered within the Markets division.
* Identification of market opportunities and customer needs to create new products or enhance existing ones.
* Collaboration with cross\-functional teams, including traders, sales, risk management, and technology, to define product requirements.
* Market data analysis to make informed decisions regarding product positioning and pricing.
* Management of the entire product lifecycle, from ideation to launch and ongoing maintenance.
* Monitoring of product performance, through analysing metrics and client feedback.
**Director Expectations**
* To manage a business function, providing significant input to function wide strategic initiatives. Contribute to and influence policy and procedures for the function and plan, manage and consult on multiple complex and critical strategic projects, which may be business wide..
* They manage the direction of a large team or sub\-function, leading other people managers and embedding a performance culture aligned to the values of the business. Or for an individual contributor, they lead organisation wide projects and act as deep technical expert and thought leader, identifying new ways of working and collaborating cross functionally. They will train, guide and coach less experienced specialists and provide information affecting long term profits, organisational risks and strategic decisions..
* Provide expert advice to senior functional management and committees to influence decisions made outside of own function, offering significant input to function wide strategic initiatives.
* Manage, coordinate and enable resourcing, budgeting and policy creation for a significant sub\-function.
* Escalates breaches of policies / procedure appropriately.
* Foster and guide compliance, ensure regulations are observed that relevant processes in place to facilitate adherence.
* Focus on the external environment, regulators, or advocacy groups to both monitor and influence on behalf of Barclays, when appropriate.
* Demonstrate extensive knowledge of how the function integrates with the business division / Group to achieve the overall business objectives.
* Maintain broad and comprehensive knowledge of industry theories and practices within own discipline alongside up\-to\-date relevant sector / functional knowledge, and insight into external market developments / initiatives.
* Use interpretative thinking and advanced analytical skills to solve problems and design solutions in often complex/ sensitive situations.
* Exercise management authority to make significant decisions and certain strategic decisions or recommendations within own area.
* Negotiate with and influence stakeholders at a senior level both internally and externally.
* Act as principal contact point for key clients and counterparts in other functions/ businesses divisions.
* Mandated as a spokesperson for the function and business division.
All Senior Leaders are expected to demonstrate a clear set of leadership behaviours to create an environment for colleagues to thrive and deliver to a consistently excellent standard. The four LEAD behaviours are: L – Listen and be authentic, E – Energise and inspire, A – Align across the enterprise, D – Develop others.
All colleagues will be expected to demonstrate the Barclays Values of Respect, Integrity, Service, Excellence and Stewardship – our moral compass, helping us do what we believe is right. They will also be expected to demonstrate the Barclays Mindset – to Empower, Challenge and Drive – the operating manual for how we behave.</t>
        </is>
      </c>
    </row>
    <row r="42">
      <c r="A42" t="inlineStr">
        <is>
          <t>in-934710e8654f664a</t>
        </is>
      </c>
      <c r="B42" t="inlineStr">
        <is>
          <t>Lead, Systems Engineer -Radar Product Owner</t>
        </is>
      </c>
      <c r="C42" t="inlineStr">
        <is>
          <t>L3Harris</t>
        </is>
      </c>
      <c r="D42" t="inlineStr">
        <is>
          <t>indeed</t>
        </is>
      </c>
      <c r="E42" t="inlineStr"/>
      <c r="F42" t="inlineStr"/>
      <c r="G42" t="inlineStr">
        <is>
          <t>Colorado Springs, CO, US</t>
        </is>
      </c>
      <c r="H42" s="2" t="n">
        <v>46063</v>
      </c>
      <c r="I42" t="inlineStr">
        <is>
          <t>L3Harris is dedicated to recruiting and developing high\-performing talent who are passionate about what they do. Our employees are unified in a shared dedication to our customers’ mission and quest for professional growth. L3Harris provides an inclusive, engaging environment designed to empower employees and promote work\-life success. Fundamental to our culture is an unwavering focus on values, dedication to our communities, and commitment to excellence in everything we do.
L3Harris is the Trusted Disruptor in defense tech. With customers’ mission\-critical needs always in mind, our employees deliver end\-to\-end technology solutions connecting the space, air, land, sea and cyber domains in the interest of national security.
**Job Title: Lead, Systems Engineer / Radar Product Owner**
**Job Code: 34000**
**Job Location: Colorado Springs, CO**
**Job Schedule: 9/80 (Every other Friday off!)**
 **Job Description:**
L3Harris is seeking a highly diversified and experienced Systems Engineer to act as a Product Owner (PO) for the Eglin Phased Array Radar Program and Ground Base Radar (GBRD) Pursuit. You will work with a multidisciplinary team utilizing Agile development methodologies to over the operations, sustainment, and development of the Eglin RADAR system. You will interface with the Chief Systems Engineer and program customer to develop the subsystem utilizing Digital Engineer Tools.
**Essential Functions:**
* Lead system engineering efforts for the upgrade and sustainment of the Eglin Phased Array Radar.
* Collaborate with cross\-functional teams to ensure alignment with program objectives and deliverables.
* Develop and maintain the system architecture, ensuring alignment with Government Reference Architecture and overarching Acquisition Reference Architecture utilizing digital engineering tools.
* Support the development of digital and operational architectures for Missile Warning \&amp; Defense (MWMD) Pursuits.
* Utilize DOORS, SysML, Cameo, Jira, and Confluence for system modeling and requirement management.
* Develop requirements, ICDs, VCRM, \&amp; Use cases inside of a Model\-Based Systems Engineering (MBSE).
* Provide technical leadership and guidance to the engineering team, ensuring high\-quality deliverables and continuous improvement.
* Excellent communication and interpersonal skills, capable of conveying complex technical information to diverse audiences.
* Experience leading a team of engineers with the ability to collaborate effectively with various stakeholders, including technical advisors and PEOs at senior military levels.
* Strong analytical and problem\-solving skills with a focus on innovation and continuous improvement.
* Travel: 10% Offsite
* Active Secret Clearance
**Qualifications:**
* Bachelor’s Degree and minimum 9 years of prior relevant experience in Computer Science, Information Technology, Systems Engineering, Software Engineering or a related field. Graduate Degree and a minimum of 7 years of prior related experience in Computer Science, Information Technology, Systems Engineering, Software Engineering or a related field. In lieu of a degree, minimum of 13 years of prior related experience
* Experience with Eglin, Upgraded Early Warning Radar (UEWR), or Perimeter Acquisition Radar Attack Characterization System (PARCS).
* Experience in engineering and architecture, with a background in requirements definition and system modeling.
* Experience as a Systems Engineer or equivalent role, with a focus on system upgrade and operations, maintenance, \&amp; sustainment.
 **Preferred Additional Skills:**
* Understanding and practical experience with AGILE methodologies to ensure efficient and adaptive program execution.
* Skilled in the use of network analyzers, oscilloscopes, power meters, and other relevant RF test equipment.
* Experience with identifying and addressing obsolescence issues and implementing modernization initiatives.
* Experience with requirements definition, verification, and validation processes
* Experience with Radar Cross\-Section (RCS) analysis, calibration techniques, and Electromagnetic Interference (EMI) mitigation strategies.
* Experience with Government Reference Architecture and Acquisition Reference Architecture development.
* Experience with DOORS, SysML, Cameo, Jira, and Confluence.
In compliance with pay transparency requirements, the salary range for this role in California, Massachusetts, New Jersey, Washington, and the Greater D.C, Denver, or NYC areas is $127,500\.00 \- $236,500\.00\. The salary range for this role in Colorado state, Hawaii, Illinois, Maryland, Minnesota, New York state, and Vermont is $110,500\.00 \- $205,500\.00\. This is not a guarantee of compensation or salary, as final offer amount may vary based on factors including but not limited to experience and geographic location. L3Harris also offers a variety of benefits, including health and disability insurance, 401(k) match, flexible spending accounts, EAP, education assistance, parental leave, paid time off, and company\-paid holidays. The specific programs and options available to an employee may vary depending on date of hire, schedule type, and the applicability of collective bargaining agreements.
LI\-TP1
L3Harris Technologies is proud to be an Equal Opportunity Employer. L3Harris is committed to treating all employees and applicants for employment with respect and dignity and maintaining a workplace that is free from unlawful discrimination. All applicants will be considered for employment without regard to race, color, religion, age, national origin, ancestry, ethnicity, gender (including pregnancy, childbirth, breastfeeding or other related medical conditions), gender identity, gender expression, sexual orientation, marital status, veteran status, disability, genetic information, citizenship status, characteristic or membership in any other group protected by federal, state or local laws. L3Harris maintains a drug\-free workplace and performs pre\-employment substance abuse testing and background checks, where permitted by law.
Please be aware many of our positions require the ability to obtain a security clearance. Security clearances may only be granted to U.S. citizens. In addition, applicants who accept a conditional offer of employment may be subject to government security investigation(s) and must meet eligibility requirements for access to classified information.
By submitting your resume for this position, you understand and agree that L3Harris Technologies may share your resume, as well as any other related personal information or documentation you provide, with its subsidiaries and affiliated companies for the purpose of considering you for other available positions.
L3Harris Technologies is an E\-Verify Employer. Please click here for the E\-Verify Poster in English or Spanish. For information regarding your Right To Work, please click here for English or Spanish.</t>
        </is>
      </c>
    </row>
    <row r="43">
      <c r="A43" t="inlineStr">
        <is>
          <t>in-6286b52faf9510a8</t>
        </is>
      </c>
      <c r="B43" t="inlineStr">
        <is>
          <t>Program Manager (Provider Data Operations)</t>
        </is>
      </c>
      <c r="C43" t="inlineStr">
        <is>
          <t>Caloptima</t>
        </is>
      </c>
      <c r="D43" t="inlineStr">
        <is>
          <t>indeed</t>
        </is>
      </c>
      <c r="E43" t="inlineStr"/>
      <c r="F43" t="inlineStr"/>
      <c r="G43" t="inlineStr">
        <is>
          <t>Orange, CA, US</t>
        </is>
      </c>
      <c r="H43" s="2" t="n">
        <v>46063</v>
      </c>
      <c r="I43" t="inlineStr">
        <is>
          <t>**Program Manager (Provider Data Operations)**  
**CalOptima**  
**Join Us in this Amazing Opportunity**  
**The Team You'll Join**  
We are a mission driven community\-based organization that serves member health with excellence and dignity, respecting the value and needs of each person. If you are ready to advance your career while making a difference, we encourage you to review and apply today and help us build healthier communities for all.  
**More About the Opportunity**
We are hoping you will join us as a **Program Manager (Provider Data Operations)** and help shape the future of healthcare where you'll be an integral part of our **Provider Data Operations** team, helping to strive for excellence while we serve our member health with dignity, respecting the value and needs of each of our members through collaboration with our providers, community partners and local stakeholders. You will be responsible for facilitating the planning, design and implementation of programs and initiatives that impact the teams within the Provider Data Operations department. You will review and analyze regulatory and operational requirements and be responsible for full cycle implementation. You will develop a framework for execution, ensuring that programs are aligned with the organization's larger strategy, executed according to requirements and meet the needs of the department. Together, we are building a stronger, more equitable health system.
**Your Contributions To the Team:**
* 95% \- Program Support
	+ Participates in a mission\-driven culture of high\-quality performance, with a member focus on customer service, consistency, dignity and accountability.
	+ Assists the team in carrying out department responsibilities and collaborates with others to support short\- and long\-term goals/priorities for the department.
	+ Coordinates the planning, implementation and management of department initiatives and activities and works collaboratively with impacted business departments.
	+ Acts as a liaison and works with the Regulatory Affairs and Compliance department to analyze, track, implement and ensure delivery of regulatory requirements impacting the Provider Data Operations functional areas.
	+ Facilitates end\-to\-end implementation of regulatory, operational and technical requirement and ensures timelines and deliverables are fulfilled in cooperation with internal teams, third party vendors and health networks.
	+ Conducts data quality checks, validates processes against requirements and identifies risks, gaps and resolutions.
	+ Completes statement of work and work breakdown structure for projects and business plans for all lines of business.
	+ Collaborates with other department analysts in the development of program measures of success and outcome reports for programs.
	+ Creates and maintains thorough documentation, including policies and procedures, standard operating procedures (SOPs), job aids and training materials, following best practices for retention and accessibility.
	+ Provides analytical support and technical expertise on requests for information from management and other staff regarding provider\-related issues and trends.
	+ Supports management and leadership by analyzing strategic options and providing data\-driven recommendations.
	Stays current on the local, state and federal health care environment to identify public policy and market trends that may impact CalOptima Health's provider programs and/or mission.  
	+
* 5% \- Completes other projects and duties as assigned.
**Do You Have What the Role Requires?**  
* Bachelor's degree in a health\-related field PLUS 3 years of experience in program development, including strategic planning for a start\-up program and implementing the program required; an equivalent combination of education and experience sufficient to successfully perform the essential duties of the position such as those listed above may also be qualifying.
* 3 years of experience working in a health plan or independent physician association (IPA)/medical group required.
* 2 years of experience working with data and reports required.
**You'll Stand Out More If You Possess the Following:**  
* Master's degree in health administration or related field.
* Project management certificate.  
	+ Project management experience.
* Experience working with provider network operations.
**What the Regulatory Agencies Need You to Possess?**  
* n/a
**Your Knowledge \&amp; Abilities to Bring to this Role:**  
* Develop rapport and establish and maintain effective working relationships with CalOptima Health's leadership and staff and external contacts at all levels and with diverse backgrounds.
* Work independently and exercise sound judgment.
* Communicate clearly and concisely, both orally and in writing.
* Work a flexible schedule; available to participate in evening and weekend events.
* Organize, be analytical, problem\-solve and possess project management skills.
* Work in a fast\-paced environment and in an efficient manner.
* Manage multiple projects and identify opportunities for internal and external collaboration.
* Motivate and lead multi\-program teams and external committees/coalitions.
* Utilize computer and appropriate software (e.g., Microsoft Office: Word, Outlook, Excel, PowerPoint) and job specific applications/systems to produce correspondence, charts, spreadsheets, and/or other information applicable to the position assignment.
**Your Physical Requirements (With or Without Accommodations):**  
* Ability to visually read information from computer screens, forms and other printed materials and information.
* Ability to speak (enunciate) clearly in conversation and general communication.
* Hearing ability for verbal communication/conversation/responses via telephone, telephone systems, and face\-to\-face interactions.
* Manual dexterity for typing, writing, standing and reaching, flexibility, body movement for bending, crouching, walking, kneeling and prolonged sitting.
* Lifting and moving objects, patients and/or equipment 10 to 25 pounds
**Ways We Are Here For You**  
* You'll enjoy competitive compensation for this role.
	+ Our current hiring range is: Pay Grade: **311 \- $77,863 \- $124,581 ($37\.43 \- $59\.8947\).**
		- ***The final salary offered will be based on education, job\-related knowledge and experience, skills relevant to the role and internal equity among other factors.***
* This position is approved for **Partial Telework** *(\*\*If the position is Telework, it is eligible in California only\*\*)*
* A **comprehensive benefits package**
* CalPERS pension program and additional retirement packages.
* Additional benefits and perks including:
	+ A generous PTO program
	+ A quality work life balance
	+ Various wellness programs
	+ Tuition Reimbursement
	+ Professional development opportunities
	+ Career development opportunities
	+ Flexible scheduling
	+ And the satisfaction of knowing your work directly impacts and improves healthcare access for thousands of individuals and families.
**Our Work Environment:**  
If located at the 500, 505 Building or a remote work location:  
* Work is typically indoors and sedentary and is subject to schedule changes and/or variable work hours, with travel as needed.
* There are no harmful environmental conditions present for this job.
* The noise level in this work environment is usually moderate.
If located at PACE:  
* Work is typically indoors in a clinical setting serving the frail and elderly.
* There may be harmful or hazardous environmental conditions present for this job.
* The noise level in this work environment is usually moderate to loud.
If located in the Community:  
* Work is typically indoors and sedentary and is subject to schedule changes and/or variable work hours, with travel as needed.
* Employee will occasionally work outdoors in varied temperatures.
* There may be harmful or hazardous environmental conditions present for this job.
* The noise level in this work environment is usually moderate to loud.
**Why Join Us?**  
We believe that diverse perspectives drive innovation. Each employee brings a unique perspective to the overall team and we value everyone's input and we are committed to creating an inclusive environment where you and every team member can thrive while making a meaningful impacts on our community members. Our team reflects and represents the communities we serve, and we welcome candidates from all backgrounds who share our commitment to accessible, quality healthcare.  
**What's Your Next Step?**  
All Applications will be accepted on a continuous basis until a sufficient number of qualified applications have been received. Do NOT miss out. If you want to join our team, the deadline for the first review of applications is **February 23, 2026 at** **9:00 PM (PST).** **We are encouraging you to apply early. If you apply after the first review date, your application is not guaranteed to be considered for this recruitment. This recruitment may close at any time without notice after the first review date.**
**Our Commitment to You**  
**Your application and resume will be reviewed by a dedicated recruiter to this position. If your experience matches what we need, we will reach out to you to discuss the next steps. The selection process may include, but is not limited to, a skills assessment, phone screen and interview.**  
If you make it through the steps above and are selected for this exciting role, you will be required to undergo a reference and a background check (to include a conviction record) and if applicable also pass a drug screening and/or a post\-offer pre\-employment medical examination (for specific positions) If you are an Internal CalOptima Health applicant, please apply through the internal portal on InfoNet.  
We will make sure to keep you updated through each step of the process on your candidate portal. Please make sure to watch for updates on your candidate portal and you emails which will be sent to the email address you listed on your application. Please check your email, including your SPAM folder, regularly throughout the recruitment process.
*CalOptima Health is committed to attracting, hiring, and retaining a diverse staff, where we will honor your unique experiences, identity, and perspectives. Our organization strives to create and maintain a workplace environment that is inclusive, equitable and welcoming so we can truly be Better Together.*  
*CalOptima Health is an equal opportunity employer and makes all employment decisions on the basis of merit. CalOptima Health wants to have qualified employees in every job position. CalOptima Health prohibits unlawful discrimination against any employee, or applicant for employment, based on race, religion/religious creed, color, national origin, ancestry, mental or physical disability, medical condition, genetic information, marital status, sex, sex stereotype, gender, gender identity, gender expression, transitioning status, age, sexual orientation, immigration status, military status as a disabled veteran, or veteran of the Vietnam era, or any other consideration made unlawful by federal, state, or local laws. CalOptima Health also prohibits unlawful discrimination based on the perception that anyone has any of those characteristics or is associated with a person who has, or is perceived as having, any of those characteristics.*  
*If you are a qualified individual with a disability or a disabled veteran, you may request a reasonable accommodation at (714\) 246\-8400 if you are unable or limited in your ability to access job openings or apply for a job on this site as a result of your disability.*  
**To apply, please visit:** **https://jobs.caloptima.org/jobs/program\-manager\-provider\-data\-operations\-505\-city\-parkway\-west\-california\-united\-states**  
jeid\-f258fda599b0a94886a4f4f85b411c9f</t>
        </is>
      </c>
    </row>
    <row r="44">
      <c r="A44" t="inlineStr">
        <is>
          <t>in-c92963085bf0802b</t>
        </is>
      </c>
      <c r="B44" t="inlineStr">
        <is>
          <t>Senior Program Manager, Strategy</t>
        </is>
      </c>
      <c r="C44" t="inlineStr">
        <is>
          <t>Microsoft</t>
        </is>
      </c>
      <c r="D44" t="inlineStr">
        <is>
          <t>indeed</t>
        </is>
      </c>
      <c r="E44" t="inlineStr"/>
      <c r="F44" t="inlineStr"/>
      <c r="G44" t="inlineStr">
        <is>
          <t>Redmond, WA, US</t>
        </is>
      </c>
      <c r="H44" s="2" t="n">
        <v>46062</v>
      </c>
      <c r="I44" t="inlineStr">
        <is>
          <t>**Overview**  
Cloud Operations \+ Innovation (CO\+I) is seeking a **Senior Program Manager** to support the Cloud Infrastructure Acquisition organization. CO\+I is responsible for planning, building and operating Microsoft’s cloud infrastructure datacenters across the globe. The organizational scope includes demand and supply planning, business operations and strategic acquisition across land, lease, power, and networking.
To help us accelerate our growth objectives and transformation, we are seeking a dynamic and strategic **Senior Program Manager** focused on supporting acquisitions, and managing our regional portfolio. As part of this organization, you will be part of a rapidly growing business, enable global impact, and drive strategic execution on our key initiatives. The successful candidate will demonstrate a passion for technology and a curiosity for cloud infrastructure, bring a strong background in program management, cloud technology, and strategic planning. If you are a strategic thinker, possess exceptional expertise in managing complex workstreams and processes, and have a passion for technology and innovation, this role is for you!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Synthesize and prioritize central feedback for existing and new region expansion strategies.
* Help manage complex projects, acquisition support processes, and help shape regional portfolio strategies.
* Excel at cross\-functional collaboration, strategic thinking, and inclusive leadership.
* Uses industry understanding to direct teams to ensure alignment between the customer, the market, internal stakeholders, senior leadership, and the goals and strategy of Microsoft. Holds team members accountable for collaborating with others (e.g., Engineering, Marketing, Design) to ensure that they can satisfy customer requirements.
* Provides expertise to help working teams validate the market size and opportunity of greatest value for the company. Facilitates collaboration across teams to bring about solutions.
* Ensures teams establish and monitor processes and hold other stakeholders accountable for following the established schedule and processes.
* Guides teams when tracking and managing dependencies to enable cohesive, connected scenarios, and to avoid issues and mitigate risks.
* Influences teams to make adjustments or course corrections when projects are not aligned to schedules or goals.
* Helps lead governance programs and processes to ensure that specific performance requirements and standards are met throughout the development lifecycle
**Qualifications** **Required/Minimum Qualifications:**
* Bachelor's Degree AND 4\+ years experience in engineering, product/technical program management, data analysis, or product development
	+ OR equivalent experience.
* 2\+ years of experience managing cross\-functional and/or cross\-team projects.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8\+ years experience engineering, product/technical program management, data analysis, or product development
	+ OR equivalent experience.
* 6\+ years of experience managing cross\-functional and/or cross\-team projects.
* Experience managing delivery for capital\-intensive projects in datacenter, energy, or other industrial sectors.
* Experience in cloud strategy, capital program management, or complex infrastructure delivery.
\#COICareers
Technical Program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5">
      <c r="A45" t="inlineStr">
        <is>
          <t>in-a72df227993d9023</t>
        </is>
      </c>
      <c r="B45" t="inlineStr">
        <is>
          <t>Senior Product Manager</t>
        </is>
      </c>
      <c r="C45" t="inlineStr">
        <is>
          <t>Microsoft</t>
        </is>
      </c>
      <c r="D45" t="inlineStr">
        <is>
          <t>indeed</t>
        </is>
      </c>
      <c r="E45" t="inlineStr"/>
      <c r="F45" t="inlineStr"/>
      <c r="G45" t="inlineStr">
        <is>
          <t>Redmond, WA, US</t>
        </is>
      </c>
      <c r="H45" s="2" t="n">
        <v>46061</v>
      </c>
      <c r="I45" t="inlineStr">
        <is>
          <t>**Overview** **We are the Client Core Team. What do we do?**
We are the base platform layer, the core of the windows kernel, with a focus towards Windows client products. Partner teams build their technologies on top of our team's code base and rely on the integrity of our code base.
*We're responsible for the lowest layers of the operating system:*
* where the processors and most core system hardware components interface with Windows
* where the heart of power management occurs
* where the most critical devices like storage and network engage the system
* where the code lives to turn the whole system on in the first place
**We’re looking for someone to join our team.**
As a **Senior Product Manager** of our team, you will have the opportunity to work on features that advance the Windows platform to be more performant, scale better across the wide spectrum of Windows hardware and even consider new hardware scenarios. Our team has a number of dependent teams, internal and external, which allows you to work with a diverse set of individuals across Windows, Microsoft and the industry.
We work directly with hardware partners and OEMs to ensure that Windows can start and run the latest processors and chipsets coming down the pipe. Members of our team work on the core firmware that ships in first party products. Others work on the most critical of system components such as PCI, boot, and the hardware abstraction layer (HAL). We also work with the industry on what new hardware or features are in the works on future silicon, and how we might best leverage those in future iterations of Windows.
**What our team offers:**
* Teammates who are some of the best engineers in the world.
* Opportunities to take on interesting technical challenges that directly impact the millions of customers that use Windows.
* Incredible mentorship. We are looking to groom and grow the next set of leaders on our team.
* Teammates that come from an array of diverse backgrounds and experiences who really love what they’re working on. You can look forward to friendly faces that are ready to help you get you up to speed.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member of our team, a typical day might include:**
* Collaborating with external and internal partner teams to drive clarity and ensure execution on parallel work streams and coordinating communication across partner teams.
* Partnering with developers on our team to remove roadblocks and enabling them to complete their work efficiently. This could include being POC for your feature area and serving as the first gate for all partner team requests and inquiries.
* Driving features from inception (based on customer and industry partner feedback) \-\&gt; planning \-\&gt; feature completion \-\&gt; industry adoption.
**Qualifications** **Required Qualifications:**
* Bachelor's Degree AND 5\+ years experience in product/service/program management or software development
* + OR equivalent experience.
**Preferred Qualifications:**
* 3\+ years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**Our team might be a good fit if:**
* You have a genuine passion and interest in the technical challenges our team tackles.
* You are looking to commit to 3\+ years at your next job.
* You have a growth mindset (really, we mean it!) and are eager and ready to learn.
* You care deeply about doing the right thing for your customers.
* You are a team player that approaches communication and collaboration with empathy and compassion.
* You have experience with hardware and/or C programming.
 \#W\+DJOBS
\#CoreOSJob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46">
      <c r="A46" t="inlineStr">
        <is>
          <t>in-3195cbf4e99317aa</t>
        </is>
      </c>
      <c r="B46" t="inlineStr">
        <is>
          <t>Program Manager (TS/SCI Required)</t>
        </is>
      </c>
      <c r="C46" t="inlineStr">
        <is>
          <t>KBR</t>
        </is>
      </c>
      <c r="D46" t="inlineStr">
        <is>
          <t>indeed</t>
        </is>
      </c>
      <c r="E46" t="inlineStr"/>
      <c r="F46" t="inlineStr"/>
      <c r="G46" t="inlineStr">
        <is>
          <t>Albuquerque, NM, US</t>
        </is>
      </c>
      <c r="H46" s="2" t="n">
        <v>46057</v>
      </c>
      <c r="I46" t="inlineStr">
        <is>
          <t>KBR is seeking a Program Manager to join our team in Albuquerque, NM supporting the Space Systems Command Innovation and Prototyping Delta (SSC/SZI).
**Key Responsibilities:**
* Serve as the face of the company to our government customer.
* Manage the resources, personnel, and services necessary to provide program management support for all contract functions to include, but not limited to: quality, safety, security, and risk; accountable for credible cost, schedule, and performance reporting to the Government.
* Establish and maintain a proactive, effective, and efficient program team that is responsive to changes in program/mission requirements.
* Maintain a high level of quality of work, collaboration, open communication, and engagement with the Government program team.
* Maintain an understanding of SSC/SZI’s mission and strong commitment to customer satisfaction.
* Prepare for and conduct Program Management Reviews, as well as more frequent informal status meetings, at a frequency and scope as defined in the contract.
* Notify the Government of any problems in meeting contract requirements as the problems are known.
* Provide appropriate representation for meetings, as required, to include, but not limited to: management meetings and customer meetings at various locations.
* Responsible for subcontract management necessary to integrate work performed on this contract.
* Responsible and accountable for subcontractor performance on contract.
* Report all contractor labor hours (including subcontractor labor hours) required for performance of services provided under this contract via the secure data collection site (i.e., Contract Manpower Reporting Application).
* Participate in and contribute to Government processes and assign appropriate resources to effectively support the requirement.
* Respond to Government requests for contractually driven requirements within timeframes requested by the Government for action.
* Integrate and coordinate all activities needed to execute the requirement to include but not limited to: resource allocation, corrective action plans proposal submittals, timely identification of issues, and effective management of government approved and established vendors.
* Provide required necessary on\-site resources and infrastructure to manage, perform, and administer the contract.
**Qualifications:**
**Required:**
* **Security Clearance:** Must have an active U.S. government TS/SCI security clearance, which is something only a U.S. citizen can obtain and **SAP** eligibility
* PMI Project Management Professional (PMP) certification
* Bachelor’s degree required; science, engineering, or management preferred
* Current knowledge of space ground station development, management, maintenance and employment in garrison and operational environments
* Current knowledge of DoD Contracting, Finance and Acquisition
* Current Program Management experience executing $10M\+ annually in the DoD, or related organization
* Current experience managing 20\+ employees
* Exceptional written, verbal, and interpersonal communication skills
* Superior collaboration and organizational skills
* Proactive and highly motivated
* Able to work in a secure, confined location
* 20% travel to support customer mission and goals may be required
* Expertise in qualitative and quantitative analysis techniques for measuring the effectiveness, efficiency, and productivity of acquisition systems or services
* Expertise in Government project governance and stakeholder communication
**Desired:**
* Understanding of the Space Systems Command Innovation and Prototyping Delta (SZI) Prototype Ground Development and Sustainment Branch’s (SZIG) mission
* 5 \- 10 years of program management experience supporting Department of Defense or related organization
* Advanced STEM degree is preferred
* Familiarity with SSC Ground Operations, facilities maintenance, cloud migration, and digital engineering practices
**Work Environment:**
* **Location:** On\-site (Government site daily)
* **Travel Requirements:** Minimal 0\-20%
* **Working Hours:** Standard
**Basic Compensation: $137,000 \- $205,500 (This range is for New Mexico only.)**
The offered rate will be based on the selected candidate’s knowledge, skills, abilities and/or experience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short\-term incentives, long\-term incentives, or discretionary payments for exceptional performance.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47">
      <c r="A47" t="inlineStr">
        <is>
          <t>in-5cdfa49520afd556</t>
        </is>
      </c>
      <c r="B47" t="inlineStr">
        <is>
          <t>Assistant Program Manager – Test &amp; Evaluation (T&amp;E)</t>
        </is>
      </c>
      <c r="C47" t="inlineStr">
        <is>
          <t>KBR</t>
        </is>
      </c>
      <c r="D47" t="inlineStr">
        <is>
          <t>indeed</t>
        </is>
      </c>
      <c r="E47" t="inlineStr"/>
      <c r="F47" t="inlineStr"/>
      <c r="G47" t="inlineStr">
        <is>
          <t>Lexington Park, MD, US</t>
        </is>
      </c>
      <c r="H47" s="2" t="n">
        <v>46057</v>
      </c>
      <c r="I47" t="inlineStr">
        <is>
          <t>KBR’s Mission Engineering Division delivers complex technical solutions and expert support to the U.S. Department of War, specializing in modeling and simulation, cyber transformation, air vehicle mission integration, and lifecycle support. As a trusted partner with a proven history in mission technology, KBR collaborates closely with clients to develop innovative and effective solutions. With a strong ethical framework, KBR prioritizes data security, privacy, and responsible information management to ensure mission success.
 The **Assistant Program Manager – Test \&amp; Evaluation (T\&amp;E)** supports the planning, coordination, execution, and reporting of developmental and operational test activities across the program lifecycle using NAVAIR procedures. In this role, you will help ensure test scope, resources, schedules, documentation, and execution align with acquisition strategy, technical requirements, and government guidance. You will collaborate closely with engineering, logistics, contractors, government stakeholders, test organizations, and end users to validate and verify system performance prior to fielding. This is an on\-site position in Lexington Park, MD, with travel required, supporting mission\-critical aviation programs.
**Roles and Responsibilities**
* Assist in developing Test and Evaluation Master Plans (TEMPs), test plans, test procedures, and data collection requirements to support developmental and operational testing across the program lifecycle.
* Coordinate with developmental test (DT) and operational test (OT) agencies to align overall test strategy, schedules, and execution priorities.
* Ensure test documentation and reporting comply with applicable DoD and NAVAIR/program\-specific test policy and guidance.
* Develop and maintain integrated master schedules (IMS) for T\&amp;E activities; track milestones, risks, issues, and dependencies impacting test events.
* Coordinate test readiness reviews (TRRs), test events, and field activities, including range scheduling, instrumentation needs, test resources, and test article configuration planning.
* Support on\-site test execution as required and serve as a liaison with test teams to resolve issues quickly and maintain schedule and quality.
* Collect, analyze, and validate test data and results; support test report development, deficiency reporting, and corrective\-action tracking with traceability to requirements.
* Participate in program technical reviews (e.g., deficiency reviews, system verification reviews) and support technical studies/analyses to refine test verification methods and approaches.
* Support acquisition documentation and milestone decision activities by providing T\&amp;E inputs, schedules, and execution status to stakeholders.
**Basic Qualifications**
* **Clearance \&amp; Citizenship:** U.S. Citizen with an active Secret clearance and Top Secret eligibility.
* **Education:** Bachelor’s degree in Engineering, Physics, Computer Science, Systems Engineering, Program Management, or related field **or** equivalent relevant experience in lieu of a degree.
* **Experience:** 10\+ years of experience supporting DoD/government acquisition programs. Demonstrated experience supporting developmental and/or operational testing (DT/OT), including test planning, coordination, execution support, and reporting. Prior experience supporting NAVAIR aviation programs in a T\&amp;E environment, including use of NAVAIR procedures/policy.
**Preferred Qualifications**
* Master’s degree in a STEM or management field.
* DAWIA/FACP/PM certifications (T\&amp;E, Engineering, Program Management).
* Experience working with integrated product teams (IPTs) and government\-led test programs.
* Experience with major range and test facility bases (e.g., NAVAIR, ATEC, AFOTEC, MDA, DOT\&amp;E).
* Proficiency with MS Project, Jira, DOORS, or equivalent tools.
**Scheduled Weekly Hours:** 40 hours/week
**Basic Compensation:** $116,100 \- $180,000\. The salary range posted is based on the national average. The offered rate will be based on the selected candidate’s location, knowledge, skills, abilities, and/or experience, contract affordability, and in consideration of internal parity.
**Additional Compensation:** KBR may offer bonuses, commissions, or other forms of compensation to certain job titles or levels, per internal policy or contractual designation. Additional compensation may be in the form of sign on bonus, relocation benefits, short term incentives, long term incentives, or discretionary payments for exceptional performance.
**Benefits:** KBR offers a selection of competitive lifestyle benefits which could include a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48">
      <c r="A48" t="inlineStr">
        <is>
          <t>in-f2403fcfec13489c</t>
        </is>
      </c>
      <c r="B48" t="inlineStr">
        <is>
          <t>Program Manager</t>
        </is>
      </c>
      <c r="C48" t="inlineStr">
        <is>
          <t>KBR</t>
        </is>
      </c>
      <c r="D48" t="inlineStr">
        <is>
          <t>indeed</t>
        </is>
      </c>
      <c r="E48" t="inlineStr"/>
      <c r="F48" t="inlineStr"/>
      <c r="G48" t="inlineStr">
        <is>
          <t>Fairborn, OH, US</t>
        </is>
      </c>
      <c r="H48" s="2" t="n">
        <v>46056</v>
      </c>
      <c r="I48"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**Position Summary:**
KBR, Inc. is seeking a highly capable and organized Program Manager to join our team in Beavercreek, OH. This role supports the CRONUS program—ensuring smooth execution of acquisition activities and team support functions.
**Key Responsibilities:**
* Investigate, analyze, plan, design, develop, implement, or evaluate solutions for project / program efforts.
* Provide expert\-level issue resolution and recommendation support to achieve desired program outcomes.
* Assist with acquisition planning, documentation, and milestone decision support across programs.
* Track action items, manage taskers, and support oversight boards to maintain operational cadence.
* Be able to perform work measurement studies, program or operations efficiency reviews, cost studies, or workload change impact analyses.
* plan, organize, and assist in managing critical aspects of the development, modernization, production, logistics, and/or deployment of systems, subsystems, and equipment.
**Work Environment:**
* **Location:** On\-site, WPAFB
* **Travel Requirements:** Minimal 15\-20%
* **Working Hours:** Standard – Core hours 0900 \- 1500
**Qualifications:**
**Required:**
* Bachelor’s degree in Business, Management, or related field.
* Minimum 10 years of experience in acquisition or program management roles with a focus in cost, schedule and performance.
* Strong ability to manage multiple priorities, systems, and stakeholders.
* Excellent interpersonal and written communication skills.
* **Active TS/SCI**
**Desired:**
* Advanced Degree or Certification: Master’s degree or PMP certification preferred.
* DoD Acquisition Experience: Familiarity with DoD acquisition processes and documentation.
* Tool Proficiency: Experience with Jira, Confluence, SharePoint, and Microsoft Teams.
* Process Improvement: Ability to streamline workflows and improve team efficiency.
* Leadership Experience: Prior supervisory or team lead experience in a government or defense setting.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49">
      <c r="A49" t="inlineStr">
        <is>
          <t>in-3172a10fe94f44ca</t>
        </is>
      </c>
      <c r="B49" t="inlineStr">
        <is>
          <t>Technical Program Manager</t>
        </is>
      </c>
      <c r="C49" t="inlineStr">
        <is>
          <t>Microsoft</t>
        </is>
      </c>
      <c r="D49" t="inlineStr">
        <is>
          <t>indeed</t>
        </is>
      </c>
      <c r="E49" t="inlineStr"/>
      <c r="F49" t="inlineStr"/>
      <c r="G49" t="inlineStr">
        <is>
          <t>Redmond, WA, US</t>
        </is>
      </c>
      <c r="H49" s="2" t="n">
        <v>46051</v>
      </c>
      <c r="I49" t="inlineStr">
        <is>
          <t>**Overview**  
The Microsoft Azure Compute Host and Infrastructure Program Management (PM) team leads horizontal customer experiences and platform capabilities across Azure Compute Services. The team develops modern solutions that strengthen performance, reliability, speeds and feeds, and other core areas to ensure the platform provides a dependable environment for mission‑critical applications running on Azure. This work is supported by a global‑scale big‑data foundation combined with Artificial Intelligence (AI) and Machine Learning (ML) techniques, distributed systems approaches, and deep systems expertise that enable innovation and allow Microsoft to design and operate datacenters in ways not previously possible with traditional methods.
This organization builds the cloud platform that underpins Microsoft’s services and is well suited for individuals interested in cloud computing, large‑scale distributed systems engineering challenges, and advanced technology operating at massive scale. The environment offers opportunities to grow within a cloud services platform that targets levels of scale and availability not found elsewhere in the industry.
The team is seeking a **Technical Program Manager** to lead cross‑team development efforts and collaborate with groups across the full breadth of Azure. The work centers on platform experiences that support services such as Azure Kubernetes Service (AKS), Azure Virtual Machines (VMs), Azure Cloud Services, and additional compute offerings, ensuring that engineering teams can deliver high‑quality, scalable, and reliable solutions.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 Partners with Engineering to design architecture and integrated customer solutions to complex technical needs for multiple feature areas (e.g., product, service). Proposes design and architecture documents for multiple feature areas. Understands what options are available and partners with others to identify and select best option for needs, and creates new solutions if needed. Collaborates with architects and technical partners to develop architecture. Works with internal and external technical partners and/or architects to represent technical solutions to customers.
* Identify complex opportunities and gaps in the implementation of multiple feature areas across divisional boundaries. Act as a subject matter expert in conducting competitive analyses, and examining customer and technology\-related industry trends.
* Defines the program(s) goals and prioritization for the multiple feature areas (e.g., product, service) they own. Translates the needs of the organization and other teams into program goals and prioritized deliverables based on data\-focused analysis. Engages in active risk management (proactive and reactive) to identify risks and propose mitigations for risks using data (e.g., telemetry, usage, net satisfaction, customer satisfaction).
* Defines success criteria and performance metrics (e.g., Objectives and Key Results \[OKRs], Key Performance Indicators \[KPIs] such as quality and performance) of multiple feature areas (e.g., product, service) and works with Software and Hardware Engineering to ensure needed telemetry is developed. Deeply understands the return on investment and presents it to key stakeholders.
* Collaborates with others to track, coordinate, and communicate end\-to\-end project schedules (e.g., epics, sprint plans, milestones, timelines, releases) for multiple feature areas (e.g., product, service). Works with others to establish and monitor processes, and helps hold stakeholders accountable for following the established schedule and processes. Helps track and manage dependencies to enable cohesive, connected user scenarios.
* Create win\-win engagements with partners across Azure and Microsoft to drive customer value.
**Qualifications**  
**Required Qualifications*** Bachelor's Degree
	+ OR equivalent experience.
**Other Requirements**
*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Bachelor's Degree AND 2\+ years experience engineering, product/technical program management, data analysis, or product development
	+ OR equivalent experience.
* 1\+ year(s) of experience managing cross\-functional and/or cross\-team projects.
* 1\+ year(s) of experience reading and/or writing code (e.g., sample documentation, product demos)
\#azurecorejobs
Technical Program Management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0">
      <c r="A50" t="inlineStr">
        <is>
          <t>in-363f8858900d72b4</t>
        </is>
      </c>
      <c r="B50" t="inlineStr">
        <is>
          <t>Program Manager</t>
        </is>
      </c>
      <c r="C50" t="inlineStr">
        <is>
          <t>KBR</t>
        </is>
      </c>
      <c r="D50" t="inlineStr">
        <is>
          <t>indeed</t>
        </is>
      </c>
      <c r="E50" t="inlineStr"/>
      <c r="F50" t="inlineStr"/>
      <c r="G50" t="inlineStr">
        <is>
          <t>Chantilly, VA, US</t>
        </is>
      </c>
      <c r="H50" s="2" t="n">
        <v>46050</v>
      </c>
      <c r="I50"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**This is a contingent position based upon contract award.**
**Roles and Responsibilities:**
* Responsible for overseeing all aspects of TO execution.
* Will be the single point of contact for the Government Contracting Officer's Technical Representative (COTR) and the Contracting Officer (CO).
* Responsible for planning, directing, and scheduling the timely and successful accomplishment of the effort described in the TO SOW
* Responsible for the submission of all items to be delivered under this contract; Will have direct control over the Contractor team.
**Knowledge and Experience:**
* Integrating the architectures of various intelligence systems.
* Utilizing MBSE, software frameworks, and Agile acquisition techniques.
* Collection platforms and data is essential.
* Data science (data fusion, machine learning, data analytics, emerging commercial and academic data science techniques);
* Data visualization (relationships of diverse data types including textual, numeric, temporal, spatial, \&amp; imagery); and data sharing (federated search, search analytics, searching across security domains, data sets, formats, standards, and metadata available in IC, commercial, and open source).
* Managing all aspects of the software life cycle, such as software supply chains and licenses, software quality, software reuse, software procurement, software movement and distribution, software assurance, and software security in compliance with the Risk Management Framework.
**Basic Qualifications:**
* MS degree in Engineering, Computer Science, related technical field or MBA; if MBA, an undergraduate Bachelor of Science (BS) degree in a technical or engineering area, e.g., aerospace, electrical engineering, computer science, etc. is desired
* 10 years' experience in program management (similar size and scope and include subcontract management)
* 5 years' experience in systems engineering
* 5 years' experience with satellite ground systems
* 5 years' experience of software systems acquisition experience
* 3 years' experience in business strategy formulation, IT strategy formulation, business scenario development and technology transformation
* 2 years' experience in cloud based software systems
**Security Clearance: Active TS/SCI with Polygraph**
**Ready to Make a Difference?**
If you’re excited about making a significant impact in the field of space defense and working on projects that matter, we encourage you to apply and join our team at KBR. Let's shape the future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51">
      <c r="A51" t="inlineStr">
        <is>
          <t>in-4132e3d5d24e75ff</t>
        </is>
      </c>
      <c r="B51" t="inlineStr">
        <is>
          <t>Technical Program Manager</t>
        </is>
      </c>
      <c r="C51" t="inlineStr">
        <is>
          <t>Microsoft</t>
        </is>
      </c>
      <c r="D51" t="inlineStr">
        <is>
          <t>indeed</t>
        </is>
      </c>
      <c r="E51" t="inlineStr"/>
      <c r="F51" t="inlineStr"/>
      <c r="G51" t="inlineStr">
        <is>
          <t>US</t>
        </is>
      </c>
      <c r="H51" s="2" t="n">
        <v>46050</v>
      </c>
      <c r="I51" t="inlineStr">
        <is>
          <t>**Overview**  
Azure is the fastest\-growing business in Microsoft’s history and is the foundation of Microsoft’s commercial Cloud Services. We are a part of the Azure Core team that builds and manages the core platform across various services. We have an exciting opportunity for you to innovate and shape the world’s computers, and we encourage you to apply and learn more!
As a Technical Program Manager you will be responsible for collaborating across our entire end\-to\-end region buildout and lifecycle execution to deliver the tooling and automation improvements that will continue to accelerate our ability to bring Azure and AI cloud capacity to customers everywhere. Your work will be relied upon by millions of customers globally and you will have learning opportunities and challenges around high\-scale distributed systems.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In alignment with our Microsoft values, we are committed to cultivating an inclusive work environment for all employees to positively impact our culture every day.
 **Responsibilities*** You will partner with stakeholders across the e2e buildout process to design technical solutions across feature areas. You’ll also identify risks and propose data\-based mitigations.
* You’ll define success criteria and create relationships for implementing features for complex cross\-functional projects. You’ll coordinate and ensure alignment across organizations.
* You will deliver on roadmap for multiple feature groups, track project schedules, develop staging and implementation plan, and manage governance programs.
* You will drive continuous improvements by validating use cases and writing test cases from scratch. You’ll also lead teams to partner with other departments to collect performance metrics, drive customer support, and lead direct customer engagements.
 **Qualifications** **Required Qualifications**
* Bachelor's Degree
	+ OR equivalent experience.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**Preferred Qualifications:**
* Bachelor's Degree AND 2\+ years experience engineering, product/technical program management, data analysis, or product development OR equivalent experience.
* 1\+ year(s) of experience managing cross\-functional and/or cross\-team projects.
* 1\+ year(s) of experience reading and/or writing code (e.g., sample documentation, product demos).
* 1\+ year(s) of experience with data platforms and designing/building data driven dashboards
* 1\+ year(s) of experience utilizing Generative AI to accelerate dashboard creation and/or synthesizing insights from large/complex data sets.
Technical Program Management IC2 \- The typical base pay range for this role across the U.S. is USD $84,200 \- $165,200 per year. There is a different range applicable to specific work locations, within the San Francisco Bay area and New York City metropolitan area, and the base pay range for this role in those locations is USD $109,000 \- $180,400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2">
      <c r="A52" t="inlineStr">
        <is>
          <t>in-e74551292471fc1e</t>
        </is>
      </c>
      <c r="B52" t="inlineStr">
        <is>
          <t>Principal Product Manager</t>
        </is>
      </c>
      <c r="C52" t="inlineStr">
        <is>
          <t>Microsoft</t>
        </is>
      </c>
      <c r="D52" t="inlineStr">
        <is>
          <t>indeed</t>
        </is>
      </c>
      <c r="E52" t="inlineStr"/>
      <c r="F52" t="inlineStr"/>
      <c r="G52" t="inlineStr">
        <is>
          <t>Redmond, WA, US</t>
        </is>
      </c>
      <c r="H52" s="2" t="n">
        <v>46044</v>
      </c>
      <c r="I52" t="inlineStr">
        <is>
          <t>**Overview**  
Join the Microsoft Sentinel Platform team, a fast\-growing, mission\-driven group building the next\-generation security data platform. Our team is responsible for delivering a unified, scalable, and intelligent foundation that powers the evolution to Agentic AI alongside the Microsoft Sentinel and the broader security ecosystem. We combine a high\-performance security data lake with a deeply connected graph to enable advanced threat detection, investigation, and response.
We’re looking for a customer\-obsessed and technically curious Principal Product Manager to join the Sentinel Platform team. As a PM, you’ll help define and deliver capabilities that enable scalable, intelligent, and secure data experiences for defenders and developers. You’ll work closely with engineering, design, and partner teams to shape how security data is ingested, normalized, retained, and queried across multiple modalities—including tabular, graph, and vector.
 **Responsibilities**  
* Create and drive the product area vision, strategy, and roadmap.
* Manage cross\-team partnerships and relationships across disciplines to establish a shared vision, framework and roadmap.
* Obsess the customer, informed by data, own the end\-to\-end experience, and deliver with agility and quality.
* Orchestrate cross\-org execution with engineering, applied science, design, and partner product teams to land complex, high impact experiences on time with clear milestones and crisp communication.
* Drive go\-to\-market readiness: shape rollout plans, partner with marketing on comms, ensure robust customer support, and anticipate future needs from ongoing feedback \&amp; usage.
* Represent the effort within Teams and with partners across Microsoft, providing clarity and advocating for value delivery.
* Represent Microsoft and the product externally with customers and partners.
* Embody our Culture and Values
**Qualifications** **Required/minimum qualifications**
* Bachelor's Degree AND 8\+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**Additional or preferred qualifications*** Bachelor's Degree AND 12\+ years experience in product/service/program management or software development OR equivalent experience.
* 4\+ years experience taking a product, feature, or experience to market (e.g., design, addressing product market fit, and launch, internal tool/framework).
* 6\+ years experience improving product metrics for a product, feature, or experience in a market (e.g., growing customer base, expanding customer usage, avoiding customer churn).
* 6\+ years experience disrupting a market for a product, feature, or experience (e.g., competitive disruption, taking the place of an established competing product).
* Proven product sense with a demonstrated track record of defining and shipping innovative, user\-centric features in complex, ambiguous environments (preferably in collaboration tools, AI, or enterprise software).
* Deep commitment to user experience as the foundation of all decisions, with proven ability to advocate for intuitive, inclusive, and delightful meeting experiences grounded in user research and empathy
* Excellence in product management, including rigorous prioritization, high quality specifications, disciplined roadmap management, high velocity execution, and a deep commitment to intuitive, inclusive user experiences grounded in research and empathy.
* Expertise in AI product development, including building AI applications, writing evaluation frameworks, and delivering rapid, customer centric outcomes in emerging, fast evolving agentic spaces with clarity and focus.
* Systems thinking, balancing platform consistency with product flexibility, and communicating complex ideas effectively to senior leadership and cross functional partners.
* Proven ability to deliver at scale, including shipping high impact end user experiences, driving strategic plans, influencing multi stakeholder strategies across cultures and geographies, and negotiating at senior levels to enable decisive actions and meaningful business/customer outcomes.
Product Management IC5 \- The typical base pay range for this role across the U.S. is USD $139,900 \- $274,800 per year. There is a different range applicable to specific work locations, within the San Francisco Bay area and New York City metropolitan area, and the base pay range for this role in those locations is USD $188,000 \- $304,200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3">
      <c r="A53" t="inlineStr">
        <is>
          <t>in-30641e8f6d6b9f0a</t>
        </is>
      </c>
      <c r="B53" t="inlineStr">
        <is>
          <t>Senior Product Manager</t>
        </is>
      </c>
      <c r="C53" t="inlineStr">
        <is>
          <t>Microsoft</t>
        </is>
      </c>
      <c r="D53" t="inlineStr">
        <is>
          <t>indeed</t>
        </is>
      </c>
      <c r="E53" t="inlineStr"/>
      <c r="F53" t="inlineStr"/>
      <c r="G53" t="inlineStr">
        <is>
          <t>Redmond, WA, US</t>
        </is>
      </c>
      <c r="H53" s="2" t="n">
        <v>46044</v>
      </c>
      <c r="I53" t="inlineStr">
        <is>
          <t>**Overview**  
Join the Microsoft Sentinel Platform team, a fast\-growing, mission\-driven group building the next\-generation security data platform. Our team is responsible for delivering a unified, scalable, and intelligent foundation that powers the evolution to Agentic AI alongside the Microsoft Sentinel and the broader security ecosystem. We combine a high\-performance security data lake with a deeply connected graph to enable advanced threat detection, investigation, and response.
We’re looking for a customer\-obsessed and technically curious Senior Product Manager to join the Sentinel Platform team. As a PM, you’ll help define and deliver capabilities that enable scalable, intelligent, and secure data experiences for defenders and developers. You’ll work closely with engineering, design, and partner teams to shape how security data is ingested, normalized, retained, and queried across multiple modalities—including tabular, graph, and vector.
 **Responsibilities**  
* Create and drive the product area vision, strategy, and roadmap.
* Manage cross\-team partnerships and relationships across disciplines to establish a shared vision, framework and roadmap.
* Obsess about customer and partner needs, be informed by data and feedback, own the end\-to\-end experience, and deliver with agility and quality.
* Represent the effort within the organization and with external and internal partners across Microsoft, providing clarity and advocating for delivering value.
* Collaborate closely with partners, helping them create powerful, impactful solutions that leverage the full capabilities of the platform
* Orchestrate cross\-org execution as needed, working with engineering, applied science, design, and partner product teams to land high impact experiences on time with clear milestones and crisp communication.
* Support go\-to\-market readiness by partnering with marketing on comms and ensuring robust customer support.
* Represent the effort within the organization and with partners across Microsoft, providing clarity and advocating for delivering value.
* Represent Microsoft and the product externally with customers and partners.
* Embody our Culture and Values
**Qualifications** **Required/minimum qualifications**
* Bachelor's Degree AND 5\+ years experience in product/service/program management or software development
	+ OR equivalent experience.
**Other Requirements:*** Ability to meet Microsoft, customer and/or government security screening requirements are required for this role. These requirements include, but are not limited to the following specialized security screenings: Microsoft Cloud Background Check: This position will be required to pass the Microsoft Cloud Background Check upon hire/transfer and every two years thereafter.
* 
**Additional or preferred qualifications*** Bachelor's Degree AND 8\+ years experience in product/service/program management or software development
	+ OR equivalent experience.
* 2\+ years experience taking a product, feature, or experience to market (e.g., design, addressing product market fit, and launch, internal tool/framework).
* 4\+ years experience improving product metrics for a product, feature, or experience in a market (e.g., growing customer base, expanding customer usage, avoiding customer churn).
* 4\+ years experience disrupting a market for a product, feature, or experience (e.g., competitive disruption, taking the place of an established competing product).
* Proven track record of working with partners, developing relationships, and using empathy to understand and capture the requirements.
* History of successfully working with developers and technology partners to drive product deliverables.
* Ability to quickly come up to speed on a variety of technologies and use that knowledge to drive product requirements/direction.
* Outstanding spoken and written communication skills and ability to present to executive leadership.
\#MSFT Security \#SentinelPlatform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t>
        </is>
      </c>
    </row>
    <row r="54">
      <c r="A54" t="inlineStr">
        <is>
          <t>in-95e4f1038c860ec5</t>
        </is>
      </c>
      <c r="B54" t="inlineStr">
        <is>
          <t>Program Manager</t>
        </is>
      </c>
      <c r="C54" t="inlineStr">
        <is>
          <t>KBR</t>
        </is>
      </c>
      <c r="D54" t="inlineStr">
        <is>
          <t>indeed</t>
        </is>
      </c>
      <c r="E54" t="inlineStr"/>
      <c r="F54" t="inlineStr"/>
      <c r="G54" t="inlineStr">
        <is>
          <t>Chantilly, VA, US</t>
        </is>
      </c>
      <c r="H54" s="2" t="n">
        <v>46029</v>
      </c>
      <c r="I54" t="inlineStr">
        <is>
          <t>**Belong. Connect. Grow. with KBR!**
KBR’s National Security Solutions team provides high\-end engineering and advanced technology solutions to our customers in the intelligence and national security communities. In this position, your work will have a profound impact on the country’s most critical role – protecting our national security.
**Why Join Us?**
* Innovative Projects: KBR’s work is at the forefront of engineering, logistics, operations, science, program management, mission IT and cybersecurity solutions.
* Collaborative Environment: Be part of a dynamic team that thrives on collaboration and innovation, fostering a supportive and intellectually stimulating workplace.
* Impactful Work: Your contributions will be pivotal in designing and optimizing defense systems that ensure national security and shape the future of space defense.
**This is a contingent position based upon contract award**
KBR is seeking a highly motivated and career\-oriented Program Manager to join our team. The PM will be responsible for leadership, management, and execution of all requirements within the Statement of Work. The PM serves as the primary point of contact for government leadership, ensuring all contractor staff are effectively managed and that all mission\-critical functions are executed with high quality and compliance.
**Primary Responsibilities:**
* Strategic Oversight: Provide high\-level direction and strategic management for the contract, aligning contractor activities with government mission objectives and requirements.
* Personnel Management: Oversee all contractor staff, including recruitment, retention, performance management, and professional development to ensure a high\-performing team.
* SOW Compliance: Ensure all functions defined in the Statement of Work are successfully executed on time and within budget; monitor key performance indicators (KPIs) and service level agreements (SLAs).
* Operational Leadership: Manage the complexities of a 24/7 operational environment, ensuring continuous coverage and rapid response to emerging mission requirements.
* Stakeholder Liaison: Serve as the primary interface between the contractor and government technical representatives, providing regular status reports and attending executive\-level briefings.
* Interagency Collaboration: Facilitate effective communication and project coordination across various agencies within the Intelligence Community (IC).
**Required Qualifications:**
* Bachelor’s Degree in Management, Business, or a related technical field, Master’s preferred
* PMP Certification or equivalent government program management certification is highly desired
* Active TS/SCI with Poly required to be considered
* 15\+ years of experience
* Minimum of five (5\) years of Program Management experience leading projects of similar size, scope, and complexity.
* Minimum of five (5\) years of experience directly supporting 24/7 operations environments, demonstrating the ability to manage shift\-based missions.
* Minimum of seven (7\) years of experience working within the Intelligence Community.
* Proven track record of relevant experience working with various IC organizations and understanding their unique operational requirements.
**Additional Compensation:**
KBR may offer bonuses, commissions, or other forms of compensation to certain job titles or levels, per internal policy or contractual designation. Additional compensation may be in the form of sign on bonus, relocation benefits, short\-term incentives, long\-term incentives, or discretionary payments for exceptional performance.
**Ready to Make a Difference?**
If you’re excited about making a significant impact in the field of space defense and working on projects that matter, we encourage you to apply and join our team at KBR. Let's shape the future together.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55">
      <c r="A55" t="inlineStr">
        <is>
          <t>in-509602fd66359e71</t>
        </is>
      </c>
      <c r="B55" t="inlineStr">
        <is>
          <t>Program Manager</t>
        </is>
      </c>
      <c r="C55" t="inlineStr">
        <is>
          <t>KBR</t>
        </is>
      </c>
      <c r="D55" t="inlineStr">
        <is>
          <t>indeed</t>
        </is>
      </c>
      <c r="E55" t="inlineStr"/>
      <c r="F55" t="inlineStr"/>
      <c r="G55" t="inlineStr">
        <is>
          <t>Houston, TX, US</t>
        </is>
      </c>
      <c r="H55" s="2" t="n">
        <v>45998</v>
      </c>
      <c r="I55" t="inlineStr">
        <is>
          <t>**BELONG. CONNECT. GROW. with KBR.**
**Around here, we define the future. We are a company of innovators, thinkers, creators, explorers, volunteers, and dreamers. But we all share one goal: to improve the world responsibly and safely.**
The Department of Defense (DoD) developed the Military and Family Life Counseling (MFLC) program as an initiative of the Office of the Deputy Assistant Secretary of Defense for Military Community and Family Policy (MC\&amp;FP), facilitating private and confidential Non\-Medical Counseling services.
The MFLC Program was established to expand access to confidential, face\-to\-face counseling and reduce the barriers and stigma often associated with seeking counseling support.
Currently, the MFLC Program provides non\-medical counseling, consultation, and outreach services to more than 200 military installations or nearby civilian communities located in most all the 50 states, the District of Columbia, United States (U.S.) territories and commonwealths, and over 25 foreign countries including areas considered hazardous duty/danger zones.
**THIS POSITION IS CONTINGENT UPON CONTRACT AWARD**
**Position may be remote and will require 50% travel.**
KBR is seeking a Program Manager (PM) who will provide management, direction, administration, quality assurance, and leadership for the execution of this contract. The PM shall serve as the Government’s primary POC and provide overall leadership and guidance for all contractor personnel assigned to the contract, including assigning tasks to contractor personnel, supervising on\-going technical efforts, managing overall contract performance to ensure optimal use of assigned resources and subcontractors. The PM is ultimately responsible for the quality and efficiency of the contract, including service delivery, technical matters, and business processes.
**Qualifications:**
BS Degree in a related field
a. Be an employee of the Prime Contractor and have the authority to commit to the contractor’s organization and make decisions for the contractor’s organization in response to Government issues, concerns, and comments, as well as be proactive in alerting the Government to potential contractual, programmatic, or resource limitations issues.
b. At least ten years’ experience planning, directing, coordinating, and managing proposed methodologies and approaches of projects
**Desired Qualifications:**
a. Five years of experience working with a military or DoD organization(s).
b. Five years of experience supervising Adult or Child/Youth counselors.
c. At least two years’ counseling experience (within the last five years), post\-licensure with current counseling competence through at least periodic, direct service counseling experience.
d. At least three years’ experience managing SLAs under an incentive\-based contract.
e. An active Project Management Institute (PMI) Project Management Professional or PMI Program Management Professional (PgMP®) Certification.
f. A Secret level clearance, at a minimum.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Benefits**
KBR offers a selection of competitive lifestyle benefits which could include 401K plan with company match, medical, dental, vision, life insurance, AD\&amp;D, flexible spending account, disability, paid time off, or flexible work schedule. We support career advancement through professional training and development.
Click here to learn more: KBR Benefits New \| KBR
Belong, Connect and Grow at KBR  
At KBR, we are passionate about our people and our Zero Harm culture. These inform all that we do and are at the heart of our commitment to, and ongoing journey toward being a People First company. That commitment is central to our team of team’s philosophy and fosters an environment where everyone can Belong, Connect and Grow. We Deliver – Together.
KBR is an equal opportunity employer. All qualified applicants will receive consideration for employment without regard to race, color, religion, disability, sex, sexual orientation, gender identity or expression, age, national origin, veteran status, genetic information, union status and/or beliefs, or any other characteristic protected by federal, state, or local law.</t>
        </is>
      </c>
    </row>
    <row r="56">
      <c r="A56" t="inlineStr">
        <is>
          <t>in-0e10719f82d84088</t>
        </is>
      </c>
      <c r="B56" t="inlineStr">
        <is>
          <t>Sales Development Program Manager</t>
        </is>
      </c>
      <c r="C56" t="inlineStr"/>
      <c r="D56" t="inlineStr">
        <is>
          <t>indeed</t>
        </is>
      </c>
      <c r="E56" t="inlineStr"/>
      <c r="F56" t="inlineStr"/>
      <c r="G56" t="inlineStr">
        <is>
          <t>San Jose, CA, US</t>
        </is>
      </c>
      <c r="H56" s="2" t="n">
        <v>45946</v>
      </c>
      <c r="I56" t="inlineStr">
        <is>
          <t>**ABOUT TPG**
The Pipeline Group (TPG) provides our clients with end\-to\-end Pipeline Generation services that help B2B tech companies scale pipeline fast and reliably through our SDR\-as\-a\-Service model.
We combine superstar SDR talent, purpose\-built proprietary technology, industry\-leading SDR training, rigorous management \&amp; quality control layers, world\-class data services, integrations and more to offer all\-in\-one Pipeline Generation to our clients.
TPG has been named in the Inc. 5000 Top Fastest\-Growing Privately Held Companies in the US for five consecutive years and we’re growing faster every single year.
Our clients work with us because we’ve cracked the formula for creating world\-class SDRs and putting up industry leading pipeline generation numbers.
No guesswork. Just results.
**OUR CULTURE**
At TPG, performance and accountability are our culture. We thrive on results—driven by excellence, collaboration, and integrity. Our people\-first mindset supports not only clients but our teammates. Your wins are our collective wins. Your growth is our mission.
Our vision is to be the world’s most effective virtual sales workforce—a place where high\-performing remote SDRs, program managers, and operational leaders come together to generate extraordinary ROI.
**ABOUT OUR ROLE**
As an SDR Program Manager at TPG, you will be the operational owner of strategic revenue programs. Your responsibility is to ensure that each project delivers against client goals by continuously evaluating performance, ensuring system readiness, and collaborating cross\-functionally across enablement, GTM, data, and content teams.
Success in this role requires prior experience managing or overseeing SDR teams at scale, ensuring alignment between team performance metrics and overall program goals. While you are not responsible for directly coaching SDRs—you are accountable for ensuring the system they operate within is optimized. You will oversee project performance, drive weekly inspection cadences, evaluate resource effectiveness (ICP, messaging, data, tools), and recommend pivots to maximize pipeline and ROI.
This is a critical role for client satisfaction, revenue retention, and expansion.
**KEY METRICS \&amp; GOALS**
* Ensure each program consistently meets or exceeds pipeline generation benchmarks established for the xDR team.
* Drive measurable ROI for each client engagement, with a focus on strong return relative to project investment.
* Maintain high customer retention and contribute to account growth and expansion through strong program execution.
* Manage a portfolio of active client accounts and ensure project health across all assigned SDRs.
* Proactively surface and resolve performance risks to preserve and grow long\-term client value.
**YOUR CORE RESPONSIBILITIES**
* **Program Management:**
	+ **Own the project performance tracking process—monitor outreach activity, lead flow, conversion metrics, and pipeline velocity to ensure each program stays on track.**
	+ **Conduct daily and weekly performance inspections to identify risks, spot opportunities, and drive program health.**
	+ **Maintain alignment with client expectations by tracking progress against success criteria and ROI benchmarks.**
	+ **Facilitate weekly review meetings with cross\-functional stakeholders (GTM, Content, NOC, Enablement, Systems, Operations, Leadership).**
	+ **Drive alignment across messaging, data, and outreach strategy by evaluating what’s working and what needs improvement.**
* **Resource \&amp; Infrastructure Evaluation:**
	+ **Ensure all resources (ICP, conversation guides, messaging, data, campaigns) are accurate, up\-to\-date, and aligned to client goals.**
	+ **Partner with Enablement, Content, and Data teams to flag ineffective assets and propose adjustments.**
	+ **Track what’s working, what’s not, and drive pivots in strategy through collaborative workflows.**
	+ **Own project\-wide resource readiness and quality control—Enablement owns coaching execution.**
* **Customer Partnership:**
	+ **Act as the primary operations liaison across assigned accounts.**
	+ **Lead executive briefings, build client\-facing narratives, and present ROI updates.**
	+ **Manage project onboarding/offboarding experience from a systems and process lens.**
	+ **Collaborate with Leadership to shape customer expansion.**
* **Escalation \&amp; Optimization:**
	+ **Proactively escalate issues impacting performance (e.g., campaign breakdowns, data gaps, tech misalignment).**
	+ **Initiate content audits, enrichment reviews, and repair proposals when metrics decline.**
	+ **Partner with Enablement Managers to align repair/replace plans when xDR performance drops.**
**WHAT YOU’LL NEED TO SUCCEED**
* 3\+ years of experience in program/project management, revenue operations, or sales performance roles.
* Strong data inspection capabilities (Salesforce, outreach tools, pipeline metrics).
* Proven experience managing or overseeing SDR teams across multiple outbound programs, with direct accountability for performance outcomes and pipeline impact.
* Deep understanding of outbound SDR/BDR operations and pipeline health levers.
* Proven track record of driving customer outcomes, retention, and expansion through operational excellence.
* Familiarity with ICP validation, message\-market fit, outbound strategy, and xDR lifecycle management.
* Exceptional cross\-functional collaboration and executive communication skills.
 **WHAT TPG PROVIDES FOR OUR TEAM MEMBERS**
* **Permanent Remote Work Model** – No commuting. Work from wherever you’re most productive.
* **Competitive Compensation** – $95,000–$100,000 base \+ performance commission.
* **Growth \&amp; Development** – Fast\-track opportunities for advancement in a high\-growth company.
* **Day\-One Benefits** – Medical, Dental, Vision, Life Insurance, FSA, etc.
* **401K** – Plan for your long\-term future with our retirement program.
* **Mental Health Support** – 3 Paid Mental Health Days per year \+ Employee Assistance Program (EAP).
* **Community Impact** – 1 Paid Volunteer Day per year.
* **Unlimited PTO** – Take the time you need (after 90 days).
* **Home Office Setup** – Laptop, desk, chair, and more provided.
**READY TO OWN PROJECT SUCCESS AT SCALE?**
------------------------------------------
If you’re obsessed with operational clarity, client ROI, and program precision—and want to work in a culture of autonomy, velocity, and excellence—this is your role.
**Internet Requirement:** This is a fully remote role which requires a reliable high\-speed internet connection with a **minimum of 100 Mbps download,** which will need to be verified.</t>
        </is>
      </c>
    </row>
    <row r="57">
      <c r="A57" t="inlineStr">
        <is>
          <t>in-9feeecaf811bde6e</t>
        </is>
      </c>
      <c r="B57" t="inlineStr">
        <is>
          <t>Program Manager</t>
        </is>
      </c>
      <c r="C57" t="inlineStr">
        <is>
          <t>Raven’s Nest</t>
        </is>
      </c>
      <c r="D57" t="inlineStr">
        <is>
          <t>indeed</t>
        </is>
      </c>
      <c r="E57">
        <f>HYPERLINK("https://www.indeed.com/viewjob?jk=9feeecaf811bde6e", "https://www.indeed.com/viewjob?jk=9feeecaf811bde6e")</f>
        <v/>
      </c>
      <c r="F57">
        <f>HYPERLINK("http://www.indeed.com/job/program-manager-9feeecaf811bde6e", "http://www.indeed.com/job/program-manager-9feeecaf811bde6e")</f>
        <v/>
      </c>
      <c r="G57" t="inlineStr">
        <is>
          <t>Chase City, VA, US</t>
        </is>
      </c>
      <c r="H57" s="3" t="n">
        <v>46065</v>
      </c>
      <c r="I57" t="inlineStr">
        <is>
          <t>Assistant Program Manager
Residential Services
We are seeking a dedicated and organized Assistant Program Manager to support the daily operations of a residential program serving adults. This leadership role assists in oversight of staff, ensures regulatory compliance, and supports high\-quality individualized services for residents.
The Assistant Program Manager works directly under the supervision of the Program Manager and serves as a key member of the leadership team.
Responsibilities
* Conduct resident assessments and coordinate admissions and discharges
* Facilitate quarterly reviews and assist with development and implementation of Individualized Service Plans (ISPs)
* Review daily documentation for accuracy and compliance
* Provide direct supervision and support to Direct Support Professionals (DSPs)
* Oversee household supply management and grocery planning
* Maintain organized and compliant program documentation in accordance with Medicaid and state regulations
* Support overall management and daily operations of the home
* Provide direct care coverage as needed
* Participate in on\-call rotation, which includes availability by phone and occasional in\-person response for serious incidents
* Perform administrative and program support duties as assigned
Qualifications
* Experience in residential services, human services, or related field preferred
* Strong leadership and communication skills
* Ability to manage documentation and maintain regulatory compliance
* Excellent organizational and problem\-solving abilities
* Ability to remain calm and effective in high\-pressure situations
Core Competencies
* Adaptability
* Leadership and Team Development
* Conflict Management
* Planning and Organization
* Decision Making
* Quality and Compliance Orientation
* Professional Communication
* Stress Tolerance
Job Type: Full\-time
Pay: $30,000\.00 \- $35,000\.00 per year
Benefits:
* Flexible schedule
* Paid time off
* Referral program
Work Location: In person</t>
        </is>
      </c>
    </row>
    <row r="58">
      <c r="A58" t="inlineStr">
        <is>
          <t>in-8d503c01cbcef86b</t>
        </is>
      </c>
      <c r="B58" t="inlineStr">
        <is>
          <t>Senior Product Manager, Platform Performance &amp; Infrastructure</t>
        </is>
      </c>
      <c r="C58" t="inlineStr">
        <is>
          <t>Sigma Computing</t>
        </is>
      </c>
      <c r="D58" t="inlineStr">
        <is>
          <t>indeed</t>
        </is>
      </c>
      <c r="E58">
        <f>HYPERLINK("https://www.indeed.com/viewjob?jk=8d503c01cbcef86b", "https://www.indeed.com/viewjob?jk=8d503c01cbcef86b")</f>
        <v/>
      </c>
      <c r="F58">
        <f>HYPERLINK("https://grnh.se/df306zk03us", "https://grnh.se/df306zk03us")</f>
        <v/>
      </c>
      <c r="G58" t="inlineStr">
        <is>
          <t>San Francisco, CA, US</t>
        </is>
      </c>
      <c r="H58" s="3" t="n">
        <v>46065</v>
      </c>
      <c r="I58" t="inlineStr">
        <is>
          <t>### **About the Role**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As Sigma scales to support larger enterprises and more demanding workloads, we're looking for a **Senior Product Manager, Platform Performance \&amp; Infrastructure** to own critical backend capabilities that power every Sigma experience.
In this role, you will be responsible for defining and delivering product improvements across workbook performance, query lifecycle, compute and caching, metadata services, compiler components, and new warehouse connectors. These systems are foundational to Sigma's ability to scale reliably and deliver fast, predictable performance for enterprise customers.
You'll work closely with platform engineering teams and cross\-functional partners to translate performance and scalability challenges into clear product priorities and shipped outcomes. This role is ideal for a technically strong Senior PM who enjoys working deep in the stack while staying grounded in customer impact.
This role is 4 days on\-site in our San Francisco office.
### **Key Responsibilities**
**Own a core platform area**
* Own the product roadmap for Sigma's performance and infrastructure surface area, including query execution, compute and caching, metadata services, compiler\-related components, and connectors.
* Ensure platform investments directly improve workbook performance, reliability, and scalability.
**Drive execution and delivery**
* Partner closely with engineering to scope, prioritize, and deliver improvements across latency, concurrency, throughput, and cost efficiency.
* Break down complex technical initiatives into clear milestones and incremental wins.
**Own the query lifecycle**
* Define product requirements across the query lifecycle — from generation and compilation to execution, caching, and results delivery.
* Balance tradeoffs across performance, correctness, debuggability, and cost.
**Support enterprise scale**
* Identify platform gaps impacting large customers, high\-concurrency workloads, and embedded analytics use cases.
* Work with Customer Success, Support, and Sales Engineering to understand and address real\-world performance issues.
**Enable extensibility**
* Contribute to the strategy and prioritization of new data connectors and platform extensions in partnership with engineering.
**Be a strong cross\-functional partner**
* Communicate platform priorities clearly to engineering, design, GTM, and leadership stakeholders.
* Represent platform tradeoffs and decisions in planning and execution forums.
**Measure impact**
* Define and track success metrics related to performance, reliability, and customer experience.
* Use data and feedback to guide prioritization and iteration.
### **Qualifications**
**Product Management Experience**
* 6\+ years of product management experience in B2B SaaS, data platforms, analytics, infrastructure, or developer\-facing products.
* Experience owning and delivering technically complex product areas.
**Technical Depth**
* Strong understanding of databases, distributed systems, query engines, caching, APIs, and cloud infrastructure.
* Comfortable engaging in technical discussions with engineers and understanding architectural tradeoffs.
**Customer\-Centered Thinking**
* Ability to connect backend platform work to customer outcomes and enterprise needs.
* Experience working with enterprise customers or high\-scale systems is a plus.
**Execution\-Oriented**
* Proven ability to drive clarity, prioritize effectively, and deliver in ambiguous problem spaces.
* Strong judgment in making pragmatic tradeoffs.
**Communication \&amp; Collaboration**
* Clear, concise communicator who can make complex topics understandable.
* Experience working cross\-functionally with engineering, customer\-facing teams, and leadership.
**Startup Mindset**
Action\-oriented and adaptable, with comfort operating in a fast\-moving environment.  
* 
### **Additional Job Details**
The base salary range for this position is **$180k – $210k annually**, plus competitive equity and benefits packages.
Compensation may vary outside of this range depending on a number of factors, including a candidate's qualifications, skills, competencies, and experience. Base pay is one part of the Total Package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59">
      <c r="A59" t="inlineStr">
        <is>
          <t>in-fee0885abebb0aab</t>
        </is>
      </c>
      <c r="B59" t="inlineStr">
        <is>
          <t>Group Product Manager, AI Builder</t>
        </is>
      </c>
      <c r="C59" t="inlineStr">
        <is>
          <t>Sigma Computing</t>
        </is>
      </c>
      <c r="D59" t="inlineStr">
        <is>
          <t>indeed</t>
        </is>
      </c>
      <c r="E59">
        <f>HYPERLINK("https://www.indeed.com/viewjob?jk=fee0885abebb0aab", "https://www.indeed.com/viewjob?jk=fee0885abebb0aab")</f>
        <v/>
      </c>
      <c r="F59">
        <f>HYPERLINK("https://grnh.se/uakq8kw23us", "https://grnh.se/uakq8kw23us")</f>
        <v/>
      </c>
      <c r="G59" t="inlineStr">
        <is>
          <t>San Francisco, CA, US</t>
        </is>
      </c>
      <c r="H59" s="3" t="n">
        <v>46065</v>
      </c>
      <c r="I59" t="inlineStr">
        <is>
          <t>**About the Role:**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As our Product team grows, we're looking for a Group PM for AI apps. In this high\-impact role, you'll define the vision, strategy, and roadmap for a brand\-new 01 product \- empowering our non technical builders to vibe code Sigma AI applications to deliver high quality AI first experiences . You'll be at the forefront of innovation, working hand\-in\-hand with customers to build something they'll truly love at the same time accelerate adoption and engagement of AI apps.
You'll have direct exposure to Sigma's executive leadership and partner closely with our go\-to\-market, engineering, and design teams to launch a category\-defining product. This is your chance to join a successful, fast\-growing company on one of the most influential teams in the Product organization.
This role is 4 days on\-site in our San Francisco office.
**Key Responsibilities**
* **Shape the vision:** Help shape the strategy and roadmap for AI Apps, rally leadership around your vision, and keep the entire organization aligned and inspired.
* **Deliver excellence at startup speed:** Work hand\-in\-hand with world\-class design and engineering teams to move fast, build iteratively, and launch exceptional products that wow our customers.
* **Own and shape the AI app builder**: Own the vision for AI app builder that allows customers to build powerful applications and workflows through a natural language interface
* **Define growth in the context of AI apps:** Establish growth for AI apps with the goal to supercharge adoption and increase engagement across the entire customer base through growth initiatives including self service.
* **Be the voice of the customer:** Dive deep into customer needs and business goals, and turn those insights into product experiences that truly make a difference.
* **Power our go\-to\-market success:** Collaborate across Customer Success, Sales, and Marketing to craft a seamless and impactful GTM strategy.
* **Build, learn, and evolve:** Lead your team through rapid build\-test\-launch cycles, with a focus on quick iteration, smart learning, and continuous improvement.
**Qualifications**
* **Product Management skills:** Experience: 8\+ years of product management experience, building great products in a B2B SaaS environment with a focus on BI, data analytics, data prep and transformation, or other relevant fields
* **Technical Chops:** Deep understanding of databases, data infrastructure, APIs, and security. Hands\-on experience with data modeling or technical platforms is highly valued.
* **Go\-to\-Market Expertise:** Strong grasp of B2B GTM motions, with a proven track record of working closely and effectively with Sales, Customer Success, and Marketing teams.
* **Design Instincts:** A passion for intuitive UX — and experience partnering tightly with design teams to deliver products that feel effortless and delight users.
* **Clarity and execution:** Ability to craft clear product definitions and drive them through actionable roadmaps.
* **Exceptional Communicator:** Skilled at making complex ideas simple — whether you're talking to engineers, executives, or customers.
* **Cross\-Functional Leader:** Experienced at rallying teams, managing stakeholders, and keeping momentum high in fast\-moving environments.
* **Startup DNA:** Action\-oriented, resourceful, and adaptable \- you're energized by change and ready to roll up your sleeves to make things happen.
**Additional Job details**
The base salary range for this position is $240k \- $260k annually, plus competitive equity and benefits packages.
Compensation may vary outside of this range depending on a number of factors, including a candidate's qualifications, skills, competencies and experience. Base pay is one part of the Total Package that is provided to compensate and recognize employees for their work at Sigma Computing. This role is eligible for stock options, as well as a comprehensive benefits package.
#### **About us:**
Sigma is the AI apps and analytics platform connected to the cloud data warehouse. Using Sigma, business and technical teams can build intelligent, production\-ready AI apps that accelerate and automate operational workflows. Sigma provides a spreadsheet interface, SQL and Python editors, visual builders, and native AI to help teams turn live data into interactive applications, analysis, reports, and embedded experiences.
Sigma announced its $200M in Series D financing in May 2024, to continue transforming BI through its innovations in AI infrastructure, data application development, enterprise\-wide collaboration, and business user adoption. Spark Capital and Avenir Growth Capital co\-led the Series D funding round, with additional participation from a group of past investors including Snowflake Ventures and Sutter Hill Ventures.The Series D funding, raised at a valuation 60% higher than the company's Series C round three years ago, promises to further accelerate Sigma's growth.
Come join us!
#### **Benefits For Our Full\-Time Employees:**
* Equity
* Generous health benefits
* Flexible time off policy. Take the time off you need!
* Paid bonding time for all new parents
* Traditional and Roth 401k
* Commuter and FSA benefits
* Lunch Program
* Dog friendly office
Sigma Computing is an equal opportunity employer. We are committed to building a smart and strong team regardless of race, color, ancestry, religion, sex, national origin, sexual orientation, age, citizenship, marital status, disability, gender, gender identity or expression, or veteran status. We look forward to learning how your experience can enable all of us to grow*.*
*Note: We have an in\-office work environment in all our offices in SF, NYC, and London.*
**Our Privacy Practices**
When you submit a job application on this site, Sigma processes your personal data for the purposes of evaluating your candidacy for employment at Sigma and as otherwise needed throughout the recruitment and hiring process. Please review Sigma's Candidate Privacy Notice for more details. Please note that your personal data may be transferred to a country other than the one in which it was provided (including to USA, the UK, and Canada).
**Sigma's use of AI**
This hiring process utilizes artificial intelligence tools to assist in candidate screening and assessment. Our AI tools are designed to complement, not replace, human decision\-making.</t>
        </is>
      </c>
    </row>
    <row r="60">
      <c r="A60" t="inlineStr">
        <is>
          <t>in-7e7044a7186022bc</t>
        </is>
      </c>
      <c r="B60" t="inlineStr">
        <is>
          <t>Product Manager - Fan Experience</t>
        </is>
      </c>
      <c r="C60" t="inlineStr">
        <is>
          <t>AXS</t>
        </is>
      </c>
      <c r="D60" t="inlineStr">
        <is>
          <t>indeed</t>
        </is>
      </c>
      <c r="E60">
        <f>HYPERLINK("https://www.indeed.com/viewjob?jk=7e7044a7186022bc", "https://www.indeed.com/viewjob?jk=7e7044a7186022bc")</f>
        <v/>
      </c>
      <c r="F60">
        <f>HYPERLINK("https://grnh.se/6f72zhsu2us", "https://grnh.se/6f72zhsu2us")</f>
        <v/>
      </c>
      <c r="G60" t="inlineStr">
        <is>
          <t>Los Angeles, CA, US</t>
        </is>
      </c>
      <c r="H60" s="3" t="n">
        <v>46065</v>
      </c>
      <c r="I60"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looking for a talented and motivated professional to join our Product Management team as a Product Manager. In this role, you will be responsible for managing the entire product life cycle for certain product(s) from planning to execution in support of organizational strategy and objectives. This role will collaborate with cross\-functional teams to ensure the timely and successful delivery of high\-quality products that meet business needs. You will play a critical role in supporting the execution of Consumer product squads \- helping lead sprint ceremonies, manage ticket writing and prioritization, and handle day\-to\-day team and stakeholder requests.
**What You'll Do?**
* Own the day\-to\-day execution and delivery support for agile squads, including leading sprint ceremonies (standups, planning, grooming, reviews, retros).
* Write and prioritize Jira tickets to maintain a healthy and well\-organized backlog; ensure timely grooming and delivery readiness.
* Manage intake of questions, blockers, and daily operational needs from Engineering, QA, and cross\-functional partners to unblock progress.
* Drive continuous improvement within the squads by designing and implementing systems \&amp; processes, measuring objectives, and driving team cohesion.
* Build and maintain detailed functional specifications, process maps, and user stories to guide product development.
* Gather and synthesize detailed product requirements that align to product roadmaps, for review and approval from stakeholders.
* Support the product development and management cycle for certain product(s).
* Work closely with engineering, design, data analytics, and client success teams to deliver products that align with business goals.
* Define and track product KPIs to support performance reporting, identify blockers, and recommend incremental improvements.
* Implement a test\-and\-learn framework to iterate on product capabilities, from MVP to scalable solutions.
* Stay informed about industry trends and emerging technologies to evolve product offerings continually.
**What Will You Bring?**
* BA/BS Degree (4\-year) (Advanced Degree Preferred) bachelor's degree or equivalent experience required; degree in Business, Management Information Systems, Computer Science or related field preferred.
* 2\-5 years' experience in a Product Management/Product Owner Role.
* Strong execution skills, with demonstrated experience managing sprint ceremonies, backlogs, and cross\-functional coordination across engineering and QA.
* Skilled in Jira and backlog management to ensure smooth sprint execution.
* Knowledge of Agile/SDLC delivery methodologies. Agile certifications are a plus.
* Technical knowledge of APIs and REST API based services
* Experience with B2C/B2B2C products and emerging trends.
* Experience working in a complex global technology company.
* Experienced in collaborating with cross\-functional teams, across geographies including executive management, product management, operations, legal, sales, and marketing.
* Skilled in delivering products that scale and meet customer needs.
* Strong organizational skills within a highly demanding environment.
**Bonus Points If You Have**
* Experience in live entertainment, ticketing, or adjacent industries (such as sports, venue management, or hospitality).
**Pay Scale:** $103,386\- $135,000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**Employer does not offer work visa sponsorship for this position.**
**What's in it for You?**
* **Extraordinary People** – we're not kidding!
* **Meaningful Mission**– Helping revolutionize an industry and deliver better experiences for fans and clients around the world.
* **Development and Learning** – Opportunities for learning and leveling up through training and education reimbursement.
* **Community \&amp; Belonging** –A range of Employee Resource Groups (ERGs) that foster connection, inclusion, and professional growth. Access to meaningful volunteer opportunities and community engagement programs to make a positive impact beyond the workplace.
* Play a key role in shaping how millions of fans interact with our platform.
* Work with a collaborative, high\-energy product and engineering team.
* Work with a high\-energy team in an innovative and fast\-paced environment.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t>
        </is>
      </c>
    </row>
    <row r="61">
      <c r="A61" t="inlineStr">
        <is>
          <t>in-d77320d8f7e602be</t>
        </is>
      </c>
      <c r="B61" t="inlineStr">
        <is>
          <t>Product Manager - Fan Experience</t>
        </is>
      </c>
      <c r="C61" t="inlineStr">
        <is>
          <t>AEG Worldwide</t>
        </is>
      </c>
      <c r="D61" t="inlineStr">
        <is>
          <t>indeed</t>
        </is>
      </c>
      <c r="E61">
        <f>HYPERLINK("https://www.indeed.com/viewjob?jk=d77320d8f7e602be", "https://www.indeed.com/viewjob?jk=d77320d8f7e602be")</f>
        <v/>
      </c>
      <c r="F61">
        <f>HYPERLINK("https://grnh.se/hro6lten2us", "https://grnh.se/hro6lten2us")</f>
        <v/>
      </c>
      <c r="G61" t="inlineStr">
        <is>
          <t>Los Angeles, CA, US</t>
        </is>
      </c>
      <c r="H61" s="3" t="n">
        <v>46065</v>
      </c>
      <c r="I61"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looking for a talented and motivated professional to join our Product Management team as a Product Manager. In this role, you will be responsible for managing the entire product life cycle for certain product(s) from planning to execution in support of organizational strategy and objectives. This role will collaborate with cross\-functional teams to ensure the timely and successful delivery of high\-quality products that meet business needs. You will play a critical role in supporting the execution of Consumer product squads \- helping lead sprint ceremonies, manage ticket writing and prioritization, and handle day\-to\-day team and stakeholder requests.
**What You'll Do?**
* Own the day\-to\-day execution and delivery support for agile squads, including leading sprint ceremonies (standups, planning, grooming, reviews, retros).
* Write and prioritize Jira tickets to maintain a healthy and well\-organized backlog; ensure timely grooming and delivery readiness.
* Manage intake of questions, blockers, and daily operational needs from Engineering, QA, and cross\-functional partners to unblock progress.
* Drive continuous improvement within the squads by designing and implementing systems \&amp; processes, measuring objectives, and driving team cohesion.
* Build and maintain detailed functional specifications, process maps, and user stories to guide product development.
* Gather and synthesize detailed product requirements that align to product roadmaps, for review and approval from stakeholders.
* Support the product development and management cycle for certain product(s).
* Work closely with engineering, design, data analytics, and client success teams to deliver products that align with business goals.
* Define and track product KPIs to support performance reporting, identify blockers, and recommend incremental improvements.
* Implement a test\-and\-learn framework to iterate on product capabilities, from MVP to scalable solutions.
* Stay informed about industry trends and emerging technologies to evolve product offerings continually.
**What Will You Bring?**
* BA/BS Degree (4\-year) (Advanced Degree Preferred) bachelor's degree or equivalent experience required; degree in Business, Management Information Systems, Computer Science or related field preferred.
* 2\-5 years' experience in a Product Management/Product Owner Role.
* Strong execution skills, with demonstrated experience managing sprint ceremonies, backlogs, and cross\-functional coordination across engineering and QA.
* Skilled in Jira and backlog management to ensure smooth sprint execution.
* Knowledge of Agile/SDLC delivery methodologies. Agile certifications are a plus.
* Technical knowledge of APIs and REST API based services
* Experience with B2C/B2B2C products and emerging trends.
* Experience working in a complex global technology company.
* Experienced in collaborating with cross\-functional teams, across geographies including executive management, product management, operations, legal, sales, and marketing.
* Skilled in delivering products that scale and meet customer needs.
* Strong organizational skills within a highly demanding environment.
**Bonus Points If You Have**
* Experience in live entertainment, ticketing, or adjacent industries (such as sports, venue management, or hospitality).
**Pay Scale:** $103,386\- $135,000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**Employer does not offer work visa sponsorship for this position.**
**What's in it for You?**
* **Extraordinary People** – we're not kidding!
* **Meaningful Mission**– Helping revolutionize an industry and deliver better experiences for fans and clients around the world.
* **Development and Learning** – Opportunities for learning and leveling up through training and education reimbursement.
* **Community \&amp; Belonging** –A range of Employee Resource Groups (ERGs) that foster connection, inclusion, and professional growth. Access to meaningful volunteer opportunities and community engagement programs to make a positive impact beyond the workplace.
* Play a key role in shaping how millions of fans interact with our platform.
* Work with a collaborative, high\-energy product and engineering team.
* Work with a high\-energy team in an innovative and fast\-paced environment.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t>
        </is>
      </c>
    </row>
    <row r="62">
      <c r="A62" t="inlineStr">
        <is>
          <t>in-d045f93555cd7186</t>
        </is>
      </c>
      <c r="B62" t="inlineStr">
        <is>
          <t>Principal Product Manager, YouTube Music and Media Payments</t>
        </is>
      </c>
      <c r="C62" t="inlineStr">
        <is>
          <t>Youtube</t>
        </is>
      </c>
      <c r="D62" t="inlineStr">
        <is>
          <t>indeed</t>
        </is>
      </c>
      <c r="E62">
        <f>HYPERLINK("https://www.indeed.com/viewjob?jk=d045f93555cd7186", "https://www.indeed.com/viewjob?jk=d045f93555cd7186")</f>
        <v/>
      </c>
      <c r="F62">
        <f>HYPERLINK("https://careers.google.com/jobs/results/109490165101011654-principal-product-manager/", "https://careers.google.com/jobs/results/109490165101011654-principal-product-manager/")</f>
        <v/>
      </c>
      <c r="G62" t="inlineStr">
        <is>
          <t>San Bruno, CA, US</t>
        </is>
      </c>
      <c r="H62" s="3" t="n">
        <v>46065</v>
      </c>
      <c r="I62" t="inlineStr">
        <is>
          <t>### **Minimum qualifications:**
* Bachelor’s degree in Computer Science or equivalent practical experience.
* 15 years of experience in product management including providing strategy development, data\-influenced planning, prioritization, and directing launches.
### **Preferred qualifications:**
* Experience leading complex projects with multiple partners and stakeholders.
* Experience defining, executing, and delivering against goals to drive business impact.
* Experience using machine learning to solve user problems.
* Deep understanding of the creator economy, and how to anticipate and shape evolving trends.
* Ability to represent and promote complex business or technical concepts internally and externally.
* Exceptional analytical, communication, and presentation skills and the ability to operate in a fast\-paced, constantly evolving environment.
**About the job**
-----------------
Creators, media companies, and music partners are the heart of YouTube. They make videos that bring billions of viewers to the platform every day to learn and be entertained. We turn their passions into businesses and ensure fair payment for the use of their content on the platform with the largest revenue sharing program in the creator economy.
As the Principal Product Manager for YouTube Music \&amp; Media Payments, you will drive strategy and execution for earnings, payments, and reporting to our large enterprise partners. You will shape the future of the creator economy and define how media and music partners monetize across the many formats and ways to earn on YouTube. You will build scalable payment solutions to handle the increasing complexity of our ecosystem and partner closely with our business team to meet the needs of our largest partners.
In this role, you will lead YouTube's strategy and product roadmap across media and music partner payments, delivering a transformative impact to Google. By deeply understanding partner needs across YouTube’s complex ecosystem, you will define the vision and make critical product decisions that directly shape the future of the creator economy and help our largest partners be more successful on YouTube.
At YouTube, we believe that everyone deserves to have a voice, and that the world is a better place when we listen, share, and build community through our stories. We work together to give everyone the power to share their story, explore what they love, and connect with one another in the process. Working at the intersection of cutting\-edge technology and boundless creativity, we move at the speed of culture with a shared goal to show people the world. We explore new ideas, solve real problems, and have fun — and we do it all together.
The US base salary range for this full\-time position is $272,000\-$383,000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**Responsibilities**
--------------------
* Define and own the YouTube media and music partner payments product vision and roadmap across all formats and ways to earn. Ensure we make accurate and timely payments across our complex ecosystem of partners.
* Drive strategic alignment and buy\-in at the C\-suite level by collaborating on solutions with cross\-functional leaders across YouTube.
* Align product efforts with overarching business objectives and business generation strategies.
* Grow and develop a high\-performing product team by attracting, growing, and retaining exceptional talent.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t>
        </is>
      </c>
    </row>
    <row r="63">
      <c r="A63" t="inlineStr">
        <is>
          <t>in-a22fabd4ed4fe034</t>
        </is>
      </c>
      <c r="B63" t="inlineStr">
        <is>
          <t>Product Owner, Digital Experience</t>
        </is>
      </c>
      <c r="C63" t="inlineStr"/>
      <c r="D63" t="inlineStr">
        <is>
          <t>indeed</t>
        </is>
      </c>
      <c r="E63">
        <f>HYPERLINK("https://www.indeed.com/viewjob?jk=a22fabd4ed4fe034", "https://www.indeed.com/viewjob?jk=a22fabd4ed4fe034")</f>
        <v/>
      </c>
      <c r="F63">
        <f>HYPERLINK("https://jobs.smartrecruiters.com/CaliforniaClosets/744000109133324-product-owner-digital-experience", "https://jobs.smartrecruiters.com/CaliforniaClosets/744000109133324-product-owner-digital-experience")</f>
        <v/>
      </c>
      <c r="G63" t="inlineStr">
        <is>
          <t>Phoenix, AZ, US</t>
        </is>
      </c>
      <c r="H63" s="3" t="n">
        <v>46065</v>
      </c>
      <c r="I63" t="inlineStr">
        <is>
          <t>**Company Description**  
Founded in 1978, California Closets has built a reputation as the leader and design authority in premium space management, delivering custom\-designed organizational solutions and exceptional service. We believe home is more than just a place — it should be a source of creativity, comfort, and connection. From beautiful walk\-in closets and entertainment centers to versatile pantries and home offices, we design custom storage solutions that add value to your life and home by making space for what belongs. Think of it as ‘practical magic.’
 **Job Description**  
The Product Owner, Digital Experience is responsible for defining and advancing the website’s strategy, ensuring the site communicates effectively, performs reliably, and supports user engagement. The role will own the strategy, roadmap, and execution of a multi\-lingual, lead\-generation website. This role is accountable for maximizing business value through user\-centered digital experiences while serving as the experience owner, ensuring content quality, localization accuracy, brand consistency, and conversion performance across markets. The Product Owner partners closely with Marketing, UX, Creative, Technology, SEO, Analytics and business stakeholders to deliver a scalable, high\-performing website that drives qualitied leads, supports growth, and enables continuous optimization.
**ESSENTIAL FUNCTIONS**
* Responsible for defining the overall website strategy. This involves understanding market needs, customer requirements, and competitive landscapes.
* Set the vision for the product and create a roadmap for its development.
* Define and communicate the overall product vision and goals to development teams and stakeholders.
* Directly manage a team of web content producers ensuring they meet performance standards and being developed for success.
* Intake requests, gather and document business requirements from stakeholders, customers, and market research.
* Create and manage a clear, prioritized product backlog of features, enhancements and roadmap items.
* Create business requirements and user stories, review with business leaders and ensure alignment with acceptance criteria and product vision.
* Prioritize features based on customer \&amp; stakeholder feedback, business goals, and market trends.
* Conduct competitor research to identify opportunities and inform product direction.
* Coordinate with the Technology Program Manager to build and maintain a product roadmap that outlines timelines for feature releases and strategic initiatives.
* Manage the distribution of workload and performance of the Content team to ensure all website content changes are executed timely and as expected.
* Collaborate with SEO, digital and brand management, agencies and vendor partners to ensure all content is SEO optimized and accurately represent the brand voice.
* Coordinate website feature and content launches with marketing, operations, and IT teams as well as contracted agencies and vendors.
* Jointly own stakeholder communications with the Sr. Director, Brand Experience \&amp; Service Delivery ensuring roadmap updates and priorities are communicated timely.
* Make timely decisions on scope changes, trade\-offs, and priority shifts to maximize product value.
* Develop and maintain website performance reporting, gather and analyze customer feedback and provide insights that guide product, marketing and service innovations.
* Advocate for ongoing improvements in user experience, personalization, content, and performance.
**Qualifications**  
* 7\+ years of experience in digital product ownership or product management, preferably in a consumer\-facing website environment.
* Experience in software development lifecycle with ability to flex approach.
* Strong understanding of agile methodologies, UX principles, and digital marketing fundamentals.
* Understanding of website analytics and SEO optimization.
* Familiarity with managing multilingual, lead generating websites.
**Additional Information**  
Find us on Facebook, YouTube, and Instagram
*We are an equal opportunity employer. We E\-Verify.*  
All your information will be kept confidential according to EEO guidelines.</t>
        </is>
      </c>
    </row>
    <row r="64">
      <c r="A64" t="inlineStr">
        <is>
          <t>in-f6f626f63dc9cf2f</t>
        </is>
      </c>
      <c r="B64" t="inlineStr">
        <is>
          <t>Education Program Manager</t>
        </is>
      </c>
      <c r="C64" t="inlineStr">
        <is>
          <t>Pacific Fleet Submarine Memorial Association</t>
        </is>
      </c>
      <c r="D64" t="inlineStr">
        <is>
          <t>indeed</t>
        </is>
      </c>
      <c r="E64">
        <f>HYPERLINK("https://www.indeed.com/viewjob?jk=f6f626f63dc9cf2f", "https://www.indeed.com/viewjob?jk=f6f626f63dc9cf2f")</f>
        <v/>
      </c>
      <c r="F64">
        <f>HYPERLINK("https://pacific-fleet-submarine-memorial-association.careerplug.com/j/02vy5d5", "https://pacific-fleet-submarine-memorial-association.careerplug.com/j/02vy5d5")</f>
        <v/>
      </c>
      <c r="G64" t="inlineStr">
        <is>
          <t>Honolulu, HI, US</t>
        </is>
      </c>
      <c r="H64" s="3" t="n">
        <v>46065</v>
      </c>
      <c r="I64" t="inlineStr">
        <is>
          <t>**Benefits:**
* Museum membership/parking
* Professional development
* Retirement plan
* Dental insurance
* Health insurance
* Paid time off
* Vision insurance
**Position Summary**
The Education Program Manager leads the Pacific Fleet Submarine Museum’s educational vision and delivery, ensuring that all programs advance the Museum’s mission to preserve, interpret, and share the history, science, and service of the U.S. Submarine Force in the Pacific. This role designs and oversees engaging learning experiences for K–12 students, educators, families, adult learners, and community partners.
The manager builds strong relationships with schools, cultural and STEM organizations, and sponsors; manages education staff and volunteers; and drives growth in reach, quality, and earned/restricted program revenue. The ideal candidate combines museum education expertise, strong operational leadership, and a passion for naval heritage and STEM learning.  
**Essential Duties and Responsibilities**
**Educational Strategy \&amp; Program Leadership**
* Execute an education strategy aligned with Museum mission, audience needs, and capacity.
* Design, pilot, evaluate, and refine high\-quality educational programs including school tours, hands\-on STEM labs, public programs, and digital offerings.
* Ensure programs reflect best practices in informal learning, inquiry\-based STEM education, and culturally responsive teaching.
**School \&amp; Community Partnerships**
* Grow and maintain partnerships with local and regional schools, districts, homeschool networks, universities, scouting groups, and youth organizations.
* Identify and pursue collaborative programming opportunities with STEM, maritime, and cultural institutions.
* Represent the Museum at education and museum conferences, community events, and professional networks.
**Team, Volunteer, and Docent Management**
* Lead, mentor, and evaluate education staff (full\-time, part\-time, seasonal, interns).
* Recruit, train, schedule, and support docent/volunteer educators to deliver consistent visitor experiences.
* Develop training materials and ongoing professional development for education and frontline interpretation teams.
**Operations, Safety, and Visitor Experience**
* Oversee day\-to\-day execution of education programs on museum grounds and aboard/around submarine exhibits as applicable.
* Coordinate logistics: bookings, staffing, supplies, accessibility needs, transportation, risk management, and emergency procedures.
* Ensure programs comply with all safety requirements for shipboard/submarine environments, youth participation, and public gatherings.
**Communications \&amp; Marketing Collaboration**
* Work with Marketing/Communications to promote educational offerings, create program collateral, and maintain web content.
* Provide clear program descriptions, schedules, pricing, and teacher resources.
**Required Qualifications**
* Bachelor’s degree in Education, Museum Studies, History, STEM field, or related discipline.
* Minimum 5 years of progressive experience in education, including program design and facilitation.
* At least 2 years of people management experience (staff and/or volunteers).
* Demonstrated success building K–12 and community partnerships.
* Excellent project management, budgeting, and organizational skills.
* Confident public speaker and facilitator for audiences of varying ages and backgrounds.
**Preferred Qualifications**
* Experience designing STEM programs linked to engineering, navigation, acoustics, oceanography, or robotics.
* Familiarity with U.S. Navy/Submarine Force history, maritime heritage, or military museums.
* Experience with digital/hybrid learning, virtual field trips, or learning management platforms.
* Bilingual proficiency relevant to local audiences.
**Core Competencies**
* **Mission\-driven leadership**: translates purpose into measurable education impact.
* **Instructional design excellence**: crafts programs that are rigorous, fun, and age\-appropriate.
* **Operational reliability**: makes programs run smoothly and safely every time.
* **Relationship builder**: trusted partner to schools, military, donors, and community.
**Work Environment \&amp; Physical Requirements**
Work occurs in a museum and submarine/shipboard setting. Requires walking/standing for extended periods; ascending/descending ladders or steep stairs; navigating narrow passageways; lifting and carrying materials up to \~25 lbs; and working in varying temperatures/humidity.</t>
        </is>
      </c>
    </row>
    <row r="65">
      <c r="A65" t="inlineStr">
        <is>
          <t>in-525810333570fb19</t>
        </is>
      </c>
      <c r="B65" t="inlineStr">
        <is>
          <t>Mediation Program Manager</t>
        </is>
      </c>
      <c r="C65" t="inlineStr">
        <is>
          <t>Outagamie County Conflict Resolution Center</t>
        </is>
      </c>
      <c r="D65" t="inlineStr">
        <is>
          <t>indeed</t>
        </is>
      </c>
      <c r="E65">
        <f>HYPERLINK("https://www.indeed.com/viewjob?jk=525810333570fb19", "https://www.indeed.com/viewjob?jk=525810333570fb19")</f>
        <v/>
      </c>
      <c r="F65">
        <f>HYPERLINK("http://www.indeed.com/job/mediation-program-manager-525810333570fb19", "http://www.indeed.com/job/mediation-program-manager-525810333570fb19")</f>
        <v/>
      </c>
      <c r="G65" t="inlineStr">
        <is>
          <t>Appleton, WI, US</t>
        </is>
      </c>
      <c r="H65" s="3" t="n">
        <v>46065</v>
      </c>
      <c r="I65" t="inlineStr">
        <is>
          <t>**Mediation Program Manager**
**Position Type:** Full\-time (40 hours/week), Exempt **Reports To:** President, Board of Directors **Location:** Appleton, WI **Salary:** $65,000 annually, depending on experience **Benefits:** Paid holidays, sick leave, flexible schedule
**About OCCRC**
The Outagamie County Conflict Resolution Center (OCCRC) is a new nonprofit providing accessible, equitable, and effective mediation services for housing, civil, and community disputes. We aim to reduce conflict and the burden on the courts while improving community well\-being through volunteer\-led mediation.
**Position Summary**
OCCRC seeks a highly organized, people\-centered **Mediation Program Manager** to launch and oversee operations, with the potential to grow into an Executive Director role. This position is ideal for someone who is process\-oriented, thrives on communication, relationship\-building, volunteer coordination, and public engagement.
**Primary ResponsibilitiesProgram \&amp; Administrative (50%)**
* Manage daily mediation operations, including intake, scheduling, case tracking, and communications
* Respond to public and partner inquiries within 24 hours (excluding weekends)
* Maintain program documentation, forms, and internal systems
* Track program data and assist with reports for the board and funders
* Use Microsoft Office, databases, project management tools, and Zoom to manage workflows and meetings
* Support basic organizational finance functions, including paying bills, budget tracking, expense monitoring, and coordination with board leadership and contracted bookkeeper.
**Volunteer Recruitment \&amp; Coordination (30%)**
* Recruit, onboard, schedule, and support volunteer mediators
* Coordinate training and ensure mediator standards are met
* Maintain regular communication and foster a positive, inclusive volunteer culture
**Outreach and Community Engagement (20%)**
* Build relationships with courts, attorneys, nonprofits, and community partners
* Represent OCCRC at community events and speak to groups of 10 to 50 participants
* Support social media, website content, newsletters, and fundraising efforts
**Required Skills and Qualifications**
* Three or more years of experience in nonprofit work, volunteer coordination, program management, or court\-related roles
* Strong written and verbal communication skills, including public speaking
* Excellent interpersonal and organizational skills
* Demonstrated commitment to equity, restorative practices, and inclusive service delivery
* Proficiency in Microsoft Office and comfort using Zoom and other digital tools
* Basic understanding of nonprofit finances, including budgets and expense tracking
* Ability to manage multiple priorities independently
* Willingness to complete mediation and courtroom training within 90 days
**Preferred Qualifications**
* Experience with mediation, restorative justice, or conflict resolution
* Familiarity with social media, digital communications, or website tools
* Grant writing or fundraising experience
* Cultural humility and trauma\-informed approach to conflict and service delivery
* Discretion in handling sensitive information and maintaining confidentiality
* Startup mindset with comfort in ambiguity and rapid adaptation
* Data\-informed decision\-making using feedback and outcome tracking
* Skilled at navigating power dynamics across legal, government, and community partners
* Proficiency with scheduling, case tracking, and project management tools (e.g., Monday.com, Office 365\)
**Work Environment**
This is a unique opportunity to shape the launch of a conflict resolution center from the ground up. The ideal candidate will thrive in a startup nonprofit setting with high mission alignment, flexible structure, and strong community support. Most work will be done in an office or courthouse setting.
Job Type: Full\-time
Pay: $62,000\.00 \- $65,000\.00 per year
Benefits:
* Flexible schedule
* Paid time off
Experience:
* Microsoft Office: 3 years (Preferred)
* Volunteer management: 3 years (Preferred)
* Courtroom Operations: 3 years (Preferred)
Work Location: In person</t>
        </is>
      </c>
    </row>
    <row r="66">
      <c r="A66" t="inlineStr">
        <is>
          <t>in-4f44bb5f409b0d6c</t>
        </is>
      </c>
      <c r="B66" t="inlineStr">
        <is>
          <t>Prevention &amp; Training Program Manager</t>
        </is>
      </c>
      <c r="C66" t="inlineStr">
        <is>
          <t>Violence Free Minnesota</t>
        </is>
      </c>
      <c r="D66" t="inlineStr">
        <is>
          <t>indeed</t>
        </is>
      </c>
      <c r="E66">
        <f>HYPERLINK("https://www.indeed.com/viewjob?jk=4f44bb5f409b0d6c", "https://www.indeed.com/viewjob?jk=4f44bb5f409b0d6c")</f>
        <v/>
      </c>
      <c r="F66">
        <f>HYPERLINK("http://www.indeed.com/job/prevention-training-program-manager-4f44bb5f409b0d6c", "http://www.indeed.com/job/prevention-training-program-manager-4f44bb5f409b0d6c")</f>
        <v/>
      </c>
      <c r="G66" t="inlineStr">
        <is>
          <t>Saint Paul, MN, US</t>
        </is>
      </c>
      <c r="H66" s="3" t="n">
        <v>46065</v>
      </c>
      <c r="I66" t="inlineStr">
        <is>
          <t>The Prevention and Training Program Specialist will lead efforts in identifying, developing, implementing, and overseeing violence prevention programming and training initiatives on behalf of the coalition. This position leads and works with member programs to identify and meet training needs of domestic violence advocates and organizations, provide technical assistance around training and prevention strategies, and institutionalize evaluative measures in the work to gauge our effectiveness for continuous improvement. The manager will ensure that all efforts align with the organization's mission to promote safe, inclusive, and violence\-free communities.
**Essential Responsibilities:**
**Prevention Strategy \&amp; Healthcare Integration (25%)**
* Lead the research, development, and implementation of VFMN’s statewide relationship abuse prevention strategy, ensuring all efforts align with the organization’s long\-term vision plan.
* Act as the primary liaison for work at the intersection of domestic violence and healthcare; collaborate with the Minnesota Department of Health (MDH), family home visiting nurses, and community health centers to integrate domestic violence response and prevention into medical settings.
* Represent VFMN on state committees, including the Maternal Mortality Intervention Leadership Team; drive the implementation of the CUES intervention to address maternal mortality and reduce racial disparities in healthcare outcomes.
* Maintain strategic relationships with the Minnesota Office of Justice Programs (OJP), Department of Education, and Department of Human Services (DHS) – as well as sibling victim services coalitions \- to promote a coordinated statewide prevention strategy.
**Training Program Design \&amp; Oversight (50%)**
* Oversee the creation and delivery of trauma\-informed, anti\-oppressive trainings and continuing education (in\-person and digital) for member programs and external stakeholders.
* Manage all training contracts and collaborate with other VFMN staff to create sustainable, external\-facing training opportunities that can be utilized by partners across the state.
* Provide expert consultation to community partners and allied professionals on best practices in domestic violence prevention, victim\-centered approaches, and trauma\-responsive care.
* Work across the VFMN team to ensure prevention and training efforts are integrated into the organization's broader policy and membership work.
**Program Evaluation (15%)**
* Monitor and evaluate program effectiveness using data\-driven metrics to inform continuous improvement and ensure high\-quality delivery.
* Prepare outcome reports and grant deliverables for funders; assist in grant writing and resource development to secure the future of prevention and training initiatives.
* Take a lead role in coordinating and facilitating VFMN’s Annual Meeting, ensuring a meaningful and cohesive experience for statewide membership.
**Other coalition work (10%)**
* Participate in the planning, preparation, and implementation of annual VFMN activities, such as: Intimate Partner Violence Homicide Memorial (January), Action Day at the Capitol (March), Annual Membership Meeting (September), etc.
**Knowledge, Skills and Abilities to perform duties effectively:**
* Deep understanding of domestic violence, sexual assault, and stalking, particularly through the lenses of trauma\-informed care and anti\-oppression.
* Skilled in creating accessible, engaging, and relevant training and educational content.
* Highly self\-directed and organized; ability to manage multiple projects with competing timelines.
* Exceptional verbal and written communication skills, with the ability to engage diverse audiences and represent the coalition effectively.
**Required Education \&amp; Experience**
* A degree or equivalent professional experience in Public Health, Social Work, Gender Studies, Education, or a related field.
* Demonstrated commitment to social justice and/or prior experience in direct service or survivor advocacy with a strong grasp of public health strategies used to reduce gender\-based violence.
* Proficiency in Microsoft 365, Zoom, and PowerPoint is required.
* Ability to manage sensitive data in compliance with confidentiality and funder guidelines.
**To Apply:**  
Submit a Resume and Cover Letter to the following email: leslie@gierkejungbauer.com
Survivors of relationship abuse, persons of color, Native and LGBTQIA\+ persons strongly encouraged to apply. EOE/AA.Additional benefits include:
* 100% employer\-paid medical and dental insurance (employee and dependent children covered)
* Vision options available
* Simplified Employee Pension plan \- employer contribution
* 15 vacation days (increased to 20 after 2 years employment)
* 15\-20 paid holidays/year
* Flexible remote work schedule
* HSA employer contribution
* Generous family\-friendly policies
This job description, subject to change without notice, does not cover or contain a comprehensive listing of activities, duties, or responsibilities.
Job Type: Full\-time
Pay: $56,000\.00 per year
Benefits:
* Dental insurance
* Flexible schedule
* Health insurance
* Health savings account
* Life insurance
* Paid time off
* Retirement plan
* Vision insurance
Education:
* High school or equivalent (Preferred)
Experience:
* similar: 3 years (Preferred)
Ability to Relocate:
* Saint Paul, MN 55107: Relocate before starting work (Required)
Work Location: Hybrid remote in Saint Paul, MN 55107</t>
        </is>
      </c>
    </row>
    <row r="67">
      <c r="A67" t="inlineStr">
        <is>
          <t>in-e46f80c7ccf911ce</t>
        </is>
      </c>
      <c r="B67" t="inlineStr">
        <is>
          <t>PROGRAM MANAGER - AFTER SCHOOL PROGRAM (IN-PERSON ONLY)</t>
        </is>
      </c>
      <c r="C67" t="inlineStr">
        <is>
          <t>HoCo Tutors, Inc.</t>
        </is>
      </c>
      <c r="D67" t="inlineStr">
        <is>
          <t>indeed</t>
        </is>
      </c>
      <c r="E67">
        <f>HYPERLINK("https://www.indeed.com/viewjob?jk=e46f80c7ccf911ce", "https://www.indeed.com/viewjob?jk=e46f80c7ccf911ce")</f>
        <v/>
      </c>
      <c r="F67">
        <f>HYPERLINK("http://www.indeed.com/job/program-manager-after-school-program-person-only-e46f80c7ccf911ce", "http://www.indeed.com/job/program-manager-after-school-program-person-only-e46f80c7ccf911ce")</f>
        <v/>
      </c>
      <c r="G67" t="inlineStr">
        <is>
          <t>MD, US</t>
        </is>
      </c>
      <c r="H67" s="3" t="n">
        <v>46065</v>
      </c>
      <c r="I67" t="inlineStr">
        <is>
          <t>**Job Overview:**
The **Program Manager** is responsible for the overall leadership, coordination, and management of the After School Program for Community Schools. The Program Manager oversees daily operations, supervises instructional and support staff, ensures compliance with **Charles County Public Schools (CCPS)** requirements, and maintains alignment with Maryland College and Career Readiness Standards.
This position serves as the primary on\-site leader and liaison between program staff, school administration, families, and district personnel. The Program Manager reports to executive leadership and ensures the delivery of high\-quality academic and enrichment services.
**Roles \&amp; Responsibilities:**
**1\. Program Leadership \&amp; Oversight**
\- Provide overall leadership and direction for the after school program.
\- Supervise and evaluate instructional staff and support personnel.
\- Ensure the program operates in compliance with CCPS policies, procedures, and contractual requirements.
\- Coordinate daily schedules, staffing coverage, and student group assignments.
**2\. Academic \&amp; Enrichment Coordination**
\- Oversee implementation of academic tutoring and enrichment programming.
\- Ensure instructional activities align with Maryland College and Career Readiness Standards.
\- Support the Academic Lead and Enrichment Coordinator in delivering high\-quality programming.
\- Monitor program quality and make adjustments to improve student outcomes.
**3\. Student Supervision \&amp; Safety**
\- Ensure a safe, structured, and inclusive environment for all students.
\- Oversee student supervision during program hours (3:15 PM – 6:00 PM).
\- Enforce school and program behavior expectations.
\- Ensure compliance with all safety protocols, emergency procedures, and reporting requirements.
**4\. Compliance \&amp; Documentation**
\- Oversee attendance tracking and accurate documentation of program activities.
\- Ensure completion of required time and effort logs and staff documentation.
\- Monitor compliance with background check requirements and child protection regulations.
\- Prepare and submit required reports to district leadership as needed.
**5\. Family \&amp; School Collaboration**
\- Serve as the primary point of contact for school administrators and district representatives.
\- Communicate regularly with families regarding program updates and student progress.
\- Coordinate and support family engagement events and community partnerships.
**6\. Staff Development \&amp; Professional Growth**
\- Facilitate staff meetings and professional development sessions.
\- Provide coaching and mentorship to instructional staff.
\- Promote a collaborative and positive team culture.
**Qualifications**
\- Bachelor’s Degree required; Master’s Degree preferred (Education, Educational Leadership, or related field).
\- Minimum of three (3\) years experience in education, program management, or school\-based leadership.
\- Strong knowledge of elementary education curriculum and instructional best practices.
\- Demonstrated leadership and staff supervision experience.
\- Excellent organizational, communication, and problem\-solving skills.
\- Ability to pass all required background checks in accordance with CCPS and Maryland state law.
\- Ability to manage multiple priorities in a fast\-paced environment.
**Preferred Qualifications:**
\- MSDE certification (Teacher or Administrator).
\- Experience managing after\-school or extended learning programs.
\- Training in trauma\-informed practices or social\-emotional learning (SEL).
\- CPR/First Aid Certification.
**Physical Requirements:**
\- Ability to stand and move throughout the program site for extended periods.
\- Ability to actively supervise children in classroom and recreational environments.
\- Ability to lift up to 25 lbs.
**Work Schedule:**
\- Up to 5 days per week (based on contract award option).
\- Program hours: 3:15 PM – 6:00 PM, with additional time for planning and coordination as required.
\- 36\-week program duration.
*HoCo Tutors, Inc. is an equal opportunity employer. We encourage candidates from all backgrounds to apply.*
Job Types: Part\-time, Contract
Pay: From $30\.00 per hour
Education:
* Bachelor's (Required)
Experience:
* After School Program: 1 year (Preferred)
* School\-based leadership: 1 year (Required)
* Teaching: 3 years (Required)
* Program Management: 3 years (Required)
License/Certification:
* MSDE certification (Teacher or Instructional Assistant) (Preferred)
Ability to Commute:
* Charles County, MD (Required)
Work Location: In person</t>
        </is>
      </c>
    </row>
    <row r="68">
      <c r="A68" t="inlineStr">
        <is>
          <t>in-760d8f57eff2dc06</t>
        </is>
      </c>
      <c r="B68" t="inlineStr">
        <is>
          <t>Core Program Manager - ECM</t>
        </is>
      </c>
      <c r="C68" t="inlineStr">
        <is>
          <t>Aspiranet</t>
        </is>
      </c>
      <c r="D68" t="inlineStr">
        <is>
          <t>indeed</t>
        </is>
      </c>
      <c r="E68">
        <f>HYPERLINK("https://www.indeed.com/viewjob?jk=760d8f57eff2dc06", "https://www.indeed.com/viewjob?jk=760d8f57eff2dc06")</f>
        <v/>
      </c>
      <c r="F68">
        <f>HYPERLINK("https://aspiranet.gr8people.com/jobs/14535/core-program-manager-ecm?j_idx=2", "https://aspiranet.gr8people.com/jobs/14535/core-program-manager-ecm?j_idx=2")</f>
        <v/>
      </c>
      <c r="G68" t="inlineStr">
        <is>
          <t>Turlock, CA, US</t>
        </is>
      </c>
      <c r="H68" s="3" t="n">
        <v>46064</v>
      </c>
      <c r="I68" t="inlineStr">
        <is>
          <t>**Core Program Manager ECM**
**Turlock, CA \| Stockton, CA**
**Location:** Turlock, CA \| Stockton, CA
**Schedule:** Full\-Time \-Exempt
**Department:** Headquarters
**Reports to:** Program Director
**Pay Range:** $82,500\-$84,480
✨ **Make a Meaningful Impact**
Aspiranet, a leading California\-based nonprofit dedicated to supporting children, youth, and families, is seeking a dedicated and detail\-oriented Core Program Manager \-ECM to join our team. If you thrive in a fast\-paced, mission\-driven environment and have a passion for providing excellent operational support while collaborating and working with the HQ team, we’d love to hear from you.
**❤️ About Aspiranet**
Aspiranet is a mission\-driven social services agency with a proud legacy of supporting California communities since 1975\. We are committed to ensuring that every child is loved, every family is supported, and every individual has the tools to succeed. Our services span the state and are delivered through six dedicated divisions: Foster Care and Adoption, providing support for children and families throughout the foster and adoption journey; Transitional Aged Youth (TAY), offering programs that guide young adults as they transition from foster care to independent living; Residential, delivering therapeutic care in structured, supportive environments to help youth thrive; Intensive Home\-Based Services, focused on meeting individualized needs within the home, school, and community; Behavioral Health, delivering short\-term, intensive mental health services for youth at risk; and Family and Community, emphasizing early intervention and family\-strengthening supports. At Aspiranet, every role contributes to something greater—helping to create a future where opportunity, hope, and healing are within everyone’s reach.
**️ Position Summary**
The Core Program Manager – ECM provides operational and practice leadership in support of program direction established by the Program Director across Aspiranet’s CalAIM service continuum, including Enhanced Care Management (ECM), Community Supports (CS), and Community Health Workers (CHW) services. Serving as the workforce operations lead under the Program Director’s leadership, this role focuses on day\-to\-day service delivery oversight, workforce development, field\-based support, and practice quality monitoring to ensure services are delivered consistently and effectively. This role is accountable for day\-to\-day service delivery performance and operational consistency across assigned teams.
The Core Program Manager acts as a key bridge between program design and frontline execution, ensuring staff have the training, tools, clinical guidance, and operational structure needed to provide high\-quality, person\-centered care to members with complex health and social needs.
**Key Responsibilities**
***Practice Implementation \&amp; Service Model Fidelity***
* Ensure consistent implementation of ECM, CS, and CHW service models, workflows, and care coordination practices based on program models, policies, and established workflows.
* Promote fidelity to program models while supporting individualized, member\-centered care.
* Conduct field\-based support, case consultations, and service delivery reviews.
* Identify variations in practice and implement coaching, practice supports, and workflow improvements to strengthen service consistency and quality.
* Serve as a secondary level of review for complex care planning and elevate program design, policy interpretation, or payer\-related issues to program leadership.
* Promote trauma\-informed, culturally responsive, and equity\-focused service delivery practices in daily practice.
***Workforce Development \&amp; Training***
* Lead onboarding and ongoing training to reinforce service standards and expectations set at the program leadership level.
* Provide structured coaching and reflective supervision to strengthen practice skills.
* Support the development of staff and emerging supervisors through skill development and practice guidance.
* Foster a culture of continuous learning, accountability, and professional growth.
***Staff Supervision and Support***
* Provide direct and/or functional supervision, coaching, and practice support to assigned staff.
* Provide performance feedback and professional development support within assigned supervisory scope.
* Monitor workload balance, staff readiness, and support needs; coordinate adjustments in consultation with program leadership when structural or staffing model changes are needed.
* Assist staff in managing high\-acuity caseloads and cross\-system barriers.
* Serve as acting program lead in the Program Director’s absence for operational and practice matters, as assigned.
***Field\-Based Support \&amp; Practice Consultation***
* Provide real\-time guidance and consultation for complex or high\-acuity member situations.
* Support staff in navigating cross\-agency coordination involving healthcare, behavioral health, housing, and social services.
* Assist with crisis response and problem\-solving related to service delivery barriers and escalate high\-risk or program\-impacting matters to program leadership.
* Support staff in identifying and responding to member safety concerns, mandated reporting situations, and risk\-related service issues.
***Quality, Compliance \&amp; Documentation***
* Support chart reviews, audits, and quality improvement initiatives.
* Track service delivery trends and operational performance indicators.
* Identify compliance risks, documentation concerns, or regulatory questions and escalate to program leadership for review and determination.
* Promote adherence to professional ethics, boundaries, and standards of practice.
* Utilize service data and performance trends to inform training, workflow improvements, and practice development.
***Program Operations Support***
* Implement workflows, procedures, and operational processes developed at the program leadership level.
* Support rollout of new initiatives and service expansions.
* Identify operational barriers and recommend improvements to program leadership.
* Collaborate across divisions to support coordinated service delivery in a matrixed environment.
***Systems \&amp; Practice Infrastructure Support***
* Provide practice input to support implementation and optimization of agency care management and documentation systems.
* Support staff adoption and workflow integration.
* Relay system improvement needs, staff feedback, and practice challenges to program leadership and project leads.
***Community \&amp; Partner Collaboration***
* Support coordination with Managed Care Plans, healthcare providers, housing partners, and community organizations at the service\-delivery and operational level.
* Assist with outreach, engagement, and cross\-agency collaboration.
* Provide support during complex cases and route payer\-level, contractual, or policy matters to program leadership.
***Strategic \&amp; Program Development Support***
* Provide operational input and frontline feedback to inform program improvements.
* Translate program goals into team\-level action plans under the direction of program leadership.
✅ **Qualifications**
* Bachelor’s degree required; Master’s degree in Social Work, Counseling, Psychology, Public Health, or related field preferred.
* Demonstrated experience leading in behavioral health, social services, care coordination, housing support, or community health programs.
* Experience in ECM, CS, CHW services, case management, or working with high\-acuity populations.
* Demonstrated experience working within complex agency and community service environments.
* Knowledge of Medi\-Cal, CalAIM, managed care environments, or integrated care models preferred.
* Experience working in regulated health and social service environments with responsibility for maintaining privacy, confidentiality, and data security standards (including HIPAA and related regulations).
* Must meet all state\-required conditions of employment.
***Physical Demands:***
*The physical demands and work environment described here are representative of those that must be met by an employee to successfully perform the essential functions of this job. Reasonable accommodations may be made to enable individuals to perform the essential functions. The noise level in the work environment is usually quiet and, at all times is within safe OSHA standards.*
* *Utilizes computer, phone and standard office equipment for extended periods of time.*
* *Work in\-person at South San Francisco office two days per week.*
❤️ **Why Aspiranet?**
* Competitive compensation, comprehensive benefits package, and a 403(b) retirement plan with employer matching.
* Access to the free Aspiranet Employee Perks Program. Enjoy exclusive discounts on entertainment, travel, wellness, pet care, gym memberships, theme parks, and more
* Flexible Hybrid Schedule. Enjoy the mix of remote and in\-office work, supporting work\-life balance
* Flexible paid time off including 11 paid holidays, 10 vacation days, 10 sick leave days, two diversity days, and paid birthday time off.
* Access to our employee assistance program including 24/7 crisis line; up to 6 counseling sessions per issue.
* Training opportunities are available to support your ongoing development and career aspirations.
* Collaborate in a supportive, inclusive, and mission\-aligned culture.
* Opportunity to lead meaningful initiatives that support employee wellbeing.
️‍ **Physical Demands:** The physical demands and work environment characteristics described here are representative of those an employee encounters while performing the essential functions of this job. In accordance with the Americans with Disabilities Act (ADA), reasonable accommodations may be made to enable qualified individuals with disabilities to perform these essential functions.
This position typically operates in a standard office environment. The noise level is generally quiet and remains within OSHA’s established safety levels at all times.
* **️ Equal Employment Opportunity**
Aspiranet is an equal opportunity employer that recognizes the value of diversity. We believe a diverse workforce within a culture of Inclusion, Diversity, Equity, and Access (IDEA) increases creativity, innovation, problem\-solving, and teamwork for the youth and families that we serve and the organization as a whole. Aspiranet strives to provide our employees with a workplace that is welcoming, inclusive of differing world views, cultures, and lived experiences.
️ **How to Apply**
Join us in building brighter futures.
️ Ready to Apply?
Join us in building brighter futures.
Apply today through our career portal:
 **Click here to apply:** **www.aspiranet.org/careers**
✨ Pro Tip: Once you’re in the portal, be sure to create an account to get started on your application! It’s quick, easy, and the first step to making a difference.
Pay Rate: $82,500\.00 \- $84,480\.00 Annually</t>
        </is>
      </c>
    </row>
    <row r="69">
      <c r="A69" t="inlineStr">
        <is>
          <t>in-8d6deb973d6df231</t>
        </is>
      </c>
      <c r="B69" t="inlineStr">
        <is>
          <t>Program Manager III - Military Medical Research Laboratory</t>
        </is>
      </c>
      <c r="C69" t="inlineStr">
        <is>
          <t>Leidos</t>
        </is>
      </c>
      <c r="D69" t="inlineStr">
        <is>
          <t>indeed</t>
        </is>
      </c>
      <c r="E69">
        <f>HYPERLINK("https://www.indeed.com/viewjob?jk=8d6deb973d6df231", "https://www.indeed.com/viewjob?jk=8d6deb973d6df231")</f>
        <v/>
      </c>
      <c r="F69">
        <f>HYPERLINK("https://careers.leidos.com/jobs/17341045-program-manager-iii-military-medical-research-laboratory?tm_job=R-00175941&amp;tm_event=view&amp;tm_company=2502", "https://careers.leidos.com/jobs/17341045-program-manager-iii-military-medical-research-laboratory?tm_job=R-00175941&amp;tm_event=view&amp;tm_company=2502")</f>
        <v/>
      </c>
      <c r="G69" t="inlineStr">
        <is>
          <t>San Antonio, TX, US</t>
        </is>
      </c>
      <c r="H69" s="3" t="n">
        <v>46064</v>
      </c>
      <c r="I69" t="inlineStr">
        <is>
          <t>**Description**
**Are you looking for a career that will make an impact?**
==========================================================
Leidos Health \&amp; Services has an immediate opening for a **Program Manager III** supporting R\&amp;D operations under the Chief Science Director (CSD) at the Naval Medical Research Unit San Antonio (NAMRU\-SA) in San Antonio TX. The ideal candidate is PMP certified, has direct experience supporting a military medical research laboratory, and holds an active Secret clearance. NAMRU\-SA serves as one of the leading research and development laboratories for the U.S. Navy and conducts gap driven combat casualty care, craniofacial, and directed energy research to improve survival, operational readiness, and safety of Department of Defense (DoD) personnel engaged in routine and expeditionary operations,
**Are you ready for unique and exciting work?**
===============================================
**\*This is currently an individual contributor role with no direct reports.\***
**Primary Responsibilities**
* Support R\&amp;D operations under the Chief Science Director (CSD); provide senior level advisory role to junior program managers, coordinators, and analysts in scientific directorates
* Review and provide input for business and growth plans for research to directorates
* Act as a central point of contact between the command’s R\&amp;D teams, operations, and executive leadership; creates transparency and drives cross\-team communication
* Provide written and verbal project updates to project sponsors and other stakeholders regarding project status, risks/issues and accomplishments
* Develop and champion project progress\-tracking and reporting tools; leads the development and execution of project charters, management plans, and detailed work breakdown structures
* Assist CSD and scientific directorates in carrying out administrative and financial tasks related to research; works with Comptroller to resolve research funding\-related inquiries
* Monitor project budgets and ensure costs remain within approved limits; track study expenditures and reports financial status related to research under contract to the Government
* In collaboration with the Government, provide recommendations for yearly budgets related to research under contract
* Manage project team resources, clearly defining roles and deliverables specifically those who support core functions
* Assist the Government with gathering information for taskers and other requests for information (RFI)
* Maintain and organize Government\-prepared research documents at a command level, including command scientific notebooks
* Assist the Government with space utilization within the scientific directorates and make recommendations accordingly
* Submit Government approved proposals and grants via various websites (i.e., eBRAP, grants.gov, CMRDP, etc.)
* Verify Government prepared documentation is available for various research meetings
* Coordinate and schedule meetings on behalf of the CSD; take minutes and provides to Director
* Assist CSD and command suite with tours and scientific visitors
**If this sounds like an environment where you can thrive, keep reading for the keys to success!**
==================================================================================================
**Basic Qualifications**
* Bachelor’s degree with 10\+ years’ related experience, or a Master’s degree with 7\+ years’ related experience
* Direct experience supporting a military medical research laboratory
* Proficient in project management tools
* Demonstrated ability to lead cross\-functional teams without direct supervisory authority
* Ability to influence and drive alignment between diverse stakeholders
* Strong communication skills with ability to bridge technical and non\-technical audiences
* Excellent analytics and problem\-solving skills
* Due to Federal contract requirements, US citizenship is required
* The candidate will be required to acquire, at a minimum, a SECRET classification access level. Preference will be given to a candidate who already has this clearance level
**Preferred Qualifications**
* Project Management Institute (PMI) certification; Project Management Professional (PMP)
* Active Secret Clearance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
February 12,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
Pay Range $92,300\.00 \- $166,850\.00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
\#Featuredjob</t>
        </is>
      </c>
    </row>
    <row r="70">
      <c r="A70" t="inlineStr">
        <is>
          <t>in-078b2628f8238167</t>
        </is>
      </c>
      <c r="B70" t="inlineStr">
        <is>
          <t>Product Manager_Reservations Technology</t>
        </is>
      </c>
      <c r="C70" t="inlineStr">
        <is>
          <t>Delta Air Lines</t>
        </is>
      </c>
      <c r="D70" t="inlineStr">
        <is>
          <t>indeed</t>
        </is>
      </c>
      <c r="E70">
        <f>HYPERLINK("https://www.indeed.com/viewjob?jk=078b2628f8238167", "https://www.indeed.com/viewjob?jk=078b2628f8238167")</f>
        <v/>
      </c>
      <c r="F70">
        <f>HYPERLINK("https://delta.avature.net/en_US/careers/JobDetail/Product-Manager-Prod-Ops-Automation/31522?jobId=31522", "https://delta.avature.net/en_US/careers/JobDetail/Product-Manager-Prod-Ops-Automation/31522?jobId=31522")</f>
        <v/>
      </c>
      <c r="G70" t="inlineStr">
        <is>
          <t>Atlanta, GA, US</t>
        </is>
      </c>
      <c r="H70" s="3" t="n">
        <v>46064</v>
      </c>
      <c r="I70" t="inlineStr">
        <is>
          <t>**UNITED STATES, GEORGIA, ATLANTA****RESERVATIONS \&amp; CUST. CARE****12\-FEB\-2026****REF \#: 31522**### **HOW YOU'LL HELP US KEEP CLIMBING (OVERVIEW \&amp; KEY RESPONSIBILITIES)**
Now is an exciting time to be part of Delta's Reservations Experience Design, Technology, and Innovation team as we redefine customer and employee experiences by setting new technology standards. This is an opportunity to help drive vision by bringing new corporate initiatives to life in our Customer Engagement Centers. Delta's Reservations Experience Design, Technology and Innovation team is seeking a Product Manager to assist in leading automation product development for the division. The primary function is to leverage data, specialists' feedback, analytics, and corporate initiatives to prioritize, create, and implement new products and features that drive revenue, personalized customer experience, and seamless servicing of customers. This includes working to create tools and implement automation to increase efficiency and eliminate low\-value work. Success in this role will be measured across multiple dimensions including customer and specialist and improved efficiencies within the technology ecosystem.  
Overview \&amp; key responsibilities:  
Lead one or more strategic product initiatives, including the development of strategies, detailed plans and measurable outcomes, cross\-divisional coordination, and any analysis or research needed to define strategy and quantify results. Successful candidates will have a strong instinct for customer and employee experience, be creative thinkers, and apply strong judgment and decision making skills to set direction, prioritize effectively, and move the product forward, while being proactive and anticipating change  
Summary of responsibilities (not comprehensive of all tasks):* Responsible for end\-to\-end automation product management duties including understanding the business problem, identifying specialist needs, developing optimal solutions, and leading business readiness and change management processes.
* Translate and communicate business needs and product development goals into clear requirements including features, user stories, and acceptance test criteria.
* Coordinate automation product development and backlog with IT teams.
* Manage cross\-functional collaboration to align solutions with business needs and drive AI adoption and operational excellence.
* Responsible for business ownership of ongoing product maintenance and related incident tracking and troubleshooting.
* Maintains relationships with vendors for product services, issues, and enhancements.
* Provide regular status reports to key stakeholders, sponsors, project managers, and others involved in the project.
* Ongoing field engagement to gather customer and specialists' feedback to drive continuous improvement
* Mentor team members on product management, ownership and agile best practice.
* Champion agile methodologies within the squad, promoting best practices and continuous improvement.
* Utilize tools like Agility and Aha! for effective project management and ensure data hygiene to track progress accurately.
### **BENEFITS AND PERKS TO HELP YOU KEEP CLIMBING**
Our culture is rooted in a shared dedication to living our values – Care, Integrity, Resilience, Servant Leadership, and Teamwork – every day, in everything we do. At Delta, our people are our success. At the heart of what we offer is our focus on Sharing Success with Delta employees. Exploring a career at Delta gives you a chance to see the world while earning great compensation and benefits to help you keep climbing along the way:* Competitive salary, industry\-leading profit sharing program, and performance incentives
* 401(k) with generous company contributions up to 9%.
* Paid time off including vacation, holidays, paid personal time, maternity and parental leave.
* Comprehensive health benefits including medical, dental, vision, short/long term disability and life benefits.
* Family care assistance through fertility support, surrogacy and adoption assistance,
* lactation support, subsidized back\-up care, and programs that help with loved ones in all stages.
* Holistic Wellbeing programs to support physical, emotional, social, and financial health, including access to an employee assistance program offering support for you and anyone in your household, free financial coaching, and extensive resources supporting mental health.
* Domestic and International space\-available flight privileges for employees and eligible family members.
* Career development programs to achieve your long\-term career goals.
* World\-wide partnerships to engage in community service and innovative goals created to focus on sustainability and reducing our carbon footprint.
* Business Resource Groups created to connect employees with common interests to promote inclusion, provide perspective and help implement strategies.
* Recognition rewards and awards through the platform Unstoppable Together.
* Access to over 500 discounts, specialty savings and voluntary benefits through Delta Perks such as car and hotel rentals and auto, home, and pet insurance, legal services, and childcare.
### **WHAT YOU NEED TO SUCCEED (MINIMUM QUALIFICATIONS)**
* Experienced Product Owner with a strong track record of delivering impactful AI solutions.
* Strategic thinking and creative problem\-solving skills with ability to translate data into a logical and actionable story
* Demonstrated proficiency in IT development processes including Agile, Scrum
* Willingness to become the subject matter expert for your product and take ownership for developing and maturing the platform and its performance.
* Experience mapping end to end customer and/or employee journeys to identify automation opportunities and friction points \- Ability to translate journey pain points into actionable product requirements
* Proficiency in written and oral communications and able to produce concise, relevant, strategic documents and executive presentations and ability to influence outcomes and stakeholders
* Connects a business issue with the appropriate data sources to create a compelling story promoting positive and meaningful change
* Must demonstrate initiative and self\-direct work with ability to manage multiple priorities.
* Curious mindset, willing to ask “why” until root causes of use cases are identified.
* Must be performing satisfactorily in present position.
* Some travel may be required.
* Consistently prioritizes safety and security of self, others, and personal data.
* Embraces diverse people, thinking, and styles.
* Possesses a high school diploma, GED, or high school equivalency.
* Is at least 18 years of age and has authorization to work in the United States.
### **WHAT WILL GIVE YOU A COMPETITIVE EDGE (PREFERRED QUALIFICATIONS)**
* Familiarity with AI assisted automation (decisioning, NLP, intelligent routing, copilots)
* Agile Product Management training and experience.
* Experience defining and tracking automation value metrics (e.g., hours saved, cost avoidance, error reduction)
* Experience with Agility/VersionOne or Jira.
* Experience with internal and external facing channels.
* Ability to understand and extract process related data
* Working knowledge with EXCEL or SQL
* Basic understanding of Microsoft PowerApps and/or Robotic Process Automation (RPA) ecosystem of tools and ability to use or obtain training for low\-code capabilities, integration, and orchestration of RPA features.
* Experience in programming and software development Proficiency in MS applications highly preferred</t>
        </is>
      </c>
    </row>
    <row r="71">
      <c r="A71" t="inlineStr">
        <is>
          <t>in-d0d1e583a6e7968c</t>
        </is>
      </c>
      <c r="B71" t="inlineStr">
        <is>
          <t>Privacy Program Manager</t>
        </is>
      </c>
      <c r="C71" t="inlineStr">
        <is>
          <t>Snap Inc.</t>
        </is>
      </c>
      <c r="D71" t="inlineStr">
        <is>
          <t>indeed</t>
        </is>
      </c>
      <c r="E71">
        <f>HYPERLINK("https://www.indeed.com/viewjob?jk=d0d1e583a6e7968c", "https://www.indeed.com/viewjob?jk=d0d1e583a6e7968c")</f>
        <v/>
      </c>
      <c r="F71">
        <f>HYPERLINK("https://wd1.myworkdaysite.com/en-US/recruiting/snapchat/snap/job/Los-Angeles-California/Privacy-Program-Manager_R0044588-1", "https://wd1.myworkdaysite.com/en-US/recruiting/snapchat/snap/job/Los-Angeles-California/Privacy-Program-Manager_R0044588-1")</f>
        <v/>
      </c>
      <c r="G71" t="inlineStr">
        <is>
          <t>Los Angeles, CA, US</t>
        </is>
      </c>
      <c r="H71" s="3" t="n">
        <v>46064</v>
      </c>
      <c r="I71" t="inlineStr">
        <is>
          <t>Snap Inc is a technology company. We believe the camera presents the greatest opportunity to improve the way people live and communicate. Snap contributes to human progress by empowering people to express themselves, live in the moment, learn about the world, and have fun together. The Company’s three core products are Snapchat, a visual messaging app that enhances your relationships with friends, family, and the world; Lens Studio, an augmented reality platform that powers AR across Snapchat and other services; and its AR glasses, Spectacles.
The Legal Team is Snap’s dedicated in\-house law firm, thought partner, and all\-around advisor. This team helps Snap do the right thing the right way, make better decisions, understand and manage risks, and creatively navigate challenges, both external and internal. We partner with Snap team members on a wide array of matters, including privacy, product, IP, commercial transactions, corporate governance, employment, acquisitions, litigation, and policy, and social impact. The Legal team values diversity and knows it powers us as we build an innovative and inclusive leadership culture centered on Snap's values of Kind, Smart, and Creative.
We’re looking for a Privacy and Product Program Manager to join Snap Inc.!
What you’ll do:* Join a growing team responsible for managing the Snap privacy program globally, which will allow you to collaborate with members of other legal teams, Security, Engineering, Design, and other teams throughout the company to support Snap’s strong privacy and user safety practices, including its world\-class privacy\-and\-safety\-by\-design program.
* Manage the day\-to\-day activities of our privacy program
* Work with cross\-functional owners and stakeholders to coordinate responses to regulatory privacy and safety inquiries
* Ensure compliance with internal privacy policies and assist with the implementation of new data protection and privacy laws and user safety regulations
* Work with relevant stakeholders on ongoing compliance with EU Digital Services Act (DSA) and UK Online Safety Act (OSA) obligations
* Audit our privacy program and conduct privacy vulnerability assessments
* Manage privacy and user safety compliance projects
* Review and update existing (internal/external) privacy policies and disclosures
* Help to drive continuous improvement of Snap’s privacy\-by\-design framework over time, working closely with Snap’s Product Legal and Privacy Engineering teams
* Create and conduct periodic privacy trainings across the company on a regular cadence
Knowledge, skills, and abilities:* Excellent organizational and program management skills and the ability to work under pressure
* Able to communicate effectively with stakeholders across the company on complex, multifaceted issues
* Detail\-oriented, business\-friendly, and a team player, with an ability to think creatively and accommodate tight deadlines and business objectives
* Experienced in leveraging AI tooling for team productivity
* Passionate about privacy and a gatekeeper of our privacy principles
* Strong work ethic and able to work independently and collaboratively with xfn partners
* Great sense of humor
Minimum qualifications:* Bachelors degree or equivalent years of experience
* 4\+ years of privacy program management experience
Preferred Qualifications:* Experience working on domestic and global privacy and data security issues, including the GDPR, EU DSA, UK OSA, ePrivacy Directive, Section 5 of the FTC Act relating to privacy, anti\-spam laws, cookies regulation, and CCPA / CPRA
* Certifications in data protection is a plus (e.g., CIPP/US, CIPP/E, CIPM)
* Experience working at a fast\-paced growing international organization
If you have a disability or special need that requires accommodation, please don’t be shy and provide us some information.
"Default Together" Policy at Snap: At Snap Inc. we believe that being together in person helps us build our culture faster, reinforce our values, and serve our community, customers and partners better through dynamic collaboration. To reflect this, we practice a “default together” approach and expect our team members to work in an office 4\+ days per week.
At Snap, we believe that having a team of diverse backgrounds and voices working together will enable us to create innovative products that improve the way people live and communicate. Snap is proud to be an equal opportunity employer, and committed to providing employment opportunities regardless of race, religious creed, color, national origin, ancestry, physical disability, mental disability, medical condition, genetic information, marital status, sex, gender, gender identity, gender expression, pregnancy, childbirth and breastfeeding, age, sexual orientation, military or veteran status, or any other protected classification, in accordance with applicable federal, state, and local laws. EOE, including disability/vets.
We are an Equal Opportunity Employer and will consider qualified applicants with criminal histories in a manner consistent with applicable law (by example, the requirements of the San Francisco Fair Chance Ordinance and the Los Angeles Fair Chance Initiative for Hiring, where applicable).
Our Benefits: Snap Inc. is its own community, so we’ve got your back! We do our best to make sure you and your loved ones have everything you need to be happy and healthy, on your own terms. Our benefits are built around your needs and include paid parental leave, comprehensive medical coverage, emotional and mental health support programs, and compensation packages that let you share in Snap’s long\-term success!
Compensation
In the United States, work locations are assigned a pay zone which determines the salary range for the position. The successful candidate’s starting pay will be determined based on job\-related skills, experience, qualifications, work location, and market conditions. The starting pay may be negotiable within the salary range for the position. These pay zones may be modified in the future.
Zone A (CA, WA, NYC):
The base salary range for this position is $118,000\-$176,000 annually.  
Zone B:
The base salary range for this position is $112,000\-$167,000 annually.
Zone C:
The base salary range for this position is $100,000\-$150,000 annually.
This position is eligible for equity in the form of RSUs.</t>
        </is>
      </c>
    </row>
    <row r="72">
      <c r="A72" t="inlineStr">
        <is>
          <t>in-1888f91e88cf90c5</t>
        </is>
      </c>
      <c r="B72" t="inlineStr">
        <is>
          <t>Product Owner - REMOTE</t>
        </is>
      </c>
      <c r="C72" t="inlineStr">
        <is>
          <t>OnTrac</t>
        </is>
      </c>
      <c r="D72" t="inlineStr">
        <is>
          <t>indeed</t>
        </is>
      </c>
      <c r="E72">
        <f>HYPERLINK("https://www.indeed.com/viewjob?jk=1888f91e88cf90c5", "https://www.indeed.com/viewjob?jk=1888f91e88cf90c5")</f>
        <v/>
      </c>
      <c r="F72">
        <f>HYPERLINK("https://jobs.dayforcehcm.com/en-US/ontrac/CANDIDATEPORTAL/jobs/62072", "https://jobs.dayforcehcm.com/en-US/ontrac/CANDIDATEPORTAL/jobs/62072")</f>
        <v/>
      </c>
      <c r="G72" t="inlineStr">
        <is>
          <t>Washington, DC, US</t>
        </is>
      </c>
      <c r="H72" s="3" t="n">
        <v>46064</v>
      </c>
      <c r="I72" t="inlineStr">
        <is>
          <t>OnTrac is hiring a Product Owner!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This is a fully remote position, with a preference for candidates based in Cleveland, OH; Washington, D.C.; Atlanta, GA; Phoenix, AZ; or Louisville, KY.
**Salary:** $84,000 to 105,000 / year depending on experience and qualifications
**Employment Logistics:**  
The Product Owner partners with Product Management and cross functional teams to translate business needs and stakeholder priorities into a clear, actionable product backlog. Working in a fast paced Agile environment, this role helps ensure teams build the right features in the right order, balancing business value, user needs, and technical considerations. This position offers strong opportunity for growth and advancement within the organization.
**Unpacking the Benefits:**  
We offer a comprehensive benefits package designed to support your health, financial security, and life outside of work.
* Medical, Dental, and Vision insurance; HSA and FSA options
* Life and Disability coverage (basic and voluntary)
* Voluntary Accident, Critical Illness, Identity \&amp; Fraud Protection, Auto \&amp; Home, and Pet Insurance
* Competitive benefits and 401(k) with company match
* Referral Bonus Program \- Up to $500 per referral!
* Paid Time Off including Holiday pay
* Employee Assistance Program \&amp; a Safe and clean work environment
**The Must\-Haves:**  
* Bachelor’s degree and experience working in an Agile environment, preferably as a Product Owner or in a related role
* Familiarity with Agile tools such as Azure DevOps \&amp; Knowledge in UI/UX
* Experience in Logistics preferred
* Willingness to travel up to 10%
**Your Mission in Motion:**  
* Partner on product direction: Collaborate with the Product Manager to understand and execute against the broader product vision and roadmap.
* Translate strategy into action: Break down high level product strategy into clear, well defined backlog items.
* Own backlog quality and priority: Refine, prioritize, and manage the product backlog to maximize team output and customer value.
* Define clear requirements: Write high quality user stories with well defined acceptance criteria that support effective delivery.
* Collaborate cross functionally: Work closely with engineering, QA, design, and other partners to ensure shared understanding and alignment.
* Represent the user: Maintain a strong understanding of user personas, workflows, and needs to guide product decisions.
**Paving your way to your success:**  
* You think in terms of value, ensuring work aligns with business goals, user needs, and technical realities.
* You bring structure to complexity, translating high level ideas into clear, actionable, and well prioritized requirements.
* You communicate clearly and collaboratively, building strong relationships with cross functional teams and stakeholders.
* You thrive in an Agile environment, adapting priorities and decisions as information evolves.
* You stay curious and customer focused, continuously deepening your understanding of user workflows and experience.
If you are excited to be part of our team and grow with our OnTrac family, we invite you to apply!
OnTrac is proud to be an Equal Opportunity Employer
OnTrac is an equal\-opportunity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row>
    <row r="73">
      <c r="A73" t="inlineStr">
        <is>
          <t>in-b522c762fb15e00f</t>
        </is>
      </c>
      <c r="B73" t="inlineStr">
        <is>
          <t>Product Owner - REMOTE</t>
        </is>
      </c>
      <c r="C73" t="inlineStr">
        <is>
          <t>OnTrac</t>
        </is>
      </c>
      <c r="D73" t="inlineStr">
        <is>
          <t>indeed</t>
        </is>
      </c>
      <c r="E73">
        <f>HYPERLINK("https://www.indeed.com/viewjob?jk=b522c762fb15e00f", "https://www.indeed.com/viewjob?jk=b522c762fb15e00f")</f>
        <v/>
      </c>
      <c r="F73">
        <f>HYPERLINK("https://jobs.dayforcehcm.com/en-US/ontrac/CANDIDATEPORTAL/jobs/62072", "https://jobs.dayforcehcm.com/en-US/ontrac/CANDIDATEPORTAL/jobs/62072")</f>
        <v/>
      </c>
      <c r="G73" t="inlineStr">
        <is>
          <t>Phoenix, AZ, US</t>
        </is>
      </c>
      <c r="H73" s="3" t="n">
        <v>46064</v>
      </c>
      <c r="I73" t="inlineStr">
        <is>
          <t>OnTrac is hiring a Product Owner!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This is a fully remote position, with a preference for candidates based in Cleveland, OH; Washington, D.C.; Atlanta, GA; Phoenix, AZ; or Louisville, KY.
**Salary:** $84,000 to 105,000 / year depending on experience and qualifications
**Employment Logistics:**  
The Product Owner partners with Product Management and cross functional teams to translate business needs and stakeholder priorities into a clear, actionable product backlog. Working in a fast paced Agile environment, this role helps ensure teams build the right features in the right order, balancing business value, user needs, and technical considerations. This position offers strong opportunity for growth and advancement within the organization.
**Unpacking the Benefits:**  
We offer a comprehensive benefits package designed to support your health, financial security, and life outside of work.
* Medical, Dental, and Vision insurance; HSA and FSA options
* Life and Disability coverage (basic and voluntary)
* Voluntary Accident, Critical Illness, Identity \&amp; Fraud Protection, Auto \&amp; Home, and Pet Insurance
* Competitive benefits and 401(k) with company match
* Referral Bonus Program \- Up to $500 per referral!
* Paid Time Off including Holiday pay
* Employee Assistance Program \&amp; a Safe and clean work environment
**The Must\-Haves:**  
* Bachelor’s degree and experience working in an Agile environment, preferably as a Product Owner or in a related role
* Familiarity with Agile tools such as Azure DevOps \&amp; Knowledge in UI/UX
* Experience in Logistics preferred
* Willingness to travel up to 10%
**Your Mission in Motion:**  
* Partner on product direction: Collaborate with the Product Manager to understand and execute against the broader product vision and roadmap.
* Translate strategy into action: Break down high level product strategy into clear, well defined backlog items.
* Own backlog quality and priority: Refine, prioritize, and manage the product backlog to maximize team output and customer value.
* Define clear requirements: Write high quality user stories with well defined acceptance criteria that support effective delivery.
* Collaborate cross functionally: Work closely with engineering, QA, design, and other partners to ensure shared understanding and alignment.
* Represent the user: Maintain a strong understanding of user personas, workflows, and needs to guide product decisions.
**Paving your way to your success:**  
* You think in terms of value, ensuring work aligns with business goals, user needs, and technical realities.
* You bring structure to complexity, translating high level ideas into clear, actionable, and well prioritized requirements.
* You communicate clearly and collaboratively, building strong relationships with cross functional teams and stakeholders.
* You thrive in an Agile environment, adapting priorities and decisions as information evolves.
* You stay curious and customer focused, continuously deepening your understanding of user workflows and experience.
If you are excited to be part of our team and grow with our OnTrac family, we invite you to apply!
OnTrac is proud to be an Equal Opportunity Employer
OnTrac is an equal\-opportunity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row>
    <row r="74">
      <c r="A74" t="inlineStr">
        <is>
          <t>in-d748a2040a646fc2</t>
        </is>
      </c>
      <c r="B74" t="inlineStr">
        <is>
          <t>Product Owner - REMOTE</t>
        </is>
      </c>
      <c r="C74" t="inlineStr">
        <is>
          <t>OnTrac</t>
        </is>
      </c>
      <c r="D74" t="inlineStr">
        <is>
          <t>indeed</t>
        </is>
      </c>
      <c r="E74">
        <f>HYPERLINK("https://www.indeed.com/viewjob?jk=d748a2040a646fc2", "https://www.indeed.com/viewjob?jk=d748a2040a646fc2")</f>
        <v/>
      </c>
      <c r="F74">
        <f>HYPERLINK("https://jobs.dayforcehcm.com/en-US/ontrac/CANDIDATEPORTAL/jobs/62072", "https://jobs.dayforcehcm.com/en-US/ontrac/CANDIDATEPORTAL/jobs/62072")</f>
        <v/>
      </c>
      <c r="G74" t="inlineStr">
        <is>
          <t>Cleveland, OH, US</t>
        </is>
      </c>
      <c r="H74" s="3" t="n">
        <v>46064</v>
      </c>
      <c r="I74" t="inlineStr">
        <is>
          <t>OnTrac is hiring a Product Owner!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This is a fully remote position, with a preference for candidates based in Cleveland, OH; Washington, D.C.; Atlanta, GA; Phoenix, AZ; or Louisville, KY.
**Salary:** $84,000 to 105,000 / year depending on experience and qualifications
**Employment Logistics:**  
The Product Owner partners with Product Management and cross functional teams to translate business needs and stakeholder priorities into a clear, actionable product backlog. Working in a fast paced Agile environment, this role helps ensure teams build the right features in the right order, balancing business value, user needs, and technical considerations. This position offers strong opportunity for growth and advancement within the organization.
**Unpacking the Benefits:**  
We offer a comprehensive benefits package designed to support your health, financial security, and life outside of work.
* Medical, Dental, and Vision insurance; HSA and FSA options
* Life and Disability coverage (basic and voluntary)
* Voluntary Accident, Critical Illness, Identity \&amp; Fraud Protection, Auto \&amp; Home, and Pet Insurance
* Competitive benefits and 401(k) with company match
* Referral Bonus Program \- Up to $500 per referral!
* Paid Time Off including Holiday pay
* Employee Assistance Program \&amp; a Safe and clean work environment
**The Must\-Haves:**  
* Bachelor’s degree and experience working in an Agile environment, preferably as a Product Owner or in a related role
* Familiarity with Agile tools such as Azure DevOps \&amp; Knowledge in UI/UX
* Experience in Logistics preferred
* Willingness to travel up to 10%
**Your Mission in Motion:**  
* Partner on product direction: Collaborate with the Product Manager to understand and execute against the broader product vision and roadmap.
* Translate strategy into action: Break down high level product strategy into clear, well defined backlog items.
* Own backlog quality and priority: Refine, prioritize, and manage the product backlog to maximize team output and customer value.
* Define clear requirements: Write high quality user stories with well defined acceptance criteria that support effective delivery.
* Collaborate cross functionally: Work closely with engineering, QA, design, and other partners to ensure shared understanding and alignment.
* Represent the user: Maintain a strong understanding of user personas, workflows, and needs to guide product decisions.
**Paving your way to your success:**  
* You think in terms of value, ensuring work aligns with business goals, user needs, and technical realities.
* You bring structure to complexity, translating high level ideas into clear, actionable, and well prioritized requirements.
* You communicate clearly and collaboratively, building strong relationships with cross functional teams and stakeholders.
* You thrive in an Agile environment, adapting priorities and decisions as information evolves.
* You stay curious and customer focused, continuously deepening your understanding of user workflows and experience.
If you are excited to be part of our team and grow with our OnTrac family, we invite you to apply!
OnTrac is proud to be an Equal Opportunity Employer
OnTrac is an equal\-opportunity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row>
    <row r="75">
      <c r="A75" t="inlineStr">
        <is>
          <t>in-fadb1d5ebd26b877</t>
        </is>
      </c>
      <c r="B75" t="inlineStr">
        <is>
          <t>Product Owner - REMOTE</t>
        </is>
      </c>
      <c r="C75" t="inlineStr">
        <is>
          <t>OnTrac</t>
        </is>
      </c>
      <c r="D75" t="inlineStr">
        <is>
          <t>indeed</t>
        </is>
      </c>
      <c r="E75">
        <f>HYPERLINK("https://www.indeed.com/viewjob?jk=fadb1d5ebd26b877", "https://www.indeed.com/viewjob?jk=fadb1d5ebd26b877")</f>
        <v/>
      </c>
      <c r="F75">
        <f>HYPERLINK("https://jobs.dayforcehcm.com/en-US/ontrac/CANDIDATEPORTAL/jobs/62072", "https://jobs.dayforcehcm.com/en-US/ontrac/CANDIDATEPORTAL/jobs/62072")</f>
        <v/>
      </c>
      <c r="G75" t="inlineStr">
        <is>
          <t>Atlanta, GA, US</t>
        </is>
      </c>
      <c r="H75" s="3" t="n">
        <v>46064</v>
      </c>
      <c r="I75" t="inlineStr">
        <is>
          <t>OnTrac is hiring a Product Owner!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This is a fully remote position, with a preference for candidates based in Cleveland, OH; Washington, D.C.; Atlanta, GA; Phoenix, AZ; or Louisville, KY.
**Salary:** $84,000 to 105,000 / year depending on experience and qualifications
**Employment Logistics:**  
The Product Owner partners with Product Management and cross functional teams to translate business needs and stakeholder priorities into a clear, actionable product backlog. Working in a fast paced Agile environment, this role helps ensure teams build the right features in the right order, balancing business value, user needs, and technical considerations. This position offers strong opportunity for growth and advancement within the organization.
**Unpacking the Benefits:**  
We offer a comprehensive benefits package designed to support your health, financial security, and life outside of work.
* Medical, Dental, and Vision insurance; HSA and FSA options
* Life and Disability coverage (basic and voluntary)
* Voluntary Accident, Critical Illness, Identity \&amp; Fraud Protection, Auto \&amp; Home, and Pet Insurance
* Competitive benefits and 401(k) with company match
* Referral Bonus Program \- Up to $500 per referral!
* Paid Time Off including Holiday pay
* Employee Assistance Program \&amp; a Safe and clean work environment
**The Must\-Haves:**  
* Bachelor’s degree and experience working in an Agile environment, preferably as a Product Owner or in a related role
* Familiarity with Agile tools such as Azure DevOps \&amp; Knowledge in UI/UX
* Experience in Logistics preferred
* Willingness to travel up to 10%
**Your Mission in Motion:**  
* Partner on product direction: Collaborate with the Product Manager to understand and execute against the broader product vision and roadmap.
* Translate strategy into action: Break down high level product strategy into clear, well defined backlog items.
* Own backlog quality and priority: Refine, prioritize, and manage the product backlog to maximize team output and customer value.
* Define clear requirements: Write high quality user stories with well defined acceptance criteria that support effective delivery.
* Collaborate cross functionally: Work closely with engineering, QA, design, and other partners to ensure shared understanding and alignment.
* Represent the user: Maintain a strong understanding of user personas, workflows, and needs to guide product decisions.
**Paving your way to your success:**  
* You think in terms of value, ensuring work aligns with business goals, user needs, and technical realities.
* You bring structure to complexity, translating high level ideas into clear, actionable, and well prioritized requirements.
* You communicate clearly and collaboratively, building strong relationships with cross functional teams and stakeholders.
* You thrive in an Agile environment, adapting priorities and decisions as information evolves.
* You stay curious and customer focused, continuously deepening your understanding of user workflows and experience.
If you are excited to be part of our team and grow with our OnTrac family, we invite you to apply!
OnTrac is proud to be an Equal Opportunity Employer
OnTrac is an equal\-opportunity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row>
    <row r="76">
      <c r="A76" t="inlineStr">
        <is>
          <t>in-c8d7e47ac0ef77ee</t>
        </is>
      </c>
      <c r="B76" t="inlineStr">
        <is>
          <t>Product Owner - REMOTE</t>
        </is>
      </c>
      <c r="C76" t="inlineStr">
        <is>
          <t>OnTrac</t>
        </is>
      </c>
      <c r="D76" t="inlineStr">
        <is>
          <t>indeed</t>
        </is>
      </c>
      <c r="E76">
        <f>HYPERLINK("https://www.indeed.com/viewjob?jk=c8d7e47ac0ef77ee", "https://www.indeed.com/viewjob?jk=c8d7e47ac0ef77ee")</f>
        <v/>
      </c>
      <c r="F76">
        <f>HYPERLINK("https://jobs.dayforcehcm.com/en-US/ontrac/CANDIDATEPORTAL/jobs/62072", "https://jobs.dayforcehcm.com/en-US/ontrac/CANDIDATEPORTAL/jobs/62072")</f>
        <v/>
      </c>
      <c r="G76" t="inlineStr">
        <is>
          <t>Louisville, KY, US</t>
        </is>
      </c>
      <c r="H76" s="3" t="n">
        <v>46064</v>
      </c>
      <c r="I76" t="inlineStr">
        <is>
          <t>OnTrac is hiring a Product Owner!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This is a fully remote position, with a preference for candidates based in Cleveland, OH; Washington, D.C.; Atlanta, GA; Phoenix, AZ; or Louisville, KY.
**Salary:** $84,000 to 105,000 / year depending on experience and qualifications
**Employment Logistics:**  
The Product Owner partners with Product Management and cross functional teams to translate business needs and stakeholder priorities into a clear, actionable product backlog. Working in a fast paced Agile environment, this role helps ensure teams build the right features in the right order, balancing business value, user needs, and technical considerations. This position offers strong opportunity for growth and advancement within the organization.
**Unpacking the Benefits:**  
We offer a comprehensive benefits package designed to support your health, financial security, and life outside of work.
* Medical, Dental, and Vision insurance; HSA and FSA options
* Life and Disability coverage (basic and voluntary)
* Voluntary Accident, Critical Illness, Identity \&amp; Fraud Protection, Auto \&amp; Home, and Pet Insurance
* Competitive benefits and 401(k) with company match
* Referral Bonus Program \- Up to $500 per referral!
* Paid Time Off including Holiday pay
* Employee Assistance Program \&amp; a Safe and clean work environment
**The Must\-Haves:**  
* Bachelor’s degree and experience working in an Agile environment, preferably as a Product Owner or in a related role
* Familiarity with Agile tools such as Azure DevOps \&amp; Knowledge in UI/UX
* Experience in Logistics preferred
* Willingness to travel up to 10%
**Your Mission in Motion:**  
* Partner on product direction: Collaborate with the Product Manager to understand and execute against the broader product vision and roadmap.
* Translate strategy into action: Break down high level product strategy into clear, well defined backlog items.
* Own backlog quality and priority: Refine, prioritize, and manage the product backlog to maximize team output and customer value.
* Define clear requirements: Write high quality user stories with well defined acceptance criteria that support effective delivery.
* Collaborate cross functionally: Work closely with engineering, QA, design, and other partners to ensure shared understanding and alignment.
* Represent the user: Maintain a strong understanding of user personas, workflows, and needs to guide product decisions.
**Paving your way to your success:**  
* You think in terms of value, ensuring work aligns with business goals, user needs, and technical realities.
* You bring structure to complexity, translating high level ideas into clear, actionable, and well prioritized requirements.
* You communicate clearly and collaboratively, building strong relationships with cross functional teams and stakeholders.
* You thrive in an Agile environment, adapting priorities and decisions as information evolves.
* You stay curious and customer focused, continuously deepening your understanding of user workflows and experience.
If you are excited to be part of our team and grow with our OnTrac family, we invite you to apply!
OnTrac is proud to be an Equal Opportunity Employer
OnTrac is an equal\-opportunity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row>
    <row r="77">
      <c r="A77" t="inlineStr">
        <is>
          <t>in-d718eaad12be7604</t>
        </is>
      </c>
      <c r="B77" t="inlineStr">
        <is>
          <t>Program Manager – Privacy Regulatory &amp; Compliance</t>
        </is>
      </c>
      <c r="C77" t="inlineStr">
        <is>
          <t>Intuit</t>
        </is>
      </c>
      <c r="D77" t="inlineStr">
        <is>
          <t>indeed</t>
        </is>
      </c>
      <c r="E77">
        <f>HYPERLINK("https://www.indeed.com/viewjob?jk=d718eaad12be7604", "https://www.indeed.com/viewjob?jk=d718eaad12be7604")</f>
        <v/>
      </c>
      <c r="F77">
        <f>HYPERLINK("https://jobs.intuit.com/job/mountain-view/program-manager-privacy-regulatory-and-compliance/27595/91671563792", "https://jobs.intuit.com/job/mountain-view/program-manager-privacy-regulatory-and-compliance/27595/91671563792")</f>
        <v/>
      </c>
      <c r="G77" t="inlineStr">
        <is>
          <t>San Diego, CA, US</t>
        </is>
      </c>
      <c r="H77" s="3" t="n">
        <v>46064</v>
      </c>
      <c r="I77" t="inlineStr">
        <is>
          <t>Category Legal, Compliance \&amp; Policy
Location Mountain View, California; Atlanta, Georgia; San Diego, California
Job ID 19561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The Program Manager – Privacy Regulatory \&amp; Compliance supports the continued improvement, expansion, and maturation of the Company’s global privacy regulatory and compliance program. This role works closely with privacy attorneys and the broader legal, compliance and technology organizations to help operationalize regulatory requirements, enhance program consistency, and strengthen audit\-ready compliance capabilities as the Company continues to scale.
Reporting to the Head of Privacy Regulatory \&amp; Compliance, this individual will contribute to ongoing efforts to evolve and standardize privacy compliance processes across the U.S. and key international jurisdictions (including Canada, the UK, the EU, and Australia). The Program Manager will play an important execution\-focused role, helping ensure that regulatory requirements are translated into clear workflows, tracked deliverables, and well\-documented outcomes.
This role is well\-suited for a program manager with strong organizational and execution skills, working knowledge of privacy regulations, and experience partnering with legal, technical, and operational teams in a fast\-paced technology environment. The Program Manager is a member of the Data Privacy team within the Company’s Legal, Compliance \&amp; Policy Organization.
 **Responsibilities**
* Support the ongoing maturation and expansion of the Company’s privacy regulatory and compliance program under the direction of Privacy Regulatory \&amp; Compliance leadership
* Assist privacy attorneys in operationalizing regulatory requirements into documented workflows, tracking mechanisms, and compliance artifacts
* Help maintain and improve core privacy compliance processes, including regulatory assessments, PIAs, and data subject rights support
* Track program activities, deliverables, and deadlines to ensure timely execution of privacy compliance initiatives
* Support efforts to enhance documentation, auditability, and consistency across privacy compliance processes and records
* Serve as a day\-to\-day program partner to Privacy Operations, Product, Engineering, Security, and Risk teams, escalating issues and risks as appropriate
* Assist with preparation for regulatory inquiries, internal reviews, and audits by coordinating inputs, maintaining records, and organizing supporting materials
* Identify opportunities to improve efficiency, clarity, and scalability of existing privacy compliance workflows and tools
* Help develop and maintain privacy compliance metrics, dashboards, and periodic reporting for internal stakeholders
* Support adoption and effective use of tools and resources to manage operational privacy compliance
* Drive assigned workstreams and projects through completion in alignment with established priorities, timelines, and guidance from senior team members
 **Qualifications**
* 3–5\+ years of in\-house experience supporting privacy, regulatory, compliance, or risk management programs in a technology\-driven environment
* Demonstrated experience driving end\-to\-end program or project management for cross\-functional initiatives
* Demonstrated success in working with cross\-functional compliance and technical stakeholders, such as Legal, Security, Risk, and product and engineering teams
* Experience working with compliance tools, workflow systems, or documentation repositories to support issue tracking, reporting, and audit readiness
* Strong communication, organizational, and writing skills, including preparation of program documentation, status updates, and stakeholder\-facing materials
* Ability to translate legal and regulatory guidance into practical, well\-documented processes and operational steps, with appropriate supervision
* Technologically adept, with a working knowledge of Generative AI tools and capabilities
* Attention to detail, sound judgment, and the ability to manage multiple priorities in a time\-sensitive environment
* Commitment to diversity, inclusion, empathy, and intellectual curiosity
* BS/BA degree or equivalent experience, preferably in Information Management, Risk, Audit, Compliance, or a related field
Preferred Qualifications
* Working knowledge of global privacy and data protection laws and regulatory frameworks, including U.S. state privacy laws (e.g., CCPA/CPRA, VCDPA etc.), FTC Act/Section 5, GDPR and UK GDPR, PIPEDA, and the Australian Privacy Act
* Experience building or maturing privacy or compliance programs or supporting privacy regulatory compliance across multiple jurisdictions
* Prior experience working closely with privacy counsel or compliance professionals
* Familiarity with data subject rights operations, PIAs, or regulatory readiness activities
* Technical or systems\-oriented background is a plus
* IAPP certification (e.g., CIPP, CIPM, and/or CIPT)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t>
        </is>
      </c>
    </row>
    <row r="78">
      <c r="A78" t="inlineStr">
        <is>
          <t>in-08d1ce233db0037f</t>
        </is>
      </c>
      <c r="B78" t="inlineStr">
        <is>
          <t>Collision Product Owner - Remote within the United States</t>
        </is>
      </c>
      <c r="C78" t="inlineStr">
        <is>
          <t>OEConnection</t>
        </is>
      </c>
      <c r="D78" t="inlineStr">
        <is>
          <t>indeed</t>
        </is>
      </c>
      <c r="E78">
        <f>HYPERLINK("https://www.indeed.com/viewjob?jk=08d1ce233db0037f", "https://www.indeed.com/viewjob?jk=08d1ce233db0037f")</f>
        <v/>
      </c>
      <c r="F78">
        <f>HYPERLINK("https://jobs.dayforcehcm.com/en-US/oec/USCANDIDATEPORTAL/jobs/7336", "https://jobs.dayforcehcm.com/en-US/oec/USCANDIDATEPORTAL/jobs/7336")</f>
        <v/>
      </c>
      <c r="G78" t="inlineStr">
        <is>
          <t>Remote, US</t>
        </is>
      </c>
      <c r="H78" s="3" t="n">
        <v>46064</v>
      </c>
      <c r="I78"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About The Role
We’re looking for a collaborative, customer\-focused Product Owner to support our Collision product portfolio. In this role, you’ll contribute across the full software product lifecycle, helping shape the roadmap, refine requirements, and bring innovative solutions to market. You’ll serve as the voice of the customer and business while partnering closely with engineering, UX/UI, and cross\-functional teams to deliver high\-impact product experiences.
What You’ll Do
* Own and maintain a well\-prioritized, continuously groomed product backlog that guides scrum teams and supports delivery across the product lifecycle.
* Help execute the Collision product vision by identifying priorities, anticipating customer needs, and evaluating product performance and progress.
* Translate roadmap initiatives into clear, actionable features and collaborate with Product Managers to prioritize and deliver releasable product increments.
* Write high\-quality user stories with well\-defined acceptance criteria to ensure clarity and alignment across teams.
* Gather and synthesize feedback from customers, users, and dealer partners to inform enhancements and future roadmap direction.
* Document workflows and requirements to clearly communicate functionality, processes, and business value.
* Partner with UI/UX teams to develop wireframes and design concepts, and work closely with engineering leads in agile ceremonies and reviews.
* Support go\-to\-market readiness by informing customer\-facing teams of new releases and ensuring internal and external documentation (including release notes) is accurate and up to date.
* Assist with launch planning, including communications, documentation, and knowledge transfer for internal and external stakeholders.
* Collaborate with internal teams to review, triage, and provide product input on client tickets and enhancement requests.
* Define and track success metrics for product and feature releases, monitoring performance post\-launch and identifying opportunities for improvement.
What You Bring
Education
Bachelor’s degree in business, marketing, computer science, software engineering, or a related field preferred. Equivalent relevant experience may be considered in lieu of a degree.
Experience \&amp; Skills
* 4\+ years of experience in a product or product owner role within a software or technology environment.
* Strong ability to partner with customers and stakeholders to translate business needs into product solutions.
* Excellent written and verbal communication skills, with the ability to tailor messaging to different audiences.
* Analytical mindset with strong business acumen; able to define problems, interpret data, and recommend solutions.
* Proven ability to manage multiple priorities, build strong cross\-functional relationships, and thrive in a collaborative environment.
* Self\-starter with a strong sense of ownership and a continuous improvement mindset.
* Experience working in agile/scrum environments preferred.
Travel
Occasional travel (approximately 10–15%) may be required to support customer engagement, team collaboration, and product initiatives.
Why Join Us
You’ll play a key role in shaping products that directly impact customers and the business, working alongside collaborative teams in a fast\-moving, innovation\-focused environment.
**What We Offer:**  
* Full benefits starting Day 1: Medical, Dental, and Vision
* 401(k) with company match
* Unlimited Flex Time Off plus 10 company\-paid holidays
* Remote\-first role with monthly communication stipend
* Professional development programs, tuition assistance, and quarterly book program
* Free wellness coaching and pet insurance
* Home office equipment stipend
* Employee resource groups and exclusive employee discounts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79">
      <c r="A79" t="inlineStr">
        <is>
          <t>in-78b7d15d89472fde</t>
        </is>
      </c>
      <c r="B79" t="inlineStr">
        <is>
          <t>Collision Product Owner - Remote within the United States</t>
        </is>
      </c>
      <c r="C79" t="inlineStr">
        <is>
          <t>OEConnection</t>
        </is>
      </c>
      <c r="D79" t="inlineStr">
        <is>
          <t>indeed</t>
        </is>
      </c>
      <c r="E79">
        <f>HYPERLINK("https://www.indeed.com/viewjob?jk=78b7d15d89472fde", "https://www.indeed.com/viewjob?jk=78b7d15d89472fde")</f>
        <v/>
      </c>
      <c r="F79">
        <f>HYPERLINK("https://jobs.dayforcehcm.com/en-US/oec/USCANDIDATEPORTAL/jobs/7336", "https://jobs.dayforcehcm.com/en-US/oec/USCANDIDATEPORTAL/jobs/7336")</f>
        <v/>
      </c>
      <c r="G79" t="inlineStr">
        <is>
          <t>US</t>
        </is>
      </c>
      <c r="H79" s="3" t="n">
        <v>46064</v>
      </c>
      <c r="I79" t="inlineStr">
        <is>
          <t>OEC provides software solutions to those who work in the automotive parts and repair industry. Our solutions make it easier for automotive industry professionals to buy and sell parts, conduct repair research \&amp; planning, optimize estimates, improve the parts supply chain, and more. OEC partners with many of the world’s largest manufacturers, dealers and suppliers, shops and repairers, and service providers, giving our customers access to a comprehensive network and a streamlined workflow.
About The Role
We’re looking for a collaborative, customer\-focused Product Owner to support our Collision product portfolio. In this role, you’ll contribute across the full software product lifecycle, helping shape the roadmap, refine requirements, and bring innovative solutions to market. You’ll serve as the voice of the customer and business while partnering closely with engineering, UX/UI, and cross\-functional teams to deliver high\-impact product experiences.
What You’ll Do
* Own and maintain a well\-prioritized, continuously groomed product backlog that guides scrum teams and supports delivery across the product lifecycle.
* Help execute the Collision product vision by identifying priorities, anticipating customer needs, and evaluating product performance and progress.
* Translate roadmap initiatives into clear, actionable features and collaborate with Product Managers to prioritize and deliver releasable product increments.
* Write high\-quality user stories with well\-defined acceptance criteria to ensure clarity and alignment across teams.
* Gather and synthesize feedback from customers, users, and dealer partners to inform enhancements and future roadmap direction.
* Document workflows and requirements to clearly communicate functionality, processes, and business value.
* Partner with UI/UX teams to develop wireframes and design concepts, and work closely with engineering leads in agile ceremonies and reviews.
* Support go\-to\-market readiness by informing customer\-facing teams of new releases and ensuring internal and external documentation (including release notes) is accurate and up to date.
* Assist with launch planning, including communications, documentation, and knowledge transfer for internal and external stakeholders.
* Collaborate with internal teams to review, triage, and provide product input on client tickets and enhancement requests.
* Define and track success metrics for product and feature releases, monitoring performance post\-launch and identifying opportunities for improvement.
What You Bring
Education
Bachelor’s degree in business, marketing, computer science, software engineering, or a related field preferred. Equivalent relevant experience may be considered in lieu of a degree.
Experience \&amp; Skills
* 4\+ years of experience in a product or product owner role within a software or technology environment.
* Strong ability to partner with customers and stakeholders to translate business needs into product solutions.
* Excellent written and verbal communication skills, with the ability to tailor messaging to different audiences.
* Analytical mindset with strong business acumen; able to define problems, interpret data, and recommend solutions.
* Proven ability to manage multiple priorities, build strong cross\-functional relationships, and thrive in a collaborative environment.
* Self\-starter with a strong sense of ownership and a continuous improvement mindset.
* Experience working in agile/scrum environments preferred.
Travel
Occasional travel (approximately 10–15%) may be required to support customer engagement, team collaboration, and product initiatives.
Why Join Us
You’ll play a key role in shaping products that directly impact customers and the business, working alongside collaborative teams in a fast\-moving, innovation\-focused environment.
**What We Offer:**  
* Full benefits starting Day 1: Medical, Dental, and Vision
* 401(k) with company match
* Unlimited Flex Time Off plus 10 company\-paid holidays
* Remote\-first role with monthly communication stipend
* Professional development programs, tuition assistance, and quarterly book program
* Free wellness coaching and pet insurance
* Home office equipment stipend
* Employee resource groups and exclusive employee discounts
What makes working at OEC awesome? It varies from employee to employee. For some, it's the flexibility \- whether it's remote work or a hybrid or in\-person role, OEC takes our teams across multiple time zones and international communities. For others, it's the strong sense of camaraderie and community that celebrates both individuals and team\-driven contributions. Or it could be the empowerment and how the team is encouraged to take risks, learn, and grow within a dynamic and supportive environment. But no matter what gets us out of bed in the morning, our whole global community is inspired to be forward thinking and drive innovative solutions for the automotive parts and repair industry.
OEConnection is subject to certain governmental recordkeeping and reporting requirements for the administration of civil rights laws and regulations. In order to comply with these laws, we invite applicants and employees to voluntarily self\-identify their gender, race and ethnicity. Submission of this information is strictly voluntary and refusal to provide it will not subject you to any adverse treatment. The information obtained will be kept confidential and may only be used in accordance with the provision of applicable laws, executive orders, and regulations, including those that require the information to be summarized and reported to the federal government for civil rights enforcement. When reported, data will not identify any specific individual. This information will be maintained separately from your application for employment. If you do not wish to self\-identify at this time, you may do so in the future by submitting this form. Failure to provide the following information will not subject you to any adverse action or treatment. OEConnection is an Equal Opportunity/ Affirmative Action employer. We provide equal employment opportunities to all qualified employees and applicants for employment without regard to race, religion, sex, age, marital status, national origin, sexual orientation, citizenship status, veteran status, disability or any other legally protected status. We prohibit discrimination in decisions concerning recruitment, hiring, compensation, benefits, training, termination, promotions, or any other condition of employment or career development.</t>
        </is>
      </c>
    </row>
    <row r="80">
      <c r="A80" t="inlineStr">
        <is>
          <t>in-ed2a24aa33f0aede</t>
        </is>
      </c>
      <c r="B80" t="inlineStr">
        <is>
          <t>Senior Staff Technical Program Manager</t>
        </is>
      </c>
      <c r="C80" t="inlineStr">
        <is>
          <t>Intuit</t>
        </is>
      </c>
      <c r="D80" t="inlineStr">
        <is>
          <t>indeed</t>
        </is>
      </c>
      <c r="E80">
        <f>HYPERLINK("https://www.indeed.com/viewjob?jk=ed2a24aa33f0aede", "https://www.indeed.com/viewjob?jk=ed2a24aa33f0aede")</f>
        <v/>
      </c>
      <c r="F80">
        <f>HYPERLINK("https://jobs.intuit.com/job/mountain-view/senior-staff-technical-program-manager/27595/91671563840", "https://jobs.intuit.com/job/mountain-view/senior-staff-technical-program-manager/27595/91671563840")</f>
        <v/>
      </c>
      <c r="G80" t="inlineStr">
        <is>
          <t>Mountain View, CA, US</t>
        </is>
      </c>
      <c r="H80" s="3" t="n">
        <v>46064</v>
      </c>
      <c r="I80" t="inlineStr">
        <is>
          <t>Category Program Management \&amp; Business Operations
Location Mountain View, California
Job ID 19508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Come join Intuit’s Go\-To\-Market Technology (GTM Tech) Platform team as a Senior Staff Technical Program Manager. We are looking for creative problem solvers to serve as a program leader, with responsibility for overall program delivery and success. Help the team develop and manage our highest impacting programs to accelerate our mission of powering prosperity around the world. If you’re passionate about building platforms at scale that help transform the lives of consumers, small businesses and accountants, we would love to have you join our team as a TPM for GTM Tech Platform.
As a program manager on the team, you will be enabling technology teams of Go\-To\-Market org at Intuit to acquire, monetize, and retain customers for industry leading Intuit products such as QuickBooks, TurboTax and MailChimp. We are looking for candidates who have strong program management experience with deep technical understanding, customer empathy, strong execution capability, and a track record of building strong business partnerships and delivering impactful business results.  
Intuit has embraced a hybrid working model with the expectation of working from our Mountain View office 3 days per week.
 **Responsibilities**
* Lead with Influence: Drive strategic programs in partnership with VP\+ leaders, accelerating business outcomes and ensuring alignment with Intuit's overall strategy.
* Ready to take on more responsibility? You'll play a key role in shaping Intuit's overall strategy, leading initiatives with company\-wide impact, and influencing strategic direction at the highest levels.
* Champion Change: Foster a culture of collaboration and open communication, effectively navigating organizational change and driving continuous improvement.
* Are you a natural influencer? You'll lead transformational change across Intuit, influencing senior leadership and driving adoption of new strategies, technologies, and organizational structures.
* Deliver Exceptional Results: Develop and execute high\-quality program plans, utilizing data to track progress, mitigate risks, and communicate effectively with stakeholders.
 **Qualifications**
* Proven Leadership: 12\+ years of experience building, leading and delivering complex, large\-scale technical programs within a matrixed organization.
* Technical Acumen: Strong understanding of software development approaches, architecture, and lifecycles. Experience with Agile methodologies is highly desired.
* Strategic Thinker: Ability to analyze industry trends, understand Intuit's strategy, and make data\-driven decisions that accelerate business outcomes.
* Operating at Scale: Manage multiple programs effectively, demonstrating the ability to focus on or broaden out from details as required.
* Exceptional Communicator: Excellent communication and interpersonal skills, with the ability to influence at all levels in a matrix organization, from individual contributors to senior executives.
* Data\-Driven Mindset: Ability to gather, analyze, and utilize data to assess program progress, identify risks, and drive decision\-making. Familiarity with data analytics and AI/ML concepts is a plus.
* Education: Bachelor's degree in Computer Science, Engineering, or a related field, or equivalent work experience. PMP, Agile certifications or equivalent demonstrated practical technical program management experience is desired.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$193,500 \- $262,000 USD</t>
        </is>
      </c>
    </row>
    <row r="81">
      <c r="A81" t="inlineStr">
        <is>
          <t>in-a00d09ea92607481</t>
        </is>
      </c>
      <c r="B81" t="inlineStr">
        <is>
          <t>Staff Product Manager - Data Platform</t>
        </is>
      </c>
      <c r="C81" t="inlineStr">
        <is>
          <t>Intuit</t>
        </is>
      </c>
      <c r="D81" t="inlineStr">
        <is>
          <t>indeed</t>
        </is>
      </c>
      <c r="E81">
        <f>HYPERLINK("https://www.indeed.com/viewjob?jk=a00d09ea92607481", "https://www.indeed.com/viewjob?jk=a00d09ea92607481")</f>
        <v/>
      </c>
      <c r="F81">
        <f>HYPERLINK("https://jobs.intuit.com/job/mountain-view/staff-product-manager-data-platform/27595/91664700144", "https://jobs.intuit.com/job/mountain-view/staff-product-manager-data-platform/27595/91664700144")</f>
        <v/>
      </c>
      <c r="G81" t="inlineStr">
        <is>
          <t>Mountain View, CA, US</t>
        </is>
      </c>
      <c r="H81" s="3" t="n">
        <v>46064</v>
      </c>
      <c r="I81" t="inlineStr">
        <is>
          <t>Category Product Management
Location Mountain View, California
Job ID 19348
Company Overview
Intuit is the global financial technology platform that powers prosperity for the people and communities we serve. With approximately 100 million customers worldwide using products such as TurboTax, Credit Karma, QuickBooks, and Mailchimp, we believe that everyone should have the opportunity to prosper. We never stop working to find new, innovative ways to make that possible.
Job Overview
Intuit is a global technology platform that helps our customers and communities overcome their most important financial challenges. We help give over 50 million consumers, small business, and self\-employed customers around the world the opportunity to prosper.
Our PDX DnA product management team is at the forefront of transforming Intuit into an AI\-driven expert platform.
Our team is building the products, workflows, and methodologies that will be used to profoundly change the way we all manage our financial lives. To tackle this momentous initiative and achieve our ambitious goals, we are looking for a stellar Staff Product Manager. We will be revolutionizing how internal customers consume and produce data.
Our new Staff Product Manager will focus on evolving our Data Lake platform services to solve some of our biggest customer problems while strengthening security \&amp; compliance and providing our customers with delightful experiences.
 **Responsibilities**
* Must be an SME either in the field of data processing, data consumption, data movement, or data persistence.
* Deep understanding of Lakehouse architecture and Databricks workflows.
* Deeply understand customer problems and needs leveraging follow\-me\-home research, usability studies, first\-hand interviews, customer feedback, experiments, and usage/adoption metrics.
* Demonstrate strong communication and leadership skills with engineering, architecture teams, and business stakeholders.
* Own your product. Set a clear vision, define your roadmap and share with cross functional teams
* Inspire and lead your team and others to execute and deliver your vision and solutions to solve customers’ biggest problems.
* Ruthlessly prioritize your team’s backlog to ensure your team is making maximum customer impact.
* Identify, design, experiment, and iterate on product capabilities leveraging customers/end users’ feedback, behavioral customer data, and market research.
* Define and analyze key success metrics to support and inform product decisions.
* Drive product development with cross\-functional teams to deliver high\-impact customer experiences quickly.
 **Qualifications**
* Experience in one or more of the following: user behavior data collection capabilities (realtime, clickstream), data access management, data lake, data mesh, data lineage to solve data problems for customers.
* 5\+ years of experience as a Product Manager in a modern, data\-driven environment.
* Experience in building self\-serve products from scratch. Specific experience with building products for data definition, SDKs and APIs for software developers
* Strong ability to think through unifying elements and common denominators; dream up user workflows \&amp; interfaces; translate it all into engineering\-ready user stories; and work with product designers to create a self\-serve products
* Familiarity with Big Data frameworks and Domain Driven Design approaches to data as a product.
* Data driven approach for everything you do, understanding your customers, roadmap prioritization and measuring success.
* Ability to work in an agile fashion with your teams; go broad to go narrow; build, test, iterate.
* Ability to nurture various projects in parallel, in different stages of maturity and velocity.
* Undergraduate degree required in Computer Science, Artificial Intelligence, Machine Learning, or a related technical discipline (equivalent professional experience will be considered); advanced degree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$180,500\-$244,000</t>
        </is>
      </c>
    </row>
    <row r="82">
      <c r="A82" t="inlineStr">
        <is>
          <t>in-d8335a15de81434e</t>
        </is>
      </c>
      <c r="B82" t="inlineStr">
        <is>
          <t>Sr. Program Manager</t>
        </is>
      </c>
      <c r="C82" t="inlineStr">
        <is>
          <t>NRG Energy</t>
        </is>
      </c>
      <c r="D82" t="inlineStr">
        <is>
          <t>indeed</t>
        </is>
      </c>
      <c r="E82">
        <f>HYPERLINK("https://www.indeed.com/viewjob?jk=d8335a15de81434e", "https://www.indeed.com/viewjob?jk=d8335a15de81434e")</f>
        <v/>
      </c>
      <c r="F82">
        <f>HYPERLINK("https://career4.successfactors.com/career?company=C0004920031P&amp;career_ns=job_listing&amp;career_job_req_id=43282&amp;source=Indeed", "https://career4.successfactors.com/career?company=C0004920031P&amp;career_ns=job_listing&amp;career_job_req_id=43282&amp;source=Indeed")</f>
        <v/>
      </c>
      <c r="G82" t="inlineStr">
        <is>
          <t>Lehi, UT, US</t>
        </is>
      </c>
      <c r="H82" s="3" t="n">
        <v>46064</v>
      </c>
      <c r="I82" t="inlineStr">
        <is>
          <t>Welcome to the intersection of energy and home services. At NRG, we’re driven by our passion to create a smarter, cleaner and more connected future.
Vivint Smart Home, an NRG owned company, is a leading smart home company in the United States, dedicated to redefining the home experience with intelligent products and services. We find purpose in proactively protecting and keeping our customers connected to home, no matter where they are. Join the Smart Home team to create smarter, safer and more sustainable homes.
Sr Program Manger
JOB DESCRIPTION
Our mission is to redefine the home experience with tech and services to create a smarter, greener, safer home that saves our customers money every month.
 **Summary:**
In this role, the Sr Program Manager will work with a high performing teams in Vivint Smart Home’s Innovation group, leading them to deliver innovative products and services, to deliver outcomes while contributing to improving the way we work together. The focus of this role is to run the Multiple Teams, in the Smart Home Ecosystem Vertical (Virtual Power Plant programs and Energy Management AI programs), Hardware, Software and Embedded Developers, capable with Waterfall and Agile Ceremonies.
The Program Manager will lead Programs within the Ecosystem vertical, while working closely with product management, hardware engineering, software engineering, UX, QA, as well as Vivint’s broader operational groups (supply chain, operations, IT, marketing, finance, customer care, field, etc). This role will be focused on delivering new features and advanced automation capabilities to our customer, while also maintaining products belonging to this team.
 **Primary Responsibilities:**
* Accountable for the plan, schedule and budget for your assigned program and projects. Understand priorities and create clear plans to deliver. Communicate with stakeholders and partners. Set and meet commitments. Set specific release dates and milestones with the team and keep them focused on those accountabilities while communicating needs for support or issues that put those at risk.
* Partner with engineering teams to deliver working solutions in software, products and systems. Set schedules and create strong execution plans to develop products and features to bring to market. Partner with the Product, Engineering, Supply Chain, external partners and Operations team to drive the program. Work across teams to review proposed scope and provide Level of Effort (LOE) estimates as well as suitable tradeoffs for quality and business risk.
* Create appropriate communications to update the business regularly on status, risks and support needed to be successful for the portfolio of programs. Provide weekly status updates communicating progress towards commitment in terms of scope, schedule, and cost.
* Lead the team to identify risks up front, manage and mitigate them and monitor residual risks and any issues that arise regularly. Track tasks and lead a culture of accountability in the team and across the business. Setup excellent change and risk management practices to keep work on track.
* Facilitate and chair relevant program meetings, participate in agile activities where appropriate, develop communications and deliver to stakeholders. Hold regular risk reviews and accountability tracking meetings. Work with stakeholders as risks and issues arise. Develop partner relationships and manage performance of partners relating to program delivery. Work with team to monitor and keep program on track or escalate risk and support needed as required.
* Draw on professional experience of scheduling, risk and task tracking platforms (MS PROJECT, SMARTSHEETS, EXCEL, etc) as well as content and engineering tracking systems (e.g. JIRA, CONFLUENCE, SHAREPOINT, etc)
* A bias to strong leadership, communication and interpersonal skills will exist in assessing success in this role along with the ability to work in a fast\-paced environment where change and pivots to priorities occur occasionally.
 **Required Skills:**
* Experience in software and hardware delivery for consumer devices or consumer markets. Team Leadership, ability to establish a leadership identity within the respective groups and overall stakeholder organizations and partners.
* Demonstrate the ability and track record of leading in project delivery and excellence in communication.
* Demonstrate passion to succeed, inspire and motivate the team.
* Strong negotiation skills as well as ability to facilitate informed and timely decisions and mediating tradeoffs with various groups to deliver a product on time and ready for market.
* Deliver clear, concise professional verbal and written communication that is appropriate to the situation and audience. Including commitment to transparency, and stakeholder\-based communication.
* Exceptional collaboration, listening, written and verbal communication skills, including an ability to clearly communicate with both business and technical audiences.
* Encourage participation \&amp; decision\-making by all team members and effectively manage group dynamics.
 **Required Education/Experience:**
* Min. 10\+ years professional experience leading large programs, including hardware, mobile platform, embedded systems and cloud based projects is highly desired.
* Hardware experience is not mandatory but a clear aptitude and willingness to work with those domains is desired.
* Bachelors' degree in Business, Engineering or a related field with formal project management training (PMP, CSM or similar qualifications). SAFe certification, and MBA degree highly preferred.
* Strong preference for experience with devices, consumer electronics, manufacturing and consumer facing hardware, software and mobile products.
* Track record of leading others \&amp; positive change in project definition, project delivery, and process improvement.
* Working experience with project methodologies such as agile, scrum and sprint planning, and related hardware development processes or framework awareness.
* Past success in creating high performance teams, inspiring and empowering them to achieve results.
* “Owner’s attitude”, including a willingness to tackle complex problems through to solution.
* Ability to work both independently and cross\-function with minimal supervision.
* Ability to multi\-task priorities and initiatives.
Learn about the Vivint Culture and why it’s a great place to grow your career!
Here are some highlighted perks you should ask us about:
* Free daily lunch and drinks on site
* Paid holidays and flexible paid time away
* Employee/Friends/Family Discounts
* Onsite health clinic, gym, gaming tables
* Medical/dental/vision/life coverage \&amp; 24/7 Medical Hotline
* 401(k) \+ Employer Match
* Employee Resource Groups
NRG Energy is committed to a drug and alcohol\-free workplace. To the extent permitted by law and any applicable collective bargaining agreement, employees are subject to periodic random drug testing, and post\-accident and reasonable suspicion drug and alcohol testing. EOE AA M/F/Vet/Disability. Level, Title and/or Salary may be adjusted based on the applicant's experience or skills.
Official description on file with Talent.</t>
        </is>
      </c>
    </row>
    <row r="83">
      <c r="A83" t="inlineStr">
        <is>
          <t>in-dbc5bd07beaf00a1</t>
        </is>
      </c>
      <c r="B83" t="inlineStr">
        <is>
          <t>Program Manager (Data Center Lead)</t>
        </is>
      </c>
      <c r="C83" t="inlineStr">
        <is>
          <t>BGIS</t>
        </is>
      </c>
      <c r="D83" t="inlineStr">
        <is>
          <t>indeed</t>
        </is>
      </c>
      <c r="E83">
        <f>HYPERLINK("https://www.indeed.com/viewjob?jk=dbc5bd07beaf00a1", "https://www.indeed.com/viewjob?jk=dbc5bd07beaf00a1")</f>
        <v/>
      </c>
      <c r="F83">
        <f>HYPERLINK("https://fa-evcg-saasfaprod1.fa.ocs.oraclecloud.com/hcmUI/CandidateExperience/fr-CA/sites/CX_1/requisitions/preview/228935", "https://fa-evcg-saasfaprod1.fa.ocs.oraclecloud.com/hcmUI/CandidateExperience/fr-CA/sites/CX_1/requisitions/preview/228935")</f>
        <v/>
      </c>
      <c r="G83" t="inlineStr">
        <is>
          <t>Phoenix, AZ, US</t>
        </is>
      </c>
      <c r="H83" s="3" t="n">
        <v>46064</v>
      </c>
      <c r="I83" t="inlineStr">
        <is>
          <t>BGIS is currently seeking a **Program Manager (Data Center Lead)** to join the team in Phoenix, **AZ.**
BGIS is a leading provider of integrated facility management, project management, energy \&amp; sustainability, and real estate services. With a team of over 7,000 globally, we inspire better business performance by creating optimized, client\-focused environments. Join us to make an impact in a collaborative, innovative workplace.
As the **Program Manager (Data Center Lead)** , you’ll oversee daily operations and white space projects for PayPal’s data centers, acting as the primary liaison with Data Center Managers. You’ll lead a team of technicians, manage critical tasks, and ensure high\-quality service delivery while maintaining compliance with client SLAs.
Key Responsibilities
**Team Leadership** :
* Lead, mentor, and coach team members to achieve performance goals and foster professional growth.
* Conduct daily huddles and provide onboarding and hands\-on data center training.
* Monitor team performance to ensure timely, high\-quality client service.
**Operational Oversight** :
* Perform daily data center walk\-throughs to assess operations and identify issues.
* Manage the ServiceNow ticketing queue, prioritizing and scheduling tasks to meet/exceed SLAs.
* Oversee physical installation and power\-up (Rack \&amp; Stack) of servers, peripherals, and network equipment.
* Conduct and delegate quality checks to maintain operational standards.
**Project \&amp; Process Management** :
* Participate in SOP development and meetings to enhance operational efficiency.
* Contribute to corporate initiatives and ensure timely completion of assigned tasks.
* Collaborate with clients and service providers to plan and execute data center projects.
Qualifications
* **Education** : High School Diploma or equivalent.
**Experience** :
* Minimum 3 years in IT/networking systems with technical/operational roles in a data center environment or equivalent.
* Experience in dynamic colocation and managed services environments.
* **Certifications** : At least 1 technical certification or equivalent work experience.
**Technical Skills** :
* Strong knowledge of data center architectures (equipment cabinets, containment, power distribution, computer/network systems, cabling, communications).
* Understanding of core infrastructure (power, cooling, fire protection) and raised floor equipment standards.
* Proficiency in DCIM principles and ServiceNow.
**Soft Skills** :
* Excellent verbal and written communication for diverse audiences.
* Strong customer service, collaboration, and team\-building skills.
* Ability to prioritize tasks and work effectively in a fast\-paced environment.
**Physical Demands \&amp; Work Environment**
* Ability to walk job sites and work at heights (preferred).
* Flexibility to work all shift schedules (7x24x365\) and respond to off\-hour emergency calls.
* Reasonable accommodations available for qualified individuals with disabilities.
Visit bgis.com/us/careers to apply and learn more.
The salary range for this position in the US is $80K \- $85K / Annual
A candidate’s salary offer is determined by various factors including, but not limited to, relevant work experience, knowledge, skills, abilities, education, certifications, licenses, and location.
BGIS offers a comprehensive benefits package including medical, dental, vision, prescription coverage, health savings account, flexible spending account (both healthcare and dependent), 401(k) with a Company match, Paid Time Off, paid company holidays, short term and long\-term disability, life insurance, employee assistance program, tuition reimbursement, paid parental leave, gym membership discount and team member referral bonus.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the source of our strength has always been.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
*\#LI\-Remote*</t>
        </is>
      </c>
    </row>
    <row r="84">
      <c r="A84" t="inlineStr">
        <is>
          <t>in-f23c9ef40f0a8c7a</t>
        </is>
      </c>
      <c r="B84" t="inlineStr">
        <is>
          <t>Facility Program Manager (Whitespace Engineering and Facility Coordinator)</t>
        </is>
      </c>
      <c r="C84" t="inlineStr">
        <is>
          <t>BGIS</t>
        </is>
      </c>
      <c r="D84" t="inlineStr">
        <is>
          <t>indeed</t>
        </is>
      </c>
      <c r="E84">
        <f>HYPERLINK("https://www.indeed.com/viewjob?jk=f23c9ef40f0a8c7a", "https://www.indeed.com/viewjob?jk=f23c9ef40f0a8c7a")</f>
        <v/>
      </c>
      <c r="F84">
        <f>HYPERLINK("https://fa-evcg-saasfaprod1.fa.ocs.oraclecloud.com/hcmUI/CandidateExperience/fr-CA/sites/CX_1/requisitions/preview/228936", "https://fa-evcg-saasfaprod1.fa.ocs.oraclecloud.com/hcmUI/CandidateExperience/fr-CA/sites/CX_1/requisitions/preview/228936")</f>
        <v/>
      </c>
      <c r="G84" t="inlineStr">
        <is>
          <t>Las Vegas, NV, US</t>
        </is>
      </c>
      <c r="H84" s="3" t="n">
        <v>46064</v>
      </c>
      <c r="I84" t="inlineStr">
        <is>
          <t>BGIS is looking for a **Facility Program Manager** to join the team in **Las Vegas, NV.**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The Facility Program Manager (Whitespace Engineering and Site Coordinator) supports client operations with the day\-to\-day coordination and implementation of activities pertaining to the oversight of white space deployment and engineering. This individual will also serve as the primary liaison for data center operations, including site audits and vendor management activities
White Space Engineering \&amp; Program Management
* **White Space Oversight** : Provide comprehensive oversight and coordination of white space activities including vendor management, rack and stack operations, infrastructure cabling, placement, cooling, and power deployments
* **Design \&amp; Engineering** : Design, engineer, and coordinate build\-out of white space deployments including cabinets, racks, structured cabling, power distribution from bus or receptacle to power strips, and air containment systems
* **Power Management** : Support and manage rack and hardware SKU power allocation, documentation, and validation to ensure optimal capacity utilization
* **Code Compliance** : Document electrical installations and decommissions requiring local authority sign\-off, ensuring all installations meet or exceed local code requirements
* **Stakeholder Coordination** : Coordinate with various stakeholders and local authorities having jurisdiction for installation and power rack approvals
* **Technical Problem Solving** : Analyze and resolve complex white space deployment issues, providing innovative solutions to technical challenges
Vendor Management \&amp; Access Control
* **Vendor Activity Coordination** : Oversee and manage all vendor activities within data center facilities, ensuring compliance with security protocols and operational procedures
* **Data Center Vendor Management** : Manage vendors operating in data center spaces, including performance monitoring and contract compliance
* **Access Management** : Facilitate orientation processes for new team members and visitors.
* **Access Provisioning \&amp; Removal** : Coordinate timely granting and revocation of data center access credentials for personnel and visitors based on business requirements and security protocols
Project Management \&amp; Financial Oversight
* **Project Coordination** : Manage white space deployment projects from initiation through completion, ensuring adherence to timelines, budgets, and quality standards
* **Timeline Management** : Develop and maintain project schedules, coordinate resources, and ensure timely project delivery
* **Invoice Management** : Manage projects and ensure timely invoicing, verify receipt and completeness of services and materials before approving vendor invoices
* **Financial Reconciliation** : Ensure accuracy of invoice totals against purchase order balances and contracted rates
* **Purchase Order Management** : Track PO status, delivery confirmations, and budget utilization
Client Relations \&amp; Communication
* **Primary Client Interface** : Serve as the primary point of contact with client Data Center Managers for all white space projects and facility operations
* **Client Issue Management** : Document, manage, and appropriately escalate project and client issues and concerns through proper channels
* **Progress Reporting** : Provide ongoing updates to internal teams and clients regarding white space deployment project status and progress
* **Technical Communication** : Explain complex technical information in clear, understandable terms to both internal team members and external clients
* **Industry Trends** : Evaluate industry trends as new standards emerge for best practices, coordinate opportunities with clients and share applicable information
Audit Support \&amp; Compliance
* **Site Audit Liaison** : Serve as primary point of contact between colocation (COLO) providers and internal audit teams during facility assessments
* **Audit Coordination** : Schedule, facilitate, and support site audits, ensuring all required documentation and access is available
* **Recommendation Tracking** : Maintain comprehensive tracking systems for audit recommendations, monitor implementation progress, and provide regular status updates
* **Communication Management** : Ensure clear, timely communication of audit findings, remediation plans, and completion status to audit teams and Data Center Services (DCS) team
Space \&amp; Power Management
* **Service Request Support** : Process and coordinate service requests within client spaces, ensuring timely resolution and client satisfaction
* **Space Planning** : Review and analyze space and power requests to optimize facility utilization and capacity planning
* **Rack Preparation** : Ensure physical spaces are properly prepared for incoming equipment installations, including power, cooling, and network connectivity
* **Capacity Forecasting** : Monitor and maintain awareness of projected space requirements, capacity forecasts, and potential space givebacks
* **Change Management** : Provide comprehensive support throughout the change management process, ensuring all modifications follow established protocols and documentation requirements
Knowledge \&amp; Skills Education \&amp; Experience
* Bachelor's degree in Business, Facilities Management, Engineering, or equivalent field of study, OR equivalent combination of education and work experience
* Minimum 5 years of experience in facility management, data center operations, or related technical field
* Experience with vendor management and contract administration
* Working knowledge of data center operations and system configurations
* Knowledge of fundamental electrical and mechanical data center operations
Technical Skills
* **Electrical \&amp; Mechanical Knowledge** : Ability to read and understand electrical and mechanical one\-line diagrams
* **Software Proficiency** : Intermediate knowledge of Microsoft Office Suite including Word, Excel, Outlook, and Visio, along with working knowledge of SharePoint
* **Facility Management Systems** : Proficiency in facility management software systems and databases
* **Change Management** : Understanding of change management processes and ITIL frameworks
* **Standards Knowledge** : Knowledge of data center standards and best practices (ASHRAE, TIA\-942, etc.)
* **Infrastructure Understanding** : Familiarity with electrical systems, HVAC, critical infrastructure components, and white space engineering
Core Competencies
* **Communication** : Excellent written and verbal communication skills with ability to interact professionally with diverse stakeholders and explain technical concepts clearly
* **Organization** : Strong organizational and time management skills with ability to prioritize multiple concurrent projects
* **Self\-Management** : Self\-driven with high proficiency in time management and independent work capability
* **Attention to Detail** : High level of accuracy in documentation, financial reconciliation, and compliance tracking
* **Problem Solving** : Advanced analytical thinking and problem\-solving abilities to address complex operational and technical challenges
* **Process Management** : Experience and understanding in procedure and process development (authoring, reviewing, approving, and executing)
* **Adaptability** : Flexibility to work in fast\-paced, dynamic environment with changing priorities
Physical Demands \&amp; Work Environment
* **Transportation** : Current valid driver's license and ability to provide personal transportation
* **Physical Requirements** : Physical ability to walk jobsites and data center facilities
* **Schedule Flexibility** : Ability to work onsite Monday through Friday with flexibility for after hours, weekends, holidays, and overtime as required
* **Availability** : Must be available 24x7x365 for emergency response and critical issues
* **Travel** : Ability to travel up to 10% of the time to various facility locations
* **Data Center Environment** : Work in data center environment with potential exposure to noise, temperature variations, and electrical equipment
* **Lifting Requirements** : Occasional lifting of equipment or supplies up to 50 pounds
* **Security Clearance** : Must be able to obtain and maintain required security clearances and facility access credentials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the source of our strength has always been.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The salary range for this position in the US is $100,000\- $107,000 annually.
A candidate’s salary offer is determined by various factors including, but not limited to, relevant work experience, knowledge, skills, abilities, education, certifications, licenses, and location.
BGIS offers a comprehensive benefits package including medical, dental, vision, prescription coverage, health savings account, flexible spending account (both healthcare and dependent), 401(k) with a Company match, Paid Time Off, paid company holidays, short term and long\-term disability, life insurance, employee assistance program, tuition reimbursement, paid parental leave, gym membership discount and team member referral bonus.
*\#LI\-JV1*
*\#LI\-Remote*</t>
        </is>
      </c>
    </row>
    <row r="85">
      <c r="A85" t="inlineStr">
        <is>
          <t>in-7c251bbc662c4f6e</t>
        </is>
      </c>
      <c r="B85" t="inlineStr">
        <is>
          <t>Program Manager, Talent Intelligence</t>
        </is>
      </c>
      <c r="C85" t="inlineStr">
        <is>
          <t>General Motors (GM)</t>
        </is>
      </c>
      <c r="D85" t="inlineStr">
        <is>
          <t>indeed</t>
        </is>
      </c>
      <c r="E85">
        <f>HYPERLINK("https://www.indeed.com/viewjob?jk=7c251bbc662c4f6e", "https://www.indeed.com/viewjob?jk=7c251bbc662c4f6e")</f>
        <v/>
      </c>
      <c r="F85">
        <f>HYPERLINK("https://generalmotors.wd5.myworkdayjobs.com/en-US/Careers_GM/job/Remote---United-States/Program-Manager--Talent-Intelligence_JR-202602885", "https://generalmotors.wd5.myworkdayjobs.com/en-US/Careers_GM/job/Remote---United-States/Program-Manager--Talent-Intelligence_JR-202602885")</f>
        <v/>
      </c>
      <c r="G85" t="inlineStr">
        <is>
          <t>Remote, US</t>
        </is>
      </c>
      <c r="H85" s="3" t="n">
        <v>46064</v>
      </c>
      <c r="I85" t="inlineStr">
        <is>
          <t>**Job Description**
**Work Arrangement:**
Remote anywhere in the U.S., unless you live within 50 miles of a GM Hub. If you are within 50 miles of Warren, MI, Mountain, View, CA, or Austin, TX, you will be required to work a hybrid schedule \- 3 days a week onsite.
**Role Overview:**
We are seeking a Program Manager, Talent Intelligence to pioneer and refine the Talent Intelligence (TI) function within Talent Acquisition at General Motors. This high\-impact role bridges Strategic Workforce Planning, People Analytics, Global TA, and Business Leadership, ensuring our TI deliverables provide clear value, drive measurable ROI, and enhance competitive advantage in acquiring future\-critical skills. You'll act as the voice of the customer for end users (HR, TA, Talent COE, People Analytics, and business leaders), formulating the connection of the "why" behind our intelligence (e.g., value add, strategic alignment) with the "how" (e.g., implementation, KPI tracking) to iterate on how we inform talent decisions in a transforming automotive industry. Strong pro gram management, consulting, and analytical skills, combined with external labor market expertise , will help you navigate ambiguity, prioritize competing demands, and deliver business\-driven outcomes. This role reports to the Head of Market Intelligence and can be remote.
**What's** **in It for You?**
Influence talent/sourcing strategies, location investments, and ROI\-driven intelligence; join an innovative team prioritizing curiosity, customer feedback, and measurable impact in a dynamic environment.
**Responsibilities:**
* Lead TI product development and iteration, acting as the voice of the customer by gathering feedback from end users (HR, TA, Talent COE, People Analytics, business leaders) to refine inputs, outputs, and processes; ensure intelligence aligns with user needs and drives adoption.
* Formulate the "why" and "how" for TI deliverables: Articulate value propositions, connect strategic insights to business priorities, and shape ROI frameworks with KPIs to track team impact (e.g., recruitment effectiveness, talent pipeline health, cost savings).
* Deliver actionable intel for priority skills (e.g., EV/AI/sustainability), including emerging industries, adjacent markets, and transferable skills to expand talent reach; translate into user\-centric products like reports, dashboards, and recommendations.
* Act as a strategic link between TI team and stakeholders, identifying skill gaps/opportunities, and supporting implementation to measure outcomes like hiring success, internal mobility, and M\&amp;A integration.
* Partner with executive leaders, TA stakeholders, Workforce Planning, Corporate Development, and HRBPs to deliver integrated TI informing hiring, succession, and site/talent growth .
* Serve as authority on external talent data (skills availability, academic pipelines, competitor footprints), collaborating on related internal data while iterating based on user feedback.
* Develop frameworks for site health evaluation (talent availability, attainment, outcomes) and pivot products as needed to meet evolving customer needs.
* Manage ambiguity like a program manager: Define milestones, prioritize competing priorities under tight deadlines, drive cross\-functional projects, and communicate progress/insights via analytics products (briefings, presentations, reports, dashboards).
* Leverage TA tools (Workday, Beamery , Avatur e, ClickUp , Pitchbook), AI platforms, and external benchmarks for insights .
* Question operations, recommend improvements, and flex into strategic initiatives or program management to enhance TI value add.
**Basic** **Qualifications:**
* 8\+ years in pro gram management, client\-facing TI , Research Analyst , or related roles
* E xperience treating data/intelligence as a product
* Bachelor's Degree preferred in a quantitative field (e.g., Mathematics, Statistics, Psychology), or equivalent work experience
* Experience identifying strategic insights/market intel and connecting back to workforce trends to business strategy
* Experience using AI/ML for workforce intelligence
**Preferred Qualifications:**
* Proven success building/scaling TI or data products/processes that influence executives; deep knowledge of organizational design, compensation, hiring lifecycle, and ROI/KPI frameworks
* Highly data\-driven and consultative
* Excellent communicator translating complex data into value\-driven solutions
* Strong storytelling for "why" and "how"
* Strong understanding of TA data/market intel/recruiting processes (acquisition, candidate management, quality of hire, planning, sourcing, funnel analysis, marketing)
* Advanced data analytics skills leveraging multiple sources
* Proven e xperience acting as a voice of the customer to iterate on usage feedback
* Ownership mindset, inquisitive, sound judgment in ambiguity
* Ability to unbox competing priorities, define milestones, and strong prioritization skills
* Ability to operate at strategic altitude with precision
**Compensation:**
The salary range for this role is $140,100 to $186,700\. The actual base offered within this range will vary based on factors relevant to the position.
\&amp;\#xa;\&amp;\#xa;GM does not provide immigration\-related sponsorship for this role. Do not apply for this role if you will need GM immigration sponsorship now or in the future. This includes direct company sponsorship, entry of GM as the immigration employer of record on a government form, and any work authorization requiring a written submission or other immigration support from the company (e.g., H1\-B, OPT, STEM OPT, CPT, TN, J\-1, etc).\&amp;\#xa;\&amp;\#xa;This role is based remotely, but if the selected candidate lives within a specific mile radius of a GM hub, they will be expected to report to the location three times a week {or other frequency dictated by your manager}.\&amp;\#xa;\&amp;\#xa;This job is not eligible for relocation benefits. Any relocation costs would be the responsibility of the selected candidate.\&amp;\#xa;\&amp;\#xa;
**About GM**
Our vision is a world with Zero Crashes, Zero Emissions and Zero Congestion and we embrace the responsibility to lead the change that will make our world better, safer and more equitable for all.
**Why Join Us**
We believe we all must make a choice every day – individually and collectively – to drive meaningful change through our words, our deeds and our culture. Every day, we want every employee to feel they belong to one General Motors team.
**Benefits Overview**
From day one, we're looking out for your well\-being–at work and at home–so you can focus on realizing your ambitions. Learn how GM supports a rewarding career that rewards you personally by visiting **Total Rewards resources** .
**Non\-Discrimination and Equal Employment Opportunities (U.S.)**
General Motors is committed to being a workplace that is not only free of unlawful discrimination, but one that genuinely fosters inclusion and belonging. We strongly believe that providing an inclusive workplace creates an environment in which our employees can thrive and develop better products for our customers.
All employment decisions are made on a non\-discriminatory basis without regard to sex, race, color, national origin, citizenship status, religion, age, disability, pregnancy or maternity status, sexual orientation, gender identity, status as a veteran or protected veteran, or any other similarly protected status in accordance with federal, state and local laws.
We encourage interested candidates to review the key responsibilities and qualifications for each role and apply for any positions that match their skills and capabilities. Applicants in the recruitment process may be required, where applicable, to successfully complete a role\-related assessment(s) and/or a pre\-employment screening prior to beginning employment. To learn more, visit **How we Hire** .
**Accommodations**
General Motors offers opportunities to all job seekers including individuals with disabilities. If you need a reasonable accommodation to assist with your job search or application for employment, **email** us or call us at 1\-800\-865\-7580\. In your email, please include a description of the specific accommodation you are requesting as well as the job title and requisition number of the position for which you are applying.</t>
        </is>
      </c>
    </row>
    <row r="86">
      <c r="A86" t="inlineStr">
        <is>
          <t>in-6e3c98344fa5eb7c</t>
        </is>
      </c>
      <c r="B86" t="inlineStr">
        <is>
          <t>Senior Product Manager – AI Networking Spectrum X</t>
        </is>
      </c>
      <c r="C86" t="inlineStr">
        <is>
          <t>NVIDIA</t>
        </is>
      </c>
      <c r="D86" t="inlineStr">
        <is>
          <t>indeed</t>
        </is>
      </c>
      <c r="E86">
        <f>HYPERLINK("https://www.indeed.com/viewjob?jk=6e3c98344fa5eb7c", "https://www.indeed.com/viewjob?jk=6e3c98344fa5eb7c")</f>
        <v/>
      </c>
      <c r="F86">
        <f>HYPERLINK("https://nvidia.wd5.myworkdayjobs.com/en-US/NVIDIAExternalCareerSite/job/US-CA-Santa-Clara/Senior-Product-Manager---AI-Networking-Spectrum-X_JR2013275", "https://nvidia.wd5.myworkdayjobs.com/en-US/NVIDIAExternalCareerSite/job/US-CA-Santa-Clara/Senior-Product-Manager---AI-Networking-Spectrum-X_JR2013275")</f>
        <v/>
      </c>
      <c r="G86" t="inlineStr">
        <is>
          <t>Santa Clara, CA, US</t>
        </is>
      </c>
      <c r="H86" s="3" t="n">
        <v>46064</v>
      </c>
      <c r="I86" t="inlineStr">
        <is>
          <t>NVIDIA’s rapidly expanding Datacenter Ethernet Business is seeking a capable Senior Product Manager. This individual should be comfortable delving into technical specifics to guide and expand our Spectrum X AI networking portfolio. As a Product Manager, you'll influence NVIDIA's future Spectrum X AI networking systems, working closely with engineering, operations, sales, and marketing teams to oversee every product stage from inception to end\-of\-life.
NVIDIA is widely considered to be one of the technology world’s most desirable employers. We have some of the most forward\-thinking and hardworking people in the world working for us. Are you creative and autonomous? Do you love a challenge? If so, we want to hear from you. Come, join our Datacenter communication Infrastructure team and help us build the scalable communication platforms driving our success in this dynamic and quickly growing field.
What you’ll be doing:* Managing an AI networking ecosystem platform through the complete life cycle from business strategy to R\&amp;D tradeoffs to go\-to\-market for groundbreaking products in this marketplace.
* Defining use cases, examples, and tools to craft and convey the product value proposition and position to a variety of audiences, ranging from the technically savvy to executives.
* Collecting requirements to define future products, including competitive analysis and customer feedback.
* Working closely with partners to ensure products get to market on time and to understand customer use cases and workflows.
What we need to see:* BS/MS in engineering or equivalent experience.
* Experience with cloud infrastructure technology
* 8\+ years of software experience in the data center Networking Industry
* Expertise in Open\-source development process and lifecycle management
* Self\-starter, with a 'can\-do' attitude and ability to multitask and prioritize in a fast paced environment.
* Experience in Product Management in large global organization; as people manager and as an individual contributor.
* Great balance of deep systems software with business knowledge. Strong analytical, marketing and project management skills.
* Excellent communication and presentation abilities. Excellent interpersonal skills, peer networking and team play with colleagues and customers.
Ways to stand out from the crowd:* Strong Background in modern Data Center networking, including groundbreaking AI techniques for Network Telemetry and Automation.
* Experience with deep learning, data science, and NVIDIA GPUs.
* Successful management of technical products throughout their lifecycle.
* Love technology and passionate about what you do.
With competitive salaries and a generous benefits package, we are widely considered to be one of the technology world’s most desirable employers. We have some of the most forward\-thinking and hardworking people in the world working for us and, due to unprecedented growth, our exclusive engineering teams are rapidly growing. If you're a creative and autonomous engineer with a real passion for technology, we want to hear from you.
Your base salary will be determined based on your location, experience, and the pay of employees in similar positions. The base salary range is 168,000 USD \- 258,750 USD for Level 4, and 208,000 USD \- 327,750 USD for Level 5\.
You will also be eligible for equity and benefits.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87">
      <c r="A87" t="inlineStr">
        <is>
          <t>in-9617b3774a8b2865</t>
        </is>
      </c>
      <c r="B87" t="inlineStr">
        <is>
          <t>Technical Program Manager</t>
        </is>
      </c>
      <c r="C87" t="inlineStr">
        <is>
          <t>NVIDIA</t>
        </is>
      </c>
      <c r="D87" t="inlineStr">
        <is>
          <t>indeed</t>
        </is>
      </c>
      <c r="E87">
        <f>HYPERLINK("https://www.indeed.com/viewjob?jk=9617b3774a8b2865", "https://www.indeed.com/viewjob?jk=9617b3774a8b2865")</f>
        <v/>
      </c>
      <c r="F87">
        <f>HYPERLINK("https://nvidia.wd5.myworkdayjobs.com/en-US/NVIDIAExternalCareerSite/job/US-CA-Santa-Clara/Technical-Program-Manager_JR2013079", "https://nvidia.wd5.myworkdayjobs.com/en-US/NVIDIAExternalCareerSite/job/US-CA-Santa-Clara/Technical-Program-Manager_JR2013079")</f>
        <v/>
      </c>
      <c r="G87" t="inlineStr">
        <is>
          <t>Santa Clara, CA, US</t>
        </is>
      </c>
      <c r="H87" s="3" t="n">
        <v>46064</v>
      </c>
      <c r="I87" t="inlineStr">
        <is>
          <t>NVIDIA has been transforming computer graphics, PC gaming, and accelerated computing for more than 25 years. It’s a unique legacy of innovation that’s fueled by great technology—and amazing people. Today, we’re tapping into the unlimited potential of AI to define the next era of computing. An era in which our GPU acts as the brains of computers, robots, and self\-driving cars that can understand the world. Doing what’s never been done before takes vision, innovation, and the world’s best talent. As an NVIDIAN, you’ll be immersed in a diverse, supportive environment where everyone is inspired to do their best work. Come join the team and see how you can make a lasting impact on the world.
We are looking for a Technical Program Manager for next generation NVLINK Fusion silicon solutions. You will get a chance to create real impact in a dynamic, industry leading, technology\-focused company. Together, we will build the next generation of life changing AI infrastructure silicon solutions. If you are a motivated individual that understands how SoC systems are architected and built, has intimate knowledge of partner requirements, and understand various IP, SOC and Infrastructure development cycles, this is your place to be!
What you'll be doing:* Deliver to committed POR and customer agreements
* Drive complex new Silicon platforms. Planning, tracking, support internal and customer SOW work, schedules, and partner requirements
* Develops and maintains program schedules through production, customer milestone interlocks, project execution tracking, metrics
* Work with customers, internal teams and management to plan and complete NVLINK Fusion AI infrastructure silicon solutions from concept to production.
* Technical cross\-domain support for issue resolution to keep project on schedule, at spec and quality (IP, DFT, PD, Emulation, Firmware, Package, Post Silicon)
* Work with internal and external partners to drive schedules, consensuses, and communication.
* Supports and encourages innovation while keeping execution on track
* Project leadership and cross domain technical involvement
What we need to see:* Technical program management of complex 3/5nm SOC's with high perf ARM subsystems, AI/GPU, DDR and Networking IP and advanced packaging
* Experience leading programs from Concept and SOW through IP/SOC development, TO, Post\-Silicon through Production
* Cross domain technical leadership of IP/SOC Design, Verification, Emulation, Software/Firmware, Platforms, Post\-Silicon validation
* Experienced with customer facing programs and technical planning
* Negotiates IP, SOC technical solutions to meet project needs with internal teams and external partners
* Drives cross\-functional silicon program execution to meet customer commitments
* Drives innovation in project leadership through AI predictive and analytics methods to reduce effort and time to market.
* Bachelor’s Degree or Master’s of Science in Electrical Engineering, Computer Science, Computer Engineering (or equivalent experience)
* 12\+ years of industry experience
Your base salary will be determined based on your location, experience, and the pay of employees in similar positions. The base salary range is 200,000 USD \- 322,000 USD.
You will also be eligible for equity and benefits.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88">
      <c r="A88" t="inlineStr">
        <is>
          <t>in-abfa4db3d16a49b2</t>
        </is>
      </c>
      <c r="B88" t="inlineStr">
        <is>
          <t>Senior Technical Program Manager – VLSI</t>
        </is>
      </c>
      <c r="C88" t="inlineStr">
        <is>
          <t>NVIDIA</t>
        </is>
      </c>
      <c r="D88" t="inlineStr">
        <is>
          <t>indeed</t>
        </is>
      </c>
      <c r="E88">
        <f>HYPERLINK("https://www.indeed.com/viewjob?jk=abfa4db3d16a49b2", "https://www.indeed.com/viewjob?jk=abfa4db3d16a49b2")</f>
        <v/>
      </c>
      <c r="F88">
        <f>HYPERLINK("https://nvidia.wd5.myworkdayjobs.com/en-US/NVIDIAExternalCareerSite/job/US-CA-Santa-Clara/Senior-Technical-Program-Manager---VLSI_JR2013354", "https://nvidia.wd5.myworkdayjobs.com/en-US/NVIDIAExternalCareerSite/job/US-CA-Santa-Clara/Senior-Technical-Program-Manager---VLSI_JR2013354")</f>
        <v/>
      </c>
      <c r="G88" t="inlineStr">
        <is>
          <t>Santa Clara, CA, US</t>
        </is>
      </c>
      <c r="H88" s="3" t="n">
        <v>46064</v>
      </c>
      <c r="I88" t="inlineStr">
        <is>
          <t>NVIDIA is leading the way in groundbreaking developments in Artificial Intelligence, High\-Performance Computing and Visualization. The GPU, our invention, serves as the visual cortex of modern computers and is at the heart of our products and services. Our work opens up new universes to explore, enables amazing creativity and discovery, and powers what were once science fiction inventions from artificial intelligence to autonomous cars. NVIDIA is looking for phenomenal people like you to help us accelerate the next wave of artificial intelligence. We serve as the central program management function for NVIDIA’s VLSI Engineering organization, providing the structure and insight needed to deliver world\-class silicon. We align roadmaps across all silicon product lines, enabling technical leads to focus on engineering while we accelerate end\-to\-end execution. Through the integration of domain\-specific workflows and intelligent infrastructure, we deliver automated schedule tracking, resource planning, and program health visibility across the full lifecycle—from Arch/RTL handoff through silicon bring\-up and productization.
We are seeking a Senior Technical Program Manager to lead the end\-to\-end lifecycle for the Circuit Solutions Group (CSG), spanning pre\- and post\-silicon execution.
What You'll be Doing:
As a Senior TPM, you will bridge the gap between architectural concepts and physical silicon. Your mission is to accelerate tape\-out cycles by optimizing engineering workflow schedules and to track Closed\-Loop Validation* Drive the "Arch\-to\-Silicon" lifecycle, developing high\-fidelity schedules and handling complex dependencies across design, verification, physical implementation and tape\-out validation
* Act as the primary strategic liaison between CSG and cross\-functional partners, including VLSI, Architecture, ASIC, Operations and Systems
* Participate in key design reviews and handle the change control process to ensure scope changes are balanced against schedule impacts.
* Lead Closed\-Loop Validation schedules by systematically comparing silicon results against simulation assumptions to refine future model accuracy.
* Orchestrate post\-silicon test plans, ensuring comprehensive coverage of architectural requirements, PVT corners, and critical corner cases
* Build expert\-level Smartsheet dashboards to provide real\-time insight into program health, test plan progress, and prioritization for executive team.
* Drive operational excellence by codifying procedures and employing Python to automate the ingestion of lab data into project management tools.
What We Need to See:* BS in Electrical Engineering, Computer Engineering, or a related field or equivalent experience (Masters preferred)
* 8\+ years of TPM experience with a focus on Semiconductor Design and the full ASIC/SoC lifecycle.
* Strong technical fluency in VLSI, specifically regarding design cycle, silicon validation and correlation
* Ability to align different teams on a unified execution path and influence technical trade\-offs.
* Demonstrate critical thinking with the ability to synthesize complex technical data into actionable project plans.
* Outstanding negotiation and presentation skills; ability to influence senior engineering staff without direct authority.
* Expert\-level Smartsheet proficiency is required, including advanced automation and visual dashboarding.
Ways to stand out from the crowd:* Direct background in circuit design or hardware validation.
* Proficiency in Python to automate data\-driven project management tasks.
* Experience running projects in cutting\-edge process nodes.
NVIDIA offers highly competitive salaries and a comprehensive benefits package. We have some of the most brilliant and talented people in the world working for us and, due to unprecedented growth, our world\-class engineering teams are growing fast. If you're a creative and autonomous engineer with real passion for technology, we want to hear from you.
Your base salary will be determined based on your location, experience, and the pay of employees in similar positions. The base salary range is 168,000 USD \- 258,750 USD for Level 4, and 200,000 USD \- 322,000 USD for Level 5\.
You will also be eligible for equity and benefits.
Applications for this job will be accepted at least until February 16, 2026\.
This posting is for an existing vacancy.
NVIDIA uses AI tools in its recruiting processes.
NVIDIA is committed to fostering a diverse work environment and proud to be an equal opportunity employer. As we highly value diversity in our current and future employees, we do not discriminate (including in our hiring and promotion practices) on the basis of race, religion, color, national origin, gender, gender expression, sexual orientation, age, marital status, veteran status, disability status or any other characteristic protected by law.</t>
        </is>
      </c>
    </row>
    <row r="89">
      <c r="A89" t="inlineStr">
        <is>
          <t>in-74cfb344e49d9623</t>
        </is>
      </c>
      <c r="B89" t="inlineStr">
        <is>
          <t>Product Manager-Annuities WMS</t>
        </is>
      </c>
      <c r="C89" t="inlineStr">
        <is>
          <t>Ameriprise Financial</t>
        </is>
      </c>
      <c r="D89" t="inlineStr">
        <is>
          <t>indeed</t>
        </is>
      </c>
      <c r="E89">
        <f>HYPERLINK("https://www.indeed.com/viewjob?jk=74cfb344e49d9623", "https://www.indeed.com/viewjob?jk=74cfb344e49d9623")</f>
        <v/>
      </c>
      <c r="F89">
        <f>HYPERLINK("https://ameriprise.wd5.myworkdayjobs.com/Ameriprise/job/Charlotte-North-Carolina/Product-Manager-Annuities-WMS_R26_0123-1", "https://ameriprise.wd5.myworkdayjobs.com/Ameriprise/job/Charlotte-North-Carolina/Product-Manager-Annuities-WMS_R26_0123-1")</f>
        <v/>
      </c>
      <c r="G89" t="inlineStr">
        <is>
          <t>Minneapolis, MN, US</t>
        </is>
      </c>
      <c r="H89" s="3" t="n">
        <v>46064</v>
      </c>
      <c r="I89" t="inlineStr">
        <is>
          <t>The Product Manager role, within Wealth Management Solutions, will be responsible for the product management and growth of the annuity platform. Overall responsibilities will include carrier relationship management, product and concept knowledge, industry rules and regulations, projects and initiatives, operations, compensation maintenance, and advisor communications, education and marketing.**Key Responsibilities**
* Manage carrier relationships
* Provide insights and actionable recommendations to support advisor and client experience improvements
* Assist in due diligence of carriers, products and concepts
* Support firm recruiting efforts
* Develop effective and relevant advisor education and training opportunities
* Guide carrier and product onboarding process
* Provide support for annuity sales desk
* Support annuity related initiatives
 **Required Qualifications**
* Bachelor's degree or equivalent experience with 5\+ years financial services experience, preferably in annuity product management
* Excellent strategic and analytical skills to solve complex problems and identify new product solutions along with attention to detail and personal accountability
* Relationship and Project Management experience preferably with background in annuities
* Strong written and verbal communication skills, organizational skills and proficiency in Microsoft Excel
* Knowledge of laws and regulations related to broker dealer responsibilities with regard to annuity products preferred
* Active Series 7 or the ability to obtain within 120 days
 **About Our Company**  
We’re a diversified financial services leader with more than $1\.5 trillion in assets under management, administration and advisement as of 2024\. With our team of more than 20,000 people in 20 countries, we advise, manage and protect assets and income of more than 3\.5 million individual, small business and institutional clients. We are a longstanding leader in financial planning and advice, a global asset manager and an insurer. Our unwavering focus on our clients and strong financial foundation connects each of our unique businesses \- Ameriprise Financial, Columbia Threadneedle Investments and RiverSource Insurance and Annuities. Here, we foster meaningful careers, invest in the future, and make a difference for clients, institutions and communities around the world.
**Base Pay Salary**
The estimated base salary for this role is $90,000 \- $110,000 / year. We have a pay\-for\-performance compensation philosophy. Your initial total compensation may vary based on job\-related knowledge, skills, experience, and geographical work location. In addition, most of our roles are eligible for variable pay in the form of bonus, commissions, and/or long\-term incentives depending on the role. We also have a competitive and comprehensive benefits program that supports all aspects of your health and well\-being, including but not limited to vacation time, sick time, 401(k), and health, dental and life insurance.
Ameriprise Financial is an equal opportunity employer. We consider all qualified applicants without regard to race, color, religion, sex, national origin, genetic information, age, sexual orientation, citizenship, gender identity, disability, veteran status, marital status, family status or any other basis prohibited by law.
**Full\-Time/Part\-Time**
Full time**Exempt/Non\-Exempt**
Exempt**Job Family Group**
Marketing/Product Management**Line of Business**
FPPS Wealth Management Solutions</t>
        </is>
      </c>
    </row>
    <row r="90">
      <c r="A90" t="inlineStr">
        <is>
          <t>in-3464e9fe4e1d332a</t>
        </is>
      </c>
      <c r="B90" t="inlineStr">
        <is>
          <t>Facility Program Manager (Whitespace Engineering and Facility Coordinator)</t>
        </is>
      </c>
      <c r="C90" t="inlineStr">
        <is>
          <t>BGIS</t>
        </is>
      </c>
      <c r="D90" t="inlineStr">
        <is>
          <t>indeed</t>
        </is>
      </c>
      <c r="E90">
        <f>HYPERLINK("https://www.indeed.com/viewjob?jk=3464e9fe4e1d332a", "https://www.indeed.com/viewjob?jk=3464e9fe4e1d332a")</f>
        <v/>
      </c>
      <c r="F90">
        <f>HYPERLINK("https://fa-evcg-saasfaprod1.fa.ocs.oraclecloud.com/hcmUI/CandidateExperience/en/sites/CX_1/requisitions/preview/228936", "https://fa-evcg-saasfaprod1.fa.ocs.oraclecloud.com/hcmUI/CandidateExperience/en/sites/CX_1/requisitions/preview/228936")</f>
        <v/>
      </c>
      <c r="G90" t="inlineStr">
        <is>
          <t>Las Vegas, NV, US</t>
        </is>
      </c>
      <c r="H90" s="3" t="n">
        <v>46064</v>
      </c>
      <c r="I90" t="inlineStr">
        <is>
          <t>BGIS is looking for a **Facility Program Manager** to join the team in **Las Vegas, NV.**
BGIS is a leading provider of integrated real estate management services, including facilities management, project management, energy \&amp; sustainability services, strategic workplace consulting, real estate services and capital planning. Its range of solutions, supported by efficient systems, processes and people, enables it to create and optimize places that work for its clients. The team is dedicated to inspiring better business performance and helping clients focus on their core businesses.
The Facility Program Manager (Whitespace Engineering and Site Coordinator) supports client operations with the day\-to\-day coordination and implementation of activities pertaining to the oversight of white space deployment and engineering. This individual will also serve as the primary liaison for data center operations, including site audits and vendor management activities
White Space Engineering \&amp; Program Management
* **White Space Oversight** : Provide comprehensive oversight and coordination of white space activities including vendor management, rack and stack operations, infrastructure cabling, placement, cooling, and power deployments
* **Design \&amp; Engineering** : Design, engineer, and coordinate build\-out of white space deployments including cabinets, racks, structured cabling, power distribution from bus or receptacle to power strips, and air containment systems
* **Power Management** : Support and manage rack and hardware SKU power allocation, documentation, and validation to ensure optimal capacity utilization
* **Code Compliance** : Document electrical installations and decommissions requiring local authority sign\-off, ensuring all installations meet or exceed local code requirements
* **Stakeholder Coordination** : Coordinate with various stakeholders and local authorities having jurisdiction for installation and power rack approvals
* **Technical Problem Solving** : Analyze and resolve complex white space deployment issues, providing innovative solutions to technical challenges
Vendor Management \&amp; Access Control
* **Vendor Activity Coordination** : Oversee and manage all vendor activities within data center facilities, ensuring compliance with security protocols and operational procedures
* **Data Center Vendor Management** : Manage vendors operating in data center spaces, including performance monitoring and contract compliance
* **Access Management** : Facilitate orientation processes for new team members and visitors.
* **Access Provisioning \&amp; Removal** : Coordinate timely granting and revocation of data center access credentials for personnel and visitors based on business requirements and security protocols
Project Management \&amp; Financial Oversight
* **Project Coordination** : Manage white space deployment projects from initiation through completion, ensuring adherence to timelines, budgets, and quality standards
* **Timeline Management** : Develop and maintain project schedules, coordinate resources, and ensure timely project delivery
* **Invoice Management** : Manage projects and ensure timely invoicing, verify receipt and completeness of services and materials before approving vendor invoices
* **Financial Reconciliation** : Ensure accuracy of invoice totals against purchase order balances and contracted rates
* **Purchase Order Management** : Track PO status, delivery confirmations, and budget utilization
Client Relations \&amp; Communication
* **Primary Client Interface** : Serve as the primary point of contact with client Data Center Managers for all white space projects and facility operations
* **Client Issue Management** : Document, manage, and appropriately escalate project and client issues and concerns through proper channels
* **Progress Reporting** : Provide ongoing updates to internal teams and clients regarding white space deployment project status and progress
* **Technical Communication** : Explain complex technical information in clear, understandable terms to both internal team members and external clients
* **Industry Trends** : Evaluate industry trends as new standards emerge for best practices, coordinate opportunities with clients and share applicable information
Audit Support \&amp; Compliance
* **Site Audit Liaison** : Serve as primary point of contact between colocation (COLO) providers and internal audit teams during facility assessments
* **Audit Coordination** : Schedule, facilitate, and support site audits, ensuring all required documentation and access is available
* **Recommendation Tracking** : Maintain comprehensive tracking systems for audit recommendations, monitor implementation progress, and provide regular status updates
* **Communication Management** : Ensure clear, timely communication of audit findings, remediation plans, and completion status to audit teams and Data Center Services (DCS) team
Space \&amp; Power Management
* **Service Request Support** : Process and coordinate service requests within client spaces, ensuring timely resolution and client satisfaction
* **Space Planning** : Review and analyze space and power requests to optimize facility utilization and capacity planning
* **Rack Preparation** : Ensure physical spaces are properly prepared for incoming equipment installations, including power, cooling, and network connectivity
* **Capacity Forecasting** : Monitor and maintain awareness of projected space requirements, capacity forecasts, and potential space givebacks
* **Change Management** : Provide comprehensive support throughout the change management process, ensuring all modifications follow established protocols and documentation requirements
Knowledge \&amp; Skills Education \&amp; Experience
* Bachelor's degree in Business, Facilities Management, Engineering, or equivalent field of study, OR equivalent combination of education and work experience
* Minimum 5 years of experience in facility management, data center operations, or related technical field
* Experience with vendor management and contract administration
* Working knowledge of data center operations and system configurations
* Knowledge of fundamental electrical and mechanical data center operations
Technical Skills
* **Electrical \&amp; Mechanical Knowledge** : Ability to read and understand electrical and mechanical one\-line diagrams
* **Software Proficiency** : Intermediate knowledge of Microsoft Office Suite including Word, Excel, Outlook, and Visio, along with working knowledge of SharePoint
* **Facility Management Systems** : Proficiency in facility management software systems and databases
* **Change Management** : Understanding of change management processes and ITIL frameworks
* **Standards Knowledge** : Knowledge of data center standards and best practices (ASHRAE, TIA\-942, etc.)
* **Infrastructure Understanding** : Familiarity with electrical systems, HVAC, critical infrastructure components, and white space engineering
Core Competencies
* **Communication** : Excellent written and verbal communication skills with ability to interact professionally with diverse stakeholders and explain technical concepts clearly
* **Organization** : Strong organizational and time management skills with ability to prioritize multiple concurrent projects
* **Self\-Management** : Self\-driven with high proficiency in time management and independent work capability
* **Attention to Detail** : High level of accuracy in documentation, financial reconciliation, and compliance tracking
* **Problem Solving** : Advanced analytical thinking and problem\-solving abilities to address complex operational and technical challenges
* **Process Management** : Experience and understanding in procedure and process development (authoring, reviewing, approving, and executing)
* **Adaptability** : Flexibility to work in fast\-paced, dynamic environment with changing priorities
Physical Demands \&amp; Work Environment
* **Transportation** : Current valid driver's license and ability to provide personal transportation
* **Physical Requirements** : Physical ability to walk jobsites and data center facilities
* **Schedule Flexibility** : Ability to work onsite Monday through Friday with flexibility for after hours, weekends, holidays, and overtime as required
* **Availability** : Must be available 24x7x365 for emergency response and critical issues
* **Travel** : Ability to travel up to 10% of the time to various facility locations
* **Data Center Environment** : Work in data center environment with potential exposure to noise, temperature variations, and electrical equipment
* **Lifting Requirements** : Occasional lifting of equipment or supplies up to 50 pounds
* **Security Clearance** : Must be able to obtain and maintain required security clearances and facility access credentials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the source of our strength has always been.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The salary range for this position in the US is $100,000\- $107,000 annually.
A candidate’s salary offer is determined by various factors including, but not limited to, relevant work experience, knowledge, skills, abilities, education, certifications, licenses, and location.
BGIS offers a comprehensive benefits package including medical, dental, vision, prescription coverage, health savings account, flexible spending account (both healthcare and dependent), 401(k) with a Company match, Paid Time Off, paid company holidays, short term and long\-term disability, life insurance, employee assistance program, tuition reimbursement, paid parental leave, gym membership discount and team member referral bonus.
*\#LI\-JV1*
*\#LI\-Remote*</t>
        </is>
      </c>
    </row>
    <row r="91">
      <c r="A91" t="inlineStr">
        <is>
          <t>in-09f3ece8130511a3</t>
        </is>
      </c>
      <c r="B91" t="inlineStr">
        <is>
          <t>Program Manager (Data Center Lead)</t>
        </is>
      </c>
      <c r="C91" t="inlineStr">
        <is>
          <t>BGIS</t>
        </is>
      </c>
      <c r="D91" t="inlineStr">
        <is>
          <t>indeed</t>
        </is>
      </c>
      <c r="E91">
        <f>HYPERLINK("https://www.indeed.com/viewjob?jk=09f3ece8130511a3", "https://www.indeed.com/viewjob?jk=09f3ece8130511a3")</f>
        <v/>
      </c>
      <c r="F91">
        <f>HYPERLINK("https://fa-evcg-saasfaprod1.fa.ocs.oraclecloud.com/hcmUI/CandidateExperience/en/sites/CX_1/requisitions/preview/228935", "https://fa-evcg-saasfaprod1.fa.ocs.oraclecloud.com/hcmUI/CandidateExperience/en/sites/CX_1/requisitions/preview/228935")</f>
        <v/>
      </c>
      <c r="G91" t="inlineStr">
        <is>
          <t>Phoenix, AZ, US</t>
        </is>
      </c>
      <c r="H91" s="3" t="n">
        <v>46064</v>
      </c>
      <c r="I91" t="inlineStr">
        <is>
          <t>BGIS is currently seeking a **Program Manager (Data Center Lead)** to join the team in Phoenix, **AZ.**
BGIS is a leading provider of integrated facility management, project management, energy \&amp; sustainability, and real estate services. With a team of over 7,000 globally, we inspire better business performance by creating optimized, client\-focused environments. Join us to make an impact in a collaborative, innovative workplace.
As the **Program Manager (Data Center Lead)** , you’ll oversee daily operations and white space projects for PayPal’s data centers, acting as the primary liaison with Data Center Managers. You’ll lead a team of technicians, manage critical tasks, and ensure high\-quality service delivery while maintaining compliance with client SLAs.
Key Responsibilities
**Team Leadership** :
* Lead, mentor, and coach team members to achieve performance goals and foster professional growth.
* Conduct daily huddles and provide onboarding and hands\-on data center training.
* Monitor team performance to ensure timely, high\-quality client service.
**Operational Oversight** :
* Perform daily data center walk\-throughs to assess operations and identify issues.
* Manage the ServiceNow ticketing queue, prioritizing and scheduling tasks to meet/exceed SLAs.
* Oversee physical installation and power\-up (Rack \&amp; Stack) of servers, peripherals, and network equipment.
* Conduct and delegate quality checks to maintain operational standards.
**Project \&amp; Process Management** :
* Participate in SOP development and meetings to enhance operational efficiency.
* Contribute to corporate initiatives and ensure timely completion of assigned tasks.
* Collaborate with clients and service providers to plan and execute data center projects.
Qualifications
* **Education** : High School Diploma or equivalent.
**Experience** :
* Minimum 3 years in IT/networking systems with technical/operational roles in a data center environment or equivalent.
* Experience in dynamic colocation and managed services environments.
* **Certifications** : At least 1 technical certification or equivalent work experience.
**Technical Skills** :
* Strong knowledge of data center architectures (equipment cabinets, containment, power distribution, computer/network systems, cabling, communications).
* Understanding of core infrastructure (power, cooling, fire protection) and raised floor equipment standards.
* Proficiency in DCIM principles and ServiceNow.
**Soft Skills** :
* Excellent verbal and written communication for diverse audiences.
* Strong customer service, collaboration, and team\-building skills.
* Ability to prioritize tasks and work effectively in a fast\-paced environment.
**Physical Demands \&amp; Work Environment**
* Ability to walk job sites and work at heights (preferred).
* Flexibility to work all shift schedules (7x24x365\) and respond to off\-hour emergency calls.
* Reasonable accommodations available for qualified individuals with disabilities.
Visit bgis.com/us/careers to apply and learn more.
The salary range for this position in the US is $80K \- $85K / Annual
A candidate’s salary offer is determined by various factors including, but not limited to, relevant work experience, knowledge, skills, abilities, education, certifications, licenses, and location.
BGIS offers a comprehensive benefits package including medical, dental, vision, prescription coverage, health savings account, flexible spending account (both healthcare and dependent), 401(k) with a Company match, Paid Time Off, paid company holidays, short term and long\-term disability, life insurance, employee assistance program, tuition reimbursement, paid parental leave, gym membership discount and team member referral bonus.
*Our company culture includes a robust mix of sound business practices and employee initiatives that promote personal and professional development, work/life balance, health and wellness and community involvement.*
*The Company is an equal opportunity employer. We believe every employee has the right to work in surroundings that are free from all forms of unlawful discrimination. We are committed to providing equal employment opportunity to all employees and applicants without regard to race, color, religion, gender, national origin, age, disability, ancestry, creed, marital status, sexual orientation, or Veteran or military status, genetic information or any other basis prohibited by local, state or federal law in the relevant jurisdiction. This policy applies to all terms and conditions of employment including, but not limited to employment, advancement, assignment, and training.*
*BGIS is committed to strengthening our diversity through recruiting and retaining minority and women professionals from all backgrounds. Our commitment is consistent with our recognition that it is the outstanding people within BGIS who the source of our strength has always been. We recognize that promoting diversity is an integral component of our continuing quest for organizational excellence.*
*This commitment to Equal Employment Opportunity is made equally as a social responsibility and as an economic and business necessity.*
*Anyone with questions or concerns regarding Equal Employment Opportunity should contact their direct supervisor or the Human Resources Department without fear of retaliation of any kind.*
*\#LI\-JV1*
*\#LI\-Remote*</t>
        </is>
      </c>
    </row>
    <row r="92">
      <c r="A92" t="inlineStr">
        <is>
          <t>in-71c6b043011082f9</t>
        </is>
      </c>
      <c r="B92" t="inlineStr">
        <is>
          <t>Application Product Manager</t>
        </is>
      </c>
      <c r="C92" t="inlineStr">
        <is>
          <t>VIA Metropolitan Transit</t>
        </is>
      </c>
      <c r="D92" t="inlineStr">
        <is>
          <t>indeed</t>
        </is>
      </c>
      <c r="E92">
        <f>HYPERLINK("https://www.indeed.com/viewjob?jk=71c6b043011082f9", "https://www.indeed.com/viewjob?jk=71c6b043011082f9")</f>
        <v/>
      </c>
      <c r="F92">
        <f>HYPERLINK("https://css-viametro-prd.inforcloudsuite.com/hcm/Jobs/form/JobPosting%5BJobPostingSet%5D%28VIA,311,1%29.JobPostingDisplay?fromlist=JobPosting.JobSearchList&amp;navigation=JobPosting%5BJobPostingSet%5D%28VIA,311,1%29.JobPostingDisplayNav&amp;csk.JobBoard=EXTERNAL&amp;csk.HROrganization=VIA", "https://css-viametro-prd.inforcloudsuite.com/hcm/Jobs/form/JobPosting%5BJobPostingSet%5D%28VIA,311,1%29.JobPostingDisplay?fromlist=JobPosting.JobSearchList&amp;navigation=JobPosting%5BJobPostingSet%5D%28VIA,311,1%29.JobPostingDisplayNav&amp;csk.JobBoard=EXTERNAL&amp;csk.HROrganization=VIA")</f>
        <v/>
      </c>
      <c r="G92" t="inlineStr">
        <is>
          <t>San Antonio, TX, US</t>
        </is>
      </c>
      <c r="H92" s="3" t="n">
        <v>46064</v>
      </c>
      <c r="I92" t="inlineStr">
        <is>
          <t>**GENERAL DESCRIPTION OF WORK:**
The Application Product Manager is responsible for strategic ownership, lifecycle management, and continuous improvement of VIA’s enterprise portfolio of Commercial Off\-the\-Shelf (COTS) applications. This role serves as the primary liaison between business units and the Innovation \&amp; Technology (IT) Division to ensure applications are aligned with organizational strategy, operational needs, and user experience expectations. The position leads the evaluation, selection, implementation, integration, and optimization of enterprise applications, including large\-scale systems such as ERP and EAM. The Application Product Manager coordinates cross\-functional, multi\-disciplinary teams, including internal staff, vendors, and consultants, using structured project and service management practices to deliver secure, reliable, and high\-value technology solutions. Accountable for product vision, roadmap execution, adoption, and value realization for assigned enterprise applications, ensuring solutions are reliable, secure, accessible, and compliant with public\-sector requirements. This role does not include formal people management responsibilities, but exercises matrix leadership, influence, and coordination across project teams and stakeholders.
**ESSENTIAL FUNCTIONS:**
Owns and manages VIA’s enterprise COTS application portfolio, ensuring applications deliver measurable business value, remain secure, and support evolving operational needs.
Partners with business unit leaders to define functional requirements and product outcomes and translate them into prioritized multi\-quarter application roadmaps and enhancement backlogs.
Defines and tracks key performance indicators (KPIs) and objectives and key results (OKRs) for assigned applications (e.g., availability, user adoption, cost to serve, customer satisfaction), and reports on value realization.
Maintains and prioritizes an enhancement and defect backlog with clear acceptance criteria, balancing user needs, risk, funding, and strategic objectives.
Leads the evaluation and selection of application solutions, including build\-versus\-buy assessments, vendor evaluations, and solution recommendations.
Coordinates cross\-functional teams to implement, upgrade, integrate, or retire applications using established project management and governance practices.
Oversee the full application lifecycle including planning, implementation, optimization, sustainment, and retirement.
Establishes and maintains operational support models, including support tiers, escalation paths, service level agreements (SLAs), and vendor support agreements; reviews performance and drives corrective actions.
Ensure business continuity and disaster recovery expectations are defined, tested, and documented for critical applications.
Owns integration strategy for assigned applications (e.g., APIs, middleware, batch processes), ensuring appropriate monitoring, error handling, and documentation are in place.
Works closely with Information Security and Infrastructure teams to ensure applications comply with VIA security, data governance, and access control standards, including coordinating security reviews and periodic access reviews.
Leads change management and adoption activities, including training coordination, communications, stakeholder readiness, go\-live support, and post\-implementation hyper care.
Develops and maintains application architecture diagrams, system documentation, and integration artifacts within VIA Connect.
Prepares and delivers project updates, portfolio health reports, and executive\-level briefings for leadership and governance bodies.
Research and evaluates emerging technologies, industry trends, and best practices relevant to transit operations and enterprise systems.
Ensures technical work is performed consistently and in accordance with VIA standards, policies, and methodologies.
This job description excludes marginal functions that are incidental to performing the job. Other duties may exist.
**REQUIRED EDUCATION AND EXPERIENCE:**
Bachelor's degree required and five (5\) years’ experience in information technology, business systems, computer science, accounting, business, or similar areas. Experience may be substituted in lieu of education on a year\-for\-year basis up to four years.
**PREFERRED QUALIFICATIONS:**
N/A
**ADDITIONAL REQUIREMENTS:**
Demonstrated ability to communicate effectively with technical and non\-technical audiences, including preparing and delivering presentations to senior leadership and executive stakeholders.
Ability to produce clear, professional written materials including proposals, memoranda, agreements, and technical documentation.
Proven experience translating business requirements into effective application and system solutions.
Experience serving as an application or product owner for enterprise platforms, preferably within a regulated or public\-sector environment.
Familiarity with SaaS and enterprise application vendor management, including licensing, renewals, and contract service level agreements.
Knowledge of software development life cycle (SDLC) and delivery frameworks (Agile, hybrid, and waterfall), and associated delivery and service management practices.
Strong project and/or program management experience in complex enterprise environments.
Experience supporting or managing large\-scale enterprise systems such as ERP, EAM, CRM, or comparable platforms.
Ability to develop business cases and support procurement activities (RFIs, RFPs), vendor selection, and contract development.
Experience with operating and capital budgeting, forecasting, and financial tracking for technology initiatives.
Strong analytical, organizational, and planning skills with exceptional attention to detail.
Ability to work independently while managing multiple competing priorities in a fast\-paced environment.
Strong customer service orientation and commitment to usability and positive end\-user experience.
Ability to work collaboratively across divisions and build trusted relationships with business and technical stakeholders.
Ability to read, interpret, and apply complex technical and business documentation.
Must be able to maintain good work attendance.
Safety Accountability Statement:
* Employees must consider safety in all tasks performed, as well as demonstrate safe judgment and decisions that not only maintain their own safety; but that of fellow employees and customers.
* Demonstrate a professional commitment to assure compliance with all organizational policies, practices, and programs related to safety, health, and system security.
* Employees have a responsibility to identify and report hazards, as well as potentially unsafe conditions, to your immediate supervisor or Safety Department.
* Employees are responsible, a nd required , to stop a job/task to prevent an unsafe incident or act from occurring. This acknowledges the threat of potential injury, property damage and the opportunity for better judgment to be used.
Must comply with and support all applicable VIA EEO Policies and Procedures.
**PHYSICAL REQUIREMENTS:**
Physical ability required to be mobile, bend, stoop, stand, reach, and occasionally lift 5\-25 pounds of objects, such as files, equipment and supplies, and books.
**WORK ENVIRONMENTS:**
Work involves deadlines and multiple priorities.
Works within normal office environment.
Periodic on\-call availability may be required.  
VIA is an Equal Employment Opportunity Employer, providing equal opportunity to all qualified individuals, regardless of race, color, religion, age, sex, national origin, veteran status, genetic information, or disability.</t>
        </is>
      </c>
    </row>
    <row r="93">
      <c r="A93" t="inlineStr">
        <is>
          <t>in-eb9f2b2e908ff40a</t>
        </is>
      </c>
      <c r="B93" t="inlineStr">
        <is>
          <t>Asset &amp; Wealth Management, Wealth Investment Solutions (WIS), Digital Product Manager, Analyst - New York</t>
        </is>
      </c>
      <c r="C93" t="inlineStr">
        <is>
          <t>Goldman Sachs</t>
        </is>
      </c>
      <c r="D93" t="inlineStr">
        <is>
          <t>indeed</t>
        </is>
      </c>
      <c r="E93">
        <f>HYPERLINK("https://www.indeed.com/viewjob?jk=eb9f2b2e908ff40a", "https://www.indeed.com/viewjob?jk=eb9f2b2e908ff40a")</f>
        <v/>
      </c>
      <c r="F93">
        <f>HYPERLINK("https://higher.gs.com/roles/162295", "https://higher.gs.com/roles/162295")</f>
        <v/>
      </c>
      <c r="G93" t="inlineStr">
        <is>
          <t>New York, NY, US</t>
        </is>
      </c>
      <c r="H93" s="3" t="n">
        <v>46064</v>
      </c>
      <c r="I93" t="inlineStr">
        <is>
          <t>**Asset \&amp; Wealth Management**
**About WIS:** The Wealth Investment Solutions (WIS) business within Goldman Sachs Asset Management (GSAM) manages over $400bn in assets across equity and fixed income customized portfolios in addition to a range of fund solutions. WIS is an industry leader in delivering personalized portfolios and investment strategies for individual investment objectives, including direct indexing, tax\-managed, factor\-based and environmental \&amp; socially responsible portfolios to high\-net\-worth, institutional, and retail clients.
**About the role:** Digital product managers within the WIS investment business are passionate about the future of personalized investing and making it accessible across a growing spectrum of clients by building an industry\-leading digital platform called the GSAM Advisor Portal.
The GSAM Advisor Portal’s core objectives are to help advisors grow their business, get time back, and enhance their client relationships by allowing them to self\-service throughout the client lifecycle. There are four primary pillars within the team:
* **(1\) Investment Tools**: Deliver custom on\-demand proposals with investment analytics to explain the value\-add of our investment products.
* **(2\) Account Management**: Empower advisors to easily open new accounts, manage life cycle events, and take actions to trade accounts quicker.
* **(3\) Account Dashboard**: Access on\-demand account analytics to provide transparency and quantify the value\-add delivered to an account.
* **(4\) Platform**: Entitlements and login workflows that powers the platform to be dynamic across personas, client channels, products, and contract type.
Digital product managers are subject matter experts on the client experience spanning the spectrum of investment analytics and operational processes. Product managers may specialize within one pillar and collaborate across pillars to ensure a seamless and integrated experience throughout the platform.
WIS digital product managers mobilize cross\-functional teams throughout the division to build digital capabilities for advisors across client channels and work closely with investment teams, salespeople, client servicing teams, operations, divisional product managers, UX designers, designers, tax, compliance, and legal.
As a focal point for one of the division’s initiatives to deliver an industry\-leading client experience, reduce risk, and scale the business, the team operates in an entrepreneurial environment but with the resources of a large organization.
**Qualifications**
* 1\&amp;\#43; years of experience or familiarity with investing concepts (equities/fixed income, direct indexing, tax loss harvesting, tax management, evaluating performance/risk, etc.) and/or operational concepts (account onboarding, life cycle events).
* Technical background to develop specifications for a quantitative investment analytics, understand process maps, drive testing/validation plan across edge cases, and partner with engineering; Preferably an undergraduate and/or graduate degree in mathematics, computer science, financial engineering, or other STEM\-related background.
* Experience working as a product manager in an agile development setting is preferred but not required.
* Exceptional attention to detail and organizational skills to document specifications and communicate effectively across teams.
* Excellent communication skills across verbal, written emails, and powerpoints (e.g. visualizations, diagrams, etc.) to effectively partner with various stakeholders across the organization.
* Excitement towards learning about the investment business, improving the client investment experience, and delivering high\-quality products.
* Interest in working in a fast\-paced environment with the ability to pivot and align with changing priorities.
* Interest in making data\-driven decisions and using data to measure the performance of products
* Willingness to get into nuanced details necessary to drive high\-quality decision\-making and ensure prudent risk management that can impact the investment experience.
* Great attitude and openness to learn, be a team player, and collaborate with others.
* Partner with senior digital product managers to manage a roadmap and execute it, driving progress throughout the end\-to\-end product management life cycle and ensure a successful product release.
* Become a subject matter expert on the end\-to\-end client experience relevant to your specific pillar coverage; Stay up to date on day\-to\-day processes across various teams that touch the client experience, including portfolio management teams, client portfolio management teams, sales teams, operations teams, and user interviews.
* Partner with product managers, designers, engineers and stakeholders across multiple cross\-functional teams to develop innovative digital solutions and ensure consensus throughout the product manage lifecycle.
* Write and maintain JIRA tickets, functional requirements, and any required documentation relevant to the specific project.
* Create a testing plan and validate testing results to ensure smooth rollout of the product enhancement.
* Prudent judgement to risk management, impact to the client experience, and the ability to escalate as needed.
* Measure the performance of the product over time to help inform future enhancements and prioritization
* Written and verbal communication to announce release notes, escalate issues, or relevant updates.
**Responsibilities**
* Partner with senior digital product managers to manage a roadmap and execute it, driving progress throughout the end\-to\-end product management life cycle and ensure a successful product release.
* Become a subject matter expert on the end\-to\-end client experience relevant to your specific pillar coverage; Stay up to date on day\-to\-day processes across various teams that touch the client experience, including portfolio management teams, client portfolio management teams, sales teams, operations teams, and user interviews.
* Partner with product managers, designers, engineers and stakeholders across multiple cross\-functional teams to develop innovative digital solutions and ensure consensus throughout the product manage lifecycle.
* Write and maintain JIRA tickets, functional requirements, and any required documentation relevant to the specific project.
* Create a testing plan and validate testing results to ensure smooth rollout of the product enhancement.
* Prudent judgement to risk management, impact to the client experience, and the ability to escalate as needed.
* Measure the performance of the product over time to help inform future enhancements and prioritization
* Written and verbal communication to announce release notes, escalate issues, or relevant updates.
**Salary Range**
The expected base salary for this New York, New York, United States\-based position is $90000\-$125000\. In addition, you may be eligible for a discretionary bonus if you are an active employee as of fiscal year\-end.
**Benefits**
Goldman Sachs is committed to providing our people with valuable and competitive benefits and wellness offerings, as it is a core part of providing a strong overall employee experience. A summary of these offerings, which are generally available to active, non\-temporary, full\-time and part\-time US employees who work at least 20 hours per week, can be found here.
**We Offer Best\-In\-Class Benefits**
Healthcare \&amp; Medical Insurance
We offer a wide range of health and welfare programs that vary depending on office location. These generally include medical, dental, short\-term disability, long\-term disability, life, accidental death, labor accident and business travel accident insurance.
Holiday \&amp; Vacation Policies
We offer competitive vacation policies based on employee level and office location. We promote time off from work to recharge by providing generous vacation entitlements and a minimum of three weeks expected vacation usage each year.
Financial Wellness \&amp; Retirement
We assist employees in saving and planning for retirement, offer financial support for higher education, and provide a number of benefits to help employees prepare for the unexpected. We offer live financial education and content on a variety of topics to address the spectrum of employees’ priorities.
Health Services
We offer a medical advocacy service for employees and family members facing critical health situations, and counseling and referral services through the Employee Assistance Program (EAP). We provide Global Medical, Security and Travel Assistance and a Workplace Ergonomics Program. We also offer state\-of\-the\-art on\-site health centers in certain offices.
Fitness
To encourage employees to live a healthy and active lifestyle, some of our offices feature on\-site fitness centers. For eligible employees we typically reimburse fees paid for a fitness club membership or activity (up to a pre\-approved amount).
Child Care \&amp; Family Care
We offer on\-site child care centers that provide full\-time and emergency back\-up care, as well as mother and baby rooms and homework rooms. In every office, we provide advice and counseling services, expectant parent resources and transitional programs for parents returning from parental leave. Adoption, surrogacy, egg donation and egg retrieval stipends are also available.
Benefits at Goldman Sachs
Read more about the full suite of class\-leading benefits our firm has to offer.
Opportunity Overview
CORPORATE TITLE
Analyst
OFFICE LOCATION(S)
New York
JOB FUNCTION
Investing \&amp; Portfolio Management \- Public
DIVISION
Asset \&amp; Wealth Management
SALARY RANGE
USD 90,000 \- 125,000</t>
        </is>
      </c>
    </row>
    <row r="94">
      <c r="A94" t="inlineStr">
        <is>
          <t>in-7824b0442163df40</t>
        </is>
      </c>
      <c r="B94" t="inlineStr">
        <is>
          <t>Product Manager</t>
        </is>
      </c>
      <c r="C94" t="inlineStr">
        <is>
          <t>Abbott</t>
        </is>
      </c>
      <c r="D94" t="inlineStr">
        <is>
          <t>indeed</t>
        </is>
      </c>
      <c r="E94">
        <f>HYPERLINK("https://www.indeed.com/viewjob?jk=7824b0442163df40", "https://www.indeed.com/viewjob?jk=7824b0442163df40")</f>
        <v/>
      </c>
      <c r="F94">
        <f>HYPERLINK("https://www.jobs.abbott/us/en/job/ABLAUS31141835ENUSEXTERNAL/Product-Manager?utm_source=indeed&amp;utm_medium=phenom-feeds", "https://www.jobs.abbott/us/en/job/ABLAUS31141835ENUSEXTERNAL/Product-Manager?utm_source=indeed&amp;utm_medium=phenom-feeds")</f>
        <v/>
      </c>
      <c r="G94" t="inlineStr">
        <is>
          <t>Lake Forest, IL, US</t>
        </is>
      </c>
      <c r="H94" s="3" t="n">
        <v>46064</v>
      </c>
      <c r="I94"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**Product Manager**
**Working at Abbott**  
At Abbott, you can do work that matters, grow, and learn, care for yourself and your family, be your true self, and live a full life. You’ll also have access to: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As the **Product Manager** in our **Lake Forest, IL** location, you will lead the strategic development and launch preparation of products and services within the Workplace Services business in **Abbott Rapid and Molecular Diagnostics Toxicology Division**. You will oversee product/service design and development and go\-to\-market readiness to ensure each new product or service is positioned for success. By analyzing market trends, customer behavior, regulatory requirements, and competitive activity, you will identify opportunities to inform the innovation roadmap and to guide product development to address evolving customer needs. In this role, you will collaborate with cross\-functional teams including R\&amp;D, Operations, IT, PMO, Quality, Regulatory, Channel Marketing, and Sales to prepare products for market launch. You will lead product development planning efforts, monitor sales performance, and adapt strategies to optimize results. Your ability to evaluate product performance and customer feedback in order to drive insights into action will drive continuous improvement and innovation.
**What You’ll Work On**
* Oversee product development and design, conduct market research as needed, define price strategies, launch new products, and monitor sales performance to effectively market new products/services.
* Evaluate market trends, customer behavior and competitor activity to identify product/service opportunities for the innovation plan.
* Lead the cross functional timeline management for product development and product launch readiness.
* Prepare products for commercialization by working with cross\-functional teams (e.g., Operations, IT, R\&amp;D, PMO, Quality, Regulatory, Channel Marketing, Commercial).
* Adapt plans to improve the sales performance of product/services: Monitor sales volume, revenues and costs against forecasts to inform opportunities for optimization.
* Lead launch planning and commercialization of products, ensuring alignment across cross\-functional team and full product readiness for optimal launch success.
* Collaborate with internal technical resources to synthesize requirements for the development or enhancement of products and services and their supporting technology / software enhancement.
**Required Qualifications**
* Bachelors degree
* Minimum two years Commercial experience, minimum five\-year total business experience.
**Preferred Qualifications**
* MBA or Masters degree a plus.
* Work experience in Occupational Health Services is a plus but not required.
* Experience in B2B marketing.
* 6 – 8 years of experience in product management and/or product development preferred
* Experience managing products through the full lifecycle, from concept to launch and beyond, while anticipating future needs and challenges.
* Strong business acumen and analytical skills, with a deep understanding of customer needs and the ability to represent the customer in design and development discussions.
* Excellent written and verbal communication skills, with the ability to influence and collaborate across teams and levels.
* Ability to work in multiple initiatives with short and overlapping deadlines.
* Strong interpersonal skills and ability to work with a diverse team.
* Self\-motivated and self\-starter, with initiative to deliver results.
* Experience developing service\-oriented products in the healthcare industry.
* Strong understanding of software and technology, including the user experience (UI/UX).
* Prior experience translating technology service solutions into revenue generating products.
* Experience managing a budget.
**Apply Now**
**Learn more about our health and wellness benefits, which provide the security to help you and your family live full lives:** https://abbottbenefits.com/
Follow your career aspirations to Abbott for diverse opportunities with a company that can help you build your future and live your best life. Abbott is an Equal Opportunity Employer, committed to employee diversity.
Connect with us at abbott.com, on LinkedIn at https://www.linkedin.com/company/abbott\-/, and on Facebook at https://www.facebook.com/AbbottCareers
The base pay for this position is $99,300\.00 – $198,700\.00\. In specific locations, the pay range may vary from the range posted.</t>
        </is>
      </c>
    </row>
    <row r="95">
      <c r="A95" t="inlineStr">
        <is>
          <t>in-e27afdf6f55470ff</t>
        </is>
      </c>
      <c r="B95" t="inlineStr">
        <is>
          <t>Distribution and Marketing Data Product Manager</t>
        </is>
      </c>
      <c r="C95" t="inlineStr">
        <is>
          <t>Beazley Group</t>
        </is>
      </c>
      <c r="D95" t="inlineStr">
        <is>
          <t>indeed</t>
        </is>
      </c>
      <c r="E95">
        <f>HYPERLINK("https://www.indeed.com/viewjob?jk=e27afdf6f55470ff", "https://www.indeed.com/viewjob?jk=e27afdf6f55470ff")</f>
        <v/>
      </c>
      <c r="F95">
        <f>HYPERLINK("https://careers.beazley.com/jobs/3030/job?utm_source=indeed_integration&amp;iis=Job%20Board&amp;iisn=Indeed&amp;indeed-apply-token=73a2d2b2a8d6d5c0a62696875eaebd669103652d3f0c2cd5445d3e66b1592b0f", "https://careers.beazley.com/jobs/3030/job?utm_source=indeed_integration&amp;iis=Job%20Board&amp;iisn=Indeed&amp;indeed-apply-token=73a2d2b2a8d6d5c0a62696875eaebd669103652d3f0c2cd5445d3e66b1592b0f")</f>
        <v/>
      </c>
      <c r="G95" t="inlineStr">
        <is>
          <t>West Hartford, CT, US</t>
        </is>
      </c>
      <c r="H95" s="3" t="n">
        <v>46064</v>
      </c>
      <c r="I95" t="inlineStr">
        <is>
          <t>General:
Job Title: Distribution and Marketing Data Product Manager
Division: Beazley Shared Services – Data Management
Location: Multiple Locations, US
Hybrid Role
Reports To: Head of Data Products
Key Relationships: Chief Data Office, Data Leadership Team, Data Owners, Distribution and Marketing, CRM, Data Governance and Quality, Data Stewards, Data Architects, Delivery Team members, Technology Team, Finance, Underwriting, Operations and other Business Stakeholders
Beazley:
Beazley is a global specialist insurance company with over 30 years’ experience helping people,
communities, and businesses to manage risk all around the world. Our products are wide ranging from cyber \&amp; tech to marine, healthcare, financial institutions, and contingency, covering risks like the weather, film production or protection from deadly weapons.
We are a flexible and innovative employer offering a friendly, collaborative, diverse and inclusive work environment. We encourage applications from all backgrounds. Collaboration in office spaces is important and we use a hybrid approach with a minimum of 2 days in the office per week.
We have a wonderful mix of cultures, experiences, and backgrounds at Beazley with over 1500 of us working around the world. Employee’s diversity, experience and passion allow us to keep innovating and moving forward, delivering the best. We hire people with wide perspectives, and we have set bold diversity targets as we work towards excellence.
Data @ Beazley:
Our Data team supports Beazley’s vision by...
§ Being bold through pioneering \&amp; championing an exciting vision of how people interact with data
§ Facilitating innovation by leading the pace of change in data \&amp; analytics, and facilitating the latest capabilities and innovative technologies
§ Doing the right thing by providing a controlled working data environment that allows all business domains to thrive independently
§ Being the single source of truth for enterprise\-wide reporting metrics and KPIs
Our Data team is located at multiple offices across UK, Europe and the US. The specified home office location options provide the best balance for being co\-located with key Data Office colleagues and business stakeholders.
The Role:
Data is one of Beazley’s greatest assets and this roles is critical to supporting our Distribution and Marketing insights, which includes Customer, Broker and Marketing data. We’re seeking a strategic and technically savvy Data Product Manager to lead the strategy, development and evolution of data products and insights that empower our distribution and marketing teams. This role is critical to aligning our data, unlocking insights, and informing growth opportunities across our specialty portfolio. In this role, you will also work to mature data literacy and capabilities as Beazley undertakes a significant investment in modernization, enabling you to embed a culture of data excellence and innovation in our delivery.
Key Responsibilities:
* Partner with the global Distribution and Marketing team to understand, prioritize and develop data products and insights that support their business strategy.
* Build and own a roadmap to provide regular updates on delivery commitments for data products, insights, enhancements and queries.
* Manage stakeholder relationships to support the growth strategy for Beazley customers, brokers, teams and products.
* Produce insights and key data trends that highlight business performance, RoI, efficiencies and game\-changing growth opportunities.
* Inspire the adoption and use of insights to drive decisions in investment and operations that improve efficiency and drive growth by leading demonstrations and hands on training sessions.
* Lead a team of Product Owners, Product Analysts, Business Analysts and a development team to deliver and maintain data products and insights; maintaining a backlog of work within Jira.
* Represent the business in data governance discussions, escalating issues as appropriate.
* Ensure that data product development considers policy, methodology and standards, and ensure these are adhered to during product development.
* Evaluate the performance of your data product portfolio against KPIs defined by the business and provide feedback on the value delivered.
* Proactively anticipate business needs and look for opportunities to bring innovation or new approaches into the user design, experience, product development and insights.
* Relentlessly focus on the Distribution and Marketing team as a customer, delivering high quality data and insights that are clear and inspire action.
* Partner with the Data Governance Group and CRM solution team (Customer Relationship Management) to drive improvements in our Customer and Broker data quality through MDM and other tools.
* Provide leadership, direction, development and support to direct reports (including off\-shore resources).
Essential Criteria:
* Bachelor’s degree in Business, Marketing, Data Science, Computer Science, Economics, Statistics or related field; Master’s degree preferred
* Proven experience in data product management, marketing analytics or distribution strategy, preferably in insurance or financial services
* Experience working with data, building data models, and sharing insights
Skills and Abilities:
* Strategic and curious with the ability to design and develop data and insights that support our Distribution and Marketing team’s goals, planning, performance and incentives that drive growth
* Understand the specialty insurance market, customer segmentation and distribution channels, with experience in North America, Lloyd’s, Retail and Wholesale markets preferred
* Ability to lead workshops that help your stakeholders identify data needs and articulate their desired user experience, with the ability to build dashboards preferred
* Strong organization and communication skills with the ability to direct work, document requirements and present demos
* Advanced technical skills with the ability to dive into the data, identify anomalies, and provide high quality, trusted data
* Understanding of Specialty Insurance principles and key drivers to create opportunities, loyalty and growth
Knowledge and Experience:
* Experience in Data Products, Data Analytics, Data Science, Statistics, Economics or related fields in Insurance, Financial or sales organizations preferred
* Strong understanding of MDM and CRM systems and their use with Customer and Broker data
* Proficiency in data visualization (Power BI), analytics platform (Snowflake), dashboard design and data storytelling
* Experience working with insurance data, and in particular a strong understanding of pipeline intelligence for sales growth/ targeting and performance
* Ability to use predictive modeling to drive an understanding of performance, customer behavior, and prospective renewals/ growth to help the Distribution Sales team focus on the best opportunities
* Experience managing relationships and teams of stakeholders, business analysts, data analysts, data architects, data modelers, data engineers and testers using agile processes
* Skills in data engineering technologies like Kafka, Snowflake / Snowpark, DataBricks, Jira and Agile principles
* Experience in managing and manipulating large internal and external datasets
* Knowledge of relational and dimensional database structures, theories, principles, and practices
* Driven and proven team player with ability to work with all levels in a highly intellectual, collaborative, and fast paced environment
* Excellent communication skills, with the ability to tailor them appropriately for different audiences, technical backgrounds, and seniority
 **Who We Are:**
Beazley is a specialist insurance company with over 30 years’ experience helping people, communities and businesses to manage risk all around the world. Our mission is to inspire our clients and people with the confidence and freedom to explore, create and build – to enable businesses to thrive. Our clients want to live and work freely and fully, knowing they are benefitting from the most advanced thinking in the insurance market. Our goal is to become the highest performing sustainable specialist insurer.
Our products are wide ranging, from cyber \&amp; tech insurance to marine, healthcare, financial institutions and contingency; covering risks such as the weather, film production or protection from deadly weapons.
**Our Culture**
We have a wonderful mix of cultures, experiences, and backgrounds at Beazley with over 2,000 of us working around the world. Employee’s diversity, experience and passion allow us to keep innovating and moving forward, delivering the best. We are proud of our family\-feel culture at Beazley that empowers our staff to work from when and where they want, in an adult environment that is big on collaboration, diversity of thought and personal accountability. Our three core values inspire the way we work and how we treat our people and customers.
* Be bold
* Strive for better
* Do the right thing
Upholding these values every day has enabled us to become an innovative and responsive organization in touch with the changing world around us – our ambitious inclusion \&amp; diversity and sustainability targets are testament to this.
We are a flexible and innovative employer offering a friendly, collaborative, and inclusive working environment. We actively encourage and expect applications from all backgrounds. Our commitment to fostering a supportive and dynamic workplace ensures that every employee can thrive and contribute to our collective success.
Explore a variety of networks to assist with professional and/or personal development. Our Employee Networks include:
* Beazley RACE \- Including, understanding and celebrating People of Colour
* Beazley SHE \- Successful, High potential, Empowered women in insurance
* Beazley Proud \- Our global LGBTQ\+ community
* Beazley Wellbeing \- Supporting employees with their mental wellbeing
* Beazley Families \- Supporting families and parents\-to\-be
We encourage internal career progression at Beazley, giving you all the tools you need to drive your own career here, such as:
* Internal Pathways (helping you grow into an underwriting role)
* iLearn (our own learning \&amp; development platform)
* LinkedIn Learning
* Mentorship program
* External qualification sponsorship
* Continuing education and tuition reimbursement
* Secondment assignments
**The Rewards**
* The opportunity to connect and build long\-lasting professional relationships while advancing your career with a growing, dynamic organization
* Attractive base compensation and discretionary performance related bonus
* Competitively priced medical, dental and vision insurance
* Company paid life, and short\- and long\-term disability insurance
* 401(k) plan with 5% company match and immediate vesting
* 22 days PTO (prorated for 1st calendar year of employment), 11 paid holidays per year, with the ability to flex the religious bank holidays to suit your religious beliefs
* Up to $700 reimbursement for home office setup
* Free in\-office lunch, travel reimbursement for travel to office, and monthly lifestyle allowance
* Up to 26 weeks of fully paid parental leave
* Up to 2\.5 days paid annually for volunteering at a charity of your choice
* Flexible working policy, trusting our employees to do what works best for them and their teams
Salary for this role will be tailored to the successful individual’s location and experience. The expected compensation range for this position is $130,000\-$150,000 per year plus discretionary annual bonus.
**Don’t meet all the requirements? At Beazley we're committed to building a diverse, inclusive, and authentic workplace. If you’re excited about this role but your experience doesn’t perfectly align with every requirement and qualification in the job specification, we encourage you to apply anyway. You might just be the right candidate for this, or one of our other roles.**
We are an equal opportunities employer and as such, we will make reasonable adjustments to our selection process for candidates that indicate that, owing to disability, our arrangements might otherwise disadvantage them. If you have a disability, including dyslexia or other non\-visible ones, which you believe may affect your performance in selection, please advise us in good time and we’ll make reasonable adjustments to our processes for you.</t>
        </is>
      </c>
    </row>
    <row r="96">
      <c r="A96" t="inlineStr">
        <is>
          <t>in-e9933606fc89d2bf</t>
        </is>
      </c>
      <c r="B96" t="inlineStr">
        <is>
          <t>Affordability Program Manager - Hybrid</t>
        </is>
      </c>
      <c r="C96" t="inlineStr">
        <is>
          <t>Blue Cross Blue Shield of Arizona</t>
        </is>
      </c>
      <c r="D96" t="inlineStr">
        <is>
          <t>indeed</t>
        </is>
      </c>
      <c r="E96">
        <f>HYPERLINK("https://www.indeed.com/viewjob?jk=e9933606fc89d2bf", "https://www.indeed.com/viewjob?jk=e9933606fc89d2bf")</f>
        <v/>
      </c>
      <c r="F96">
        <f>HYPERLINK("https://bcbsaz.wd1.myworkdayjobs.com/en-US/BCBSAZCareers/job/AZ-Blue-Phoenix-AZ-85021/Affordability-Program-Manager---Hybrid_R5882", "https://bcbsaz.wd1.myworkdayjobs.com/en-US/BCBSAZCareers/job/AZ-Blue-Phoenix-AZ-85021/Affordability-Program-Manager---Hybrid_R5882")</f>
        <v/>
      </c>
      <c r="G96" t="inlineStr">
        <is>
          <t>Phoenix, AZ, US</t>
        </is>
      </c>
      <c r="H96" s="3" t="n">
        <v>46064</v>
      </c>
      <c r="I96" t="inlineStr">
        <is>
          <t>Awarded a Healthiest Employer, Blue Cross Blue Shield of Arizona aims to fulfill its mission to inspire health and make it easy. AZ Blue offers a variety of health insurance products and services to meet the diverse needs of individuals, families, and small and large businesses as well as providing information and tools to help individuals make better health decisions.
At AZ Blue, we have a hybrid workforce strategy, called Workability, that offers flexibility with how and where employees work. Our positions are classified as hybrid, onsite or remote. While the majority of our employees are hybrid, the following classifications drive our current minimum onsite requirements:* Hybrid People Leaders: must reside in AZ, required to be onsite at least twice per week
* Hybrid Individual Contributors: must reside in AZ, unless otherwise cited within this posting, required to be onsite at least once per week
* Hybrid 2 (Operational Roles such as but not limited to: Customer Service, Claims Processors, and Correspondence positions): must reside in AZ, unless otherwise cited within this posting, required to be onsite at least once per month
* Onsite: daily onsite requirement based on the essential functions of the job
* Remote: not held to onsite requirements, however, leadership can request presence onsite for business reasons including but not limited to staff meetings, one\-on\-ones, training, and team building
Please note that onsite requirements may change in the future, based on business need, and job responsibilities. Most employees should expect onsite requirements and at a minimum of once per week.
This position is hybrid within the state of AZ only. This hybrid work opportunity requires residency, and work to be performed, within the State of Arizona.
PURPOSE OF THE JOB* Lead Segment specific cost of care efforts in identification, evaluation, implementation and monitoring of affordability and quality improvement initiatives designed to optimize the cost of high\-quality medical care and achieve Segment specific Cost of Care savings targets.
* Manage Segment Affordability by partnering with Analytics to identify, analyze, interpret, and validate trends, advising Growth and Segment leadership team of affordability challenges and potential mitigating actions.
* Partner with other Cost of Care Workstreams to identify and implement Affordability Initiatives (Network, Clinical, Pharmacy, Value Based Care, Payment Integrity, Vendor Partnerships, etc.)
REQUIRED QUALIFICATIONS
Required Work Experience* 5 years of experience in analytical, actuarial or business analysis role
* 5 years of experience working for a healthcare organization / health insurer
Required Education* Bachelor’s Degree in general field of study
Required Licenses* N/A
Required Certifications* N/A
PREFERRED QUALIFICATIONS
Preferred Work Experience* 5 years of experience in analytical, actuarial or business analysis leadership role
* 7 years of experience working for a healthcare organization / health insurer
Preferred Education* Bachelor’s Degree in Business, Healthcare, Mathematics, Economics, Finance or related field of study.
Preferred Licenses* N/A
Preferred Certifications* N/A
ESSENTIAL JOB FUNCTIONS AND RESPONSIBILITIES
PRODUCT AFFORDABILITY (COST OF CARE MANAGEMENT)* Lead Segment specific cost of care efforts in identification, evaluation, implementation and monitoring of affordability and quality improvement initiatives designed to optimize the cost of high\-quality medical care and achieve Segment specific Cost of Care savings targets.
* Partner with Workstream leadership to identify and implement Affordability Initiatives impacting the Segment (Network, Clinical, Pharmacy, Value Based Care, Payment Integrity, Vendor Partnerships, etc.)
* Partner with Analytics to identify, analyze, interpret, and validate trends and patterns in Segment utilization across provider panels, care settings and other categories, advising segment leadership team of affordability challenges and potential mitigating actions.
* Develop business cases related to Segment cost of care initiatives to support Leadership decision\-making and prioritization of opportunities based on balancing organizational alignment, ROI and resource constraints.
* Provide leadership and segment representation on corporate committees, advocating for customer needs and effectively communicating decisions and actions to segment leadership.
* Monitor external economic and healthcare issues affecting cost and utilization trends impacting the industry, the organization, and the segment.
SEGMENT NETWORK DEVELOPMENT* Prepare fact\-based analysis and strategic recommendations to drive development of new/modified provider networks, including potential impacts of provider risk sharing as appropriate.
* Partner with Analytics and Provider Network teams to identify providers and locations practicing high value care for inclusion in current or future Exclusive Network offerings.
* Lead segment in Value\-Based Partnerships, ensuring appropriate information sharing and monitoring outcome metrics in order to drive improved segment affordability and pricing predictability.
OVERALL* Actively engage in Segment Departmental and General Manager meetings to ensure alignment with Segment Priorities and socialization of Cost of Care initiatives.
* Build and maintain effective working relationships with internal stakeholders and key external contacts to ensure teamwork in achieving corporate goals.
* Participate in strategic planning activities and contribute to departmental and cross\-functional teams to achieve BCBSAZ goals and ensure future success.
* Drive performance through management and execution of organizational plans and activities.
* Coordinate activities between multiple divisions to achieve desired results.
* The position has an onsite expectation of 1 day per week and requires a full\-time work schedule. Full\-time is defined as working at least 40 hours per week, plus any additional hours as requested or as needed to meet business requirements.
* Perform all other duties as assigned.
REQUIRED COMPETENCIES
Required Job Skills* Intermediate PC proficiency
* Intermediate proficiency with Microsoft Office, including Excel, Word and PowerPoint
* Intermediate proficiency with Tableau or other data visualization tools.
* Excellent presentation and communication skills
* Strong research and organization skills
Required Professional Competencies* Advanced analytical and problem\-solving skills necessary to generate insights and recommendations based on available data
* Ability to recognize strategic opportunities and use data to make timely and sound decisions
* Excellent professional and interpersonal skills, including the ability to collaborate with team members and business stakeholders at all levels of the organization
* Advanced project management experience.
* Flexibility and willingness to adjust to shifting demands/priorities.
* Strong customer service skills.
Required Leadership Experience and Competencies* Ability to make decisions in a timely manner, sometimes with incomplete information and under tight deadlines
* Ability to maintain high standard of performance while pursuing aggressive goals
* Ability to influence key stakeholders to accomplish key objectives
* Ability to maintain confidentiality and privacy
* Principled leadership and sound business ethics
PREFERRED COMPETENCIES
Preferred Job Skills* N/A
Preferred Professional Competencies* N/A
Preferred Leadership Experience and Competencies* N/A
Our Commitment
AZ Blue does not discriminate in hiring or employment on the basis of race, ethnicity, color, religion, sex, sexual orientation, gender identity, national origin, age, disability, protected veteran status or any other protected group.
Thank you for your interest in Blue Cross Blue Shield of Arizona. For more information on our company, see azblue.com. If interested in this position, please apply.</t>
        </is>
      </c>
    </row>
    <row r="97">
      <c r="A97" t="inlineStr">
        <is>
          <t>in-ee51c92da983a8f2</t>
        </is>
      </c>
      <c r="B97" t="inlineStr">
        <is>
          <t>Product Owner</t>
        </is>
      </c>
      <c r="C97" t="inlineStr">
        <is>
          <t>Sabre Systems</t>
        </is>
      </c>
      <c r="D97" t="inlineStr">
        <is>
          <t>indeed</t>
        </is>
      </c>
      <c r="E97">
        <f>HYPERLINK("https://www.indeed.com/viewjob?jk=ee51c92da983a8f2", "https://www.indeed.com/viewjob?jk=ee51c92da983a8f2")</f>
        <v/>
      </c>
      <c r="F97">
        <f>HYPERLINK("https://careers.sabresystems.com/jobs/4516/job?utm_source=indeed_integration&amp;iis=Job%20Board&amp;iisn=Indeed&amp;indeed-apply-token=73a2d2b2a8d6d5c0a62696875eaebd669103652d3f0c2cd5445d3e66b1592b0f", "https://careers.sabresystems.com/jobs/4516/job?utm_source=indeed_integration&amp;iis=Job%20Board&amp;iisn=Indeed&amp;indeed-apply-token=73a2d2b2a8d6d5c0a62696875eaebd669103652d3f0c2cd5445d3e66b1592b0f")</f>
        <v/>
      </c>
      <c r="G97" t="inlineStr">
        <is>
          <t>Naval Air Station Patuxent River, MD, US</t>
        </is>
      </c>
      <c r="H97" s="3" t="n">
        <v>46064</v>
      </c>
      <c r="I97" t="inlineStr">
        <is>
          <t>Responsibilities:
Sabre Systems is currently recruiting for a **Product Owner** to lead the development and delivery of innovative data\-driven solutions for the NAWCAD Readiness \&amp; Fleet Analytics (R\&amp;FA) Division’s Advanced Analytics and Innovation (AA\&amp;I) Branch at Patuxent River Naval Air Station in Lexington Park, MD. The **Product Owner** will manage cross\-functional teams and collaborate with customers to gather, prioritize, and refine requirements for sophisticated dashboards, visualizations, and websites. As a Product Owner, you will oversee the development of actionable solutions using tools such as Tableau, Microsoft Power BI, and a variety of web development and data science platforms, including Databricks, GitLab, JIRA, AWS, NUCLEUS, and JavaScript. You will play a key role in ensuring the successful execution of projects that leverage advanced analytics, machine learning, and business intelligence tools to support Program Management Air (PMA) offices, Air Systems Group, Command, Fleet Readiness Centers, and other Department of Defense (DoD) services. This is a full\-time position with telework as the standard arrangement, complemented by occasional in\-office requirements.
The selected candidate will be responsible for but not limited to:* Lead and manage cross\-functional development teams, ensuring alignment with Agile/Scrum methodologies.
* Facilitate sprint planning, backlog refinement, sprint reviews, and retrospectives to ensure efficient and effective execution of the Scrum process.
* Provide guidance and mentorship to team members, fostering collaboration and productivity.
* Track labor hours for projects and ensure the team operates within budget and schedule constraints.
* Serve as the primary liaison between customers and development teams, ensuring clear communication and understanding of requirements.
* Gather, prioritize, and refine high\-level requirements from customers to develop actionable product roadmaps.
* Occasionally provide “ballpark” ROM (Rough Order of Magnitude) labor hour projections to help customers assess feasibility and funding needs.
* Interface with new customers to explain AA\&amp;I processes, technical expectations, and project workflows.
* Collaborate with stakeholders to define and prioritize product features and requirements based on business needs and technical feasibility.
* Ensure product backlogs are well\-organized, actionable, and aligned with customer goals.
* Work closely with developers to translate requirements into technical solutions.
* Develop and implement business process standards for development teams to ensure consistency and efficiency.
* Organize and facilitate Agile/Scrum process development and training sessions.
* Collaborate with technical leads to ensure alignment on technology procurement and development strategies.
* Provide technical guidance to developers and organize technical training sessions as needed.
Qualifications:
* Business, Management, Technical or Scientific BS or BA degree with 5\+ years of related academic or professional experience in project or program management, preferably in Agile/Scrum environments.
* Strong oral and written communication skills, including the ability to present and defend technical recommendations.
* Proven ability to manage teams, deliver tasks efficiently, and interact professionally across all levels of management.
* Experience managing labor hours and ensuring projects stay within budget and schedule constraints.
* Proficiency in JIRA and GitLab, with a minimum of 5\+ years of related academic or professional experience.
* Understanding of CI/CD techniques and workflows.
* High\-level problem\-solving and interpersonal skills.
* Flexible and able to work effectively in dynamic environments
* Secret security clearance
* U.S. Citizen.
Candidates with the following experience are highly desired:
* Dashboard Development: Experience with Tableau, Qlik, or Power BI for creating advanced visualizations and interactive dashboards.
* Data Engineering: Hands\-on experience with Databricks, AWS, or other data engineering platforms for managing and processing large datasets.
* Web Development: Proficiency in JavaScript and front\-end development for building user\-centric web applications.
* Familiarity with aviation industry data.
* Scrum Master certification or leadership experience in Agile/Scrum environments.
* Experience in the aerospace and/or defense industries.
Overview:
Sabre Systems, LLC, has been providing innovative technological solutions and services for Department of Defense, Federal Civilian, and commercial customers for more than 35 years. We support the ever\-evolving areas of advanced communication technologies, cyber, systems and software engineering, and digital transformation.  
With over three decades in business, Sabre Systems, LLC remains committed to our small business values and a people\-first philosophy. We foster a welcoming, inclusive culture that values diverse perspectives and encourages open communication. Our collaborative environment supports continuous learning and professional growth at all levels. We prioritize the health, well\-being, and success of our employees, offering comprehensive, evolving benefits designed to meet their diverse needs. Join us and be part of a thriving, people\-driven culture. **We respect the unique perspectives that a diverse workforce of minorities, women, individuals with disabilities, and protected veterans brings not only to our company, but also to our customers. All qualified applicants will receive consideration for employment without regard to race, color, religion, sex (including pregnancy, gender identity and sexual orientation), national origin, age, disability or genetic information.** **EEO Minorities/Females/Disability/Veterans; VEVRAA Federal Contractor** **Beware of employment scams**—Sabre Systems will never request payment, extend offers without an interview, or contact you from an email that doesn’t end in **@sabresystems.com**; always apply directly at https://careers.sabresystems.com/.</t>
        </is>
      </c>
    </row>
    <row r="98">
      <c r="A98" t="inlineStr">
        <is>
          <t>in-229dd1748a107008</t>
        </is>
      </c>
      <c r="B98" t="inlineStr">
        <is>
          <t>ABA Program Manager</t>
        </is>
      </c>
      <c r="C98" t="inlineStr">
        <is>
          <t>Easterseals Southern California</t>
        </is>
      </c>
      <c r="D98" t="inlineStr">
        <is>
          <t>indeed</t>
        </is>
      </c>
      <c r="E98">
        <f>HYPERLINK("https://www.indeed.com/viewjob?jk=229dd1748a107008", "https://www.indeed.com/viewjob?jk=229dd1748a107008")</f>
        <v/>
      </c>
      <c r="F98">
        <f>HYPERLINK("https://careers-essc.icims.com/jobs/11005/job?utm_source=indeed_integration&amp;iis=Job%20Board&amp;iisn=Indeed&amp;indeed-apply-token=73a2d2b2a8d6d5c0a62696875eaebd669103652d3f0c2cd5445d3e66b1592b0f", "https://careers-essc.icims.com/jobs/11005/job?utm_source=indeed_integration&amp;iis=Job%20Board&amp;iisn=Indeed&amp;indeed-apply-token=73a2d2b2a8d6d5c0a62696875eaebd669103652d3f0c2cd5445d3e66b1592b0f")</f>
        <v/>
      </c>
      <c r="G98" t="inlineStr">
        <is>
          <t>Whittier, CA, US</t>
        </is>
      </c>
      <c r="H98" s="3" t="n">
        <v>46064</v>
      </c>
      <c r="I98" t="inlineStr">
        <is>
          <t>Overview:
Under supervision by a Board Certified Behavior Analyst (Assoc. Clinical Supervisor, Clinical Supervisor, or Regional Clinical Director), provides program management and executes changes in program. Provides specialized behavior intervention services and program supervision to individuals with Autism Spectrum Disorder (ASD) and/or other related disabilities. Works closely with the BCBA and Behavior Interventionists to provide intervention, conduct assessments, write progress reports and develop programs for assigned cases.  
Starting pay ranges from $70,304\.00\.
Responsibilities:
* Supervises Behavior Interventionists to ensure all recorded data is correct and accurate. Manages and maintains program records. Maintains data reliability and fidelity checks regularly. Plans and leads monthly progress updates for each family served with program team.
* Assists in creating and delivering specific intervention activities and provides parent education according to treatment plan or other individualized assessments. Monitors the skill acquisition of children and adults diagnosed on the autism spectrum in natural settings.
* Completes necessary documentation including evaluations, treatment notes, progress reports and exit summaries, and keeps updated with other programs, and participant\-related documents and reports.
* Provides and coordinates on\-going competency\-based staff training. Attends staff meetings, in\-services, treatment planning, trainings, and other meetings, as requested.
* Remains current regarding new research, current trends and developments in autism, ABA, special education and related fields.
* Maintains frequent, professional and courteous communications with participants and families. Communicates parental concerns and needs immediately to the case supervisor.
* Performs other duties as assigned.
Qualifications:
* Master’s degree from an accredited college or university with a concentration in early childhood education/development, early childhood special education, special education, or psychology.
* Two years of professional experience working with children with autism spectrum disorders (ASD).
* Knowledge of evidence\-based practices, and scientifically\-validated methodologies and approaches, found to benefit children with ASD; familiar with current research findings.
* Familiar with the approaches to intervention based on the science of Applied Behavior Analysis. Competent in employing and directing behavior analytic methodologies including Pivotal Response Training (PRT), Natural Environment Teaching (NET), Picture Exchange Communication System (PECS), Behavior Skills Training (BST), and Experimental Functional Analysis (EFA).
* Familiar with the field of early intervention; knowledge of other community resources and agencies that serve children.
* Strong clinical, administrative, and leadership skills.
* Able to interpret and implement policies, procedures, and regulations.
* Able to consistently demonstrate good judgment and decision\-making skills.
* Ability to maintain customer service orientation and professionalism in all interactions.
* Ability to communicate effectively, through oral and written skills, and work cooperatively with a variety of individuals and groups. Must relate well to children and their families and maintain positive affect.
* Ability to exercise discretion and maintain a high level of confidentiality to handle sensitive and confidential situations and documentation.
* Very good working knowledge of Microsoft Office (Outlook, Word, Excel, etc.) and related computer software.
* Must have and maintain current CPR certification card.
* Ability to pass a post\-offer physical examination and a TB test.
* Ability to provide proof of required vaccinations or positive titer showing immunity. A signed declination may be acceptable for certain vaccinations
* Ability to obtain and maintain a criminal record/fingerprint clearance from the Department of Justice and Federal Bureau of Investigation per Easterseals Southern California and/or program requirements.
* Ability to travel locally; maintain driving record in compliance with Transportation Safety Standards; maintain auto insurance and vehicle registration.
* Bilingual Spanish preferred.</t>
        </is>
      </c>
    </row>
    <row r="99">
      <c r="A99" t="inlineStr">
        <is>
          <t>in-02392855612634ab</t>
        </is>
      </c>
      <c r="B99" t="inlineStr">
        <is>
          <t>Fitness Program Manager</t>
        </is>
      </c>
      <c r="C99" t="inlineStr">
        <is>
          <t>HealthFitness</t>
        </is>
      </c>
      <c r="D99" t="inlineStr">
        <is>
          <t>indeed</t>
        </is>
      </c>
      <c r="E99">
        <f>HYPERLINK("https://www.indeed.com/viewjob?jk=02392855612634ab", "https://www.indeed.com/viewjob?jk=02392855612634ab")</f>
        <v/>
      </c>
      <c r="F99">
        <f>HYPERLINK("https://trustmark.wd1.myworkdayjobs.com/en-US/healthfitnesscareers/job/Ann-Arbor-MI/Fitness-Program-Manager_105124", "https://trustmark.wd1.myworkdayjobs.com/en-US/healthfitnesscareers/job/Ann-Arbor-MI/Fitness-Program-Manager_105124")</f>
        <v/>
      </c>
      <c r="G99" t="inlineStr">
        <is>
          <t>Ann Arbor, MI, US</t>
        </is>
      </c>
      <c r="H99" s="3" t="n">
        <v>46064</v>
      </c>
      <c r="I99" t="inlineStr">
        <is>
          <t>HealthFitness, a Trustmark company, is a proven leader in providing fitness solutions that engage and connect people both on\-site and online, to create a strong community of health. Our work focuses on creating meaningful connections with each of our participants to help them move forward. We foster each individual’s journey by creating communities of health within the organizations we serve – so that everyone is supported. As an employee of HealthFitness you will enjoy a variety of health and financial benefits and receive competitive pay. We provide personal and professional support, training and development and flexible employment opportunities.
About the role
Join HealthFitness as a Fitness Program Manager!
Up to $1000K sign\-on bonus!
Are you passionate about inspiring others to live healthier lives? HealthFitness is thrilled to offer an exciting full\-time opportunity for an entry\-level Fitness Program Manager at our client site located in Ann Arbor and York, MI.* Work\-Life Balance: Enjoy a consistent Monday–Thursday schedule with four 10\-hour days—spend two days each week in Ann Arbor and York.
* Stability \&amp; Perks: Benefit from paid holidays, PTO and a supportive team environment.
* Career Growth: This is the perfect role to launch your career in fitness management with a company that values your development.
If you’re ready to make a positive impact and grow your career, we’d love to meet you!
Responsible for managing and directing all operational aspects of two on\-site fitness programs ensuring the highest level of participation, results achievement, and customer satisfaction in the delivery of programs and services. Also, may be responsible for contract compliance; development of and adherence to the strategic business plan; staff supervision, training, and development; design and facilitation of a variety of health \&amp;fitness programs; and various administrative duties including developing outcomes focused management reports.
Key Accountabilities* Manages all program activities in accordance with HealthFitness operational, quality, safety, and service standards.
* Develops and implements the yearly strategic business plan to identify contract deliverables, program/ service offerings and initiatives, targeted outcomes, and marketing strategy to meet client objectives. Prepares and manages operating budget. Ensures expenditures are made in accordance with applicable policies and procedures.
* May lead regular individual and group staff meetings to ensure associates are informed about HealthFitness, client and program events, initiatives, and status.
* Ensures contract compliance. Manages client relationship to ensure that high customer satisfaction is maintained and HealthFitness value is reinforced.
* Directs the implementation of individual and group fitness programs, health education activities, motivational programs, and special events; coordinates marketing and communications to maximize program engagement, bringing in HealthFitness Corporate support as appropriate.
* Tracks participant and program data for measurement of individual and program goal achievement, outcomes, and results; creates outcomes focused management reports based on the identified business plan goals and objectives. Manages all record and data management activities at the worksite, ensuring the proper storage, retention, and confidentiality all data collected in accordance with HealthFitness requirements.
* Conducts informal safety checks daily and performs routine safety audits on a weekly, monthly, and quarterly basis in accordance with HealthFitness guidelines.
* Performs staff responsibilities as appropriate including floor supervision, fitness testing, exercise prescription, new member facility and equipment orientations, personal training, and group exercise class instruction. Verifies equipment is well maintained and operating properly; ensures locker rooms are clean and stocked, and coordinates prompt resolution to facility related issues.
* In conjunction with Director Program Management \&amp; Engagement, introduces new HealthFitness programs, products, and services to the client.
* Other duties as needed/assigned.
Minimum Requirements* Associate’s degree or higher in Exercise Science, Health Promotion, Kinesiology or related discipline or equivalent combination of education, current certifications, and experience.
* 2\+ years’ related industry experience.
* Current Adult CPR/AED/First Aid certifications from American Heart Association, American Red Cross, National Safety Institute, or American Safety \&amp; Health Institute required by start date. (Note: certification must have an in\-person component and not 100% online/OSHA compliant).
* Ability to lead, manage and operate a fitness center.
* Strong interpersonal and customer service skills including the ability to motivate others.
* Ability to effectively organize and prioritize work demands.
* Computer proficiency in MS Office including at minimum Word, Excel, and Outlook.
* Applicants must meet hiring requirements including but not limited to pre\-employment drug test.
* Industry recognized Group Exercise certification from ACE, AFAA/NASM, ACSM, NCCPT, NETA \- or \- NCCA Accredited Personal Trainer certification from an Industry recognized and HealthFitness approved agency.
* Prior Supervisory experience preferred.
Compensation: $45,000/Year \- $48,000/Year. Pay is dependent on experience and qualifications. Additional commission opportunities for someone with an industry recognized and HealthFitness approved Personal Trainer certification.
Brand: HealthFitness
Come join HealthFitness! Join a team that will not only utilize your current skills but will enhance them as well. We offer a comprehensive benefit package that includes Medical/Dental/Vision plans including HSA, PPO and FSA options, retirement/401(k) with employer matching program, fitness and wellness programs incentivized with medical plan discounts, certification reimbursement program, tuition reimbursement, paid new parent leave, paid Holidays and PTO (starting at 3 weeks for full\-time associates), volunteer paid time off and much more.
HealthFitness is committed to leveraging the talent of a diverse workforce to create great opportunities for our people and our business. We are an equal opportunity employer, including disability and protected veteran status.</t>
        </is>
      </c>
    </row>
    <row r="100">
      <c r="A100" t="inlineStr">
        <is>
          <t>in-c6f7ee44bb0be666</t>
        </is>
      </c>
      <c r="B100" t="inlineStr">
        <is>
          <t>Enterprise Risk Program Manager</t>
        </is>
      </c>
      <c r="C100" t="inlineStr">
        <is>
          <t>Golden Spread Electric Cooperative Inc</t>
        </is>
      </c>
      <c r="D100" t="inlineStr">
        <is>
          <t>indeed</t>
        </is>
      </c>
      <c r="E100">
        <f>HYPERLINK("https://www.indeed.com/viewjob?jk=c6f7ee44bb0be666", "https://www.indeed.com/viewjob?jk=c6f7ee44bb0be666")</f>
        <v/>
      </c>
      <c r="F100">
        <f>HYPERLINK("https://www.paycomonline.net/v4/ats/web.php/jobs/ViewJobDetails?job=145862&amp;clientkey=7DC5760FDCA8788D51B7484894AA9230&amp;source=Indeed", "https://www.paycomonline.net/v4/ats/web.php/jobs/ViewJobDetails?job=145862&amp;clientkey=7DC5760FDCA8788D51B7484894AA9230&amp;source=Indeed")</f>
        <v/>
      </c>
      <c r="G100" t="inlineStr">
        <is>
          <t>Amarillo, TX, US</t>
        </is>
      </c>
      <c r="H100" s="3" t="n">
        <v>46064</v>
      </c>
      <c r="I100" t="inlineStr">
        <is>
          <t>**Job Title:** Enterprise Risk Program Manager
**Department:** Finance, Accounting, Billing \&amp; Risk
**Location:** Amarillo, TX; in\-office
**Employment Type:** Full Time; Exempt
**About Us**
Golden Spread Electric Cooperative, Inc. generates electricity for the purpose of delivering cost\-effective and reliable power to our 16 Member Distribution Cooperatives. As a cooperative, we are not\-for\-profit and provide services exclusively for our Members. Our team values integrity, respect, cooperation, and service.
**Position Summary**
We are seeking a motivated and skilled Enterprise Risk Program Manager to join our team. This role is ideal for a collaborative professional with analytical experience. This role supports GSEC and our Member cooperative by safeguarding their financial interests through proactive monitoring or risk trends and strengthening the quality of strategic decision\-making. Preference for candidates with regulated energy industry experience.
**Key Responsibilities**
* Develop and manage enterprise risk register, enterprise\-wide policies, programs, procedures, and standards.
* Developing, managing, utilizing, maintaining, and expanding the quantitative and qualitative processes, analytical tools, and software used for risk assessment and reporting activities, including the Enterprise Risk \&amp; Value Model and tools.
* Identifying, understanding, and communicating interdependencies between key risks and helping identify mutually beneficial mitigation strategies.
* Developing and maintaining a system or systems to track and monitor key risks.
* Providing support to the Manager of Insurance and Risk for reporting risks to the Internal Risk Management \&amp; Compliance Committee (IRMC) and Board. Including reporting of day\-to\-day management of all activities related to the development, implementation, maintenance, and function of the GSEC Enterprise Risk Management (ERM) and Decision Quality Programs.
* Integrating the ERM program with various other programs and processes, including compliance, risk assurance, business continuity, insurance, energy trading, strategic planning, capital budgeting, and project delivery.
* Conducting subject matter expert interviews and working with key stakeholders to generate alternative strategies.
* Working with decision boards and teams to capture insights and ensure follow\-through on data requests.
* Developing and maintaining the GSEC Decision Quality Process and documents, including Organizational Decision Quality (ODQ) training plans and communications.
* Developing and evaluating models of strategic business decisions in Excel. This includes performing problem formulation, analysis, business research, and assessment.
* Developing and explaining outputs critical to decision\-making, e.g., tornado, waterfall, and whisker charts.
* Partnering with the departments to perform Decision Quality gap analyses on significant decisions as requested.
* Support the Manager of Insurance and Risk in ensuring all insurance policies comply with regulatory requirements, and prepare detailed reports on insurance performance, costs, and risk exposure for senior management.
* Support the Manager of Insurance and Risk in directing the claims process, from incident reporting to resolutions, working closely with internal teams and external insurers to ensure timely settlements.
* Support the Manager of Insurance and Risk in evaluating corporate insurance programs, including liability, property, workers’ compensation, and professional liability, including the formulation of limits, layers, terms, and conditions of the insurance programs. Including ensuring all insurance policies comply with regulatory requirements, and preparing detailed reports on insurance performance, costs, and risk exposure for senior management.
* Accountable for compliance with the Golden Spread Safety Policy, including all Safety Procedures and third\-party and Member contractual obligations.
* Other duties as assigned.
**What We Offer**
Schedule Options
Traditional Schedule: M\-F, 8am\-5pm; or
Flex Schedule: M\-TH, 7:30am\-5:30pm, F, 7:30am\-11:30am
Benefits
* Comprehensive medical, dental, and vision coverage.
* 401k with employer match and retirement pension.
* Accrued PTO plus 9 paid holidays.
* Wellness program.
* Employee assistance resources.
…and much more!
Company Culture
Our culture is built on collaboration, connections, and a strong commitment to service. We take pride in supporting our Members and their rural communities. We want every employee to understand the meaningful impact of their work for our Members. We invest in our team through ongoing learning, training, and professional growth. We value work\-life balance and strongly support family values.
**Education, Knowledge, and Experience Required**
* A Bachelor’s degree from an accredited college or university. Preferred candidates will have a degree in Finance, Economics, Business, or Engineering.
* Minimum 5 years experience in energy trading, derivatives, marketing or bulk power and gas system management.
* Minimum 5 years experience in commercial or regulatory capacity in the energy industry preferred, including experience with wholesale power or natural gas markets, trading compliance and ERM program development, and/or business process improvement preferred.
* Knowledge and experience in building financial models, conducting probabilistic analyses, risk control concepts, process improvement, program measurement, and reporting.
* Knowledge and experience in generation and transmission operations preferred.
* General knowledge of industry regulatory rules and regulations (FERC, NERC, CFTC, RTO/ISO); state regulatory requirements and administrative procedures of the associated regulatory bodies.
* Understanding of energy hedging and portfolio management concepts and instruments.
* Ability to quickly assess the impact of new relevant industry, legal and regulatory information and applies knowledge to specific issues or situations relevant to GSEC.
* Strong interpersonal, organizational, collaboration and research skills; skills at conflict resolution.
* Excellent oral and written communication skills.
* Maintains composure and uses good judgment under stressful circumstances.
* Ability to work in a dynamic environment with frequently changing requirements and meet deadlines.
* Works well within a self\-directed, team\-based environment.</t>
        </is>
      </c>
    </row>
    <row r="101">
      <c r="A101" t="inlineStr">
        <is>
          <t>in-9dc89c36d0184bba</t>
        </is>
      </c>
      <c r="B101" t="inlineStr">
        <is>
          <t>Program Manager (Home Delivered Meals)</t>
        </is>
      </c>
      <c r="C101" t="inlineStr">
        <is>
          <t>Meals on Wheels Western Michigan</t>
        </is>
      </c>
      <c r="D101" t="inlineStr">
        <is>
          <t>indeed</t>
        </is>
      </c>
      <c r="E101">
        <f>HYPERLINK("https://www.indeed.com/viewjob?jk=9dc89c36d0184bba", "https://www.indeed.com/viewjob?jk=9dc89c36d0184bba")</f>
        <v/>
      </c>
      <c r="F101">
        <f>HYPERLINK("https://workforcenow.adp.com/mascsr/default/mdf/recruitment/recruitment.html?cid=9ae24a14-c699-4fcb-990a-8d5de3c27494&amp;ccId=19000101_000001&amp;jobId=580135&amp;source=IN&amp;lang=en_US", "https://workforcenow.adp.com/mascsr/default/mdf/recruitment/recruitment.html?cid=9ae24a14-c699-4fcb-990a-8d5de3c27494&amp;ccId=19000101_000001&amp;jobId=580135&amp;source=IN&amp;lang=en_US")</f>
        <v/>
      </c>
      <c r="G101" t="inlineStr">
        <is>
          <t>Grandville, MI, US</t>
        </is>
      </c>
      <c r="H101" s="3" t="n">
        <v>46064</v>
      </c>
      <c r="I101" t="inlineStr">
        <is>
          <t>**Meals on Wheels****Home Delivered Meals Program Manager** **About Us**  
At Meals on Wheels Western Michigan, our mission is to provide quality nutrition services in a supportive environment to promote the health and independence of older adults in Kent and Allegan Counties. We do this by offering a range of programs — including home‑delivered meals, community dining sites, and senior pantry — that help seniors live independently, stay connected and thrive in their own homes. Meals on Wheels delivers more than just food, we deliver kindness, companionship and hope — ensuring that no senior is hungry or forgotten. Our core values shape how we work, how we treat others, and how we support our community. They are:* **Treat People Well.** We work hard to create a respectful environment where kindness, inclusivity and understanding are paramount.
* **Do the Right Thing.** We own our mistakes and follow through on our commitments.
* **Be a Team Player.** We listen, we pitch in and we are always thinking beyond our immediate team.
* **Aim for Excellence.** We innovate often, we stay curious and learn from our mistakes.
 **About this role:**
Want to help fight hunger in Western Michigan? Do you enjoy building meaningful connections with older adults and supporting their independence? As the Home Delivered Meal (HDM) Program Manager at Meals on Wheels Western Michigan, you will play a key management role in supporting our mission of delivering nourishment, connection, and compassionate service to our clients. Reporting to the Director of Operations, you will oversee all aspects of the Home Delivered Meals program, including but not limited to client intake, assessments, and ensuring exceptional customer service. You will provide strategic direction while planning, coordinating, and guiding departmental operations and staff. Leading by example, you will help cultivate a positive, collaborative, and mission‑driven work environment as you contribute to a vibrant and fast‑paced organization dedicated to serving the community.**In this role you will:*** First and foremost, align with our mission and values as an organization.
* Participates in menu development as appropriate to ensure stakeholder voices are heard.
* Develops and executes program evaluation and outcomes measurement to evaluate program effectiveness, client/customer satisfaction and cost effectiveness/profitability.
* Develops and executes standard operating procedures and standards of work safety, quality, cleanliness, and productivity
* Ensures HIPAA compliance within department
* Collaborates with the Registered Dietitian to identify at risk clients for nutrition interventions.
* Oversees hiring, scheduling, training, coaching, evaluation and progressive discipline for department staff.
 **What you’ll Bring:**  
* Demonstrates strong proficiency with computer systems and digital tools, with the ability to quickly learn new platforms and technology.
* Proven leadership experience with a track record of successfully managing, mentoring, and motivating a team.
* Exceptional communication skills, both written and verbal, with the ability to engage effectively with clients, team members, and community partners.
* Highly detail\-oriented, with strong organizational skills and a commitment to accuracy and quality.
* Working knowledge of social services systems and community\-based resources, with an understanding of the populations served.
* Valid driver’s license and reliable transportation required, with the ability to travel throughout the designated service area.
 **What’s In it for you:**  
We don’t do fine print and mystery perks. Here’s what we offer and what you can count on:* Work life balance that includes consistent DAY shifts
* Impact on our community and incredible team members
* Competitive compensation
* Comprehensive health, dental and vision insurance eligible day one (1\) of employment
* Company match for both HSA and 401(k) dollars – eligible to participate immediately!
* Life insurance, short and long\-term disability, Health Savings and Flexible Dependent Care Spending Account options
* PTO to rest and recharge along with paid holidays
* Employee Assistance Program to provide you and your household members with free, confidential support.</t>
        </is>
      </c>
    </row>
    <row r="102">
      <c r="A102" t="inlineStr">
        <is>
          <t>in-2cd0185cb946e067</t>
        </is>
      </c>
      <c r="B102" t="inlineStr">
        <is>
          <t>Technical Program Manager – Clearance Required</t>
        </is>
      </c>
      <c r="C102" t="inlineStr">
        <is>
          <t>LMI</t>
        </is>
      </c>
      <c r="D102" t="inlineStr">
        <is>
          <t>indeed</t>
        </is>
      </c>
      <c r="E102">
        <f>HYPERLINK("https://www.indeed.com/viewjob?jk=2cd0185cb946e067", "https://www.indeed.com/viewjob?jk=2cd0185cb946e067")</f>
        <v/>
      </c>
      <c r="F102">
        <f>HYPERLINK("https://careers-lmi.icims.com/jobs/13652/job?utm_source=indeed_integration&amp;iis=Job%20Board&amp;iisn=Indeed&amp;indeed-apply-token=73a2d2b2a8d6d5c0a62696875eaebd669103652d3f0c2cd5445d3e66b1592b0f", "https://careers-lmi.icims.com/jobs/13652/job?utm_source=indeed_integration&amp;iis=Job%20Board&amp;iisn=Indeed&amp;indeed-apply-token=73a2d2b2a8d6d5c0a62696875eaebd669103652d3f0c2cd5445d3e66b1592b0f")</f>
        <v/>
      </c>
      <c r="G102" t="inlineStr">
        <is>
          <t>Washington, DC, US</t>
        </is>
      </c>
      <c r="H102" s="3" t="n">
        <v>46064</v>
      </c>
      <c r="I102" t="inlineStr">
        <is>
          <t>Overview:
The **Technical Program Manager** will play a pivotal role in the successful implementation of a GenAI\-driven modernization effort for a key U.S. Army client. This position requires a seasoned professional with deep expertise in cloud platforms, Army standards, and agent\-based AI systems, along with the ability to coordinate complex development efforts to ensure alignment with Army mission requirements and operational realities. **This position requires an active Secret clearance.**  
The Technical Program Manager will be responsible for guiding the deployment and evolution of LMI’s **LIGER® platform,** an agentic AI tool, mitigating technical and programmatic risk, and overseeing the work of a deeply technical, multi\-disciplinary team. This role serves as a senior Technical SME to the U.S. Army client, bridging hands\-on technical execution with senior, non\-technical leadership to ensure AI\-driven solutions directly support mission outcomes.  
The Technical Program Manager is expected to move quickly in an environment that emphasizes building, deploying, and iterating in parallel—communicating clearly, driving consensus, fostering strong team collaboration, and owning the end\-to\-end solution lifecycle with the client.  
LMI is a new breed of digital solutions provider dedicated to accelerating government impact with innovation and speed. Investing in technology and prototypes ahead of need, LMI brings commercial\-grade platforms and mission\-ready AI to federal agencies at commercial speed.  
Leveraging our mission\-ready technology and solutions, proven expertise in federal deployment, and strategic relationships, we enhance outcomes for the government, efficiently and effectively. With a focus on agility and collaboration, LMI serves the defense, space, healthcare, and energy sectors—helping agencies navigate complexity and outpace change. Headquartered in Tysons, Virginia, LMI is committed to delivering impactful results that strengthen missions and drive lasting value.
Responsibilities:
* Serve as the primary technical lead coordinating GenAI and agentic AI development efforts to ensure alignment with Army requirements, constraints, and mission priorities
* Translate mission needs into **LIGER architectures**, workflows, and agent\-based solutions that integrate with existing Army systems
* Combine deep technical expertise with strong stakeholder management and consensus\-building skills to align Army leaders to AI\-driven solution approaches
* Oversee the deployment and evolution of GenAI platforms, AI agents, and supporting data pipelines while mitigating technical, security, and delivery risks
* Collaborate with Army stakeholders to integrate AI capabilities into existing cloud, data, and enterprise IT environments
* Assist in developing and maintaining technical documentation, including system architectures, agent interaction diagrams, and AI workflow specifications
* Provide technical guidance and advisory support to Army personnel and partner contractors
* Stay current on GenAI, agentic AI patterns, cloud infrastructure advancements, and evolving Army / DoD digital standards
* Ensure compliance with Army cybersecurity, data governance, and AI risk management requirements
* Collaborate with program leadership to optimize cost efficiency and prevent cost overruns in AI platform delivery
* Provide clear, regular status updates to senior Army leaders and LMI management
* Manage project deliverables, financials, schedules, and team performance across the full solution lifecycle
Qualifications:
MINIMUM QUALIFICATIONS:* Bachelor’s degree in Computer Science, Information Technology, Software Development, or a related technical field, or equivalent professional experience; Master’s degree highly desirable
* Minimum of 10 years of experience in software engineering, solution architecture, and cloud deployments, including security, cyber, and data infrastructure
* Experience interfacing between hands\-on technical teams and senior stakeholders, creating delivery roadmaps from scratch
* Demonstrated experience implementing or managing **GenAI platforms, AI agents, or AI\-enabled workflows** in enterprise or mission environments
* Strong familiarity with Army standards and requirements for digital, cloud, cyber, and data systems
* Experience working directly with Army stakeholders and defense contractors
* Ability to clearly communicate complex AI and technical concepts to non\-technical audiences
* Experience with U.S. Army networking systems, data architectures, and current modernization initiatives
* Experience supporting tactical\-level or operational Army solutions is a plus
* Experience across AWS, Azure, and on\-premises environments
* Active Secret clearance required
**Certifications (not required, but relevant):*** Security\+
* Cloud\+
* Data\+
* CySA\+
* Solution Architect
* Project Management
* Systems Administration
* Scrum / Agile
Target salary range: $145,000 \- 220,000 ***Disclaimer:*** The salary range displayed represents the typical salary range for this position and is not a guarantee of compensation. Individual salaries are determined by various factors including, but not limited to location, internal equity, business considerations, client contract requirements, and candidate qualifications, such as education, experience, skills, and security clearances.  
\#LI\-SH1</t>
        </is>
      </c>
    </row>
    <row r="103">
      <c r="A103" t="inlineStr">
        <is>
          <t>in-cd719ef71570d613</t>
        </is>
      </c>
      <c r="B103" t="inlineStr">
        <is>
          <t>Program Manager</t>
        </is>
      </c>
      <c r="C103" t="inlineStr">
        <is>
          <t>balda c brewer</t>
        </is>
      </c>
      <c r="D103" t="inlineStr">
        <is>
          <t>indeed</t>
        </is>
      </c>
      <c r="E103">
        <f>HYPERLINK("https://www.indeed.com/viewjob?jk=cd719ef71570d613", "https://www.indeed.com/viewjob?jk=cd719ef71570d613")</f>
        <v/>
      </c>
      <c r="F103">
        <f>HYPERLINK("https://workforcenow.adp.com/mascsr/default/mdf/recruitment/recruitment.html?cid=f384ed95-ec2e-4926-9a57-a3a799d1e8b7&amp;ccId=9201261146090_2&amp;jobId=576454&amp;source=IN&amp;lang=en_US", "https://workforcenow.adp.com/mascsr/default/mdf/recruitment/recruitment.html?cid=f384ed95-ec2e-4926-9a57-a3a799d1e8b7&amp;ccId=9201261146090_2&amp;jobId=576454&amp;source=IN&amp;lang=en_US")</f>
        <v/>
      </c>
      <c r="G103" t="inlineStr">
        <is>
          <t>Ontario, CA, US</t>
        </is>
      </c>
      <c r="H103" s="3" t="n">
        <v>46064</v>
      </c>
      <c r="I103" t="inlineStr">
        <is>
          <t>This position is responsible for performing engineering and program management tasks to integrate new products from concept to manufacturing in a contract manufacturing environment. Activities include reviewing drawings, visualizing the product detail, understanding the manufacturing methods and process flows required to produce the item or assembly, and estimating the appropriate time, cost, and resources required to prepare and perform each process. The ideal candidate has experience with medical industry manufacturing processes, quality planning experience, and proven manufacturing experience in an injection molding environment. This position will be the key engineering point of contact for several new and ongoing sustaining projects with face\-to\-face customer account responsibility.
**Essential Job Functions and Responsibilities****:**
* Responsible for Project Launch and Integration of assigned new programs that require engineering related functions internally and externally.
* The ability to garner the cooperation of cross functional departments to develop a synergistic team to attain desired project goals and deliverables
* Building a professional face\-to\-face engineering relationship with customers as a program is developed to ensure timely delivery to market.
* Utilizing manufacturing experience to review drawing requirements and identify special requirements/processes or possible manufacturing concerns to determine the proposed project is aligned within the company's manufacturing capabilities and product scope
* Facilitate quoting of costs and/or services outside of original project scope.
* Creating bills of materials and engineering documents.
* Procurement of new program materials or assets relative to the project requirements
* Identifying new innovations or concepts to improve costs and operational efficiencies
* Coordinate the projects across multiple manufacturing locations 5\-10% travel may be required.
* Utilizing estimating tools to create/calculate bill of material requirements, manufacturing time/cost, and prepare final proposals for review and project deployment.
* Perform reviews for estimating processes and costs suggestions for improvements that benefit EBITDA profitability for continued growth of the company.
* Will have a working knowledge of Quality Planning Elements for successful deployment for IQ, OQ, PQ, Medical protocols.
* Will have proficiency for utilizing MS PowerPoint for generating presentations and proposals to internal and external teams
* Will possess the leadership and resolve to defend company processes, profitability, and sterling reputation
**Core Competencies:**
* Must be able to interact with customers in an open and honest manner and create positive relationships.
* Knowledge of validation and production processes in contract manufacturing.
* Must be able to manage multiple customers and multiple projects simultaneously
**Knowledge, Skills, and Abilities**
* ***Analytical Skills/Organization*** \- Strong analytical skills with attention to detail. Exceptional organizational and multi\-tasking skills. Highly organized and can professionally manage and motivate internal cross\-functional teams and clients a well.
* ***Manufacturing Familiarity*** \- Must be well versed in value stream analysis for numerous manufacturing methods and equipment including molding, secondary operations, engineering consulting time, validation, and various added value assembly processes
* ***Plastics*****:** Previous hands\-on molding experience is required
* ***Professional Demeanor and Integrity***: Be a Self\-Starter who can work with minimal supervision with the expected accountability. The candidate works with integrity and ethical business practices. Must be thorough in completing tasks and focused on quality output. Will be responsible for consolidating, organizing, and reporting the program costs face\-to\-face with the client with a professional delivery. Team player with a positive, encouraging demeanor.
* ***Applications Skills*** \- Knowledge of computers and relevant software applications. Proficient in MS Word, Excel, MS Outlook, PowerPoint and MS Projects, Minitab a plus
* ***Production and Processing*** \- Knowledge of raw materials, production processes, quality control, costs, and other techniques for maximizing the effective manufacture and distribution of goods
* ***Time Management*** \- Managing one's own time and being sensitive for the time of cross\-functional team members
* ***Critical Thinking*** \- Using logic, reasoning, data based empirical evidence to identify the strengths and weaknesses of alternative solutions, conclusions or approaches to problem solving. Must be able to employ problem solving methods, techniques and risk assessments to ensure successful product deployment
* ***Judgment and Decision Making*** \- Considering the relative costs and benefits of potential actions to choose the most appropriate path forward.
* ***Establishing and Maintaining Interpersonal Relationships****\-* Developing constructive and cooperative sustained long\-term working relationships with internal colleagues and external sources to include suppliers and customers
* ***Dependability***—the individual is consistently at work and on time, follows instructions, responds to management direction and solicits feedback to improve performance. Must possess Strong Verbal and Written communication, organizational, and leadership skills. Ability to enforce company policy and values
* ***CAD*** **–** Ability to interpret and understand complex industry drawings, terminology, and process sheets. Demonstrated ability to understand and interpret 2D drawings, visualize the product in detail, create a mental picture of the manufacturing methods and steps required to produce the item or assembly within project budgets and timeline constraints and possess proven working knowledge of GD \&amp; T for 2D mechanical drawings, CAD experience preferred but not required
**Education and/or Experience**:
* College degree BS Engineering or equivalent combination of education and experience.
* Minimum of 5 years of experience in injection molding environment.
* Experience working in an ISO 9001 environment; knowledge of ISO 13485, and FDA CFR 21 820 quality standards a plus.
* Recognized with PMP Certification Preferred</t>
        </is>
      </c>
    </row>
    <row r="104">
      <c r="A104" t="inlineStr">
        <is>
          <t>in-333b365643e5f8df</t>
        </is>
      </c>
      <c r="B104" t="inlineStr">
        <is>
          <t>Therapy Program Manager - Occupational Therapy (OT)</t>
        </is>
      </c>
      <c r="C104" t="inlineStr">
        <is>
          <t>HealthPRO Heritage</t>
        </is>
      </c>
      <c r="D104" t="inlineStr">
        <is>
          <t>indeed</t>
        </is>
      </c>
      <c r="E104">
        <f>HYPERLINK("https://www.indeed.com/viewjob?jk=333b365643e5f8df", "https://www.indeed.com/viewjob?jk=333b365643e5f8df")</f>
        <v/>
      </c>
      <c r="F104">
        <f>HYPERLINK("https://careers-healthpro-rehab.icims.com/jobs/128195/job?utm_source=indeed_integration&amp;iis=Job%20Board&amp;iisn=Indeed&amp;indeed-apply-token=73a2d2b2a8d6d5c0a62696875eaebd669103652d3f0c2cd5445d3e66b1592b0f", "https://careers-healthpro-rehab.icims.com/jobs/128195/job?utm_source=indeed_integration&amp;iis=Job%20Board&amp;iisn=Indeed&amp;indeed-apply-token=73a2d2b2a8d6d5c0a62696875eaebd669103652d3f0c2cd5445d3e66b1592b0f")</f>
        <v/>
      </c>
      <c r="G104" t="inlineStr">
        <is>
          <t>Columbus, OH, US</t>
        </is>
      </c>
      <c r="H104" s="3" t="n">
        <v>46064</v>
      </c>
      <c r="I104" t="inlineStr">
        <is>
          <t>Overview:
**HealthPro Heritage as an Occupational Therapist (OT)/Therapy Program Manager opportunity.**
 **Need:** Part\-Time Therapy Program Manager **Opportunity:** Potential to grow into Full\-Time **Locations:** Polaris, OH – Manager at Polaris and also treat in Dublin, OH **Rate:** $40–$48/hr (increases based on experience) Also Bonus Potential with this position### **Perks for You**
* **Competitive Pay:** $40–$48/hr with increases based on experience and bonus potential
* **Part\-Time Benefits:** 401K, Dental, Vision, and 360 CEUs annually
* **Professional Growth:** Opportunity to transition to full\-time or OT Manager
* **Supportive Environment:** Work with experienced leadership and a team that values collaboration
* **Direct resident impact** – Provide hands\-on OT services that improve independence and quality of life for older adults.
* **Leadership opportunity** – Develop, lead, and improve therapy programs within the community.
* **Career growth** – Gain management experience while continuing clinical practice.
* **Interdisciplinary collaboration** – Work closely with nursing and wellness teams to support holistic care.
* **Program influence** – Shape therapy services, standards, and outcomes across the community.
* **Meaningful work environment** – Contribute to a mission\-driven senior living community focused on purposeful aging.
### **Why This Role is a Great Opportunity**
* **Flexibility \&amp; Growth:** Start part\-time and have the opportunity to expand into a full\-time role.
* **Leadership Support:** Work with a **great Regional VP** who is dedicated to your success and professional development.
* **Variety of Residents:** Gain experience across senior living communities, assisting residents in maintaining independence, function, and quality of life.
**Why Choose HealthPro Heritage?**
* **Purpose\-Driven Work:** Be part of a mission\-driven organization dedicated to compassionate care and innovative therapy solutions.
* **Growth Opportunities:** Enjoy continuous learning and development opportunities tailored to support your professional growth.
* **Collaborative Culture:** Thrive in a supportive environment where teamwork, respect, and open communication are at the heart of everything we do.
* **Commitment to Excellence:** Join a team recognized for clinical expertise and commitment to delivering high\-quality care and outcomes.
* **Competitive Benefits Package:** Enjoy competitive compensation along with a comprehensive benefits package designed with YOU in mind!
**Join Us in Making a Difference**
At HealthPro Heritage, we offer a fulfilling career where you can positively impact lives and achieve personal and professional growth. As a therapist\-led, diverse organization, we provide clinical services across various settings, including nursing facilities, retirement communities, hospitals, home care, and pediatric schools and clinics. Join us to be part of a team that values your skills, listens to your input, and makes a meaningful difference in the community.
Responsibilities:
**Team Leadership \&amp; Management**
* Directly manage and supervise clinical therapy staff, including hiring, performance appraisals, and fostering a positive team atmosphere.
* Monitor personnel compliance, credentials, and develop corrective action plans when necessary.
**Clinical Oversight \&amp; Quality Assurance**
* Maintain a clinical caseload and ensure the delivery of high\-quality therapy services in compliance with regulatory standards (e.g., CARF, JCAHO).
* Conduct reviews of therapy programs and services to assess effectiveness and efficiency.
**Program Development \&amp; Growth**
* Develop strategies to expand therapy programs, including building caseloads and implementing special initiatives like fitness or dementia programs.
* Lead marketing efforts with local hospitals, physicians, and the community to promote the therapy program.
**Operational Management**
* Oversee scheduling of patients and therapists to ensure adequate coverage.
* Track and report assessment period data, ensuring proper documentation and adherence to Medicare and company guidelines.
**Problem Resolution \&amp; Staff Support**
* Investigate and resolve patient, staff, or service\-related issues, ensuring open communication and problem\-solving.
* Provide ongoing education and in\-service training to staff and community members.
**Compliance \&amp; Safety**
* Maintain up\-to\-date knowledge of laws and regulations governing rehabilitation services.
* Ensure a safe environment by complying with infection control, OSHA standards, and proper use of tools and equipment.
Qualifications:
* **Education:** Degree in required discipline (Physical, Occupational, Speech Therapy and/or Physical Therapy/Occupational Therapy Assisting).
* **Licensure:** Valid state licensure as a PT/OT/SLP and/or PTA/COTA, or license eligible
* At least **3–5 years of clinical experience** in rehabilitation or a related healthcare field.
* **Supervisory or management experience** in a healthcare setting preferred, ideally in rehab therapy
* **Leadership \&amp; Team Management:** Strong ability to lead, motivate, and manage a multidisciplinary team of therapists and support staff.
* **Clinical Knowledge:** Deep understanding of rehabilitation principles, practices, and patient care protocols.
* **Communication:** Excellent written and verbal communication skills for interacting with staff, patients, families, and stakeholders.
* **Problem\-Solving:** Effective decision\-making and critical thinking skills to address challenges and improve operations.
* **Organizational Skills:** Strong ability to manage schedules, resources, and budgets efficiently.
* **Compliance Knowledge:** Familiarity with healthcare regulations, including HIPAA, Medicare/Medicaid, and other applicable laws.
HealthPRO Heritage and its subsidiaries provide equal employment opportunities (EEO) to all employees and applicants for employment without regard to race, color, religion, sex, national origin, age, disability or genetics. In addition to federal law requirements, HealthPRO Heritage and its subsidiaries comply with applicable state and local laws governing nondiscrimination in employment in every location in which the company facilities. This policy applies to all terms and conditions of employment, including recruiting, hiring, placement, promotion, termination, layoff, recall, transfer, leaves of absence, compensation and training.</t>
        </is>
      </c>
    </row>
    <row r="105">
      <c r="A105" t="inlineStr">
        <is>
          <t>in-a404f621aa01eb6f</t>
        </is>
      </c>
      <c r="B105" t="inlineStr">
        <is>
          <t>Interim Program Manager - Back Office Program Management</t>
        </is>
      </c>
      <c r="C105" t="inlineStr">
        <is>
          <t>AMA Consulting Group</t>
        </is>
      </c>
      <c r="D105" t="inlineStr">
        <is>
          <t>indeed</t>
        </is>
      </c>
      <c r="E105">
        <f>HYPERLINK("https://www.indeed.com/viewjob?jk=a404f621aa01eb6f", "https://www.indeed.com/viewjob?jk=a404f621aa01eb6f")</f>
        <v/>
      </c>
      <c r="F105">
        <f>HYPERLINK("https://www.paycomonline.net/v4/ats/web.php/jobs/ViewJobDetails?job=295018&amp;clientkey=0A194EAF4475CB764F9E415062C14E24&amp;source=Indeed", "https://www.paycomonline.net/v4/ats/web.php/jobs/ViewJobDetails?job=295018&amp;clientkey=0A194EAF4475CB764F9E415062C14E24&amp;source=Indeed")</f>
        <v/>
      </c>
      <c r="G105" t="inlineStr">
        <is>
          <t>Remote, US</t>
        </is>
      </c>
      <c r="H105" s="3" t="n">
        <v>46064</v>
      </c>
      <c r="I105" t="inlineStr">
        <is>
          <t>**Job Title:** Service Line Manager Back Office Support
**Department:** Program Management  
**Reports To:** Vice President of Operations and Performance
**Location:** Hybrid within an approved employment state
**FLSA Classification:** Salary and Exempt
**Objective of the Position:**
The Service Line Manager is a highly analytical, process driven operational leader responsible for driving measurable performance outcomes across a defined portfolio. Success in this role is achieved through disciplined operational oversight, rigorous financial management, and databased decision making.
This position requires a leader who can optimize productivity, ensure compliance with HUD and IRS regulatory requirements (HCV, LIHTC, PIH, SEMAP, HQS and NSPIRE), and sustain audit ready operations at all times. The Service Line Manager builds trusted client relationships, leads teams with clarity and accountability, and ensures all work is delivered with consistent quality, accuracy, and efficiency.
Success in this role is defined by the ability to deliver profitable performance, ensure operational consistency, maintain strong client relationships, and lead high performing teams with clarity, accountability, and structured decision making.
**Key Responsibilities**
**Financial and Performance Management**
* Own revenue, margin, and profitability outcomes across the service line.
* Monitor and optimize utilization, realization, and billability through structured workforce planning.
* Forecast capacity and staffing using data driven models and workload trends.
* Ensure all projects are delivered on time, on budget, and within scope.
* Identify performance risks early through metric tracking and implement corrective plans promptly.
* Make decisions grounded in data to balance financial outcomes and operational quality.
**Operational and Delivery Excellence**
* Oversee day to day operations, resource allocation, and workload balancing with clear processes.
* Maintain rigorous quality control standards, KPIs, and performance dashboards.
* Standardize workflows, templates, playbooks, and operating procedures.
* Lead structured root cause analysis and escalations to prevent service disruptions.
* Ensure consistent execution, predictable outcomes.
* Drive continuous audit readiness across all applicable HUD and IRS programs.
**Client Leadership and Relationship Management**
* Lead data supported client communication built on transparency, trust, and operational predictability.
* Resolve issues efficiently using objective evidence and structured problem solving.
* Identify opportunities for service improvement, optimization, and portfolio growth.
* Support contract stability through accurate reporting, forecasting, and performance documentation.
* Understand each client’s risk profile, financial value, and service requirements.
**Team Leadership and Development**
* Provide structured coaching, performance management, and development for team members.
* Address performance issues promptly using measurable standards and clear expectations.
* Build strong bench strength and develop future leaders.
* Establish clarity around roles, goals, workflows, and accountability standards.
* Model ownership, professionalism, and disciplined operational leadership.
**Strategic Execution and Continuous Improvement**
* Lead initiatives that improve efficiency, scalability, and workflow optimization.
* Support adoption of technology, tools, and systems to improve operational performance.
* Use data analytics and process evaluations to drive continuous improvement.
* Align service line performance with organizational goals and compliance requirements.
**Required Qualifications:**
* Bachelors degree in Public Administration, Business Administration, Housing Management, or a related field (Masters degree preferred).
* 7plus years of project management experience, including oversight of complex, multiphase initiatives.
* 7 plus years of experience in HUD or Affordable Housing program operations, such as eligibility processing, recertifications, SEMAP administration, quality control, and audit readiness within HCV, PBV, RAD, LIHTC, etc. preferred programs
* 7plus years of supervisory or managerial experience in a customer service focused, high volume operational environment.
**Required Certifications**
Candidates must possess or be willing to obtain the following certifications to support operational excellence, compliance accuracy, and leadership capability within the service line:
* PMP (Project Management Professional) or CAPM (Certified Associate in Project Management)
* Agile Project Management certification or equivalent
* Financial Management training or certification
* Housing program certifications such as HCV, PBV, LIHTC, PBRA, RAD, PIH, or equivalent
* EIV System Training
* Fair Housing Certification
* Rent Calculation \&amp; Verification Training
* SEMAP Training
* HQS and NSPIRE or related HUD compliance coursework
* Series 6 Leadership Certification
* Supervisor Development Series and Tracks
* Strategic Operations Leadership
* HR Compliance Essentials for Managers
* Supervisor Fundamentals
* Manage People Performance Certification
* Leadership development programs
* Compliance refreshers
* Technical skills training
* Industry specific continuing education
**Qualifications \&amp; Competencies**
The ideal candidate will demonstrate a strong combination of analytical capability, operational discipline, leadership maturity, and data driven decision making. Key qualifications and competencies include:
* Demonstrated ability to manage business performance through structured processes and data analytics.
* Strong financial and operational acumen, including forecasting, productivity optimization, and capacity planning.
* Proven experience improving workflows, implementing SOPs, and increasing process efficiency across teams or programs.
* High operational discipline with the ability to ensure consistent execution, accuracy, and compliance.
* Strong leadership abilities, including performance management, strategic planning, and confident, accountable decision making.
* Ability to lead teams effectively in high volume, fast paced operational environments.
* Proven capability to maintain team focus, clarity, and motivation under pressure.
* Natural ownership mindset, taking initiative, driving solutions, and proactively addressing performance concerns.
* Executive level communication and presence, with the ability to build trust and influence at all organizational levels.
* Exceptional interpersonal skills with the ability to manage public relations and maintain strong client, stakeholder, and employee relationships.
* Skilled in leading difficult conversations, managing escalations, and representing the organization professionally in high stakes situations.
* Proficiency in project management methodologies, tools, and program office operations.
* Ability to standardize processes, enhance efficiency, and drive continuous improvement.
* Demonstrated capability to scale operations through structured systems, workflows, and technology adoption.
* High adaptability and flexibility, including willingness to travel or relocate as needed.
* Ability to create stability, clarity, and order within dynamic or fast changing environments.
* Understanding of HUD and IRS regulatory programs preferred (HCV, LIHTC, SEMAP, HQS and NSPIRE) or demonstrated ability to learn complex compliance frameworks quickly.
**Travel Requirement:**
* Regular Travel, 50% up to 80%, to conduct on site program reviews, staff training, and stakeholder engagement nationwide.
**Core Values Alignment**
Every role requires Core Values alignment to find success at AMA Consulting Group.
**Integrity** • Highest ethical standards in all our actions • Building a foundation of trust with our clients and our team • Demonstrating reliability and Credibility in every aspect of our work • Maintaining honesty and trust
**Ownership** • Taking responsibility and accountability for our actions • Being custodians of our collective success with care and determination • Recommitting to our goals and responsibilities with every challenge
**Results Driven** • Making empowered decisions that drive positive impactful solutions. • Keeping the success of our clients as the primary goal • Stretching the limitations of what is possible.
**Service Excellence** • Striving to exceed expectations in every interaction. • Going the extra mile by choice, not obligation • Creating positive lasting impressions and meaningful outcomes
**Equal Employment Opportunity Statement:**
AMA Consulting Group is an Equal Employment Opportunity employer. We are committed to providing a work environment free from discrimination and harassment. We ensure equal opportunity for all applicants and employees regardless of race, color, religion, sex, national origin, age, disability, or genetic information.
If you require accommodation to apply for a position, please contact our HR department at humanresources@amaconsultinggroup.com.
*Please note that this job description isn't intended to cover every task or responsibility that might arise. Additional duties may be assigned as needed to support the evolving needs of the organization.*</t>
        </is>
      </c>
    </row>
    <row r="106">
      <c r="A106" t="inlineStr">
        <is>
          <t>in-0e60f5e30ee6cca0</t>
        </is>
      </c>
      <c r="B106" t="inlineStr">
        <is>
          <t>IS Product Owner/Program Manager</t>
        </is>
      </c>
      <c r="C106" t="inlineStr">
        <is>
          <t>UChicago Medicine</t>
        </is>
      </c>
      <c r="D106" t="inlineStr">
        <is>
          <t>indeed</t>
        </is>
      </c>
      <c r="E106">
        <f>HYPERLINK("https://www.indeed.com/viewjob?jk=0e60f5e30ee6cca0", "https://www.indeed.com/viewjob?jk=0e60f5e30ee6cca0")</f>
        <v/>
      </c>
      <c r="F106">
        <f>HYPERLINK("https://careers-ucm.icims.com/jobs/81563/job?utm_source=indeed_integration&amp;iis=Job%20Board&amp;iisn=Indeed&amp;indeed-apply-token=73a2d2b2a8d6d5c0a62696875eaebd669103652d3f0c2cd5445d3e66b1592b0f", "https://careers-ucm.icims.com/jobs/81563/job?utm_source=indeed_integration&amp;iis=Job%20Board&amp;iisn=Indeed&amp;indeed-apply-token=73a2d2b2a8d6d5c0a62696875eaebd669103652d3f0c2cd5445d3e66b1592b0f")</f>
        <v/>
      </c>
      <c r="G106" t="inlineStr">
        <is>
          <t>Chicago, IL, US</t>
        </is>
      </c>
      <c r="H106" s="3" t="n">
        <v>46064</v>
      </c>
      <c r="I106" t="inlineStr">
        <is>
          <t>Job Description:
Join one of the nation’s most comprehensive academic medical centers, **UChicago Medicine**, as an **I****S** **Product Owner/****Program Manager****.**  
We’re seeking a visionary IT Product Owner who is energized by transforming healthcare through innovation and thrives at the intersection of strategy, collaboration, and execution. In this high\-impact enterprise role, you will translate complex clinical and technical needs into bold, actionable product strategies, champion quality improvement initiatives, and deliver scalable, reliable solutions that measurably elevate patient care, staff experience, and operational performance. Partnering closely with operational stakeholders, and collaborating with clinical application and infrastructure teams, you will drive seamless integration and workflow optimization across our environment.  
You will lead the vision and delivery of our Smart Hospital Platform, advancing AI\-powered ambient intelligence, two\-way audio and video, and computer vision technologies that redefine care delivery. Through virtual nursing and tele\-sitting capabilities, you will empower teams to proactively identify patient safety risks, reduce care delays, ease nursing workload pressures, and enhance the overall patient experience; while improving clinical outcomes. Leveraging clinical and operational data, you will also enable value stream mapping, advanced analytics, and enterprise\-wide quality improvement initiatives that position our organization at the forefront of digital healthcare innovation.  
This position will be flexible with work\-from\-home opportunities and the requirement to come onsite to our site locations around Chicagoland as needed. You will need to be based in the greater Chicagoland area. The IS Product Owner/Program Manager manages multiple related projects and/or work streams within a product/program at the milestone level with supporting details managed by the project teams. Identifies and manages interdependencies within and across projects with the program. Facilitates teams that include all levels of the organization. Builds strong relationships with senior executives in both IT and business partners. Leads program governance teams through complex reviews, facilitates decision making. **Essential Job Functions** *Program Management and Execution** Integrates expert knowledge of PMLC with insights and knowledge across the enterprise.
* Manages multiple projects (with support of the PMO) and/or work streams within a program at the milestone level with supporting details managed by the project teams.
* Planning (Initiation and Definition) – creates and manages all components of the initiation phase; including but not limited to project kickoff, stakeholder identification and analysis, risk assessment, schedule creation, budget creation, and resource identification.
* Project Execution (Design, Build, Test/Train, Go Live) – manages all components and deliverables of project execution including but not limited to solution design, implementation, test planning and execution, training planning and execution, cutover and go\-live.
* Project Closure – manages all components of project closure including production turnover, lessons learned, and overall close out.
* Monitoring and Control – Drives resolution of all project risks, action items, status reporting, scope and schedule, financial and budget establishment and reporting, meeting facilitation, vendor engagement, change management, and project resources.
 *Analytical Thinking and Problem Solving** Thinks strategically using data to drive decisions and solutions.
* Demonstrates understanding of business operations for multiple departments or operational areas.
* Develops and manages program and project budgets and other financial aspects of the work they are overseeing (e.g., forecasting, estimating).
* Understands the business case process and maintains a business case for the programs/projects they are managing.
* Understands the vendor contracting processes and participates in the negotiation of contracts for goods and services.
* Understands how to gather information and conduct analysis to gain a full understanding of issues and problems, including root cause identification.
* Anticipates functionality/system/application problems based on experience.
* Identifies and escalates issues immediately and drives them to conclusion.
 *Communication and Formal Status Reporting** Adept at facilitating executives
* Excellent executive message development and presentation skills.
* Manages challenging group dynamics to achieve positive business outcomes.
* Conveys difficult messages with empathy and concise rationale.
* Has a high level of self\-awareness as well as awareness of other’s emotions.
* Identifies others’ communication styles and tailors messages accordingly to achieve desired results consistently.
* Communicates to diverse audiences so that information is credible, digestible, and easily understood.
 *Relationship Building and Management** Leads teams to find solutions to complex problems, and delivers pragmatic solutions aligned to customer needs.
* Skilled at identifying stakeholders and building a complex stakeholder management plan.
* Provides definitive points of view and recommendations on program needs/risks.
* Works with teams and stakeholders to create new value for customers.
* Partners with stakeholders up to the ‘C’ level to support their decision\-making processes; challenges thinking to ensure accountability and good stewardship.
* Skilled in vendor management
 **Required Qualifications*** 10 \- 12 years of previous experience
* In depth knowledge of integrated health care systems, technologies, and platforms
* Significant experience with multiple project and portfolio management
* Bachelor’s degree in a technical or healthcare field
* Experienced in vendor contracting and management.MS Project, Word, Excel, PowerPoint
 **Preferred Qualifications*** MS/MBA
* CPHIMS certification
* Multiple project management methodologies and software development cycles (Waterfall/Kanban/Agile)
 **Position Details*** Job Type/FTE: Full\-time
* Shift: Day
* Location: Hyde Park
* Department: IT Business Office
* CBA Code: Non\-Union
Why Join Us:
*We’ve been at the forefront of medicine since 1899\. We provide superior healthcare with compassion, always mindful that each patient is a person, an individual. To accomplish this, we need employees with passion, talent and commitment… with patients and with each other. We’re in this together: working to advance medical innovation, serve the health needs of the community, and move our collective knowledge forward. If you’d like to add enriching human life to your profile, UChicago Medicine is for you. Here at the forefront, we’re doing work that really matters. Join us. Bring your passion.* *UChicago Medicine is growing; discover how you can be a part of this pursuit of excellence at:* *UChicago Medicine Career Opportunities**.* *UChicago Medicine is an equal opportunity employer. We evaluate qualified applicants without regard to race, color, ethnicity, ancestry, sex, sexual orientation, gender identity, marital status, civil union status, parental status, religion, national origin, age, disability, veteran status and other legally protected characteristics.* *Must comply with UChicago Medicine’s COVID\-19 Vaccination requirement as a condition of employment. If you have already received the vaccination, you must provide proof as part of the pre\-employment process. This is in addition to your compliance with the Flu Vaccination requirement as well. Medical and religious exemptions will be considered consistent with applicable law. Lastly, a pre\-employment physical, drug screening, and background check are also required for all employees prior to hire.* ***Compensation \&amp; Benefits Overview*** *UChicago Medicine is committed to transparency in compensation and benefits. The pay range provided reflects the anticipated wage or salary reasonably expected to be offered for the position.* *The pay range is based on a full\-time equivalent (1\.0 FTE) and is reflective of current market data, reviewed on an annual basis. Compensation offered at the time of hire will vary based on candidate qualifications and experience and organizational considerations, such as internal equity. Pay ranges for employees subject to Collective Bargaining Agreements are negotiated by the medical center and their respective union.* *Review the full complement of benefit options for eligible roles at* *Benefits \- UChicago Medicine**.*</t>
        </is>
      </c>
    </row>
    <row r="107">
      <c r="A107" t="inlineStr">
        <is>
          <t>in-53190a5ffe34f311</t>
        </is>
      </c>
      <c r="B107" t="inlineStr">
        <is>
          <t>IS Product Owner/Program Manager</t>
        </is>
      </c>
      <c r="C107" t="inlineStr">
        <is>
          <t>UChicago Medicine</t>
        </is>
      </c>
      <c r="D107" t="inlineStr">
        <is>
          <t>indeed</t>
        </is>
      </c>
      <c r="E107">
        <f>HYPERLINK("https://www.indeed.com/viewjob?jk=53190a5ffe34f311", "https://www.indeed.com/viewjob?jk=53190a5ffe34f311")</f>
        <v/>
      </c>
      <c r="F107">
        <f>HYPERLINK("https://careers-ucm.icims.com/jobs/81566/job?utm_source=indeed_integration&amp;iis=Job%20Board&amp;iisn=Indeed&amp;indeed-apply-token=73a2d2b2a8d6d5c0a62696875eaebd669103652d3f0c2cd5445d3e66b1592b0f", "https://careers-ucm.icims.com/jobs/81566/job?utm_source=indeed_integration&amp;iis=Job%20Board&amp;iisn=Indeed&amp;indeed-apply-token=73a2d2b2a8d6d5c0a62696875eaebd669103652d3f0c2cd5445d3e66b1592b0f")</f>
        <v/>
      </c>
      <c r="G107" t="inlineStr">
        <is>
          <t>Chicago, IL, US</t>
        </is>
      </c>
      <c r="H107" s="3" t="n">
        <v>46064</v>
      </c>
      <c r="I107" t="inlineStr">
        <is>
          <t>Job Description:
Join one of the nation’s most comprehensive academic medical centers, **UChicago Medicine**, as an **I****S** **Product Owner/****Program Manager****.**  
We’re seeking a dynamic IT Product Owner who is passionate about leveraging technology to transform healthcare operations and thrives at the intersection of strategy, collaboration, and execution. In this high\-impact enterprise role, you will translate complex clinical and technical needs into actionable product strategies, champion quality improvement initiatives, and develop scalable, reliable solutions that measurably enhance patient care, staff experience, and operational performance. You’ll partner closely with operational stakeholders to optimize workflows and collaborate with clinical application and infrastructure teams to ensure seamless integration across our environment.  
In this capacity, you will lead the vision and delivery of cutting\-edge Real\-Time Location Services (RTLS) and enterprise Temperature Monitoring Systems across UCM. Through patient, staff, and asset tracking, you will help establish a real\-time, location\-aware network of care—where patients and caregivers are visible as dynamic nodes within the broader system of care delivery. This capability enables teams to proactively identify bottlenecks, resolve care delays in real time, enhance throughput, and elevate the patient experience while supporting optimal clinical outcomes. Simultaneously, you will harness high\-fidelity location and environmental data to enable value stream mapping, operational analytics, and scalable quality improvement initiatives across the enterprise.  
This position will be flexible with work\-from\-home opportunities with the requirement to come onsite to our site locations around Chicagoland as needed. You will need to be based in the greater Chicagoland area. The IS Product Owner/Program Manager manages multiple related projects and/or work streams within a product/program at the milestone level with supporting details managed by the project teams. Identifies and manages interdependencies within and across projects with the program. Facilitates teams that include all levels of the organization. Builds strong relationships with senior executives in both IT and business partners. Leads program governance teams through complex reviews, facilitates decision making. **Essential Job Functions** *Program Management and Execution** Integrates expert knowledge of PMLC with insights and knowledge across the enterprise.
* Manages multiple projects (with support of the PMO) and/or work streams within a program at the milestone level with supporting details managed by the project teams.
* Planning (Initiation and Definition) – creates and manages all components of the initiation phase; including but not limited to project kickoff, stakeholder identification and analysis, risk assessment, schedule creation, budget creation, and resource identification.
* Project Execution (Design, Build, Test/Train, Go Live) – manages all components and deliverables of project execution including but not limited to solution design, implementation, test planning and execution, training planning and execution, cutover and go\-live.
* Project Closure – manages all components of project closure including production turnover, lessons learned, and overall close out.
* Monitoring and Control – Drives resolution of all project risks, action items, status reporting, scope and schedule, financial and budget establishment and reporting, meeting facilitation, vendor engagement, change management, and project resources.
 *Analytical Thinking and Problem Solving** Thinks strategically using data to drive decisions and solutions.
* Demonstrates understanding of business operations for multiple departments or operational areas.
* Develops and manages program and project budgets and other financial aspects of the work they are overseeing (e.g., forecasting, estimating).
* Understands the business case process and maintains a business case for the programs/projects they are managing.
* Understands the vendor contracting processes and participates in the negotiation of contracts for goods and services.
* Understands how to gather information and conduct analysis to gain a full understanding of issues and problems, including root cause identification.
* Anticipates functionality/system/application problems based on experience.
* Identifies and escalates issues immediately and drives them to conclusion.
 *Communication and Formal Status Reporting** Adept at facilitating executives
* Excellent executive message development and presentation skills.
* Manages challenging group dynamics to achieve positive business outcomes.
* Conveys difficult messages with empathy and concise rationale.
* Has a high level of self\-awareness as well as awareness of other’s emotions.
* Identifies others’ communication styles and tailors messages accordingly to achieve desired results consistently.
* Communicates to diverse audiences so that information is credible, digestible, and easily understood.
 *Relationship Building and Management** Leads teams to find solutions to complex problems, and delivers pragmatic solutions aligned to customer needs.
* Skilled at identifying stakeholders and building a complex stakeholder management plan.
* Provides definitive points of view and recommendations on program needs/risks.
* Works with teams and stakeholders to create new value for customers.
* Partners with stakeholders up to the ‘C’ level to support their decision\-making processes; challenges thinking to ensure accountability and good stewardship.
* Skilled in vendor management
 **Required Qualifications*** 10 \- 12 years of previous experience
* In depth knowledge of integrated health care systems, technologies, and platforms
* Significant experience with multiple project and portfolio management
* Bachelor’s degree in a technical or healthcare field
* Experienced in vendor contracting and management.MS Project, Word, Excel, PowerPoint
 **Preferred Qualifications*** MS/MBA
* CPHIMS certification
* Multiple project management methodologies and software development cycles (Waterfall/Kanban/Agile)
 **Position Details*** Job Type/FTE: Full\-time
* Shift: Day
* Location: Hyde Park
* Department: IT Business Office
* CBA Code: Non\-Union
Why Join Us:
*We’ve been at the forefront of medicine since 1899\. We provide superior healthcare with compassion, always mindful that each patient is a person, an individual. To accomplish this, we need employees with passion, talent and commitment… with patients and with each other. We’re in this together: working to advance medical innovation, serve the health needs of the community, and move our collective knowledge forward. If you’d like to add enriching human life to your profile, UChicago Medicine is for you. Here at the forefront, we’re doing work that really matters. Join us. Bring your passion.* *UChicago Medicine is growing; discover how you can be a part of this pursuit of excellence at:* *UChicago Medicine Career Opportunities**.* *UChicago Medicine is an equal opportunity employer. We evaluate qualified applicants without regard to race, color, ethnicity, ancestry, sex, sexual orientation, gender identity, marital status, civil union status, parental status, religion, national origin, age, disability, veteran status and other legally protected characteristics.* *Must comply with UChicago Medicine’s COVID\-19 Vaccination requirement as a condition of employment. If you have already received the vaccination, you must provide proof as part of the pre\-employment process. This is in addition to your compliance with the Flu Vaccination requirement as well. Medical and religious exemptions will be considered consistent with applicable law. Lastly, a pre\-employment physical, drug screening, and background check are also required for all employees prior to hire.* ***Compensation \&amp; Benefits Overview*** *UChicago Medicine is committed to transparency in compensation and benefits. The pay range provided reflects the anticipated wage or salary reasonably expected to be offered for the position.* *The pay range is based on a full\-time equivalent (1\.0 FTE) and is reflective of current market data, reviewed on an annual basis. Compensation offered at the time of hire will vary based on candidate qualifications and experience and organizational considerations, such as internal equity. Pay ranges for employees subject to Collective Bargaining Agreements are negotiated by the medical center and their respective union.* *Review the full complement of benefit options for eligible roles at* *Benefits \- UChicago Medicine**.*</t>
        </is>
      </c>
    </row>
    <row r="108">
      <c r="A108" t="inlineStr">
        <is>
          <t>in-a8f9e4aaddc370c9</t>
        </is>
      </c>
      <c r="B108" t="inlineStr">
        <is>
          <t>Journeyman FMS Program Manager</t>
        </is>
      </c>
      <c r="C108" t="inlineStr">
        <is>
          <t>Astrion</t>
        </is>
      </c>
      <c r="D108" t="inlineStr">
        <is>
          <t>indeed</t>
        </is>
      </c>
      <c r="E108">
        <f>HYPERLINK("https://www.indeed.com/viewjob?jk=a8f9e4aaddc370c9", "https://www.indeed.com/viewjob?jk=a8f9e4aaddc370c9")</f>
        <v/>
      </c>
      <c r="F108">
        <f>HYPERLINK("https://careers.astrion.us/jobs/23128/job?utm_source=indeed_integration&amp;iis=Job%20Board&amp;iisn=Indeed&amp;indeed-apply-token=73a2d2b2a8d6d5c0a62696875eaebd669103652d3f0c2cd5445d3e66b1592b0f", "https://careers.astrion.us/jobs/23128/job?utm_source=indeed_integration&amp;iis=Job%20Board&amp;iisn=Indeed&amp;indeed-apply-token=73a2d2b2a8d6d5c0a62696875eaebd669103652d3f0c2cd5445d3e66b1592b0f")</f>
        <v/>
      </c>
      <c r="G108" t="inlineStr">
        <is>
          <t>Hanscom AFB, MA, US</t>
        </is>
      </c>
      <c r="H108" s="3" t="n">
        <v>46064</v>
      </c>
      <c r="I108" t="inlineStr">
        <is>
          <t>Overview: **JOURNEYMAN FMS PROGRAM MANAGER** **LOCATION**: Hanscom AFB,MA **Salary Range**: $100\-$115,000 annually**JOB STATUS:** Full\-time; salaried**CLEARANCE:** Secret **TRAVEL:** Limited, as needed  
Astrion has an exciting opportunity for a **Journeyman** **FMS Program Manager** to directly support the USAF Force Protection Division, which is within the USAF Digital Directorate and located at Hanscom AFB, MA.  
This position supports the Egypt case portfolio. **REQUIRED QUALIFICATIONS / SKILLS:*** **Citizenship:** Must be a US citizen
* **Clearance****:** Must have an Active Secret Clearance
* **Education:** Bachelor's degree in a professional discipline from an accredited educational program and at least 5 years of experience in the respective technical/professional discipline being performed, 3 of which must be in the DoD
	+ Knowledge of qualitative and quantitative techniques for gathering, analyzing, and measuring the effectiveness, efficiency and productivity of FMS programs
	+ Knowledge of support activities that assist the program manager in assessing what programs are within schedule and cost baselines, be able to recommend viable solutions to problems and the pursuit of alternative courses of action
	+ Effectively communicate orally and in writing, providing quality acquisition and program documentation (briefings, documents, and plans)
**RESPONSIBILITIES****:**
Duties may include but are not limited to:* Must have experience with Microsoft Project for scheduling (IMS work).
* Support and develop various briefings/schedules of program status and acquisition tasks to senior management. The Contractor shall support Program Acquisition Reviews (PAR), senior level meeting/reviews and IMP/IMS reviews.
* Extensive background supporting all aspects of sound acquisition planning (e.g., industry day, market research, source selection planning, ASP planning, SOO/SOW/PWS writing, RFP planning, RFP document preparation, contract negotiation prep) with a special emphasis on FMS\-specific peculiarities (e.g., mandatory use of in\-country subcontractors; interface with SAF/IA, AFSAC, DSCA, AFLCMC/WFNFM, FDO; TSC)
* Extensive experience in FMS\-specific acquisition to include working knowledge of Anti\- Tamper (AT) requirements, International Traffic in Arms Regulations (ITAR) regulations, Manpower Resource Plan (MRP) preparation, LOR for Technical Assistance, LOR for Price and Availability (P\&amp;A) responses, LOR for Letter of Offer and Acceptance (LOA) responses, freight forwarding and customs import processes, MASL codes,
* Working level knowledge in the preparation of LOA data, including manpower requirements, utilizing mandated systems, including but not limited to Security Assistance Manpower Requirements System (SAMRS) and Defense Security Assistance Management System (DSAMS)
* Capability and willingness to travel overseas to potentially hazardous locations
* Knowledge and experience in executing programs with prime contractors, sub\-contractors and suppliers from foreign countries
* Ability to independently and successfully perform as representative (with no decisional authority) for the program office to the customer country’s Ministry of Defense (MOD), Office of Defense Cooperation (ODC), Air Force, U.S. Security Cooperation Office (SCO) representatives in country, and capability to answer complex questions in real\-time to customer country representatives
* Demonstrated experience in the preparation and support of various program office activities and meetings, to include U.S. Government\-internal meetings, case meetings, design reviews, Program Assessment Reviews, Interface Control Working Groups (ICWG), Technical Interchange Meetings, and case reviews
* Working level understanding of RMF requirements in FMS realm
* Working level understanding of CENTCOM Governance, Risk and Compliance (GRC) process
* Working level understanding/knowledge of customer country customs, etiquette and business practices
* Working level understanding of the DoD Transportation System as it relates to shipping equipment overseas to FMS customer final destination
\#CJ
\#LI\-ST1
Hanscom campaign</t>
        </is>
      </c>
    </row>
    <row r="109">
      <c r="A109" t="inlineStr">
        <is>
          <t>in-57469c848a1d0fc2</t>
        </is>
      </c>
      <c r="B109" t="inlineStr">
        <is>
          <t>Residential Program Manager, Level 2</t>
        </is>
      </c>
      <c r="C109" t="inlineStr">
        <is>
          <t>We Do Life Together</t>
        </is>
      </c>
      <c r="D109" t="inlineStr">
        <is>
          <t>indeed</t>
        </is>
      </c>
      <c r="E109">
        <f>HYPERLINK("https://www.indeed.com/viewjob?jk=57469c848a1d0fc2", "https://www.indeed.com/viewjob?jk=57469c848a1d0fc2")</f>
        <v/>
      </c>
      <c r="F109">
        <f>HYPERLINK("https://www.paycomonline.net/v4/ats/web.php/jobs/ViewJobDetails?job=353023&amp;clientkey=D85510163D8FE62128A481F1DBD1E79F&amp;source=Indeed", "https://www.paycomonline.net/v4/ats/web.php/jobs/ViewJobDetails?job=353023&amp;clientkey=D85510163D8FE62128A481F1DBD1E79F&amp;source=Indeed")</f>
        <v/>
      </c>
      <c r="G109" t="inlineStr">
        <is>
          <t>Naugatuck, CT, US</t>
        </is>
      </c>
      <c r="H109" s="3" t="n">
        <v>46064</v>
      </c>
      <c r="I109" t="inlineStr">
        <is>
          <t>**Rewarding Longevity Incentives Await!**
Join our team and earn a $500 longevity incentive after just one year of employment! But that’s not all—your loyalty pays off even more over time, as your longevity incentives will grow the longer you’re with us. We’re proud to reward not only exceptional performance but also the dedication of our team members as they thrive and grow within our agency. Don’t wait—apply today and take the first step toward joining a team that truly values and rewards its people!
At ICES, Inc. we are proud we pay for experience and performance. The salary range for this position is based on the program level oversight:
* Level 2 Program Oversight $62,000 – $65,000
**Company Summary:**
Since 1998, ICES, Inc. is a human services company serving individuals with cognitive disorders, mental illness, and those on the autistic spectrum. Our caring human service professionals focus on the individuals’ personal strengths to make the most of valuable community resources while promoting respect and dignity of all. We serve individuals in private residences, respite facilities, community work sites, training centers, supervised living arrangements, and our own state\-licensed group homes.
**High Level Description**
The Residential Program Manager position is responsible for direct oversight of one or more residential group homes providing service to Individuals with intellectual developmental disabilities or on the Autism spectrum.
To be successful in this role, the incumbent must be highly organized, have solid technical and software skills, and be adaptable with strong leadership skills. A knowledge of the State of Connecticut Department of Developmental Services’ (DDS) regulations and policies with strong verbal and written communication skills and the ability to work with multiple team members and departments is required.
**Job Responsibilities**
Level of program oversight is determined by program needs, complexity of Individual programs, and the number of employees needed to successfully manage the home needs.
* Level 1 Program: Less complex program
* Level 2 Program: More involved program
* Level 3 Program: Highly complex program
Regardless of program level, the main responsibilities of the role include the following.
**Group Home Oversight/ Management:**
* Responsible for the daily operations and management of one or more group homes
* Ensure adequate staffing coverage 24 /7 for individuals residing in the home by managing staff scheduling to required supervision ratios
* Plan and assign work to employees to ensure completion of tasks and responsibilities related to provision of supports and services to Individuals served
* Ensure compliance with all DDS, agency, and other regulatory oversight agency policies and procedures
* Develop and implement effective operational procedures which enable success as needed
* Complete all required documentation accurately and on time
* Utilize all company systems, software, processes, etc. as required. Ensure staff are using correctly as well
**Individuals Care:**
* Ensure the needs of the individuals are met consistently and in accordance with the individuals’ plan so they can live their best lives. This includes but is not limited to medical, behavioral, vocational needs, transportation, etc.
* Maintain and update individuals’ plans as needed in accordance with state and agency requirements
* Assist and instruct the individuals in the program with the activities of daily living and community participation
* Provide direct care coverage as needed
**Team Leadership / Management:**
* Direct oversight of a team of Direct Support Professionals including scheduling, performance management and employee development
* Ensure team members always have all required trainings and certifications
* Lead team meetings and ensure all team members have all required information to successfully do their jobs
* Facilitate staff trainings as needed
**Business Partner Relationships and Communications:**
* Establish successful working relationships with supporting/sister teams and departments
* Communicate regularly to management team on program performance, successes, and issues
* Partner with other leaders and administrative team members to share expertise and insights
* Identify and participate in projects / initiatives that contribute to long\-term excellence and individuals’ growth
**Other:**
* Develop an understanding of the workings of each department and team in the company
* Perform special projects / assignments as needed
* Use technology for the completion of specified job duties
* Perform on\-call duties as assigned, responding to on\-site emergencies as needed
**Additional Required Responsibilities:**
* Since local travel using company vehicles is required, a valid driver’s license and clean driving record are needed
* Must be flexible and willing to work weekends and holidays
* Requires 2nd shift presence based on residential needs
* Required participation in a rotating on\-call staffing schedule
* Must be able to perform unannounced 3rd shift spot checks at group home locations
* Skill based assessments are required for this position
**Competencies Required:**
* Desire to ensure greater good for our individuals
* Ability to work independently and as a team member
* Strong leadership / managerial skills
* Ability to work under pressure and in fast\-paced environment
* Strong prioritization skills
* Proven computer /software skills
* Excellent verbal and written communication skills
* Resourcefulness / problem solving abilities
Flexibility  
* 
* Multitasking abilities
* Results oriented
* Time management
* Strong sense of accountability
* Demonstrating respect
* Self\-starter / initiative
* Knowledge and understanding of Intellectual Developmental Disabilities and experience managing individuals / agency relationships including regulations, funding guidelines, and program models including CLA’s, CRS’s and IHS a plus
* An associate degree or working towards a bachelor’s degree
* Minimum of 2 years’ management experience preferably in the Human Service field
* Must have a solid command of Microsoft 365 including Excel, SharePoint, PowerPoint, Word, and Outlook
* Experience with Paycom and Therap a plus</t>
        </is>
      </c>
    </row>
    <row r="110">
      <c r="A110" t="inlineStr">
        <is>
          <t>in-554eaabb34bcc70e</t>
        </is>
      </c>
      <c r="B110" t="inlineStr">
        <is>
          <t>Associate Product Owner- External Distribution Operations</t>
        </is>
      </c>
      <c r="C110" t="inlineStr">
        <is>
          <t>AAA The Auto Club Group</t>
        </is>
      </c>
      <c r="D110" t="inlineStr">
        <is>
          <t>indeed</t>
        </is>
      </c>
      <c r="E110">
        <f>HYPERLINK("https://www.indeed.com/viewjob?jk=554eaabb34bcc70e", "https://www.indeed.com/viewjob?jk=554eaabb34bcc70e")</f>
        <v/>
      </c>
      <c r="F110">
        <f>HYPERLINK("https://acg.wd1.myworkdayjobs.com/en-US/Careers/job/MI-Admin-Office-Building-AOB/Associate-Product-Owner--External-Distribution-Operations_JR14980", "https://acg.wd1.myworkdayjobs.com/en-US/Careers/job/MI-Admin-Office-Building-AOB/Associate-Product-Owner--External-Distribution-Operations_JR14980")</f>
        <v/>
      </c>
      <c r="G110" t="inlineStr">
        <is>
          <t>MI, US</t>
        </is>
      </c>
      <c r="H110" s="3" t="n">
        <v>46064</v>
      </c>
      <c r="I110" t="inlineStr">
        <is>
          <t>It’s a great time to join AAA The Auto Club Group!
JOIN THE TEAM COMMITTED TO DRIVING YOUR CAREER FORWARD
Job Type:
Full time  
Exempt/Non Exempt:  
Salary
Job Description:  
What you will do:
Ensure product success by assisting in defining and writing requirements and in training to own one or more small to mid\-sized components of current and future products/programs. Use knowledge and understanding of specific aspects of assigned components/areas to handle assignments with impact across the product organization. Escalate more complex items or assignments linked to other product focuses to higher\-level owners. Work to acquire knowledge of and develop understanding of product functions and areas outside of assigned product focus. Assist management in reaching targeted goals for product implementations to support premium growth and profit/loss across all regions. Assists with innovation, analysis, issue identification/resolution, upgrades and operational management of assigned components of current and future Policy System/Telematics programs and products with a higher depth of knowledge and processes to come up with an outcome. Support the development of strategies associated with assigned product areas. Interact and communicate with front\-line managers to line leaders. Lead teams responsible for executing various initiatives in support of assigned product component.
Assist the product owners for all aspects of assigned product components. Collaborate with business subject matter experts/stakeholders, product/project managers, technical teams and vendors to understand, analyze, refine and prioritize needs. Work with Product Managers to ensure alignment and development of product line changes. Partner with vendors as needed to drive product initiatives.
Ensure an in\-depth understanding of project scope, objectives, and requirements. Assist with managing the defect/change request prioritization, remediation, escalation, and notification process for critical business teams. Help with, sometimes lead the development and adaptation to product updates, and issue resolution. Assist with release/sprint management for minor releases. Translate business needs to executable requirements across appropriate work streams. Create and execute communications to ensure understanding of objectives, justifications and additional action items.
Assist with and lead processes and teams responsible for validate requirements and work streams. Assist with creation of End\-to\-End, User Acceptance Testing, and System Testing with broader experience and system thinking to ensure scenarios are complete and appropriately executed. Assist in discovery, testing and learning activities to validate assumptions and product direction. Work with a team of mobility and user interface subject matter experts to enable improved User experience and integration of mobile technologies, platforms and programs. Participate in Go\-To\- Market activities for business readiness. Support training and launch activities.
Maintain ongoing knowledge of industry practices, regulations and factors that affect product performance. Provide recommendations regarding new products/programs to implement in the insurance platform. Provide support in building business cases and request funding for new initiatives. Own one or more facets of assigned product components, to include but not limited to reporting, analysis and process workflows. Analyze data and produce metrics to measure the success and inform leaders of the overall product strategy.
How you will benefit:
Associate Product Owner will earn a competitive salary of $90,000 \- $115,000 annually with annual bonus potential based on performance.
Excellent and comprehensive benefits packages are just another reason to work for the Auto Club Group. Benefits include:* 401k Match
* Medical
* Dental
* Vision
* PTO
* Paid Holidays
* Tuition Reimbursement
We’re looking for candidates who:
Required Qualifications:
Education:* Bachelor's Degree in a Technical or Quantitative field (Engineering, Finance, Math, Business, Marketing, etc.) and/or professional Insurance /Finance designation or combination of college coursework and equivalent work experience as outlined below (minimum 4 years)
Experience:
Experience to include one or more of the following:* Market planning, development of objectives, strategies and programs for insurance products
* Researching, developing or enhancing property/casualty products and system changes
* Developing and testing insurance/membership/banking product pilot programs for new enhancements and processes
* Pricing new/current insurance/membership/banking products
* New and current property and casualty products
* Familiar with policy contract language in order to provide input into
* Operating in an environment driven by Key Performance Indicators with responsibility/ accountability to determine the best course of action to meet assigned goals
* Project management to include planning, managing and implementing complex system changes
* Leading a component of a project teams
* Coordinating and assigning tasks to team members
Knowledge of:* Current property/casualty or commercial insurance programs and products, underwriting rules and requirements, forms and processing procedures
* Regulations, policies and procedures of various regulatory agencies
* Insurance systems and processes
* Project management principles and concepts for software development
* Production support processes and procedures
* eCommerce, digital platforms, digital product development (Mobile Apps, Omni channel)
Ability to:* Recommend new casualty or commercial insurance products to meet market needs
* Represent the Auto Club Group (ACG) in interactions with trade associations, insurance bureaus, government agencies and other insurance companies
* Communicate effectively with others in a work environment and with the public
* Manage and conduct in\-depth qualitative and quantitative analysis of the market and property/casualty or commercial insurance products
* Gain experience in managing individuals/action items/goal obtainment via a project team or through assignments
Preferred Qualifications:
Education:* Master Degree or higher in a Technical or Quantitative field (Engineering, Finance, Math, Business, Marketing, etc.) or professional insurance designation (FCAS, CPCU, etc.), Project Management Certifications
Experience:* Supervising a staff of technical and/or professional personnel in a distributed workforce
* Working knowledge and responsibilities within Policy Management, Customer Relationship Management systems
* Working knowledge and responsibilities within Digital Omni Channel or mobile app transformation for Insurance organization
* Working knowledge and responsibilities with telematics program for major carriers, OEMs, Service providers, Data integrators
* P\&amp;C Insurance Program/Product/Operations Management experience
* Experience with external partnerships and embedded digital P\&amp;C insurance
* Maintaining business models for both insurance and non\-insurance companies
* Gathering and analyzing usage/behavior\-based insurance models
Ability to:* Operationally manage vendor(s) interfacing with external clients and internal stakeholders to support various products and services
Work Environment*This is a hybrid work arrangement (time spent in office and remote). Depending on the employee's role and leadership's assessment, some employees will come in to an ACG facility on a weekly basis, a monthly basis, or on an "as needed" basis for key meetings and collaborative activities. Most employees will be required to come into the office, at a minimum, for important departmental meetings or team building events.*
Who We Are
Become a part of something bigger.
The Auto Club Group (ACG) provides membership, travel, insurance, and financial service offerings to approximately 14\+ million members and customers across 14 states and 2 U.S. territories through AAA, Meemic, and Fremont brands. ACG belongs to the national AAA federation and is the second largest AAA club in North America.
By continuing to invest in more advanced technology, pursuing innovative products, and hiring a highly skilled workforce, AAA continues to build upon its heritage of providing quality service and helping our members enjoy life’s journey through insurance, travel, financial services, and roadside assistance.
And when you join our team, one of the first things you’ll notice is that same, whole\-hearted, enthusiastic advocacy for each other.
We have positions available for every walk of life! AAA prides itself on creating an inclusive and welcoming environment of diverse backgrounds, experiences, and viewpoints, realizing our differences make us stronger.
To learn more about AAA The Auto Club Group visit www.aaa.com
Important Note:
ACG’s Compensation philosophy is to provide a market\-competitive structure of fair, equitable and performance\-based pay to attract and retain excellent talent that will enable ACG to meet its short and long\-term goals. ACG utilizes a geographic pay differential as part of the base salary compensation program. Pay ranges outlined in this posting are based on the various ranges within the geographic areas which ACG operates. Salary at time of offer is determined based on these and other factors as associated with the job and job level.
The above statements describe the principal and essential functions, but not all functions that may be inherent in the job. This job requires the ability to perform duties contained in the job description for this position, including, but not limited to, the above requirements. Reasonable accommodations will be made for otherwise qualified applicants, as needed, to enable them to fulfill these requirements.
The Auto Club Group, and all its affiliated companies, is an equal opportunity employer. All qualified applicants will receive consideration for employment without regard to race, color, religion, sex, gender identity, sexual orientation, national origin, disability or protected veteran status.
Regular and reliable attendance is essential for the function of this job.
AAA The Auto Club Group is committed to providing a safe workplace. Every applicant offered employment within The Auto Club Group will be required to consent to a background and drug screen based on the requirements of the position.</t>
        </is>
      </c>
    </row>
    <row r="111">
      <c r="A111" t="inlineStr">
        <is>
          <t>in-8f7755c256739484</t>
        </is>
      </c>
      <c r="B111" t="inlineStr">
        <is>
          <t>Senior Product Manager, Accountant Experiences</t>
        </is>
      </c>
      <c r="C111" t="inlineStr">
        <is>
          <t>Intuit</t>
        </is>
      </c>
      <c r="D111" t="inlineStr">
        <is>
          <t>indeed</t>
        </is>
      </c>
      <c r="E111">
        <f>HYPERLINK("https://www.indeed.com/viewjob?jk=8f7755c256739484", "https://www.indeed.com/viewjob?jk=8f7755c256739484")</f>
        <v/>
      </c>
      <c r="F111">
        <f>HYPERLINK("https://dsp.prng.co/rujSqSb", "https://dsp.prng.co/rujSqSb")</f>
        <v/>
      </c>
      <c r="G111" t="inlineStr">
        <is>
          <t>San Diego, CA, US</t>
        </is>
      </c>
      <c r="H111" s="3" t="n">
        <v>46064</v>
      </c>
      <c r="I111" t="inlineStr">
        <is>
          <t>**Overview**
------------
We're seeking an experienced Senior Product Manager to lead core accountant experiences. This is a unique opportunity to shape the future of the accountant industry, driving innovation and growth for our most important partners and their customers.
--------------------------------------------------------------------------------------------------------------------------------------------------------------------------------------------------------------------------------------------------------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3\-5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$ 155,500 \- 210,500  
Southern California $ 146,500\-198,500</t>
        </is>
      </c>
    </row>
    <row r="112">
      <c r="A112" t="inlineStr">
        <is>
          <t>in-83dd45925a1ef1f7</t>
        </is>
      </c>
      <c r="B112" t="inlineStr">
        <is>
          <t>Senior Product Manager, Accountant Experiences</t>
        </is>
      </c>
      <c r="C112" t="inlineStr">
        <is>
          <t>Intuit</t>
        </is>
      </c>
      <c r="D112" t="inlineStr">
        <is>
          <t>indeed</t>
        </is>
      </c>
      <c r="E112">
        <f>HYPERLINK("https://www.indeed.com/viewjob?jk=83dd45925a1ef1f7", "https://www.indeed.com/viewjob?jk=83dd45925a1ef1f7")</f>
        <v/>
      </c>
      <c r="F112">
        <f>HYPERLINK("https://dsp.prng.co/XTkHheb", "https://dsp.prng.co/XTkHheb")</f>
        <v/>
      </c>
      <c r="G112" t="inlineStr">
        <is>
          <t>Mountain View, CA, US</t>
        </is>
      </c>
      <c r="H112" s="3" t="n">
        <v>46064</v>
      </c>
      <c r="I112" t="inlineStr">
        <is>
          <t>**Overview**
------------
We're seeking an experienced Senior Product Manager to lead core accountant experiences. This is a unique opportunity to shape the future of the accountant industry, driving innovation and growth for our most important partners and their customers.
--------------------------------------------------------------------------------------------------------------------------------------------------------------------------------------------------------------------------------------------------------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3\-5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$ 155,500 \- 210,500  
Southern California $ 146,500\-198,500</t>
        </is>
      </c>
    </row>
    <row r="113">
      <c r="A113" t="inlineStr">
        <is>
          <t>in-c4ccf7f35840b650</t>
        </is>
      </c>
      <c r="B113" t="inlineStr">
        <is>
          <t>Staff Product Manager - Data Platform</t>
        </is>
      </c>
      <c r="C113" t="inlineStr">
        <is>
          <t>Intuit</t>
        </is>
      </c>
      <c r="D113" t="inlineStr">
        <is>
          <t>indeed</t>
        </is>
      </c>
      <c r="E113">
        <f>HYPERLINK("https://www.indeed.com/viewjob?jk=c4ccf7f35840b650", "https://www.indeed.com/viewjob?jk=c4ccf7f35840b650")</f>
        <v/>
      </c>
      <c r="F113">
        <f>HYPERLINK("https://dsp.prng.co/1LNwKRb", "https://dsp.prng.co/1LNwKRb")</f>
        <v/>
      </c>
      <c r="G113" t="inlineStr">
        <is>
          <t>Mountain View, CA, US</t>
        </is>
      </c>
      <c r="H113" s="3" t="n">
        <v>46064</v>
      </c>
      <c r="I113" t="inlineStr">
        <is>
          <t>**Overview**
------------
Intuit is a global technology platform that helps our customers and communities overcome their most important financial challenges. We help give over 50 million consumers, small business, and self\-employed customers around the world the opportunity to prosper.
Our PDX DnA product management team is at the forefront of transforming Intuit into an AI\-driven expert platform.
Our team is building the products, workflows, and methodologies that will be used to profoundly change the way we all manage our financial lives. To tackle this momentous initiative and achieve our ambitious goals, we are looking for a stellar Staff Product Manager. We will be revolutionizing how internal customers consume and produce data.
Our new Staff Product Manager will focus on evolving our Data Lake platform services to solve some of our biggest customer problems while strengthening security \&amp; compliance and providing our customers with delightful experiences.
 **Responsibilities**
* Must be an SME either in the field of data processing, data consumption, data movement, or data persistence.
* Deep understanding of Lakehouse architecture and Databricks workflows.
* Deeply understand customer problems and needs leveraging follow\-me\-home research, usability studies, first\-hand interviews, customer feedback, experiments, and usage/adoption metrics.
* Demonstrate strong communication and leadership skills with engineering, architecture teams, and business stakeholders.
* Own your product. Set a clear vision, define your roadmap and share with cross functional teams
* Inspire and lead your team and others to execute and deliver your vision and solutions to solve customers’ biggest problems.
* Ruthlessly prioritize your team’s backlog to ensure your team is making maximum customer impact.
* Identify, design, experiment, and iterate on product capabilities leveraging customers/end users’ feedback, behavioral customer data, and market research.
* Define and analyze key success metrics to support and inform product decisions.
* Drive product development with cross\-functional teams to deliver high\-impact customer experiences quickly.
 **Qualifications**
* Experience in one or more of the following: user behavior data collection capabilities (realtime, clickstream), data access management, data lake, data mesh, data lineage to solve data problems for customers.
* 5\+ years of experience as a Product Manager in a modern, data\-driven environment.
* Experience in building self\-serve products from scratch. Specific experience with building products for data definition, SDKs and APIs for software developers
* Strong ability to think through unifying elements and common denominators; dream up user workflows \&amp; interfaces; translate it all into engineering\-ready user stories; and work with product designers to create a self\-serve products
* Familiarity with Big Data frameworks and Domain Driven Design approaches to data as a product.
* Data driven approach for everything you do, understanding your customers, roadmap prioritization and measuring success.
* Ability to work in an agile fashion with your teams; go broad to go narrow; build, test, iterate.
* Ability to nurture various projects in parallel, in different stages of maturity and velocity.
* Undergraduate degree required in Computer Science, Artificial Intelligence, Machine Learning, or a related technical discipline (equivalent professional experience will be considered); advanced degree a plus
Intuit provides a competitive compensation package with a strong pay for performance rewards approach. This position may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$180,500\-$244,000</t>
        </is>
      </c>
    </row>
    <row r="114">
      <c r="A114" t="inlineStr">
        <is>
          <t>in-14c832e65e555af4</t>
        </is>
      </c>
      <c r="B114" t="inlineStr">
        <is>
          <t>Senior Staff Product Manager, Accountant Experiences</t>
        </is>
      </c>
      <c r="C114" t="inlineStr">
        <is>
          <t>Intuit</t>
        </is>
      </c>
      <c r="D114" t="inlineStr">
        <is>
          <t>indeed</t>
        </is>
      </c>
      <c r="E114">
        <f>HYPERLINK("https://www.indeed.com/viewjob?jk=14c832e65e555af4", "https://www.indeed.com/viewjob?jk=14c832e65e555af4")</f>
        <v/>
      </c>
      <c r="F114">
        <f>HYPERLINK("https://dsp.prng.co/V1fsvib", "https://dsp.prng.co/V1fsvib")</f>
        <v/>
      </c>
      <c r="G114" t="inlineStr">
        <is>
          <t>Mountain View, CA, US</t>
        </is>
      </c>
      <c r="H114" s="3" t="n">
        <v>46064</v>
      </c>
      <c r="I114" t="inlineStr">
        <is>
          <t>**Overview**
------------
We're seeking an experienced Senior Staff Product Manager to lead core accountant experiences. This is a unique opportunity to shape the future of the accountant industry, driving innovation and growth for our most important partners and their customers.  
In this role, you will partner with cross\-functional teams—including product managers, designers, engineers, service experts, and business leaders—to design, deliver, and optimize market\-leading customer experiences. You will own the product vision, strategy, and execution for how accountants interact with our full portfolio of offerings, ultimately driving customer success and operational efficiency. **Responsibilities**
* **Product Vision and Strategy:** Define, articulate, and communicate a bold and compelling product vision for QuickBooks Live's Expert experience and communications.
* **Customer Focus:** Develop deep customer empathy through immersion in customer, Expert, and Accountant research Transform insights into a roadmap of innovative solutions that address key customer pain points and drive business outcomes.
* **Cross\-functional Leadership:** Foster strong cross\-functional partnerships to align product strategies with broader business objectives. Work closely with other QuickBooks product teams who are focused on shared experiences and VEP partners building the Expert platform.
* **Execution Excellence:** Lead the scoping, planning, and delivery of product initiatives in collaboration with internal teams. Implement agile methodologies to deliver timely, high\-quality product releases.
* **Innovation and Experimentation:** Cultivate a culture of learning and experimentation Leverage data analytics, customer insights, and A/B testing to inform product decisions and continuously iterate on product offerings.
* **Team Development:** Recruit, mentor, and lead a high\-performing team of product managers. Foster a culture of empathy, accountability, curiosity, and continuous improvement.
* **Performance Monitoring:** Establish and track key performance indicators (KPIs) to assess the efficacy of product initiatives. Report on business performance and make data\-driven adjustments as necessary.
* **Stakeholder Management:** Engage with key internal and external stakeholders, including service delivery partners and customer success teams, to ensure alignment and drive broad adoption of new product features.
 **Qualifications**
* **Experience:** 8\+ years in product management with a proven track record of launching and scaling innovative products, ideally in technology\-driven, AI\-powered service environments.
* **Leadership:** Demonstrated ability to lead cross\-functional teams and drive transformational change Experience in managing high\-performing, engaged product teams.
* **Platform Mindset:** Operates with a platform mindset, ensures solutions are designed and implemented in a way that can scale across the full portfolio.
* **Customer Centricity:** Passionate about understanding customer needs and translating them into actionable product strategies Track record of delivering customer\-backed solutions.
* **Operational Excellence:** Strong operational acumen with the ability to implement processes that drive efficiency and scale Experience in navigating high levels of ambiguity and visibility.
* **Communication Skills:** Excellent verbal and written communication skills, with the ability to influence and inspire at all organizational levels.
* **Technical Proficiency:** Strong understanding of technical concepts, platform requirements, and the ability to work closely with engineering teams to deliver scalable solutions.
* **AI Depth:** Deep understanding and significant hands\-on experience defining strategy for and shipping products leveraging LLM\-based agentic systems
* **Educational Background:** Bachelor's degree in Business, Technology, or a related field required. MBA or advanced degree preferred.
Intuit provides a competitive compensation package with a strong pay for performance rewards approach. This position will be eligible for a cash bonus, equity rewards and benefits, in accordance with our applicable plans and programs (see more about our compensation and benefits at Intuit®: Careers \| Benefits). Pay offered is based on factors such as job\-related knowledge, skills, experience, and work location. To drive ongoing fair pay for employees, Intuit conducts regular comparisons across categories of ethnicity and gender. The expected base pay range for this position is:
Bay Area California $ 196,500\- 266,000</t>
        </is>
      </c>
    </row>
    <row r="115">
      <c r="A115" t="inlineStr">
        <is>
          <t>in-3f36d1332bdc06ff</t>
        </is>
      </c>
      <c r="B115" t="inlineStr">
        <is>
          <t>Program Manager Aerostat C5ISR</t>
        </is>
      </c>
      <c r="C115" t="inlineStr">
        <is>
          <t>Advanced Technology Systems Company</t>
        </is>
      </c>
      <c r="D115" t="inlineStr">
        <is>
          <t>indeed</t>
        </is>
      </c>
      <c r="E115">
        <f>HYPERLINK("https://www.indeed.com/viewjob?jk=3f36d1332bdc06ff", "https://www.indeed.com/viewjob?jk=3f36d1332bdc06ff")</f>
        <v/>
      </c>
      <c r="F115">
        <f>HYPERLINK("https://workforcenow.adp.com/mascsr/default/mdf/recruitment/recruitment.html?cid=98bc5085-da7f-4583-8e58-cfea65332c30&amp;ccId=19000101_000001&amp;jobId=953455&amp;source=IN&amp;lang=en_US", "https://workforcenow.adp.com/mascsr/default/mdf/recruitment/recruitment.html?cid=98bc5085-da7f-4583-8e58-cfea65332c30&amp;ccId=19000101_000001&amp;jobId=953455&amp;source=IN&amp;lang=en_US")</f>
        <v/>
      </c>
      <c r="G115" t="inlineStr">
        <is>
          <t>Gilbert, AZ, US</t>
        </is>
      </c>
      <c r="H115" s="3" t="n">
        <v>46064</v>
      </c>
      <c r="I115" t="inlineStr">
        <is>
          <t>**Program Manager Aerostat C5ISR**
 **General Description:**
Advanced Technology Systems Company in Gilbert, AZ is looking for an experienced Program Manager. The Aerostat C5ISR Program Manager provides strategic and operational leadership for end\-to\-end delivery of Aerostat\-based Command, Control, Communications, Computers, Combat Systems, Intelligence, Surveillance and Reconnaissance (C5ISR) programs. This role is responsible for planning, executing, and controlling all phases of the Aerostat system life cycle — from pursuit/capture, initiation, requirements definition and system integration through field deployment, sustainment, and customer support — ensuring mission success, regulatory compliance, and customer satisfaction. The successful candidate will be responsible for actively deploying, monitoring, and executing programmatic controls on various contracts. The Program Manager will work with internal cross\-functional matrixed teams from various disciplines including Engineering, Production, Quality, Field Services, Supply Chain, Business Development, Finance and Contracts. The role involves extensive interface with Government Agencies, Customers (CONUS and OCONUS), partners, and suppliers.
**Key Responsibilities:**
Program Leadership \&amp; Execution
* Lead full program lifecycle execution for Aerostat C5ISR systems, including pursuit/capture, initiation, planning, development, integration, test, deployment, sustainment, and close\-out.
* Establish program goals, technical objectives, performance metrics, and key performance indicators (KPI) to track progress and risk.
* Oversee cost, schedule, technical performance, quality, and risk management to maintain contract compliance and profitability.
* Execute Program Financial Management like Earned Value Management System (EVMS) and other industry\-standard program controls.
Technical \&amp; Systems Integration
* Coordinate engineering and operational efforts to integrate Aerostat platforms with C5ISR sensors (e.g., radar, EO/IR), communications, ground control stations, and network operations.
* Ensure that system architecture and technical designs meet operational requirements and interface effectively with broader defense networks.
* Work with engineering, test, operational and deployment teams to resolve technical issues, validate performance, build and deploy systems.
Risk Management:
* Develop and implement risk management frameworks to monitor and control program cost, schedule, technical, and performance risks.
* Maintain program risk registers and execute mitigation plans in collaboration with internal execution and customer\-facing teams.
* Report program risk posture and mitigation status to executive leadership and customers.
* Ensure risk awareness and accountability is embedded across the program team.
Customer \&amp; Stakeholder Engagement
* Serve as the primary point of contact with government customers/stakeholders, and industry partners.
* Lead program reviews, technical interchange meetings, and status briefings for senior leadership and customers.
* Translate customer requirements into actionable program plans and deliverables.
Contract, Program Finance \&amp; Resource Management
* Develop, negotiate, and administer contract deliverables, statements of work (SOW), schedules, budgets, resource allocations, and subcontractor agreements.
* Own P\&amp;L responsibility for the program(s), driving financial performance against revenue, margin, cash, and growth goals.
* Monitor and report on financial performance including budgets and forecasts.
Cross\-Functional Collaboration
* Work with business development and capture teams to lead/support proposal development, future funding strategy, and growth opportunities.
* Collaborate with engineering, operations, logistics, training, and field support to ensure cohesive program execution.
**Required Qualifications:**
* Bachelor’s degree in a technical discipline, business, or program management (Master’s degree or PMP preferred).
* 7\+ years of experience formally managing programs as a Program Manager
* 5\+ years working in Engineering and/or Operations
* Prior experience working with the U.S. and International Government Customers in Aerospace \&amp; Defense markets.
* Proven ability to lead, motivate, and develop high\-performing teams in a matrixed environment.
* Hands\-on experience implementing program risk management frameworks.
* Must be a U.S. citizen with or with the ability to obtain a government security clearance.
**Desired Skills \&amp; Competencies:**
* Prior experience with Aerostats and related C5ISR systems for Border/Homeland Security and Military customers.
* Background involving U. S. Government and International (Foreign Military Sales and Direct Commercial Sales) contracts.
* Knowledge of Government acquisition lifecycle, contract types (FFP, CPFF, T\&amp;M, IDIQ).
* Ability to create, implement, and/or modify programmatic processes.
* Experience with Aerostats and payloads/ground support equipment including tactical radios, EO/IR systems, Radar systems, networking, and/or computing platforms/servers.
* Experience with customer and government audits.
* Understanding of ERP systems.
* Knowledge of compliance with contractual, regulatory, and corporate requirements, including Federal Acquisition Regulations (FAR), Defense Federal Acquisition Regulation Supplement (DFARS) and Homeland Security Acquisition Regulations (HSAR).
* Self\-starter with a sense of urgency.
* Strategic program leadership history of balancing program delivery with financial and risk performance.
* Ability to manage risk in complex, multi\-agency customer environments.
* Strong program risk management mindset with proven mitigation strategies.
* Effective coordination skills with internal execution teams, cross\-functional organizations, suppliers, subcontractors and partners.
* Excellent verbal and written communication skills with the ability to present complex information to diverse audiences.
* Strong analytical and problem\-solving abilities with a focus on data\-driven decision\-making.
* Commitment to compliance, mission assurance, and ethical conduct.
**Physical Demands \&amp; Work Environment**
* Work is typically performed in an office setting.
* While performing the duties of this job, the employee is regularly required to stand, sit, bend, demonstrate manual dexterity, climb stairs, talk, hear and see.
* Must have the ability to lift 15\-25 pounds.
* Must be able to read, write and speak English.
 *ATSC is committed to creating a diverse environment and is proud to be an Equal Opportunity Employer. We invite resumes from all interested parties including women, minorities, veterans, and persons with disabilities.*
 *Advance Technology Systems Company is an Equal Opportunity/Affirmative Action Employer. All qualified applicants will receive consideration for employment without regard to race, color, religion, sex, pregnancy, sexual orientation, gender identity, national origin, age, protected veteran status, or disability status.*</t>
        </is>
      </c>
    </row>
    <row r="116">
      <c r="A116" t="inlineStr">
        <is>
          <t>in-fcfefcc1fd0df213</t>
        </is>
      </c>
      <c r="B116" t="inlineStr">
        <is>
          <t>Program Manager</t>
        </is>
      </c>
      <c r="C116" t="inlineStr">
        <is>
          <t>Verita Telecommunications</t>
        </is>
      </c>
      <c r="D116" t="inlineStr">
        <is>
          <t>indeed</t>
        </is>
      </c>
      <c r="E116">
        <f>HYPERLINK("https://www.indeed.com/viewjob?jk=fcfefcc1fd0df213", "https://www.indeed.com/viewjob?jk=fcfefcc1fd0df213")</f>
        <v/>
      </c>
      <c r="F116">
        <f>HYPERLINK("https://workforcenow.adp.com/mascsr/default/mdf/recruitment/recruitment.html?cid=0baffdb9-b6d6-4a11-b977-f22748cdad67&amp;ccId=19000101_000001&amp;jobId=611829&amp;source=IN&amp;lang=en_US", "https://workforcenow.adp.com/mascsr/default/mdf/recruitment/recruitment.html?cid=0baffdb9-b6d6-4a11-b977-f22748cdad67&amp;ccId=19000101_000001&amp;jobId=611829&amp;source=IN&amp;lang=en_US")</f>
        <v/>
      </c>
      <c r="G116" t="inlineStr">
        <is>
          <t>Indianapolis, IN, US</t>
        </is>
      </c>
      <c r="H116" s="3" t="n">
        <v>46063</v>
      </c>
      <c r="I116" t="inlineStr">
        <is>
          <t>**Program Manager Job Description**
 **Title: Program Manager**
 **Effective Date: 5/8/2025**
 **Reports:**
 **FLSA:**Non\-exempt
As a Program Manager, you will oversee and manage the end\-to\-end execution of fiber optic network construction, ensuring all activities align with scope, budget, and schedule. You will lead cross\-functional teams, manage stakeholders, and ensure compliance with industry standards while driving the successful delivery of infrastructure projects in the field
 **ESSENTIAL DUTIES/RESPONSIBILITIES:**
* Lead and manage multiple large\-scale projects, including underground and aerial fiber builds, ensuring projects are completed on schedule, within budget, and to specification.
* Collaborate with internal and external teams, including construction, engineering, procurement, and regulatory bodies, to ensure seamless project execution across all phases of the OSP deployment.
* Develop and manage detailed project plans, including scope definition, resource allocation, scheduling, budgeting, and forecasting, with a strong focus on meeting milestones and client expectations.
* Oversee and manage project budgets, ensuring accurate forecasting and reporting on capital expenditures, resources, and materials, aligning with financial goals.
* Take full internal and customer accountability for project planning and execution, including design, construction management, zoning and permitting, licensing, system acceptance, NOC integration, and project closeout.
* Monitor construction quality, ensuring all fiber installation work meets industry and design standards and is within scope and contractual obligations.
* Navigate and negotiate change orders for work out of scope.
* Provide detailed daily and weekly reports on project status, milestones, resource usage, and field progress, communicating any changes or issues to key stakeholders.
* Conduct field observations as needed to oversee construction activities, resolve field issues, and ensure that work is being executed according to plans, specifications, and safety standards.
* Actively manage and monitor budgets, schedules, and scopes for multiple projects simultaneously, ensuring all aspects of the project build are on track and within financial constraints.
* Lead the review of OSP designs, ensuring accuracy in drawings and calculations, and compliance with industry standards for underground and aerial fiber builds. Provide feedback on designs to ensure they meet project requirements and are feasible for construction.
* Assists in project sales calls, kickoff meetings, vendor selection and other new business development ideas
* Serve as the central point of contact for project status updates, meetings, and communications, providing leadership teams with regular reports on milestones, progress, forecasts, and resolutions to issues.
* Proactively identify, assess, and mitigate risks related to OSP deployments, including zoning, permitting, construction delays, and regulatory hurdles, ensuring clear communication with stakeholders and timely resolution of issues.
* Ensure the maintenance of all OSP project documentation, including permitting, design filings, and compliance with local, state, and federal regulations.
* Perform any other duties as necessary to ensure the successful deployment and completion of projects.
 **QUALIFICATIONS:**
* Strong knowledge of telecommunication construction prints and scopes of work
* Minimum 5 years of project management experience related to telecommunications projects
* Bachelor’s degree in construction management, business management or equivalent experience
* Expertise in data\-driven decision\-making, leveraging performance indicators (KPIs) to monitor and improve operational effectiveness.
* Skilled in project planning and execution, balancing resource allocation, timelines, and financial objectives to drive business success.
* Effective leader and communicator, skilled in negotiation, conflict resolution, vendor management, quality control and scope evaluation
* Experience in managing work\-in\-progress (WIP) tracking, backlog oversight, and risk mitigation strategies to minimize delays and inefficiencies.
* Ability to identify bottlenecks and process gaps, implementing corrective measures to enhance productivity and profitability.
* Strong financial acumen in budget planning, cost control, and investment analysis, ensuring alignment with strategic business goals.
* Expertise in pricing strategies, financial structuring, and contract compliance, optimizing profitability and operational sustainability.
* Experienced in financial reporting and forecasting, providing leadership with actionable insights for business growth.
* Extensive experience in stakeholder engagement and cross\-functional team leadership, aligning diverse teams towards common objectives.
* High\-level strategic thinking with expertise in scaling operations for growth and adapting to market changes.
* Able to successfully pass a background check and drug screen
* Ability to travel 25% of the time.
* Have a strong working knowledge of Microsoft Office Suite
 *Signature* *Date*
**Employee:**
 **Management:**
 *The statements included in the description are intended to reflect the general nature and level of work assigned to this classification and should not be interpreted as all inclusive.*</t>
        </is>
      </c>
    </row>
    <row r="117">
      <c r="A117" t="inlineStr">
        <is>
          <t>in-614fe612a1db24d5</t>
        </is>
      </c>
      <c r="B117" t="inlineStr">
        <is>
          <t>Principal Technical Program Manager, Security Operations (Nashville or Austin Only/Relo Available)</t>
        </is>
      </c>
      <c r="C117" t="inlineStr">
        <is>
          <t>Oracle</t>
        </is>
      </c>
      <c r="D117" t="inlineStr">
        <is>
          <t>indeed</t>
        </is>
      </c>
      <c r="E117">
        <f>HYPERLINK("https://www.indeed.com/viewjob?jk=614fe612a1db24d5", "https://www.indeed.com/viewjob?jk=614fe612a1db24d5")</f>
        <v/>
      </c>
      <c r="F117">
        <f>HYPERLINK("https://eeho.fa.us2.oraclecloud.com/hcmUI/CandidateExperience/en/sites/CX_1/job/326427", "https://eeho.fa.us2.oraclecloud.com/hcmUI/CandidateExperience/en/sites/CX_1/job/326427")</f>
        <v/>
      </c>
      <c r="G117" t="inlineStr">
        <is>
          <t>Nashville, TN, US</t>
        </is>
      </c>
      <c r="H117" s="3" t="n">
        <v>46063</v>
      </c>
      <c r="I117" t="inlineStr">
        <is>
          <t>As a Security Operations Technical Program Manager, you will be responsible for managing and coordinating security operations programs, projects, and initiatives within the OCI ecosystem.
* You will work closely with various teams, including security engineering, cloud operations, and product development, to enhance security measures and respond to emerging threats.
* The role requires strong technical expertise, excellent program management skills, and a strategic mindset to drive security improvements across the organization.
**Key Responsibilities:**
* Lead and manage security operations programs, including threat detection, incident response, and security monitoring, ensuring alignment with industry best practices and security standards.
* Develop and maintain security processes, playbooks, and documentation to streamline security operations and incident management.
* Coordinate and facilitate communication between security teams, cloud operations, and other stakeholders during security incidents and investigations.
* Analyze security metrics, logs, and data to identify trends, potential vulnerabilities, and areas for improvement in security operations.
* Implement and manage security tools, technologies, and automation to enhance threat detection and response capabilities.
* Stay updated on emerging security threats, attack vectors, and industry trends, and provide recommendations for security enhancements.
* Collaborate with the product development teams to integrate security best practices into the cloud service offerings.
* Mentor and guide junior team members and promote a culture of continuous security improvement.
**Qualifications and Skills:**
* Bachelor's degree in Computer Science, Cybersecurity, or a related field. A Master's degree is preferred.
* 5\&amp;\#43; years of experience in a technical program management role within the cybersecurity domain.
* Strong technical background in cloud security, network security, incident response, and security operations.
* Proficiency in cloud technologies, preferably with OCI or similar cloud providers.
* Excellent program management skills, including project planning, resource allocation, and risk management.
* Ability to communicate complex security concepts to both technical and non\-technical stakeholders.
* Experience with security monitoring tools, SIEM systems, and security automation is highly desirable.
* Certifications such as CISSP, CISA, or similar security certifications are a plus.
* Familiarity with security regulations and standards (e.g., NIST, ISO, PCI DSS).
* Strong problem\-solving abilities and a proactive approach to identifying and mitigating security risks.
**Work Locations:**
* This role can be based in either Austin, Texas, or Nashville, Tennessee, offices (relo packages available) Both cities host vibrant tech communities and OCI offices, providing excellent career growth opportunities.
If you are excited about driving security initiatives, leading technical programs, and making a difference in the cloud security space, we encourage you to apply. At OCI, we value diversity and are committed to building an inclusive team. We look forward to hearing from you!</t>
        </is>
      </c>
    </row>
    <row r="118">
      <c r="A118" t="inlineStr">
        <is>
          <t>in-b89f76a550b4143c</t>
        </is>
      </c>
      <c r="B118" t="inlineStr">
        <is>
          <t>Program Manager 3-ProdDev</t>
        </is>
      </c>
      <c r="C118" t="inlineStr">
        <is>
          <t>Oracle</t>
        </is>
      </c>
      <c r="D118" t="inlineStr">
        <is>
          <t>indeed</t>
        </is>
      </c>
      <c r="E118">
        <f>HYPERLINK("https://www.indeed.com/viewjob?jk=b89f76a550b4143c", "https://www.indeed.com/viewjob?jk=b89f76a550b4143c")</f>
        <v/>
      </c>
      <c r="F118">
        <f>HYPERLINK("https://eeho.fa.us2.oraclecloud.com/hcmUI/CandidateExperience/en/sites/CX_1/job/326334", "https://eeho.fa.us2.oraclecloud.com/hcmUI/CandidateExperience/en/sites/CX_1/job/326334")</f>
        <v/>
      </c>
      <c r="G118" t="inlineStr">
        <is>
          <t>US</t>
        </is>
      </c>
      <c r="H118" s="3" t="n">
        <v>46062</v>
      </c>
      <c r="I118" t="inlineStr">
        <is>
          <t>Why Oracle Health / ClientWorks?  
You will have the opportunity to make a direct impact on the evolution of pharmacy product offerings, help shape life\-saving solutions, and improve outcomes for customers and patients nationwide. If you are passionate about using your clinical and leadership expertise to drive innovation and build best\-in\-class healthcare solutions, we invite you to apply.  
We are seeking a highly driven, strategic leader to join our team as a Senior Product Owner (IC3\) for Pharmacy Products. In this role, you will leverage your clinical expertise and independent judgment to shape the future of our pharmacy product suite, drive key product deployments, and ensure our solutions support optimal customer and patient safety. You will play a pivotal role in aligning customer feedback and strategic requests to our current and future platform strategy, particularly as we expand our OHEHR offerings.
Key Responsibilities:  
* Lead and oversee the end\-to\-end deployment of our next\-generation eRX platform, ensuring compatibility with OHEHR for over 400 customers and 1,600 providers across a multi\-year roll\-out.
* Apply clinical expertise to conduct comprehensive, strategic reviews of customer requests and market feedback, ensuring alignment with evolving product needs and future platform capabilities.
* Proactively identify opportunities to innovate and grow our product portfolio, anticipating trends and regulatory changes, and championing enhancements to support customer and patient safety.
* Partner with cross\-functional teams—Product Management, Intellectual Property, and Configuration—to drive product improvements, drive adoption of industry best practices, and resolve complex challenges.
* Model strong leadership across diverse, cross\-functional teams; mentor, coach, and empower others to contribute to solutions and product improvements.
* Act as a visible advocate for change, building alignment and gaining adoption of key initiatives across internal and external stakeholders.
* Communicate proactively and credibly with stakeholders, using data and business insights to secure buy\-in for strategic product direction.
* Foster a culture of innovation, inclusion, continuous improvement, and ethical best practices.
Preferred Qualifications:  
* Bachelor’s degree or equivalent experience relevant to healthcare, product management, or clinical field.
* Minimum of 5 years of experience in project management, product design, or related area, with demonstrated expertise in clinical pharmacy, product/solution implementation, or healthcare technology.
* Ability to anticipate complications and manage complex projects independently; project lead or supervisory experience is preferred.
* Skilled in synthesizing customer feedback and market intelligence into actionable product enhancements.
* Proven ability to work collaboratively across organizations, drive cross\-team alignment, and think strategically about product growth.
* Demonstrated experience in product workflow optimization, regulatory compliance, and alignment to industry best practices.
* Strong communication skills, with the ability to shape messaging for diverse stakeholders and secure support for new initiatives.
* Commitment to upholding the highest standards of integrity, ethics, and inclusive leadership.</t>
        </is>
      </c>
    </row>
    <row r="119">
      <c r="A119" t="inlineStr">
        <is>
          <t>in-fed5c4d8f337d5c6</t>
        </is>
      </c>
      <c r="B119" t="inlineStr">
        <is>
          <t>Product Manager (16848-2)</t>
        </is>
      </c>
      <c r="C119" t="inlineStr">
        <is>
          <t>JND</t>
        </is>
      </c>
      <c r="D119" t="inlineStr">
        <is>
          <t>indeed</t>
        </is>
      </c>
      <c r="E119">
        <f>HYPERLINK("https://www.indeed.com/viewjob?jk=fed5c4d8f337d5c6", "https://www.indeed.com/viewjob?jk=fed5c4d8f337d5c6")</f>
        <v/>
      </c>
      <c r="F119">
        <f>HYPERLINK("https://jnd-inc.breezy.hr/p/61f6903d5178-product-manager-16848-2?source=indeed", "https://jnd-inc.breezy.hr/p/61f6903d5178-product-manager-16848-2?source=indeed")</f>
        <v/>
      </c>
      <c r="G119" t="inlineStr">
        <is>
          <t>Englewood Cliffs, NJ, US</t>
        </is>
      </c>
      <c r="H119" s="3" t="n">
        <v>46053</v>
      </c>
      <c r="I119" t="inlineStr">
        <is>
          <t>* Job Title: Product Manager
* Job Type: Full\-Time, Hourly
* Fully Onsite
* **Bachelor's Degree in Business, Marketing, Finance, Operation, Engineering or related field required**
* **3\+ years of applicable experience**
**Location**
* 700 Sylvan AVE Englewood Cliffs, NJ, US
**Benefits**
* Medical Insurance (Health, Dental \&amp; Vision)
* 401(k)
* Paid Time Off
* H1B/Green Card Sponsorship for qualified employee
* Hands\-on experience at global industry leader Samsung
**Compensation**
$31\-33/hr
**Overview**
This Product Manager role will support the TV Product Marketing team and will take part in driving the Samsung's TVs and accessories business. In this role you will have the main responsibility to serve as PMO for TV Product Marketing team, in which you will work closely with Integrated Marketing, sales and SCM teams to help meet the company's monthly and quarterly targets. Other tasks include: owning administrative tasks/data entries, supporting development of sales \+ SCM strategies, working with cross\-functional teams across the organization (spanning from sales, marketing, PR teams…), and supporting other general operations for the TV PM team.  
*Who You Are*
* Effective Communicator: you have strong communication skills for both internal and external (customer facing) settings and can efficiently articulate thoughts/ideas
* Relationship\-builder: you can influence and motivate people across functions and job levels
* Self\-starter: you are able to work independently and have a bias towards action and thrive in a fast\-paced business environment
* Meticulous Attention to Detail: you are detailed oriented and have a drive for comprehending complex projects and identifying actionable plans
* Can\-do attitude: you have a bias towards action and do not let tasks with large implications fall through the cracks
* Experience: you have experience managing project plans and forums
* Tech savvy: you are interested in/aware of both internal and competitor products and their respective impact to the industry
**Top Skills**
* Proficiency in Excel, Power Point and other MS Office Tools
* Strong analytical skills, able to process multiple data inputs to deliver the required output
* Strong interpersonal skills, ideally experience working with Sales, SCM, Marketing Teams
**Key Responsibilities:**
* Help PM team with weekly, monthly and annual presentation deck such as Weekly SCM slides, QBR review slides, LLP consolidation, etc.
* Work with cross\-functional teams, including integrated marketing and PR teams to support coordination of: marketing activities, development of creatives/assets, and policies to promote products and services (via advertisements, press releases, PDPs, and more.)
* Research and analyze competitor activities to understand business and market share impact.
* Use sales forecasting and strategic planning to ensure the sale and profitability of products, lines, or services, analyzing business developments and monitoring market trends.
* Administrative tasks, such as executing contracts with new vendors/distributors, approval submissions, and scheduling meetings/events.
* Manage day to day priority to help keep PMs on track.
* Serve as back PM managing ATS (available\-to\-sell) and Aging inventory process.
**Skills**
* Verbal and written communication skills, negotiation skills, customer service and interpersonal skills.
* Ability to develop marketing, pricing, and SCM strategies.
* Ability to sensibly navigate through internal and external organizations.
* Ability to work independently and manage one's time.
* Proficiency in Microsoft Office (especially intermediate knowledge of Excel and Power Point).
* Knowledge of principles and methods for showing, promoting, and selling products or services.
* Knowledge of media production, communication and handling/reviewing of creatives and marketing assets.
**Required Experience and Qualifications:**
* Bachelor's degree and/or equivalent training in Business, Finance, Marketing, Operations or Engineering required.
* 3\~5 years related experience required.
Our team of highly experienced developers offer a wide range of mobile application and software development positions. We also have opportunities in business operations and administrations, logistics, UX/UI design, and many more!
Our vision is ‘We Want to See You Grow' to become the industry leader for both employee and company.
For more information about JND, please visit www.jndsolutions.com (http://www.jndsolutions.com/)
\#Samsung \#JND \#Marekting \#Product \#PM \#MS Office \#Excel \#Analysis \#Communication \#Englewood Cliffs \#NJ \#New Jersey \#Sales \#SCM</t>
        </is>
      </c>
    </row>
    <row r="120">
      <c r="A120" t="inlineStr">
        <is>
          <t>in-5fc842f77f2aaaf0</t>
        </is>
      </c>
      <c r="B120" t="inlineStr">
        <is>
          <t>Product Manager</t>
        </is>
      </c>
      <c r="C120" t="inlineStr">
        <is>
          <t>Journey</t>
        </is>
      </c>
      <c r="D120" t="inlineStr">
        <is>
          <t>indeed</t>
        </is>
      </c>
      <c r="E120">
        <f>HYPERLINK("https://www.indeed.com/viewjob?jk=5fc842f77f2aaaf0", "https://www.indeed.com/viewjob?jk=5fc842f77f2aaaf0")</f>
        <v/>
      </c>
      <c r="F120">
        <f>HYPERLINK("https://journey.breezy.hr/p/43aa68e50e09-product-manager?source=indeed", "https://journey.breezy.hr/p/43aa68e50e09-product-manager?source=indeed")</f>
        <v/>
      </c>
      <c r="G120" t="inlineStr">
        <is>
          <t>Remote, US</t>
        </is>
      </c>
      <c r="H120" s="3" t="n">
        <v>46053</v>
      </c>
      <c r="I120" t="inlineStr">
        <is>
          <t>**About Journey**
Journey is the leading proactive mental health solution for modern companies. Our mission is to help all people live happier, healthier, less stressed lives. We are a rapidly growing tech startup, and we work with care and intention to create a high\-performance company with the following in mind:
**About The Role**
We are looking for an experienced Product Manager to play a pivotal role in delivering high\-impact features and driving momentum within our growing product team. Our Proactive Employee Assistance Program (EAP) consists of Web, iOS \&amp; Android apps, powered by backend APIs and third\-party integrations to deliver features such as:
* Live and video\-on\-demand content
* Personalized recommendations
* Assessments, analytics and reporting
You'll envision, design, and ship delightful, user\-centered, cross\-platform experiences that build and improve our Proactive EAP Platform
You'll be involved in all aspects of the product development for a major product area; from research, prototyping, requirements gathering, QA and release notes before launch.
You'll participate in and lead cross\-functional workshops, discussions, design reviews, and inspiring design team activities.
**In this job, you will:**
* Conduct interviews of internal and external stakeholders and subject matter experts, and perform competitor and market research.
* Partner with executives to prioritize and triage roadmap and change requests, clearly understanding short and long term trade\-offs.
* Create PRDs for each feature and collaborate with the development team to break them down into milestones and tickets.
* Work closely with the development team to plan sprints, remove blockers, and manage technical and product debt
* Work with designers during requirements gathering to ensure cohesive, user\-centered solutions.
* Produce release notes and feature videos for both internal and external features
* Partner with marketing to communicate new features to users and the broader market
* Develop and manage analytics reports and dashboards to track performance and inform decisions
**Requirements (What makes you a great fit for this role):**
* Strong visual design instincts, with the ability to design within and help evolve established visual guidelines
* Knowledge of React, NodeJs, consuming Rest APIs as our roadmap includes multiple 3rd party integrations into tools, clients and partners.
* Proficiency with modern collaboration and design tools such as Figma, ClickUp, and Slack
* Experience working in a fast\-paced startup environment, operating with autonomy while adapting quickly to shifting priorities and context switches
* Clear and thoughtful communicator who builds trust and collaborates effectively across teams
* Proactive problem\-solver who takes ownership and drives projects from concept through execution
* Willing and able to support teammates with smaller tasks when needed, contributing to overall team momentum
#### **Our Benefits**
* **Culture Focused.** We prioritize building a high\-performance culture of top talent. At Journey, you'll work with a team of smart, motivated, and supportive people who bring energy, care, and pride to the work every day.
* **Remote First.** We are a remote company. Where you live is where we are located.
* **Stock Options.** We encourage an ownership mindset by giving full\-time employees the opportunity to share in the success of Journey.
* **Medical, Dental \&amp; Vision Insurance.** Journey contributes 100% of the medical insurance premium for the employee, provided through Aetna.
* **Unlimited PTO.** We trust you to do what is necessary to get your job done while maintaining a healthy work/life harmony. We offer unlimited time off and encourage you to take it.
* **Parental Leave.** 10 weeks of fully paid parental leave for birthing, non\-birthing, and adoptive parents is available after one year of employment. Journey also offers paid leave for pregnancy loss as well as travel reimbursement for safe and legal abortion access.
* **Productivity Stipend.** Team members receive $1,000 to spend on co\-working spaces, a new desk chair, or whatever they need to make their work environment more comfortable.
* **Learning and Development.** Journey is invested in your continuous growth. Each year, team members are eligible for up to $500 to spend on professional development opportunities of their choosing.
* **Journey's Proactive Employee Assistance Program.** Of course, team members and their loved ones have access to Journey Proactive EAP, our proactive mental health solution to stay happy, healthy, and mentally and emotionally fit
* **Compensation.** The salary ranges from $105,000 to $112,000, plus equity. Compensation may vary based on skills, experience, and location.
#### **Our Values**
* **Speed Wins.** Make decisions, move quickly, and know that if things go wrong, it's okay for you and the company.
* **Miles, Not Inches.** Thinking small is a self\-fulfilling prophecy. Favor bold ideas over incremental changes.
* **Customer\-Obsession.** We are obsessed with helping all people to live happier, healthier lives. We accomplish this by knowing our customers incredibly well and finding ways to make their lives better.
* **Truth Through Safety \&amp; Courage.** A safe space allows all of us to feel secure and welcome, which creates the environment needed to act courageously, speak our truth, and see different perspectives. Doing so leads to the best decisions and the most successful company.
* **Ownership \&amp; Accountability, Together:** We embody a culture of extreme ownership, accountability, and teamwork. We count on every team member to take responsibility for their work, embrace a proactive mindset to overcome challenges and work together to achieve our collective success.
* **Focus**: By concentrating on the few things that truly matter, we maximize our impact and avoid distractions that slow us down. Clear priorities reduce chaos, bring clarity, and help us deliver meaningful results.
—\-
#### **Equal Opportunity Employer**
At Journey, we aim to foster a workplace free from discrimination. We believe that diversity of experience, perspectives, and backgrounds leads to a better environment for our people and a better product for our clients. Journey is an equal\-opportunity employer and encourages all applicants from every background and life experience to apply.</t>
        </is>
      </c>
    </row>
    <row r="121">
      <c r="A121" t="inlineStr">
        <is>
          <t>in-66e83cf9b116a6d3</t>
        </is>
      </c>
      <c r="B121" t="inlineStr">
        <is>
          <t>Program Manager, Housing Placement</t>
        </is>
      </c>
      <c r="C121" t="inlineStr">
        <is>
          <t>HomeFirst</t>
        </is>
      </c>
      <c r="D121" t="inlineStr">
        <is>
          <t>indeed</t>
        </is>
      </c>
      <c r="E121">
        <f>HYPERLINK("https://www.indeed.com/viewjob?jk=66e83cf9b116a6d3", "https://www.indeed.com/viewjob?jk=66e83cf9b116a6d3")</f>
        <v/>
      </c>
      <c r="F121">
        <f>HYPERLINK("https://www.paycomonline.net/v4/ats/web.php/jobs/ViewJobDetails?job=274331&amp;clientkey=D5CCEE08944274A96388058FB68F1A82&amp;source=Indeed", "https://www.paycomonline.net/v4/ats/web.php/jobs/ViewJobDetails?job=274331&amp;clientkey=D5CCEE08944274A96388058FB68F1A82&amp;source=Indeed")</f>
        <v/>
      </c>
      <c r="G121" t="inlineStr">
        <is>
          <t>San Jose, CA, US</t>
        </is>
      </c>
      <c r="H121" s="3" t="n">
        <v>45403</v>
      </c>
      <c r="I121" t="inlineStr">
        <is>
          <t>**Program Summary:**
The goal of HomeFirsts Housing Placement Department is to end and prevent homelessness for at\-risk
households in the County of Santa Clara, California. We achieve this goal by providing a milieu of services
including rental subsidies, housing location services, landlord mediation, and other supports to program
participants.
The Housing Placement Manager is accountable for performance toward housing outcome metrics
addressing the length of time participants experience homelessness while in program, recidivism, and
cumulative program exits into permanent housing among others. This role is further responsible for modeling
the values and principles of HomeFirst within the agency and broader community.
There are 6\-10 employees assigned to the Housing Placement Manager.
**Responsibilities:**
* Ensure effective service delivery as measured by achievement of program targets.
* Oversee that all documentation for the program is conducted appropriately within agency, licensing,
contract, and program guidelines.
* Adhere to task completion deadlines.
* Independently manage the day\-to\-day operations of assigned programs through supervision of all
* assigned staff, including:
	+ Assist Housing Specialists in maintaining a case load.
	+ Monitor and evaluate staff performance to ensure compliance with all expectations and
	+ standards of practice.
	+ Provide recruitment, hiring, and training of program staff.
	+ Work with staff to maintain thorough, accurate records of Housing Specialist activities
	+ Organize the work of the program and delegate responsibility to staff members, as
	+ appropriate.
	+ Assess the follow\-up of Housing Specialists as they work with program participants to develop
	+ and implement a housing plan, and/or provide other support to help them achieve their
	+ income and housing goals.
	+ Lead regularly scheduled team meetings to support program operation, including client case
	+ conferencing
* Communicate and collaborate effectively with contract monitors and partners.
* Ensure service integration with Santa Clara Countys CoC, U.S. Department of Veterans Affairs,
Homelessness Prevention, and other relevant systems.
* Advocate on behalf of program participants as needed.
* Participate in program design and development, including the upkeep of operations manuals, as
needed.
General
* Attend all job\-related meetings, including program staff meetings and agency or system\-wide
meetings.
* Participate in opportunities for learning and skill maintenance/development, including internal and
external trainings and workshops.
* Maintain professional relations and conduct.
* Utilize supervision appropriately, maintaining open lines of communication and providing updates on
individuals.
* Be available after hours for support during crisis situations, as needed.
* Assist with other duties assigned.
**Minimum Qualifications:**
The Housing Placement Manager is committed to the principles of Housing First and Harm Reduction, and
demonstrates that commitment through their proactive and creative approach to housing interventions. They
recognize the time sensitivity required to support households in crisis to maintain or secure housing stability,
and exercise empathy toward the people we serve.
The needs of the program, community partners, and population may compete, and the Housing Placement
Manager is skilled in mediating conflicting demands and de\-escalating challenges. They are a professional
representative of the agency, and can communicate persuasively when needed to enhance partnership
opportunities or resolve crises.
HomeFirst is a diverse company in a diverse field, and the Housing Placement Manager desires to work with
people from a variety of social and economic backgrounds. To that end, the Housing Placement Manager
cultivates a connected and mutually supportive team.
**Skills, Abilities, and Knowledge:**
* Bachelors degree in Social Work or related field human services field preferred; Bachelors may be
* substituted by 2 years relevant work experience.
* Minimum of 1 year demonstrated leadership experience.
* Experience serving people at\-risk of losing their housing or currently homeless preferred.
* Bilingual, bicultural preferred
**Other:**
* Valid CA Driver License
* Reliable transportation
* Able to perform sedentary work;
* Able to lift up to 30 lbs. on occasion;
* Ability to use keyboard and read computer screens for extended periods;
* Able to stand/sit for extended periods, kneel, reach and bend related to the completion of duties;
**About HomeFirst Services:**
Established in 1980, with 40\+ years of experience, we are the premier Silicon Valley provider of homelessness services. We believe that everyone has the potential to get housed and stay housed. We relentlessly focus on eliminating barriers to housing and creating stability for everyone we serve.
HomeFirst Services serves more than 6,000 adults, veterans, families, and young adults each year at multiple locations from Gilroy to Menlo Park all of Santa Clara County as well as southern San Mateo County.
Services include:
* Homelessness prevention
* Emergency and cold\-weather shelters
* Comprehensive Veterans Services
* Rapid Rehousing programs
* Bridge Housing Communities
* Emergency Interim Housing
* Affordable permanent housing
* Permanent Supportive housing
* Street\-based outreach
HomeFirst Services is proud to be an Equal Opportunity and Affirmative Action employer and considers qualified applicants for employment without regard to race, color, creed, religion, national origin, sex, sexual orientation, gender identity, age, disability, veteran status, or any other status protected by law. We also consider qualified applicants with criminal histories, consistent with applicable federal, state, and local law. Additionally, HomeFirst Services participates in the E\-Verify program, as required by law.
HomeFirst Services is committed to providing reasonable accommodations for qualified individuals with disabilities and disabled veterans in our job application process. If you need assistance or an accommodation due to a disability, please let your recruiter know.</t>
        </is>
      </c>
    </row>
    <row r="122">
      <c r="A122" t="inlineStr">
        <is>
          <t>in-14ae5a0003e002ec</t>
        </is>
      </c>
      <c r="B122" t="inlineStr">
        <is>
          <t>Program Manager Housing Placement</t>
        </is>
      </c>
      <c r="C122" t="inlineStr">
        <is>
          <t>HomeFirst</t>
        </is>
      </c>
      <c r="D122" t="inlineStr">
        <is>
          <t>indeed</t>
        </is>
      </c>
      <c r="E122">
        <f>HYPERLINK("https://www.indeed.com/viewjob?jk=14ae5a0003e002ec", "https://www.indeed.com/viewjob?jk=14ae5a0003e002ec")</f>
        <v/>
      </c>
      <c r="F122">
        <f>HYPERLINK("https://www.paycomonline.net/v4/ats/web.php/jobs/ViewJobDetails?job=42657&amp;clientkey=D5CCEE08944274A96388058FB68F1A82&amp;source=Indeed", "https://www.paycomonline.net/v4/ats/web.php/jobs/ViewJobDetails?job=42657&amp;clientkey=D5CCEE08944274A96388058FB68F1A82&amp;source=Indeed")</f>
        <v/>
      </c>
      <c r="G122" t="inlineStr">
        <is>
          <t>San Jose, CA, US</t>
        </is>
      </c>
      <c r="H122" s="3" t="n">
        <v>44451</v>
      </c>
      <c r="I122" t="inlineStr">
        <is>
          <t>**Program Summary:**
The goal of HomeFirsts Housing Placement Department is to end and prevent homelessness for at\-risk households in the County of Santa Clara, California. We achieve this goal by providing a milieu of services including rental subsidies, housing location services, landlord mediation, and other supports to program participants. The Housing Placement Manager is accountable for performance toward housing outcome metrics addressing the length of time participants experience homelessness while in program, recidivism, and the cumulative program exits into permanent housing among others. This role is further responsible for modeling the values and principles of HomeFirst within the agency and the broader community. There are 6\-10 employees assigned to the Housing Placement Manager.
**Responsibilities:**
* Ensure effective service delivery as measured by achievement of program targets.
* Oversee that all documentation for the program is conducted appropriately within the agency, licensing, contract, and program guidelines.
* Adhere to task completion deadlines.
* Independently manage the day\-to\-day operations of assigned programs through supervision of all assigned staff, including:
* Assist Housing Specialists in maintaining a caseload.
* Monitor and evaluate staff performance to ensure compliance with all expectations and
* standards of practice.
* Provide recruitment, hiring, and training of program staff.
* Work with staff to maintain thorough, accurate records of Housing Specialist activities
* Organize the work of the program and delegate responsibility to staff members, as
* appropriate.
* Assess the follow\-up of Housing Specialists as they work with program participants to develop
* and implement a housing plan, and/or provide other support to help them achieve their
* income and housing goals.
* Lead regularly scheduled team meetings to support program operation, including client case
* conferencing
* Communicate and collaborate effectively with contract monitors and partners.
* Ensure service integration with Santa Clara County's CoC, U.S. Department of Veterans Affairs, Homelessness Prevention, and other relevant systems.
* Advocate on behalf of program participants as needed.
* Participate in program design and development, including the upkeep of operations manuals, as needed.
**General**
* Attend all job\-related meetings, including program staff meetings and agency or system\-wide meetings.
* Participate in opportunities for learning and skill maintenance/development, including internal and external training and workshops.
* Maintain professional relations and conduct.
* Utilize supervision appropriately, maintaining open lines of communication, and providing updates on individuals.
* Be available after hours for support during crisis situations, as needed.
* Assist with other duties assigned.
**Minimum Qualifications:**
* The Housing Placement Manager is committed to the principles of Housing First and Harm Reduction and demonstrates that commitment through their proactive and creative approach to housing interventions.
* They recognize the time\-sensitivity required to support households in crisis to maintain or secure housing stability and exercise empathy toward the people we serve.
* The needs of the program, community partners, and population may compete, and the Housing Placement
* Manager is skilled in mediating conflicting demands and de\-escalating challenges. They are a professional
* representative of the agency, and can communicate persuasively when needed to enhance partnership
* opportunities or resolve crises.
* 
* HomeFirst is a diverse company in a diverse field, and the Housing Placement Manager desires to work with
* people from a variety of social and economic backgrounds. To that end, the Housing Placement Manager
* cultivates a connected and mutually supportive team.
**Skills, Abilities, and Knowledge:**
* Bachelors degree in Social Work or related field human services field preferred; Bachelors may be
* substituted by 2 years relevant work experience.
* Minimum of 1 year demonstrated leadership experience.
* Experience serving people at risk of losing their housing or currently homeless preferred.
* Bilingual, bicultural preferred
**Other:**
* Valid CA Driver License
* Reliable transportation
* Able to perform sedentary work;
* Able to lift up to 30 lbs. on occasion;
* Ability to use keyboard and read computer screens for extended periods;
* Able to stand/sit for extended periods, kneel, reach and bend related to the completion of duties;
**About HomeFirst Services:**
Established in 1980, with 40\+ years of experience, we are the premier Silicon Valley provider of homelessness services. We believe that everyone has the potential to get housed and stay housed. We relentlessly focus on eliminating barriers to housing and creating stability for everyone we serve.
HomeFirst Services serves more than 6,000 adults, veterans, families, and young adults each year at multiple locations from Gilroy to Menlo Park all of Santa Clara County as well as southern San Mateo County.
**Services in****clude:**
* Homelessness prevention
* Emergency and cold\-weather shelters
* Comprehensive Veterans Services
* Rapid Rehousing programs
* Bridge Housing Communities
* Emergency Interim Housing
* Affordable permanent housing
* Permanent Supportive housing
* Street\-based outreach
HomeFirst Services is proud to be an Equal Opportunity and Affirmative Action employer and considers qualified applicants for employment without regard to race, color, creed, religion, national origin, sex, sexual orientation, gender identity, age, disability, veteran status, or any other status protected by law. We also consider qualified applicants with criminal histories, consistent with applicable federal, state, and local law. Additionally, HomeFirst Services participates in the E\-Verify program, as required by law.
HomeFirst Services is committed to providing reasonable accommodations for qualified individuals with disabilities and disabled veterans in our job application process. If you need assistance or accommodation due to a disability, please let your recruiter know.</t>
        </is>
      </c>
    </row>
    <row r="123">
      <c r="A123" t="inlineStr">
        <is>
          <t>in-61e52b41496d852e</t>
        </is>
      </c>
      <c r="B123" t="inlineStr">
        <is>
          <t>Senior Manager, Product Manager-Data Products</t>
        </is>
      </c>
      <c r="C123" t="inlineStr">
        <is>
          <t>Information Technology Senior Management Forum</t>
        </is>
      </c>
      <c r="D123" t="inlineStr">
        <is>
          <t>indeed</t>
        </is>
      </c>
      <c r="E123">
        <f>HYPERLINK("https://www.indeed.com/viewjob?jk=61e52b41496d852e", "https://www.indeed.com/viewjob?jk=61e52b41496d852e")</f>
        <v/>
      </c>
      <c r="F123">
        <f>HYPERLINK("https://jobs.itsmfleaders.org/job/k57j2j/senior-manager-product-manager-data-products/mclean/va", "https://jobs.itsmfleaders.org/job/k57j2j/senior-manager-product-manager-data-products/mclean/va")</f>
        <v/>
      </c>
      <c r="G123" t="inlineStr">
        <is>
          <t>McLean, VA, US</t>
        </is>
      </c>
      <c r="H123" s="3" t="n">
        <v>46064</v>
      </c>
      <c r="I123" t="inlineStr">
        <is>
          <t>Posted Date
2/12/2026
Description
Senior Manager, Product Manager\-Data Products
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In the Consumer Bank, we’ve combined this human\-centered approach with our heritage of data\-driven decision making to design, build and test our way to truly enabling financial experiences. We’ve challenged ourselves to spend less time planning, more time doing, and, above all else, to see the world through the eyes of our customers as they work to understand and manage their money.
Are you passionate about improving the way people interact with their money? Are you driven by the delight you bring to customers? Do you keep asking, “why,” until you hit the root? It’s common to fall in love with solutions, but have you ever fallen in love with the problem? Do you have an opinion on whether shipping is more important than perfection? Do you have a healthy dose of skepticism for the impossible? If you’re nodding your head, then we want you!
As a Product Manager focusing on Bank Modernization you will be reimagining our Consumer Bank to create game\-changing customer experiences and business outcomes. You will build platforms and services that deliver real\-time data at scale. As a Pod Leader in the Core Data Enablement team, your platforms will power real\-time, intelligent capabilities and enable the Bank to ship products at devastating speed. We have a long journey ahead and are excited to bring on leaders to design \&amp; build our future.
On any given day in the Bank you’ll be:
* Empowered. Part of a team driving the bank’s omni\-channel servicing portfolio responsible for setting and delivering an experience framework on how our customers should be serviced in both digital and digital\-human interactions
* Learning constantly. Work deeply with customers, associates, designers, technologists and data scientists to build cutting edge solutions
* Innovating relentlessly. Pushing big change by asking bold questions; starting small, testing, and learning your way to something dramatically better
* Sharing openly. Telling stories that change the way people think about building products and solving problems, and that illustrate the power of what software can do to make them even better
* Connecting creatively. Jumpstarting a self\-supporting community by sowing the right seeds, building the right tools, integrating the right off\-the\-shelf products and just plain elbow grease
* Succeeding strategically. Solving the right problem and holding on the wrong one
Here is what you will bring to the table:
* Curious. You ask why, you explore, you're not afraid to blurt out your crazy idea, or follow an email chain for weeks to find someone with an answer
* Do\-er. You have a bias toward action, you try things, and sometimes you fail. You dug up a hidden feature in an API that let you do something really cool or introduced a new routine that broke down silos led to better decisions
* Passionate. You care about growing others and bringing them together around what’s possible. You’ve started meetup groups or taught General Assembly courses because you love enabling others
* Communicator. You can communicate complex ideas clearly, your team knows their priorities and why they’re doing what they’re doing. Maybe you’re an introvert, or maybe you’re an extrovert, but nobody accuses you of keeping them out of the loop
* Wrangler. You’ve gotten back\-end engineers to play nice with iOS developers, you can inspire an ETL developer to write creatively about her latest pipeline
* Fearless. Big, undefined problems don't frighten you. You can work at a tiny crack until you've broken open the whole nut. You are comfortable saying no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Senior Manager, Product Manager\-Data Products
At Capital One, we believe great products begin with a deep understanding of our customers. From our earliest days, we pioneered the use of predictive modeling to individually personalize credit card offers, turning the entire industry on its head. As we’ve grown bigger, we’ve found more and more ways to use technology and face\-to\-face conversations to understand the human problems associated with money and finances.
In the Consumer Bank, we’ve combined this human\-centered approach with our heritage of data\-driven decision making to design, build and test our way to truly enabling financial experiences. We’ve challenged ourselves to spend less time planning, more time doing, and, above all else, to see the world through the eyes of our customers as they work to understand and manage their money.
Are you passionate about improving the way people interact with their money? Are you driven by the delight you bring to customers? Do you keep asking, “why,” until you hit the root? It’s common to fall in love with solutions, but have you ever fallen in love with the problem? Do you have an opinion on whether shipping is more important than perfection? Do you have a healthy dose of skepticism for the impossible? If you’re nodding your head, then we want you!
As a Product Manager focusing on Bank Modernization you will be reimagining our Consumer Bank to create game\-changing customer experiences and business outcomes. You will build platforms and services that deliver real\-time data at scale. As a Pod Leader in the Core Data Enablement team, your platforms will power real\-time, intelligent capabilities and enable the Bank to ship products at devastating speed. We have a long journey ahead and are excited to bring on leaders to design \&amp; build our future.
On any given day in the Bank you’ll be:
* Empowered. Part of a team driving the bank’s omni\-channel servicing portfolio responsible for setting and delivering an experience framework on how our customers should be serviced in both digital and digital\-human interactions
* Learning constantly. Work deeply with customers, associates, designers, technologists and data scientists to build cutting edge solutions
* Innovating relentlessly. Pushing big change by asking bold questions; starting small, testing, and learning your way to something dramatically better
* Sharing openly. Telling stories that change the way people think about building products and solving problems, and that illustrate the power of what software can do to make them even better
* Connecting creatively. Jumpstarting a self\-supporting community by sowing the right seeds, building the right tools, integrating the right off\-the\-shelf products and just plain elbow grease
* Succeeding strategically. Solving the right problem and holding on the wrong one
Here is what you will bring to the table:
* Curious. You ask why, you explore, you're not afraid to blurt out your crazy idea, or follow an email chain for weeks to find someone with an answer
* Do\-er. You have a bias toward action, you try things, and sometimes you fail. You dug up a hidden feature in an API that let you do something really cool or introduced a new routine that broke down silos led to better decisions
* Passionate. You care about growing others and bringing them together around what’s possible. You’ve started meetup groups or taught General Assembly courses because you love enabling others
* Communicator. You can communicate complex ideas clearly, your team knows their priorities and why they’re doing what they’re doing. Maybe you’re an introvert, or maybe you’re an extrovert, but nobody accuses you of keeping them out of the loop
* Wrangler. You’ve gotten back\-end engineers to play nice with iOS developers, you can inspire an ETL developer to write creatively about her latest pipeline
* Fearless. Big, undefined problems don't frighten you. You can work at a tiny crack until you've broken open the whole nut. You are comfortable saying no
Basic Qualifications:
* At least 5 years of experience working in Product Management
* Currently has, or is in the process of obtaining one of the following with an expectation that the required degree will be obtained on or before the scheduled start date:
	+ A Bachelor's Degree in a quantitative field (Statistics, Economics, Operations Research, Analytics, Mathematics, Computer Science, Computer Engineering, Software Engineering, Mechanical Engineering, Information Systems or a related quantitative field)
	+ A Master's Degree in a quantitative field (Statistics, Economics, Operations Research, Analytics, Mathematics, Computer Science, Computer Engineering, Software Engineering, Mechanical Engineering, Information Systems or a related quantitative field) or an MBA with a quantitative concentration
Preferred Qualifications:
* Experience translating business strategy and analysis into consumer facing digital products
?
*At this time, Capital One will not sponsor a new applicant for employment authorization for this position.*
The minimum and maximum full\-time annual salaries for this role are listed below, by location. Please note that this salary information is solely for candidates hired to perform work within one of these locations, and refers to the amount Capital One is willing to pay at the time of this posting. Salaries for part\-time roles will be prorated based upon the agreed upon number of hours to be regularly worked.
McLean, VA: $200,700 \- $229,100 for Sr. Mgr, Product Management  
New York, NY: $219,000 \- $249,900 for Sr. Mgr, Product Management  
Richmond, VA: $182,500 \- $208,300 for Sr. Mgr, Product Management  
Wilmington, DE: $182,500 \- $208,300 for Sr. Mgr, Product Management  
Candidates hired to work in other locations will be subject to the pay range associated with that location, and the actual annualized salary amount offered to any candidate at the time of hire will be reflected solely in the candidate’s offer letter.
This role is also eligible to earn performance based incentive compensation, which may include cash bonus(es) and/or long term incentives (LTI). Incentives could be discretionary or non discretionary depending on the plan.
Capital One offers a comprehensive, competitive, and inclusive set of health, financial and other benefits that support your total well\-being. Learn more at the Capital One Careers website. Eligibility varies based on full or part\-time status, exempt or non\-exempt status, and management level.
This role is expected to accept applications for a minimum of 5 business days.No agencies please. Capital One is an equal opportunity employer (EOE, including disability/vet) committed to non\-discrimination in compliance with applicable federal, state, and local laws. Capital One promotes a drug\-free workplace. Capital One will consider for employment qualified applicants with a criminal history in a manner consistent with the requirements of applicable laws regarding criminal background inquiries, including, to the extent applicable, Article 23\-A of the New York Correction Law; San Francisco, California Police Code Article 49, Sections 4901\-4920; New York City’s Fair Chance Act; Philadelphia’s Fair Criminal Records Screening Act; and other applicable federal, state, and local laws and regulations regarding criminal background inquiries.
If you have visited our website in search of information on employment opportunities or to apply for a position, and you require an accommodation, please contact Capital One Recruiting at 1\-800\-304\-9102 or via email at RecruitingAccommodation@capitalone.com. All information you provide will be kept confidential and will be used only to the extent required to provide needed reasonable accommodations.
For technical support or questions about Capital One's recruiting process, please send an email to Careers@capitalone.com
Capital One does not provide, endorse nor guarantee and is not liable for third\-party products, services, educational tools or other information available through this site.
Capital One Financial is made up of several different entities. Please note that any position posted in Canada is for Capital One Canada, any position posted in the United Kingdom is for Capital One Europe and any position posted in the Philippines is for Capital One Philippines Service Corp. (COPSSC).
Salary
200,700\.00 \- 229,100\.00 Annual
Type
Full\-time</t>
        </is>
      </c>
    </row>
    <row r="124">
      <c r="A124" t="inlineStr">
        <is>
          <t>in-856edf46e81fb307</t>
        </is>
      </c>
      <c r="B124" t="inlineStr">
        <is>
          <t>Program Manager</t>
        </is>
      </c>
      <c r="C124" t="inlineStr">
        <is>
          <t>Red Arch Solutions</t>
        </is>
      </c>
      <c r="D124" t="inlineStr">
        <is>
          <t>indeed</t>
        </is>
      </c>
      <c r="E124">
        <f>HYPERLINK("https://www.indeed.com/viewjob?jk=856edf46e81fb307", "https://www.indeed.com/viewjob?jk=856edf46e81fb307")</f>
        <v/>
      </c>
      <c r="F124">
        <f>HYPERLINK("https://redarchsolutions.applytojob.com/apply/wX6UnXYMTD/Program-Manager?source=INDE&amp;~", "https://redarchsolutions.applytojob.com/apply/wX6UnXYMTD/Program-Manager?source=INDE&amp;~")</f>
        <v/>
      </c>
      <c r="G124" t="inlineStr">
        <is>
          <t>Reston, VA, US</t>
        </is>
      </c>
      <c r="H124" s="3" t="n">
        <v>46064</v>
      </c>
      <c r="I124" t="inlineStr">
        <is>
          <t>**Active TS/S****CI with Polygraph (required)**
===============================================
**Red Arch Solutions is seeking a Program Manager to lead a diverse team of expert system architects, software and AI/ML engineers, and data scientists to address strategic challenges and deliver analytical insights, advantages and dominance. The Program Manager will apply experience with project and program management in Department of Defense (DoD) Intelligence programs to provide innovative analytic solutions across all warfighting domains. This will include cutting\-edge application development, AI\-driven analytics, and secure solutions to strengthen intelligence analysis and warfighting capability.**
**Key Responsibilities:**
--------------------------------------------------------------------------------------------------------------------------------------------------------------------------------------------------------------------------------------------------------------------------------------------------------------------------------------------------------------------------------------------------------------------------------------------------------------------------------------------------------------------------------------------------------------------------------------------------------------------------------------------------------------
* Manage the program’s status, finances, and staff.
* Provide program management and technical briefings.
* Create program documentation, monitor the program’s performance, and develop and implement solutions in concert with the customer.
* Work individually with minimal guidance and as a key member of a senior leadership team.
* Collaborate with customer stakeholders and support customer’s strategic outreach and senior engagement.
* Leverage project management approaches and tools such as Scaled Agile Framework (SAFe), Gitlab, Jira, Confluence, SharePoint, and Office.
**Required Skills and Qualifications*** Demonstrated experience in program or project management. Experience with DIA, DoD, and IC infrastructure, policies, and practices. Experience managing multimillion dollar IT development programs, managing staff, including subcontractors. Prior experience with intelligence analysis is useful, however experience with technical program development and information technologies is rated higher.
* The ideal candidate must have Project Management Professional certification from the Project Management Institute. Total 15\+ years of relevant experience (relevant bachelor’s degree can be substituted in lieu of 4 years of experience; master’s degree can be substituted in lieu of 6 years)
* ***TS/SCI clearance with CI Polygraph \#CJ***
***The Red Arch Solutions pay range for this job level is a general guideline only and not a guarantee of compensation or salary. Determination of official compensation or salary relies on several factors including, but not limited to, level of position, job responsibilities, geographic location, scope of relevant work experience, educational background, certifications, contract\-specific affordability, organizational requirements, alignment with local internal equity as well as alignment with market data.***
**Red Arch Solutions Benefits Snapshot:**
* 100% paid employee healthcare premiums. CareFirst Advantage Best in Class Benefits.
* HaloScripts Concierge prescription medication service
* Generous PTO.
* 10 % 401K 6% match vested day one and up to 4% profit sharing contribution.
* Annualized bonus compensation.
* Spot bonuses for hard work.
* Tuition reimbursement.
* 529 College Saving Plan.
* College Loan Pay Back Program.
* 11 Paid Federal Holidays
* Generous Referral Bonuses.
*Red Arch Solutions provides equal employment opportunities to all employees and applicants for employment and prohibits discrimination and harassment of any type without regard to race, color, religion, age, sex, national origin, disability status, genetics, protected veteran status, sexual orientation, gender identity or expression, or any other characteristic protected by federal, state, or local laws.*
Have more questions about Red Arch? Email us at Careers@RedArchSolutions.com
wX6UnXYMTD</t>
        </is>
      </c>
    </row>
    <row r="125">
      <c r="A125" t="inlineStr">
        <is>
          <t>in-25076e151b1dfa64</t>
        </is>
      </c>
      <c r="B125" t="inlineStr">
        <is>
          <t>Product Manager, Money</t>
        </is>
      </c>
      <c r="C125" t="inlineStr">
        <is>
          <t>Robinhood</t>
        </is>
      </c>
      <c r="D125" t="inlineStr">
        <is>
          <t>indeed</t>
        </is>
      </c>
      <c r="E125">
        <f>HYPERLINK("https://www.indeed.com/viewjob?jk=25076e151b1dfa64", "https://www.indeed.com/viewjob?jk=25076e151b1dfa64")</f>
        <v/>
      </c>
      <c r="F125">
        <f>HYPERLINK("https://grnh.se/az65dex51us", "https://grnh.se/az65dex51us")</f>
        <v/>
      </c>
      <c r="G125" t="inlineStr">
        <is>
          <t>New York, NY, US</t>
        </is>
      </c>
      <c r="H125" s="3" t="n">
        <v>46064</v>
      </c>
      <c r="I125" t="inlineStr">
        <is>
          <t>**Join us in building the future of finance.**
----------------------------------------------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
Robinhood's Money team is building the next generation of banking and spending products for all Americans. Our team members drive never\-before\-seen products and features from concept to launch to hyperscale. As a Product Manager, you will be at the core of shaping the future of our banking product and enable us to unlock next\-generation banking products and supercharge customer operations, ultimately helping drive best\-in\-class customer experience.
**This role is based in our Menlo Park, CA, New York, NY, and Washington, DC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 Lead a team of engineers, designers, researchers, data scientists, and operators to better understand customers and their most pressing needs
* Establishing a product vision and shared set of priorities across the team and the company, which meet the most important needs of our customers
* Collaborate with cross functional stakeholders such as legal, compliance, operations, finance, and customer success to ensure products are built the right way
* Drive execution from concept through launch, including defining success metrics and iterating based on results
**What you bring**
------------------
* Bachelor's, Master's, or equivalent experience
* At least 5 years of direct product management experience building high\-quality products; 7\+ years preferred
* Superb product and business sense
* Excellent analytical and communication skills
* A strong sense of urgency and speed, with the ability to manage multiple priorities in a fast\-moving environment
* High standards and a strong work ethic \- you always bring your best and expect your colleagues to do the same
* Delight in bringing innovation and impact to customers, particularly in complex and dynamic environments
* Experience in fintech products is a plus, but not required
**What we offer**
-----------------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26">
      <c r="A126" t="inlineStr">
        <is>
          <t>in-61160ca6b97bd57b</t>
        </is>
      </c>
      <c r="B126" t="inlineStr">
        <is>
          <t>Technical Program Manager - Agentic AI</t>
        </is>
      </c>
      <c r="C126" t="inlineStr">
        <is>
          <t>Quantiphi</t>
        </is>
      </c>
      <c r="D126" t="inlineStr">
        <is>
          <t>indeed</t>
        </is>
      </c>
      <c r="E126">
        <f>HYPERLINK("https://www.indeed.com/viewjob?jk=61160ca6b97bd57b", "https://www.indeed.com/viewjob?jk=61160ca6b97bd57b")</f>
        <v/>
      </c>
      <c r="F126">
        <f>HYPERLINK("https://quantiphi.wd1.myworkdayjobs.com/en-US/Careers_at_Quantiphi/job/USA---Remote/Technical-Program-Manager_JR6954", "https://quantiphi.wd1.myworkdayjobs.com/en-US/Careers_at_Quantiphi/job/USA---Remote/Technical-Program-Manager_JR6954")</f>
        <v/>
      </c>
      <c r="G126" t="inlineStr">
        <is>
          <t>Remote, US</t>
        </is>
      </c>
      <c r="H126" s="3" t="n">
        <v>46064</v>
      </c>
      <c r="I126" t="inlineStr">
        <is>
          <t>While technology is the heart of our business, a global and diverse culture is the heart of our success. We love our people and we take pride in catering them to a culture built on transparency, diversity, integrity, learning and growth.  
If working in an environment that encourages you to innovate and excel, not just in professional but personal life, interests you\- you would enjoy your career with Quantiphi!
About Quantiphi:* Quantiphi is an award\-winning, AI\-First digital engineering and consulting company focused on delivering high\-impact Services and Solutions that help organizations solve what truly matters. We partner with enterprises to reimagine their businesses through intelligent, scalable, and transformative AI—driving measurable outcomes at the very core of their operations.
* Since our founding in 2013, Quantiphi has tackled some of the world’s most complex business challenges by combining deep industry expertise, disciplined cloud and data engineering practices, and cutting\-edge applied AI research. Our work is rooted in delivering accelerated, quantifiable business value—not just technology for technology’s sake.
* Headquartered in Boston, Quantiphi is a global organization with 4,000\+ professionals serving clients across key industry verticals, including BFSI, Healthcare \&amp; Life Sciences, CPG, MFG, TME etc. As an Elite and Premier partner to leading cloud and AI platforms such as NVIDIA, Google Cloud, AWS, and Snowflake, we build and deliver enterprise\-grade AI services and solutions that create real\-world impact.
.
We have been recognized with:* 17x Google Cloud Partner of the Year awards in the last 8 years.
* 3x AWS AI/ML award wins.
* 3x NVIDIA Partner of the Year titles.
* 2x Snowflake Partner of the Year awards.
* Recognized Leaders by Gartner, Forrester, IDC, ISG, Everest Group and other leading analyst and independent research firms.
* We offer first\-in\-class industry solutions across Healthcare, Financial Services, Consumer Goods, Manufacturing, and more, powered by cutting\-edge Generative AI and Agentic AI accelerators.
* We have been certified as a Great Place to Work for the third year in a row\- 2021, 2022, 2023\.
Be part of a trailblazing team that’s shaping the future of AI, ML, and cloud innovation. Your next big opportunity starts here!
For more details, visit: Website or LinkedIn Page.
Role: Technical Program Manager
Experience Level: 7\+ years
Employment type: Full Time
Location: East Coast (USA)/ Toronto, Canada
Responsibilities:* Lead AI/ML program execution, ensuring timely delivery of scalable, production\-grade RAG/LLM/Agentic solutions.
* Define program roadmaps through PI planning sessions, milestones, and deliverables for AI\-driven initiatives across multiple teams.
* Manage LLM infrastructure, GPU optimization, AI inferencing pipelines, and large\-scale model deployment strategies.
* Oversee the implementation of RAG, Agentic Workflows, multi\-agent LLM systems, and Retrieval\-augmented QA pipelines.
* Managing client engagement and delivery per terms of the contract expectations.
* Manage project delivery, team and ensure positive customer relations.
* Drive project margins optimization using Gen AI based tools, accelerators.
* Collaborate with our diverse and global teams to deliver committed results to our clients.
* Lead AI\-driven engagements, ensuring alignment with business goals, technical feasibility, and governance frameworks.
* Develop and execute strategic roadmaps for LLM\-based solutions, including RAG (Retrieval\-Augmented Generation), Agentic RAG, and Agent\-driven workflows.
* Manage cross\-functional teams, including ML engineers, data scientists, software developers, and consultants to deliver AI solutions.
* Collaborate with stakeholders to define technical architecture, infrastructure requirements, and optimization techniques.
* Implement scalable AI agent architectures, ensuring integration with LangChain, NVIDIA NeMo, and Triton Inference Server.
* Track project performance, set KPIs, and provide executive\-level reporting on outcomes and ROI.
* Guide AI model evaluation, MLOps pipeline integration, and fine\-tuning strategies for scalable AI solutions.
* Support AI compliance strategies, ensuring alignment with data privacy, security, and responsible AI practices.
Skill Set Required:* 8 plus years of Program Management experience.
* Strong leadership and multi\-stakeholder management skills.
* Multi\-Workstream Project Management ensuring customer success \&amp; account growth.
* Maintaining positive work environment \&amp; ensure career growth of the team members.
* Tight Delivery execution and reporting to senior management at client organization and at Quantiphi.
* Mentoring team members for career progression \&amp; upskilling to drive better solution outcomes.
* Team leading experience and ability \&amp; experience to work as project lead.
* Excellent Communication, presentation \&amp; storytelling skills.
* Must have experience with Cloud GCP or AWS or Azure (LLM hosting, GPU\-based inference, cost optimization).
* Experience managing large\-scale AI projects leveraging LLMs (e.g., Llama, GPT, Claude, Mistral).
* Strong expertise in RAG, Agentic RAG, AI Agents, Vector DBs (e.g., FAISS, Pinecone, Weaviate, ChromaDB).
* Knowledge of LLM\-based fine\-tuning techniques, Low\-Rank Adaptation (LoRA), Quantization (AWQ, GPTQ, FP8, INT4\).
* Familiarity with Multi\-GPU parallelization, model pruning, and knowledge distillation.
* Understanding of Governance frameworks (e.g., AI Ethics, Explainability, Risk Mitigation).
* Proficiency in NVIDIA NeMo, Triton Inference Server, and LangChain for Agentic workflows.
* Bachelor's degree in CompSci, Business IT, or other related fields or equivalent work experience. MBA is highly desirable
What is in it for you:* Make an impact at one of the world’s fastest\-growing AI\-first digital engineering companies.
* Upskill and discover your potential as you solve complex challenges in cutting\-edge areas of technology alongside passionate, talented colleagues.
* Work where innovation happens \- work with disruptive innovators in a research\-focused organization with 60\+ patents filed across various disciplines.
* Stay ahead of the curve—immerse yourself in breakthrough AI, ML, data, and cloud technologies and gain exposure working with Fortune 500 companies.
*If you like wild growth and working with happy, enthusiastic over\-achievers, you'll enjoy your career with us**!*</t>
        </is>
      </c>
    </row>
    <row r="127">
      <c r="A127" t="inlineStr">
        <is>
          <t>in-cd16345e97197ef2</t>
        </is>
      </c>
      <c r="B127" t="inlineStr">
        <is>
          <t>AI Systems Product Manager</t>
        </is>
      </c>
      <c r="C127" t="inlineStr">
        <is>
          <t>NYC Alliance</t>
        </is>
      </c>
      <c r="D127" t="inlineStr">
        <is>
          <t>indeed</t>
        </is>
      </c>
      <c r="E127">
        <f>HYPERLINK("https://www.indeed.com/viewjob?jk=cd16345e97197ef2", "https://www.indeed.com/viewjob?jk=cd16345e97197ef2")</f>
        <v/>
      </c>
      <c r="F127">
        <f>HYPERLINK("https://apply.workable.com/j/06801CE192", "https://apply.workable.com/j/06801CE192")</f>
        <v/>
      </c>
      <c r="G127" t="inlineStr">
        <is>
          <t>New York, NY, US</t>
        </is>
      </c>
      <c r="H127" s="3" t="n">
        <v>46064</v>
      </c>
      <c r="I127" t="inlineStr">
        <is>
          <t>NYC Alliance is building a next\-generation AI\-enabled operating system to fundamentally improve how products are conceived, designed, approved, and delivered—without compromising margin discipline, operational integrity, or accountability.
We are looking for an \*\*AI Systems Product Manager\*\* to design and own this system from a product perspective.
This role is about designing AI\-powered workflows, decision systems, and guardrails that allow humans to move faster while staying within business and operational boundaries.
You will work at the intersection of:
* Business architecture
* AI agents and skills
* Product workflows
* Governance and rules
This role sits within the \*\*CEO Office\*\* and operates across all business units.
Responsibilities:
System\-Level Product Design
* Design end\-to\-end AI\-enabled workflows (e.g., Sales Product Cost Sample Order)
* Translate business rules (EPS, margin targets, feasibility constraints) into product logic and system guardrails
* Define how AI agents, human decision\-makers (e.g., Product Business Owners), and rules interact
AI Agent \&amp; Workflow Ownership
* Design and iterate AI agent behaviors, responsibilities, and boundaries
* Define agent orchestration: what AI does, what humans decide, what rules enforce
* Ensure AI systems are explainable, auditable, and usable by non\-technical users
Product Experience for Internal Users
* Own the product experience for internal users (Sales, PBOs, Supply Chain, Finance)
* Design decision interfaces that surface trade\-offs, risks, and constraints clearly
* Optimize for clarity, accountability, and adoption—not novelty
Cross\-Functional Leadership
* Work closely with Business, IT, Data, and Governance teams
* Partner with AI engineers to translate product intent into working systems
* Act as the single point of product truth across multiple AI initiatives
Outcome\-Driven Delivery
* Define success metrics tied to business outcomes (cycle time, margin accuracy, decision quality)
* Drive MVPs and pilots into real operational usage
* Continuously refine systems based on real\-world feedback and performance
This is a systems product role with real business accountability.
**Requirements**
8\+ years as a Product Manager, preferably in:
Internal platform
Enterprise SaaS
Workflow or decision systems
AI, data, or platform products
Experience designing products with:
Complex rules
Multi\-step workflows
Real\-world constraints (finance, compliance, operations)
Product Mindset
* Thinks in systems, not features
* Comfortable saying “no” when speed compromises integrity
* Designs for scale, governance, and accountability
* Values clarity over cleverness
AI \&amp; Technical Fluency\*\*
* Familiar with LLM\-based systems and AI agents (without needing to build models)
* Understands concepts such as:
* Agent orchestration
* Retrieval\-augmented generation (RAG)
* Guardrails and policy enforcement
* Able to work effectively with engineers and data teams
\*\*Business Acumen\*\*
* Strong intuition for margin, trade\-offs, and operational risk
* Able to translate abstract business goals into concrete product behaviors
* Comfortable operating in ambiguous, evolving environments
\*\*Why This Role Matters\*\*
This role directly shapes how NYFF operates in the AI era.
You will not just influence a product—you will influence:
* How decisions are made
* How accountability is enforced
* How scale is achieved without chaos
Few roles offer this level of \*\*systemic impact\*\*.
\*\*Optional (But Strong Plus)\*\*
* Experience with enterprise AI platforms or internal tools
* Background in supply chain, finance, or operations\-adjacent domains
* Experience working with executive leadership or CEO Office–level initiatives
**Benefits**
* Competitive compensation packages
* Medical, Dental, Vision, FSA
* Retirement Savings Plan Match
* Summer Fridays
* Discounts and More!
* Annual Salary $145,000\- 155,000
* The offered salary for this position will vary based on role requirements determined by NYC Alliance, skill set and years of experience.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214"/>
  <sheetViews>
    <sheetView workbookViewId="0">
      <selection activeCell="A1" sqref="A1"/>
    </sheetView>
  </sheetViews>
  <sheetFormatPr baseColWidth="8" defaultRowHeight="15"/>
  <sheetData>
    <row r="1">
      <c r="A1" s="1" t="inlineStr">
        <is>
          <t>job id</t>
        </is>
      </c>
      <c r="B1" s="1" t="inlineStr">
        <is>
          <t>title</t>
        </is>
      </c>
      <c r="C1" s="1" t="inlineStr">
        <is>
          <t>company</t>
        </is>
      </c>
      <c r="D1" s="1" t="inlineStr">
        <is>
          <t>site</t>
        </is>
      </c>
      <c r="E1" s="1" t="inlineStr">
        <is>
          <t>job_url</t>
        </is>
      </c>
      <c r="F1" s="1" t="inlineStr">
        <is>
          <t>job_url_direct</t>
        </is>
      </c>
      <c r="G1" s="1" t="inlineStr">
        <is>
          <t>location</t>
        </is>
      </c>
      <c r="H1" s="1" t="inlineStr">
        <is>
          <t>date posted</t>
        </is>
      </c>
      <c r="I1" s="1" t="inlineStr">
        <is>
          <t>description</t>
        </is>
      </c>
    </row>
    <row r="2">
      <c r="A2" t="inlineStr">
        <is>
          <t>li-4371892183</t>
        </is>
      </c>
      <c r="B2" t="inlineStr">
        <is>
          <t>Product Manager</t>
        </is>
      </c>
      <c r="C2" t="inlineStr">
        <is>
          <t>Nova</t>
        </is>
      </c>
      <c r="D2" t="inlineStr">
        <is>
          <t>linkedin</t>
        </is>
      </c>
      <c r="E2" t="inlineStr"/>
      <c r="F2" t="inlineStr"/>
      <c r="G2" t="inlineStr"/>
      <c r="H2" t="inlineStr"/>
      <c r="I2" t="inlineStr">
        <is>
          <t>Nova is partnered with a fast\-growing AI startup building software that streamlines customs workflows by turning unstructured shipment emails into structured, usable data for logistics operators. Founded in 2024, they’ve
 **raised $4\.5M Seed** 
 and are already seeing strong early traction.
 They’re now looking for a
 **Founding Product Manager** 
 to own the product end\-to\-end and help shape the roadmap from the ground up.
**What you will do:** 
* Own end\-to\-end product execution from discovery and prioritization through launch
* Map messy real\-world logistics workflows into intuitive, trusted product experiences
* Work closely with engineering to ship AI features with clear quality and accuracy standards
* Build the product foundation (metrics, instrumentation, release processes)
* Spend time with customers to deeply understand workflows and pain points
**What makes this interesting:** 
* Own the full product roadmap at a true 0→1 stage
* Already helping customers clear $150M\+ of goods with \&gt;100% MoM growth
* Transforming a massive, outdated industry with urgent demand
* Deeply technical founding team from Google, LinkedIn, and AI research labs
**What’s in it for you:** 
 💰 $150K–$200K base \+ Equity
 📍 Onsite in San Francisco (5 days)
 🛂 Open to H1B/TN transfers and existing visas (2\+ years validity)
 If this sounds like a fit, please apply or send your resume to
 **dominic@novatalent.xyz** 
 .</t>
        </is>
      </c>
    </row>
    <row r="3">
      <c r="A3" t="inlineStr">
        <is>
          <t>li-4364120487</t>
        </is>
      </c>
      <c r="B3" t="inlineStr">
        <is>
          <t>Product Manager, Creative (Ads Platform)</t>
        </is>
      </c>
      <c r="C3" t="inlineStr">
        <is>
          <t>Netflix</t>
        </is>
      </c>
      <c r="D3" t="inlineStr">
        <is>
          <t>linkedin</t>
        </is>
      </c>
      <c r="E3" t="inlineStr"/>
      <c r="F3" t="inlineStr"/>
      <c r="G3" t="inlineStr">
        <is>
          <t>New York, United States</t>
        </is>
      </c>
      <c r="H3" t="inlineStr"/>
      <c r="I3" t="inlineStr">
        <is>
          <t>At Netflix, our mission is to entertain the world. Together, we are writing the next episode \- pushing the boundaries of storytelling, global fandom and making the unimaginable a reality. We are a dream team obsessed with the uncomfortable excitement of discovering what happens when you merge creativity, intuition and cutting\-edge technology. Come be a part of what’s next.
**Our Team**
 The Ads Platform team builds the advertising systems and integrations that power the delivery of ads using our world\-class content delivery ecosystem. We deliver ads in a manner that’s thoughtful of our members’ viewing experience and drives great outcomes for advertisers.
 Our team is new and yet faced with the ambitions of building highly performant advertising systems and delivering high impact to our business by monetizing our incredible slate of content. As one of the newest entrants in the Connected TV advertising space that’s rapidly growing, we seek to build unique value propositions that differentiate Netflix from other ad\-supported streaming services.
 We are looking for a Product Manager in the advertising space who is excited to join us on this journey.
**About The Role**
 We are seeking an experienced Product Manager to help drive the next phase of innovation in our Advertising Creatives platform. You will play a critical role in building extensible infrastructure, enabling new ad formats, and streamlining creative workflows. This is an exciting opportunity to shape a large, complex problem space and directly impact our ability to deliver innovative advertising solutions at scale.
**This PM Will**
* Assess, prioritize, and take ownership of high\-impact product areas within the Advertising Creatives space, collaborating with other Product Managers and cross\-functional teams.
* Drive the development of scalable, composable infrastructure and configurable workflows for creative moderation, labeling, transcoding, and publishing.
* Lead initiatives that leverage machine learning (particularly in content understanding) to enhance creative analysis, moderation, and automation.
* Identify and deliver automation opportunities to improve efficiency, accuracy, and scalability across creative workflows.
* Translate business needs into actionable product roadmaps, iteratively delivering features that address real\-world challenges.
* Establish and nurture partnerships with internal teams (engineering, design, operations, and sales), creating feedback loops to ensure our products solve their most pressing problems.
* Define, track, and communicate clear success metrics for your product areas, using data and feedback to inform continuous improvement.
* Evangelize the product vision and strategy across the organization, fostering a culture of open communication, collaboration, and healthy debate.
* Embrace ambiguity and proactively identify opportunities to bring structure and clarity to evolving priorities.
**We’re Seeking a Candidate Who Has**
* 7\+ years of Product Management experience, with a proven track record of launching and scaling complex platforms or infrastructure products.
* Demonstrated experience in Ad Tech, particularly in creative workflows, ad formats, and content distribution networks.
* Hands\-on experience working with machine learning teams and technologies, with a particular focus on content understanding (e.g., image, video, or text analysis for moderation, classification, or labeling).
* Proven success in driving automation initiatives, ideally in creative production, moderation, or similar high\-volume, detail\-oriented environments.
* Strong collaboration skills, with the ability to work effectively with other Product Managers and cross\-functional partners to divide and conquer a dynamic workload.
* Exceptional prioritization abilities, with experience translating high\-level strategy into detailed roadmaps and measurable outcomes.
* Comfortable navigating ambiguity, thriving in fast\-paced environments where priorities can shift rapidly.
* Excellent communication skills; engage confidently with stakeholders at all levels, from technical teams to executives.
* Data\-driven mindset, leveraging both qualitative and quantitative insights to inform decisions and measure impact.
* Experience inspiring and aligning teams across disciplines to achieve ambitious goals.
 Generally, our compensation structure consists solely of an annual salary; we do not have bonuses. You choose each year how much of your compensation you want in salary versus stock options. To determine your personal top of market compensation, we rely on market indicators and consider your specific job family, background, skills, and experience to determine your compensation in the market range. The range for this role is $440,000\.00 \- $725,000\.00\.
 Netflix provides comprehensive benefits including Health Plans, Mental Health support, a 401(k) Retirement Plan with employer match, Stock Option Program, Disability Programs, Health Savings and Flexible Spending Accounts, Family\-forming benefits, and Life and Serious Injury Benefits. We also offer paid leave of absence programs. Full\-time hourly employees accrue 35 days annually for paid time off to be used for vacation, holidays, and sick paid time off. Full\-time salaried employees are immediately entitled to flexible time off. See more details about our Benefits here.
 Netflix is a unique culture and environment. Learn more here.
 Inclusion is a Netflix value and we strive to host a meaningful interview experience for all candidates. If you want an accommodation/adjustment for a disability or any other reason during the hiring process, please send a request to your recruiting partner.
 We are an equal\-opportunity employer and celebrate diversity, recognizing that diversity builds stronger teams. We approach diversity and inclusion seriously and thoughtfully. We do not discriminate on the basis of race, religion, color, ancestry, national origin, caste, sex, sexual orientation, gender, gender identity or expression, age, disability, medical condition, pregnancy, genetic makeup, marital status, or military service.</t>
        </is>
      </c>
    </row>
    <row r="4">
      <c r="A4" t="inlineStr">
        <is>
          <t>li-4343038211</t>
        </is>
      </c>
      <c r="B4" t="inlineStr">
        <is>
          <t>Product Manager, Client AI</t>
        </is>
      </c>
      <c r="C4" t="inlineStr">
        <is>
          <t>AMD</t>
        </is>
      </c>
      <c r="D4" t="inlineStr">
        <is>
          <t>linkedin</t>
        </is>
      </c>
      <c r="E4" t="inlineStr"/>
      <c r="F4" t="inlineStr"/>
      <c r="G4" t="inlineStr">
        <is>
          <t>Austin, TX</t>
        </is>
      </c>
      <c r="H4" t="inlineStr"/>
      <c r="I4" t="inlineStr">
        <is>
          <t>**WHAT YOU DO AT AMD CHANGES EVERYTHING**
 At AMD, our mission is to build great products that accelerate next\-generation computing experiences—from AI and data centers, to PCs, gaming and embedded systems. Grounded in a culture of innovation and collaboration, we believe real progress comes from bold ideas, human ingenuity and a shared passion to create something extraordinary. When you join AMD, you’ll discover the real differentiator is our culture. We push the limits of innovation to solve the world’s most important challenges—striving for execution excellence, while being direct, humble, collaborative, and inclusive of diverse perspectives. Join us as we shape the future of AI and beyond.
 **Together, we advance your career.**
**The Role**
 As Product Manager, Client AI, you will be at the forefront of shaping the AI software experience for AMD’s client platforms. This role is about more than managing deliverables—it’s about collaborating deeply with ISVs to define and elevate the user experience on today’s APUs, while also forging partnerships and incubating new ideas that will influence the definition of future APU roadmaps. You will drive the vision for how AI capabilities are realized in software, ensuring our solutions not only meet current market needs but also anticipate and set the standard for what’s next. Your leadership will be instrumental in aligning internal teams and external partners, translating strategic goals into innovative, impactful product experiences that position AMD as a leader in client AI.
**The Person**
* A passion for AI and a deep understanding of how software capabilities can unlock differentiated value on AMD platforms
* A bias for action and ownership, with the ability to drive clarity in complex, fast\-moving environments.
* Exceptional communication and storytelling skills to align cross\-functional stakeholders.
* Comfort with ambiguity and a strong sense of accountability for outcomes.
**Key Responsibilities**
* Act as Lead to Provide BU Direction for ISV Engagement: Set the strategic direction for ISV engagement by identifying, prioritizing, and recommending which ISVs the ISV team should partner with and onboard. Go beyond high\-level strategy by developing specific use cases, compelling value propositions, and partnership arrangements that clearly articulate why ISVs should collaborate with AMD.
* Shape AI Software Experience: Collaborate with ISVs to define and elevate the AI software experience on current AMD client platforms and incubate new ideas and partnerships that influence the definition of future APU roadmaps.
* Drive AI Go\-To\-Market (GTM) Strategy: As product owner, define the AI value proposition and product truth for launches and customer engagement. Develop the foundational messaging, use cases, and proof points that guide the marketing team in creating demos and collateral for product launches.
* Bridge Internal Projects and External Opportunity: Proactively identify and shape opportunities by defining use cases, driving proof\-of\-concept projects, and ensuring AMD is actively influencing the future of client AI through strategic partnerships and incubation.
* Cross\-Functional Collaboration: Work closely with engineering, marketing, marketing, business development, and research teams to translate strategic goals into actionable product requirements and deliverables.
**Preferred Experience**
* Experience in product management, technical program management, or a related role in the AI, software, or semiconductor industry.
* Demonstrated ability to define product requirements, author PRDs/MRDs, and drive cross\-functional alignment.
* Strong analytical and problem\-solving skills, with the ability to synthesize market and customer insights into actionable product plans.
* Excellent written and verbal communication skills, with experience presenting to technical and business audiences.
* Proven ability to collaborate across engineering, marketing, and business development teams.
* Hands\-on experience developing and deploying AI applications (e.g., using frameworks such as PyTorch, TensorFlow, ONNX, or similar) is highly valued.
* Familiarity with AI software stacks, ISV ecosystems, and go\-to\-market strategies for client or edge devices is a plus.
**Academic Credentials**
* Bachelor’s degree in computer science, Engineering, or a related technical field (master’s preferred).
**This role is not eligible for Visa sponsorship**
*Benefits offered are described:* 
 AMD benefits at a glance.
*AMD does not accept unsolicited resumes from headhunters, recruitment agencies, or fee\-based recruitment services. AMD and its subsidiaries are equal opportunity, inclusive employers and will consider all applicants without regard to age, ancestry, color, marital status, medical condition, mental or physical disability, national origin, race, religion, political and/or third\-party affiliation, sex, pregnancy, sexual orientation, gender identity, military or veteran status, or any other characteristic protected by law. We encourage applications from all qualified candidates and will accommodate applicants’ needs under the respective laws throughout all stages of the recruitment and selection process.*
*AMD may use Artificial Intelligence to help screen, assess or select applicants for this position. AMD’s “Responsible AI Policy” is available here.*
*This posting is for an existing vacancy.*</t>
        </is>
      </c>
    </row>
    <row r="5">
      <c r="A5" t="inlineStr">
        <is>
          <t>li-4224915898</t>
        </is>
      </c>
      <c r="B5" t="inlineStr">
        <is>
          <t>Product Manager</t>
        </is>
      </c>
      <c r="C5" t="inlineStr">
        <is>
          <t>Meta</t>
        </is>
      </c>
      <c r="D5" t="inlineStr">
        <is>
          <t>linkedin</t>
        </is>
      </c>
      <c r="E5" t="inlineStr"/>
      <c r="F5" t="inlineStr"/>
      <c r="G5" t="inlineStr">
        <is>
          <t>Bellevue, WA</t>
        </is>
      </c>
      <c r="H5" t="inlineStr"/>
      <c r="I5" t="inlineStr">
        <is>
          <t>Meta Product Managers work with cross\-functional teams of engineers, designers, data scientists and researchers to build products. We are looking for extremely entrepreneurial Product Managers to help innovate and execute product initiatives across the company and value moving quickly. This job description represents different full\-time roles across Meta.
 Product Manager Responsibilities:
* Is the primary driver for identifying significant near and long\-term opportunities in a large Product area, and driving product strategies and roadmaps in the context of broader organizational strategies and goals
* Generate buy\-in and drives consensus across organizations. Bring clarity and structure to ambiguous opportunities. Consistently demonstrate initiative and execute with limited oversight
* Plan, initiate, and manage information technology projects for web\-based products, applications, and platforms
* Integrate data, usability studies, research, and market analysis into product strategies and requirements to enhance user satisfaction and improve engineer productivity
* Drive product development with teams of world\-class engineers and designers, while maintaining team health
* Understand Meta’s strategic and competitive position and deliver products that are aligned with our mission and recognized best in the industry
* Work closely with cross\-functional teams to drive product vision, define product requirements, coordinate resources from other groups (design, legal, etc.), develop roadmaps, and guide the team through key milestones
* Define and analyze metrics that inform the success of products. Identify and track key performance metrics. Drive decision\-making through user insights, quantitative analysis and AB testing
* Maximize efficiency in a constantly evolving environment where the process is fluid and creative solutions are the norm
 Minimum Qualifications:
* 10\+ years Product Management and/or Product Design
* 10\+ years of experience working collaboratively with engineering, design and user research teams
* Experience navigating through the full product life\-cycle, integrating customer feedback into product requirements, driving prioritization, and pre/post\-launch execution
* Critical thinking/analytical leadership experience
* Experience presenting to executive audiences
* BA or BS in Computer Science or related field
 Preferred Qualifications:
* Experience building 0\-1 products, platform/ecosystem products, or marketplaces
* Experience in a consumer focused technology company
 About Meta:
 Meta builds technologies that help people connect, find communities, and grow businesses. When Facebook launched in 2004, it changed the way people connect. Apps like Messenger, Instagram and WhatsApp further empowered billions around the world. Now, Meta is moving beyond 2D screens toward immersive experiences like augmented and virtual reality to help build the next evolution in social technology. People who choose to build their careers by building with us at Meta help shape a future that will take us beyond what digital connection makes possible today—beyond the constraints of screens, the limits of distance, and even the rules of physics.
 Meta is proud to be an Equal Employment Opportunity and Affirmative Action employer. We do not discriminate based upon race, religion, color, national origin, sex (including pregnancy, childbirth, or related medical conditions), sexual orientation, gender, gender identity, gender expression, transgender status, sexual stereotypes, age, status as a protected veteran, status as an individual with a disability, or other applicable legally protected characteristics. We also consider qualified applicants with criminal histories, consistent with applicable federal, state and local law. Meta participates in the E\-Verify program in certain locations, as required by law. Please note that Meta may leverage artificial intelligence and machine learning technologies in connection with applications for employment.
 Meta is committed to providing reasonable accommodations for candidates with disabilities in our recruiting process. If you need any assistance or accommodations due to a disability, please let us know at accommodations\-ext@meta.com.
 $205,000/year to $277,000/year \+ bonus \+ equity \+ benefits
 Individual compensation is determined by skills, qualifications, experience, and location. Compensation details listed in this posting reflect the base hourly rate, monthly rate, or annual salary only, and do not include bonus, equity or sales incentives, if applicable. In addition to base compensation, Meta offers benefits. Learn more about benefits at Meta.</t>
        </is>
      </c>
    </row>
    <row r="6">
      <c r="A6" t="inlineStr">
        <is>
          <t>li-4364150267</t>
        </is>
      </c>
      <c r="B6" t="inlineStr">
        <is>
          <t>Product Owner III</t>
        </is>
      </c>
      <c r="C6" t="inlineStr">
        <is>
          <t>IntePros</t>
        </is>
      </c>
      <c r="D6" t="inlineStr">
        <is>
          <t>linkedin</t>
        </is>
      </c>
      <c r="E6" t="inlineStr"/>
      <c r="F6" t="inlineStr"/>
      <c r="G6" t="inlineStr">
        <is>
          <t>New York, NY</t>
        </is>
      </c>
      <c r="H6" t="inlineStr"/>
      <c r="I6" t="inlineStr">
        <is>
          <t>**Location:** 
 Onsite preferred (4 days/week)
**Role Overview**
 We are seeking a
 **Product Owner III** 
 with strong experience delivering Agile products in
 **federally governed, security\-driven environments** 
 . This role requires the ability to translate
 **mission requirements, security controls, and compliance obligations** 
 into a prioritized, execution\-ready backlog while driving value delivery within formal governance, audit, and regulatory constraints.
 This is a senior, high\-ownership role supporting a federal agile program. The Product Owner will work with
 **internal stakeholders only** 
 (not client\-facing) and must be comfortable operating independently in a fast\-moving, ambiguous environment.
**Key Responsibilities**
* Translate business and mission needs into clear, actionable engineering requirements
* Write and/or oversee high\-quality user stories and acceptance criteria
* Break down vague, complex requirements into an execution\-ready backlog
* Incorporate security, compliance, and governance requirements into product planning
* Partner closely with engineering and Scrum leadership to drive delivery forward
* Maintain prioritization while operating within audit, regulatory, and compliance constraints
**Required Qualifications**
* 5\+ years of experience as a Product Owner delivering Agile products
* Strong experience working in federally governed environments
* Proven ability to translate security controls and compliance requirements into backlog items
* Strong Agile mindset with hands\-on experience using Jira and Confluence
* Ability to thrive in ambiguity, fast\-paced programs, and environments with limited training and high ownership
**Nice to Have**
* Prior experience in financial services or other highly regulated environments
* Mid\-level familiarity with AI (for internal productivity tools only)
* Federal program experience beyond baseline compliance exposure
**What We’re Looking For**
* Strong sense of urgency and accountability
* Clear ownership mindset with the ability to move work forward without waiting for direction
* Comfortable balancing speed of delivery with governance and compliance rigor
* Ability to operate as a senior, independent contributor in a high\-pressure environment</t>
        </is>
      </c>
    </row>
    <row r="7">
      <c r="A7" t="inlineStr">
        <is>
          <t>li-4363236631</t>
        </is>
      </c>
      <c r="B7" t="inlineStr">
        <is>
          <t>Product Manager</t>
        </is>
      </c>
      <c r="C7" t="inlineStr">
        <is>
          <t>CareerXperts Consulting</t>
        </is>
      </c>
      <c r="D7" t="inlineStr">
        <is>
          <t>linkedin</t>
        </is>
      </c>
      <c r="E7" t="inlineStr"/>
      <c r="F7" t="inlineStr"/>
      <c r="G7" t="inlineStr"/>
      <c r="H7" t="inlineStr"/>
      <c r="I7" t="inlineStr">
        <is>
          <t>Great products don’t happen by accident. They are built with clarity, conviction, and customer obsession.
 This Product Manager role is designed for a strategic thinker who can translate vision into roadmaps, customer problems into scalable solutions, and insights into measurable growth. The position sits at the intersection of business, technology, and user experience\-driving products from concept to launch and beyond.
**What This Role Owns** 
* Define and execute product strategy aligned with business goals
* Build and prioritize product roadmaps based on impact and ROI
* Conduct customer discovery, market research, and competitive analysis
* Collaborate with engineering, design, marketing, and sales teams
* Translate business requirements into clear product specifications
* Lead sprint planning, backlog grooming, and release cycles
* Track product performance using data and analytics
* Drive continuous product optimization and innovation
**Required Experience \&amp; Skills** 
* 4–10 years of product management experience (SaaS or tech preferred)
* Proven track record of launching and scaling digital products
* Strong understanding of agile methodologies
* Experience working closely with engineering teams
* Analytical mindset with proficiency in data tools
* Excellent communication and stakeholder management skills
* Ability to thrive in a fast\-paced remote environment
**Why This Role Stands Out** 
* Fully remote across the USA
* High ownership over product vision and execution
* Opportunity to influence strategic direction
* Exposure to innovative, growth\-focused environments
* Competitive compensation and career advancement opportunities</t>
        </is>
      </c>
    </row>
    <row r="8">
      <c r="A8" t="inlineStr">
        <is>
          <t>li-4363953101</t>
        </is>
      </c>
      <c r="B8" t="inlineStr">
        <is>
          <t>Product Manager</t>
        </is>
      </c>
      <c r="C8" t="inlineStr">
        <is>
          <t>Machinify</t>
        </is>
      </c>
      <c r="D8" t="inlineStr">
        <is>
          <t>linkedin</t>
        </is>
      </c>
      <c r="E8" t="inlineStr"/>
      <c r="F8" t="inlineStr"/>
      <c r="G8" t="inlineStr"/>
      <c r="H8" t="inlineStr"/>
      <c r="I8" t="inlineStr">
        <is>
          <t>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Machinify is seeking a Product Manager to help us translate the voice of the customer and our product strategy into product requirements.
**What You’ll Do**
* Work with product leadership and key stakeholders to shape future product strategy, and ensure flawless execution of the product roadmap
* Understand the drivers of business value to the customer, challenge the status quo and propose new solutions.
* Translate customer opportunities and needs into requirements for our Design, Engineering, and Data Science teams.
* Facilitate refinement discussions to drive out needed functional requirement details
* Work closely with Design teams in detail to create impactful product interfaces and user experiences.
* Leverage product analytics and user metadata to relentlessly pursue continuous improvement initiatives
* Drive cross\-functional alignment among stakeholders, building strong partnerships and facilitating collaboration across teams
* Bring a high level of curiosity and the ability to ask probing questions
* Develop a deep understanding of the Machinify platform and products and the ability to estimate technical complexity of implementation.
**What You Bring**
* Extensive Product Management experience in a high\-tech org delivering complex software products, ideally within AI/ML, or data\-driven domains.
* Strong ability to manage trade\-offs between short\-term wins and long\-term strategy, with a track record of driving both.
* Experience working directly with operations or domain\-expert teams to ensure product\-market fit and operational viability.
* Strong background in partnering with Design teams and applying UX best practices.
* Demonstrated success in leading software delivery, either as a Product Manager or Engineer, with deep technical curiosity.
* Initiative and ownership—you drive projects from vision to prototype to design to execution.
* Excellent communication, facilitation, and decision\-making skills, with the ability to build trust\-based relationships across teams.
* High curiosity and the ability to ask the right questions to challenge assumptions and uncover opportunities.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9">
      <c r="A9" t="inlineStr">
        <is>
          <t>li-4326721765</t>
        </is>
      </c>
      <c r="B9" t="inlineStr">
        <is>
          <t>Product Manager, Omni Analysis &amp; Q&amp;A</t>
        </is>
      </c>
      <c r="C9" t="inlineStr">
        <is>
          <t>Airtable</t>
        </is>
      </c>
      <c r="D9" t="inlineStr">
        <is>
          <t>linkedin</t>
        </is>
      </c>
      <c r="E9" t="inlineStr"/>
      <c r="F9" t="inlineStr"/>
      <c r="G9" t="inlineStr">
        <is>
          <t>New York, NY</t>
        </is>
      </c>
      <c r="H9" t="inlineStr"/>
      <c r="I9" t="inlineStr">
        <is>
          <t>Airtable is the no\-code app platform that empowers people closest to the work to accelerate their most critical business processes. More than 500,000 organizations, including 80% of the Fortune 100, rely on Airtable to transform how work gets done.
 Airtable stores some of our customers' most valuable operational data. Because we’re the system customers use to power some of their most important collaborative operational workflows, much of this data only exists in Airtable. This data is often combined with data from other organizational systems of record in structured ways. All together, that means we have an incredibly differentiated body of context about our customers that can power insights about their business that they couldn’t get anywhere else. Today, getting value from all of this data requires builder skills.
**We want to make insights about this data accessible to anyone through natural language.**
 This Area Of Our AI Product Investment Is Relatively Early, And We Believe It Represents a Significant Opportunity Across Three Dimensions
* Enterprise leverage: Our most mature bases are in enterprise accounts. These contain years of historical campaigns, product feedback, roadmaps, call transcripts. These customers are already bought in on Airtable as their operational data layer. AI\-powered analysis lets them extract dramatically more value without additional building.
* Non\-builder expansion: Today, you need to be a builder to get value from Airtable. Analysis and Q\&amp;A is the most accessible entry point for the much larger population of collaborators, consumers, and executives who will never create a view or write a formula but who have questions about their data.
**Becoming the business context repository:** 
 There's an untapped opportunity for individuals to proactively bring together data from different tools explicitly to create personal or team context repositories that AI can reason over.
**What You'll Do** 
* 
+ Define the opportunity space and shape what AI\-powered analysis and synthesis looks like for Airtable.
+ Own the AI\-powered search, Q\&amp;A, and analysis experience by building conversational interfaces that let users query, synthesize, and generate insights from their operational data without needing to be Airtable experts
+ Drive AI adoption among non\-builders by expanding who benefits from Airtable by creating AI experiences that surface value for users who never touch the builder
+ Build the intelligence layer that keeps Airtable in the loop as AI agents and external systems interact with Airtable data, ensure our AI capabilities deliver superior context\-aware responses
+ Shape how quantitative analysis works in an AI\-native context leveraging Airtable's unique position as a structured, flexible, composable data store
+ Collaborate cross\-functionally with engineering, design, and data teams to ship high\-quality AI experiences that users trust and rely on daily
**Who You Are** 
* 
+ Experience building AI chat/assistant products: you've shipped conversational AI, copilot, or Q\&amp;A experiences and understand the nuances of prompt engineering, context management, retrieval, and user trust in AI\-generated outputs
+ 8\+ years of product management experience: you have a track record of shipping products that users love, ideally including AI/ML\-powered features at scale
+ Genuine AI fluency: you understand how LLMs work at a technical level (not just as a user), can evaluate tradeoffs between model capabilities, and have opinions on RAG architectures, fine\-tuning, evals, and prompt design
+ Strong product taste for AI interactions: you have a refined sense for what makes AI responses feel helpful vs. frustrating, when to show confidence vs. uncertainty, and how to build trust through transparency
+ Comfort with ambiguity: you're energized by defining problems, not just solving well\-scoped ones. You can make progress when a roadmap doesn't exist yet.
+ Analytical rigor: you fluent enough with AI and data to define success metrics for AI features and build measurement frameworks for inherently fuzzy outcomes
+ Technical depth: you can partner effectively with engineers to drive the priority and importance of architecture decisions and infrastructure investments
+ User empathy: you understand how non\-technical users think about their data and can translate complex capabilities into intuitive experiences
 Airtable is an equal opportunity employer. We embrace diversity and strive to create a workplace where everyone has an equal opportunity to thrive. We welcome people of different backgrounds, experiences, abilities, and perspectives. All qualified applicants will receive consideration for employment without regard to race, color, religion, sex, sexual orientation, gender identity, national origin, disability, protected veteran status or any characteristic protected by applicable federal and state laws, regulations and ordinances. Learn more about your EEO rights as an applicant
 **.**
 VEVRAA\-Federal Contractor
 If you have a medical condition, disability, or religious belief/practice which inhibits your ability to participate in any part of the application or interview process, please complete our Accommodations Request Form and let us know how we may assist you. Airtable is committed to participating in the interactive process and providing reasonable accommodations to qualified applicants.
 Compensation awarded to successful candidates will vary based on their work location, relevant skills, and experience.
 Our total compensation package also includes the opportunity to receive benefits, restricted stock units, and may include incentive compensation. To learn more about our comprehensive benefit offerings, please check out Life at Airtable.
 For work locations in the San Francisco Bay Area, Seattle, New York City, and Los Angeles, the base salary range for this role is:
 $240,000 \- $339,900 USD
 Please see our Privacy Notice for details regarding Airtable’s collection and use of personal information relating to the application and recruitment process by clicking here.
 🔒
 **Stay Safe from Job Scams**
 All official Airtable communication will come from an
 **@airtable.com** 
 email address. We will never ask you to share sensitive information or purchase equipment during the hiring process. If in doubt, contact us at hr@airtable.com. Learn more about avoiding job scams here.</t>
        </is>
      </c>
    </row>
    <row r="10">
      <c r="A10" t="inlineStr">
        <is>
          <t>li-4363991271</t>
        </is>
      </c>
      <c r="B10" t="inlineStr">
        <is>
          <t>Lead Product Manager</t>
        </is>
      </c>
      <c r="C10" t="inlineStr">
        <is>
          <t>Novi Global - A Whole New World of Recruitment</t>
        </is>
      </c>
      <c r="D10" t="inlineStr">
        <is>
          <t>linkedin</t>
        </is>
      </c>
      <c r="E10" t="inlineStr"/>
      <c r="F10" t="inlineStr"/>
      <c r="G10" t="inlineStr">
        <is>
          <t>New York, NY</t>
        </is>
      </c>
      <c r="H10" t="inlineStr"/>
      <c r="I10" t="inlineStr">
        <is>
          <t>**Role Description** 
 This is a full\-time on\-site role for a Lead Product Manager located in New York. The Lead Product Manager will oversee the product lifecycle, develop product strategies, and coordinate cross\-functional teams to deliver impactful solutions. Responsibilities include market research, roadmap planning, analyzing customer requirements, and ensuring the successful execution of product development. The role also involves providing leadership, aligning product goals with company objectives, and driving overall product success.
**Qualifications** 
* 10\+ years of product management experience in B2B SaaS, including platforms and/or integrations.
* 3–4\+ years building martech products for Marketing Ops / Lifecycle teams in the email creation \+ workflow layer (e.g., templates/modules, approvals, governance).
* Strong technical fluency: APIs, webhooks/events, auth, data models, and systems design tradeoffs.
* Demonstrated ability to evaluate and adopt AI capabilities in a product context—separating signal from noise and making clear, testable bets.
* Exposure to modern AI integration approaches (e.g., MCP\-style architectures and tool\-connection patterns) and comfort partnering with Eng to implement them.
* Strong cross\-functional leadership across Eng, Design, GTM, and external partners.</t>
        </is>
      </c>
    </row>
    <row r="11">
      <c r="A11" t="inlineStr">
        <is>
          <t>li-4369479498</t>
        </is>
      </c>
      <c r="B11" t="inlineStr">
        <is>
          <t>Product Manager (AI-Powered Media Buying)</t>
        </is>
      </c>
      <c r="C11" t="inlineStr">
        <is>
          <t>TubeScience</t>
        </is>
      </c>
      <c r="D11" t="inlineStr">
        <is>
          <t>linkedin</t>
        </is>
      </c>
      <c r="E11" t="inlineStr"/>
      <c r="F11" t="inlineStr"/>
      <c r="G11" t="inlineStr">
        <is>
          <t>Los Angeles, CA</t>
        </is>
      </c>
      <c r="H11" t="inlineStr"/>
      <c r="I11" t="inlineStr">
        <is>
          <t>🤖
 **PRODUCT MANAGER / BUILDER WANTED**
 Seeking an AI\-Powered Builder Who Ships Products People Love
 🪪
 **Role:** 
 Product Builder / Manager — AI\-Powered Media Buying
 📍
 **Location:** 
 Los Angeles (Onsite)
 💰
 **Salary:** 
 100k \- 140k
 🚀
 **About TubeScience**
 TubeScience is the fastest\-growing producer of performance\-driven video content. We partner with some of the world’s most innovative brands to create, test, and scale videos that deliver measurable results.
 Our Media Buying team is building
 **AI\-powered tools** 
 to transform how we buy and optimize media at scale.
 💡
 **The Role**
 We’re looking for a Product Builder who can own the development of AI\-powered media buying products — someone who ships fast, thinks in user journeys, and builds alongside engineers using modern AI tools.
 You’ll lead product evolution and prioritization in a data\-heavy, fast\-moving vertical — owning standalone app sections and collaborative feature integrations across our existing tools.
 This is
 **not** 
 a “paper PM” role. You’ll prototype, build, and ship using AI coding tools like
 **Claude Code** 
 , working closely with our engineering team.
 🎬
 **What You’ll Do**
 🛠️
 **Build AI\-powered products** 
 — Use AI coding tools to prototype and ship alongside engineers
 🧭
 **Own product direction** 
 — Lead prioritization and evolution in the media buying vertical
 🧩
 **Design cohesive experiences** 
 — Unify multiple verticals into one product that feels seamless
 📊
 **Make data beautiful** 
 — Turn complex dashboards and information into something simple and enjoyable
 🤝
 **Collaborate with engineering** 
 — Work closely with the team, speaking the same language
 🧬
 **Who You Are**
 ⚡
 **Bias to action** 
 — You build prototypes and ship, not decks and specs
 📺
 **Media buying experience** 
 — You understand advertising industry pain points
 🎨
 **Strong UX sensibility** 
 — User\-journey\-driven, minimalist mindset, real design taste
 📈
 **Comfortable with data** 
 — You can make complex information feel simple
 🧠
 **Technical fluency** 
 — You speak the same language as engineers (bonus if you are one)
 🤖
 **AI\-curious** 
 — You’re energized by how fast the landscape changes and excited to disrupt legacy practices
 ⸻
 ✨
 **Plus**
 🖌️
 **Figma / Photoshop familiarity** 
 — You can mock up ideas and iterate on designs
 🧰
 **Tech Context**
 Our stack:
 **Vite (TypeScript, React)** 
 ,
 **SQL (Supabase)** 
 ,
 **Vercel** 
 ,
 **Claude Code** 
 ,
 **Codex**
 ⭐
 **Why Join?**
 Build impactful products people actually love using — not just feature checklists. Join a team that’s genuinely curious about AI and excited to transform media buying with modern tools.
 ✚
 **Benefits**
 🩺 Health, Vision \&amp; Dental coverage
 🧳 Unlimited PTO
 💰 401(k) \+ Matching
 🩷 Life Insurance
 🤒 Paid Sick Days
 👶 Parental Leave (up to 12 weeks)
 ✨ And more!
 ⚡
 **If you’re ready to build the future of media buying — we’d love to meet you.**
 👉
 **Apply here \&gt;\&gt;**</t>
        </is>
      </c>
    </row>
    <row r="12">
      <c r="A12" t="inlineStr">
        <is>
          <t>li-4371854224</t>
        </is>
      </c>
      <c r="B12" t="inlineStr">
        <is>
          <t>Product Manager- Platform &amp; Growth</t>
        </is>
      </c>
      <c r="C12" t="inlineStr">
        <is>
          <t>TAC Security</t>
        </is>
      </c>
      <c r="D12" t="inlineStr">
        <is>
          <t>linkedin</t>
        </is>
      </c>
      <c r="E12" t="inlineStr"/>
      <c r="F12" t="inlineStr"/>
      <c r="G12" t="inlineStr">
        <is>
          <t>New York, United States</t>
        </is>
      </c>
      <c r="H12" t="inlineStr"/>
      <c r="I12" t="inlineStr">
        <is>
          <t>TAC Security is transitioning from multiple standalone cybersecurity products into a unified, platform\-first offering. We are looking for a Product Manager to lead this platformization initiative and deliver a seamless, one\-click premium experience across Socify, ESOF CASA integrations, Cyberscope, and AppSec.
 This role owns the end\-to\-end product vision, UX, and execution to enable unified access, subscriptions, and cross\-product growth.
**Key Responsibilities** 
 \-
 Platform Strategy \&amp; Vision
 • Define and drive the phantomization roadmap for TAC Security
 • Transition products from siloed solutions to a single unified platform
 • Own the single\-login, single\-subscription experience
 Customer Experience \&amp; UX
 • Design best\-in\-class UX flows for:
 • One\-click subscription \&amp; activation
 • Cross\-product discovery and upgrades
 • Eliminate friction across onboarding, access, and billing
 • Ensure consistent UX standards across all security products
 Cross\-Product Integration
 • Enable ESOF CASA clients to discover and activate Socify Premium
 • Bundle Cyberscope Premium with Socify \+ AppSec
 • Define entitlements, access rules, and premium tiers
 Product\-Led Growth
 • Build upsells and cross\-sell mechanisms within the platform
 • Define pricing tiers, packaging, and premium plans
 • Drive higher revenue per customer through platform adoption
 Stakeholder Collaboration
 • Work closely with:
 • UX / Design for intuitive user journeys
 • Engineering on platform architecture and integrations
 • Sales \&amp; GTM on pricing, packaging, and positioning
 • Act as the single point of ownership for platform outcomes
 Metrics \&amp; Outcomes
 • Define and track KPIs such as:
 • Premium activation rate
 • Cross\-product adoption
 • Conversion from free to premium
 • Customer satisfaction (UX)
 Required Skills \&amp; Qualifications
 • Proven experience as a Product Manager in SaaS / B2B platforms
 • Strong understanding of:
 • Subscription models
 • Platform products
 • Entitlement \&amp; billing systems
 • Excellent UX sensibility (can think like a designer)
 • Experience working with cross\-functional teams
 • Strong communication and stakeholder management skills
 • Ability to translate business problems into product solutions
 Nice to Have
 • Experience in cybersecurity, DevSecOps, or enterprise SaaS
 • Experience with M\&amp;A product integrations
 • Familiarity with product\-led growth (PLG) models
 Success Criteria (First 6–12 Months)
 • Unified platform experience live
 • One\-click premium subscription enabled
 • Cross\-product visibility across Socify, ESOF CASA, Cyberscope, AppSec
 • Measurable increase in premium adoption and revenue per customer
 • Clear platform positioning for TAC Security in the market
 Experience\-
* 5–10 years in Product Management (SaaS / Platform / B2B preferred)</t>
        </is>
      </c>
    </row>
    <row r="13">
      <c r="A13" t="inlineStr">
        <is>
          <t>li-4371874976</t>
        </is>
      </c>
      <c r="B13" t="inlineStr">
        <is>
          <t>Lead AI Product Manager</t>
        </is>
      </c>
      <c r="C13" t="inlineStr">
        <is>
          <t>Samba TV</t>
        </is>
      </c>
      <c r="D13" t="inlineStr">
        <is>
          <t>linkedin</t>
        </is>
      </c>
      <c r="E13" t="inlineStr"/>
      <c r="F13" t="inlineStr"/>
      <c r="G13" t="inlineStr">
        <is>
          <t>San Francisco, CA</t>
        </is>
      </c>
      <c r="H13" t="inlineStr"/>
      <c r="I13" t="inlineStr">
        <is>
          <t>**Samba TV tracks streaming and broadcast video across the world with our proprietary data and technology. We are on a mission to fundamentally transform the viewing experience for everyone. Our data enables media companies to connect with audiences for new shows and movies, and enables advertisers to engage viewers and measure reach across all their devices. We have an amazing story with a unique perspective on culture formed by a global footprint of data and AI\-driven insights.** 
 Identify high\-value opportunities to leverage AI technologies (primarily LLMs, generative AI, RAG, and agentic systems). Develop comprehensive AI implementation roadmaps that align technological capabilities with strategic business objectives. Partner with cross\-functional teams to design, pilot, and scale AI solutions that deliver measurable business value. Evaluate emerging AI technologies to separate genuine innovation from hype, keeping the organization at the cutting edge. Translate complex technical AI concepts into compelling business value propositions for executive stakeholders. Establish metrics and frameworks to quantify the impact of AI initiatives. Conduct market research and competitive analysis to identify AI trends and opportunities. Lead product discovery sessions and user research to validate AI solution requirements. Manage product development lifecycles for AI\-powered features and capabilities.
**Job Requirements:** 
* Bachelor's degree or foreign equivalent in Business Analytics, Computer Science, Data Science, or related field plus 4 years progressive experience.
* Experience to include building and deploying AI solutions that delivered tangible business results;
* Knowledge of AI landscape, including large language models, generative AI, and agentic systems;
* Developing AI strategy aligned with business objectives;
* Understanding of AI capabilities, limitations, and implementation requirements;
* experience with product management methodologies and frameworks (Agile, Scrum, OKRs);
* Conducting user research and market analysis to inform product decisions;
* Working with cross\-functional teams including engineering, design, and data science;
* Experience with data analysis tools and statistical methods for product optimization;
* Managing product roadmaps and prioritization frameworks for technology products.
**Samba TV is an equal opportunity employer. We celebrate diversity and are committed to creating an inclusive environment for all employees.  We strive to empower connection with one another, reflect the communities we serve, and tackle meaningful projects that make a real impact.** 
 Samba TV may collect personal information directly from you, as a job applicant, Samba TV may also receive personal information from third parties, for example, in connection with a background, employment or reference check, in accordance with the applicable law.
**For further details, please see Samba's** 
**Applicant Privacy Policy** 
**.** 
**For residents of the EU , Samba Inc. is the data controller.**</t>
        </is>
      </c>
    </row>
    <row r="14">
      <c r="A14" t="inlineStr">
        <is>
          <t>li-4371858350</t>
        </is>
      </c>
      <c r="B14" t="inlineStr">
        <is>
          <t>Product Manager - Platform &amp; Growth</t>
        </is>
      </c>
      <c r="C14" t="inlineStr">
        <is>
          <t>TAC Security</t>
        </is>
      </c>
      <c r="D14" t="inlineStr">
        <is>
          <t>linkedin</t>
        </is>
      </c>
      <c r="E14" t="inlineStr"/>
      <c r="F14" t="inlineStr"/>
      <c r="G14" t="inlineStr">
        <is>
          <t>San Francisco, CA</t>
        </is>
      </c>
      <c r="H14" t="inlineStr"/>
      <c r="I14" t="inlineStr">
        <is>
          <t>TAC Security is transitioning from multiple standalone cybersecurity products into a unified, platform\-first offering. We are looking for a Product Manager to lead this platformization initiative and deliver a seamless, one\-click premium experience across Socify, ESOF CASA integrations, Cyberscope, and AppSec.
 This role owns the end\-to\-end product vision, UX, and execution to enable unified access, subscriptions, and cross\-product growth.
**Key Responsibilities** 
 \-
 Platform Strategy \&amp; Vision
 • Define and drive the phantomization roadmap for TAC Security
 • Transition products from siloed solutions to a single unified platform
 • Own the single\-login, single\-subscription experience
 Customer Experience \&amp; UX
 • Design best\-in\-class UX flows for:
 • One\-click subscription \&amp; activation
 • Cross\-product discovery and upgrades
 • Eliminate friction across onboarding, access, and billing
 • Ensure consistent UX standards across all security products
 Cross\-Product Integration
 • Enable ESOF CASA clients to discover and activate Socify Premium
 • Bundle Cyberscope Premium with Socify \+ AppSec
 • Define entitlements, access rules, and premium tiers
 Product\-Led Growth
 • Build upsells and cross\-sell mechanisms within the platform
 • Define pricing tiers, packaging, and premium plans
 • Drive higher revenue per customer through platform adoption
 Stakeholder Collaboration
 • Work closely with:
 • UX / Design for intuitive user journeys
 • Engineering on platform architecture and integrations
 • Sales \&amp; GTM on pricing, packaging, and positioning
 • Act as the single point of ownership for platform outcomes
 Metrics \&amp; Outcomes
 • Define and track KPIs such as:
 • Premium activation rate
 • Cross\-product adoption
 • Conversion from free to premium
 • Customer satisfaction (UX)
 Required Skills \&amp; Qualifications
 • Proven experience as a Product Manager in SaaS / B2B platforms
 • Strong understanding of:
 • Subscription models
 • Platform products
 • Entitlement \&amp; billing systems
 • Excellent UX sensibility (can think like a designer)
 • Experience working with cross\-functional teams
 • Strong communication and stakeholder management skills
 • Ability to translate business problems into product solutions
 Nice to Have
 • Experience in cybersecurity, DevSecOps, or enterprise SaaS
 • Experience with M\&amp;A product integrations
 • Familiarity with product\-led growth (PLG) models
 Success Criteria (First 6–12 Months)
 • Unified platform experience live
 • One\-click premium subscription enabled
 • Cross\-product visibility across Socify, ESOF CASA, Cyberscope, AppSec
 • Measurable increase in premium adoption and revenue per customer
 • Clear platform positioning for TAC Security in the market
 Experience\-
 5–10 years in Product Management (SaaS / Platform / B2B preferred)</t>
        </is>
      </c>
    </row>
    <row r="15">
      <c r="A15" t="inlineStr">
        <is>
          <t>li-4363236607</t>
        </is>
      </c>
      <c r="B15" t="inlineStr">
        <is>
          <t>Senior Product Manager</t>
        </is>
      </c>
      <c r="C15" t="inlineStr">
        <is>
          <t>Machinify</t>
        </is>
      </c>
      <c r="D15" t="inlineStr">
        <is>
          <t>linkedin</t>
        </is>
      </c>
      <c r="E15" t="inlineStr"/>
      <c r="F15" t="inlineStr"/>
      <c r="G15" t="inlineStr"/>
      <c r="H15" t="inlineStr"/>
      <c r="I15" t="inlineStr">
        <is>
          <t>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**Product Manager, Product Intelligence, Evals \&amp; Telemetry**
 Machinify is seeking a Product Manager, Product Intelligence, Evals \&amp; Telemetry to build and scale the analytical and measurement backbone of our Pay platform. This role owns how we instrument products, evaluate AI\-driven capabilities, and transform signals from usage, model performance, and customer operations into insights that accelerate innovation, reduce time\-to\-value, and maximize customer ROI.
 You will operate at the intersection of Product, Engineering, Data Engineering, Data Science, and Customer Operations—bringing strong technical depth and product judgment to shape foundational capabilities that power decision\-making and continuous improvement across the company.
 What you’ll do
* Own the end\-to\-end vision and roadmap for product analytics, telemetry, and AI evaluation infrastructure.
* Define canonical event schemas, metric definitions, and data contracts for capturing user behavior, workflow performance, model outputs, and business outcomes.
* Partner with Data Engineering to design scalable data pipelines, storage, and transformations that ensure high\-quality, low\-latency, and trustworthy product data.
* Partner with Data Science to design offline and online evaluation frameworks for AI/ML features (e.g., golden datasets, automated scoring).
* Specify and drive internal tooling (dashboards, exploration tools, alerting, experimentation platforms) that enable fast diagnosis and informed product decisions.
* Translate customer and operational pain points into measurable hypotheses, experiments, and product requirements.
* Drive continuous improvement loops: instrument → measure → learn → ship → validate.
* Influence product strategy through evidence\-backed insights and clearly articulated trade\-offs.
* Lead cross\-functional execution, aligning engineering, data, design, and operations around shared outcomes.
* Develop deep understanding of Machinify Pay's architecture and data flows to assess feasibility, sequencing, and technical risk.
 What you bring
* 5\+ years of Product Management experience building technically complex, data\-intensive, or AI\-powered products. Exceptional early career professionals welcome
* Demonstrated ownership of product analytics, telemetry, experimentation, or evaluation systems.
* Strong technical fluency: able to reason about data models, event pipelines, APIs, ML evaluation approaches, and system architecture.
* Experience working closely with Data Engineering and Data Science on platform\-level capabilities.
* Track record of balancing short\-term impact with long\-term platform investments.
* Comfort translating ambiguous problems into clear technical and product requirements.
* Strong UX instincts and experience partnering with Design on data\-heavy workflows.
* High ownership, bias to action, and ability to drive initiatives from concept to measurable impact.
* Excellent written and verbal communication and strong stakeholder management skills.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16">
      <c r="A16" t="inlineStr">
        <is>
          <t>li-4371882762</t>
        </is>
      </c>
      <c r="B16" t="inlineStr">
        <is>
          <t>Product Owner</t>
        </is>
      </c>
      <c r="C16" t="inlineStr">
        <is>
          <t>IDR, Inc.</t>
        </is>
      </c>
      <c r="D16" t="inlineStr">
        <is>
          <t>linkedin</t>
        </is>
      </c>
      <c r="E16" t="inlineStr"/>
      <c r="F16" t="inlineStr"/>
      <c r="G16" t="inlineStr">
        <is>
          <t>Memphis, TN</t>
        </is>
      </c>
      <c r="H16" t="inlineStr"/>
      <c r="I16" t="inlineStr">
        <is>
          <t>IDR is seeking a 
 **Product Owner** 
  to join one of our top clients for an opportunity in Memphis, TN. This role involves driving product vision, strategy, and execution within an innovative environment focused on delivering value to business stakeholders and end\-users. The ideal candidate will possess a blend of technical knowledge and business analysis skills critical for managing agile product development cycles.
**Position Overview for the Product Owner:** 
* Manage and prioritize the product backlog, ensuring it aligns with team goals and overall strategy.
* Collaborate with stakeholders to gather feedback and refine priorities accordingly.
* Partner with Scrum Master and development teams to plan sprints, objectives, and scope.
* Act as the primary liaison between business units, customers, and technical teams.
* Develop and maintain technical documentation, including product roadmaps and process flows.
**Requirements for the Product Owner:** 
* 3\-5 years of professional experience in a similar or related role (product owner skillset)
* Jira \&amp; Confluence experience
* Backlog management \&amp; prioritization experience
* Agile product delivery experience (Scrum/Kanban)
* Strong communication skills
**What's in it for you?** 
* Competitive compensation package
* Full Benefits; Medical, Vision, Dental, and more!
* Opportunity to get in with an industry leading organization.
**Why IDR?** 
* 25\+ Years of Proven Industry Experience in 4 major markets
* Employee Stock Ownership Program
* Dedicated Engagement Manager who is committed to you and your success.
* Medical, Dental, Vision, and Life Insurance
* ClearlyRated's Best of Staffing® Client and Talent Award winner 12 years in a row.</t>
        </is>
      </c>
    </row>
    <row r="17">
      <c r="A17" t="inlineStr">
        <is>
          <t>li-4343153540</t>
        </is>
      </c>
      <c r="B17" t="inlineStr">
        <is>
          <t>Principal, Technical Product Manager</t>
        </is>
      </c>
      <c r="C17" t="inlineStr">
        <is>
          <t>Nike</t>
        </is>
      </c>
      <c r="D17" t="inlineStr">
        <is>
          <t>linkedin</t>
        </is>
      </c>
      <c r="E17" t="inlineStr"/>
      <c r="F17" t="inlineStr"/>
      <c r="G17" t="inlineStr">
        <is>
          <t>Beaverton, OR</t>
        </is>
      </c>
      <c r="H17" t="inlineStr"/>
      <c r="I17" t="inlineStr">
        <is>
          <t>Become a Part of the NIKE, Inc. Team
 NIKE, Inc. does more than outfit the world's best athletes. It is a place to explore potential, obliterate boundaries, and push out the edges of what can be. The company looks for people who can grow, think, dream, and create. Its culture thrives by embracing diversity and rewarding imagination. The brand seeks achievers, leaders, and visionaries. At Nike, it’s about each person bringing skills and passion to a challenging and constantly evolving game.
**Nike \&amp; DAI Team**
 Nike leverages data and technology to serve athletes\* globally, with its Data, Analytics and Intelligence (DAI) team building scalable, secure, and intelligent platforms to power decision\-making and personalized experiences across the Nike ecosystem.
**Who We Are Looking For**
 The ideal candidate is excellent at navigating the unknowns and working with multiple stakeholders in a highly matrixed organization. Possessing an advanced ability to translate complex engineering concepts into actionable product strategies. An excellent communicator to both technical and non\-technical audiences, with the ability to speak concisely, highlighting key insights at the right level of detail. We are looking for people whose core values align with Nike’s mission and vision to “Bring innovation and inspiration to every athlete\* in the world”.
**What You Will Work On**
 The Principal Technical Product Manager will lead the strategy, development, and execution of complex, data\-driven products within Nike’s Global Technology division. You will operate at the intersection of technical product management, technology, and business strategy, steering multi\-squad initiatives from discovery and validation through launch and ongoing maturity. This role is accountable to ensure measurable outcomes aligned with quarterly, annual, and multi\-year business objectives, directly influencing the success of cross\-functional teams and major programs.
**IN THIS ROLE YOU WILL**
* Define and execute technical product strategies aligned to business goals, spanning quarterly, annual, and multi\-year horizons.
* Lead cross\-functional teams through the full product lifecycle—ideation, discovery, validation, delivery, and adoption—with a focus on demonstrable value.
* Promote and evolve product management practices, championing Agile/Lean methodologies and best practices across teams.
* Oversee and manage the lifecycle of data products, including product vision, roadmap, and strategy for critical data platforms.
* Analyze costs and benefits for new systems or integrations, and act as the liaison between business stakeholders and engineering teams.
* Define and prioritize sprint and quarterly goals, facilitate agile ceremonies, and ensure backlog alignment with strategic objectives.
* Communicate product progress, risks, and KPIs to senior management and stakeholders, advocating adoption and value across business units.
* Identify and remove roadblocks, triage defects, and clarify issues to ensure smooth delivery.
* Mentor and coach junior product professionals, contributing to organisational capability building.
* Work with teams to translate enablers into value\-driven stories, facilitate process mapping, feature mapping with personas, gap analysis, and data flow assessment.
* Influence and align stakeholders across engineering, design, business strategy, operations, partners, and senior leadership.
* Contribute to future\-state architecture planning and technical decision\-making, especially for enterprise\-scale data products in the retail domain.
**Who You Will Work With**
 This role is inherently cross\-functional by design. You will work closely with technical engineering teams and business counterparts (both local and global), other product teams, and others to bring experiences to market.
* Engineering \&amp; Architecture teams
* UX / Design and Research
* Business Strategy \&amp; Operations
* External vendors and strategic partners
**What You Bring**
* Bachelor’s degree in business administration, Information Systems, Computer Science, Engineering, or related field (advanced degree preferred). Will accept any suitable combination of education, experience and training.
* 8–12\+ years in product management with a strong technical background, including hands\-on proficiency in data analytics or engineering.
* Proven track record of delivering successful products in complex, cross\-functional environments, managing enterprise\-scale data products or platforms.
* Experience with data architecture, data modelling, governance, and metadata.
* Proficiency with tools such as Snowflake, Databricks, Tableau/Power BI, or similar platforms.
* Strong experience with Agile and Lean product development, product discovery and validation, and roadmap/prioritization.
* Strong Experience with Software Engineering and software life cycle management
* Ability to define multi – year strategic outcomes and goals.
* Document the technical product narratives and outcomes to achieve multi\- year strategic outcomes
* Ability to build and maintain product roadmaps through tools such as Jira and confluence
* Exceptional communication, stakeholder management, and storytelling skills.
* Thinks strategically and influences at an enterprise level
* Leads innovation and change
* Fosters effective teamwork, values differences, and communicates vision and purpose
* Proven track record of large\-scale product delivery across global digital platforms.
* Expertise in front\-end and back\-end architectures, service\-oriented design, and platform engineering.
* Experience leveraging AI/ML and Generative AI in product development.
* Strong technical savvy coupled with understanding and curiosity about emerging innovative technologies
* Ability to work in a fast\-paced environment where continuous learning is core to our identity
* Willingness to roll up your sleeves to win as a team
* Experience working on global products is beneficial
 NIKE, Inc. is a growth company that looks for team members to grow with it. Nike offers a generous total rewards package, casual work environment, a diverse and inclusive culture, and an electric atmosphere for professional development. No matter the location, or the role, every Nike employee shares one galvanizing mission: To bring inspiration and innovation to every athlete\* in the world.
 NIKE, Inc. is an equal opportunity employer. Qualified applicants will receive consideration without regard to race, color, religion, sex, national origin, age, sexual orientation, gender identity, gender expression, veteran status, or disability.
 We offer a number of accommodations to complete our interview process including screen readers, sign language interpreters, accessible and single location for in\-person interviews, closed captioning, and other reasonable modifications as needed. If you discover, as you navigate our application process, that you need assistance or an accommodation due to a disability, please complete the Candidate Accommodation Request Form.</t>
        </is>
      </c>
    </row>
    <row r="18">
      <c r="A18" t="inlineStr">
        <is>
          <t>li-4336917064</t>
        </is>
      </c>
      <c r="B18" t="inlineStr">
        <is>
          <t>Senior Product Manager</t>
        </is>
      </c>
      <c r="C18" t="inlineStr">
        <is>
          <t>PROCEPT BioRobotics</t>
        </is>
      </c>
      <c r="D18" t="inlineStr">
        <is>
          <t>linkedin</t>
        </is>
      </c>
      <c r="E18" t="inlineStr"/>
      <c r="F18" t="inlineStr"/>
      <c r="G18" t="inlineStr">
        <is>
          <t>San Jose, CA</t>
        </is>
      </c>
      <c r="H18" t="inlineStr"/>
      <c r="I18" t="inlineStr">
        <is>
          <t>**Company Overview** 
 Embark on an enriching journey with PROCEPT BioRobotics, where our vision, mission, and values guide everything we do as a company. At PROCEPT, we put the patient first in everything we do and are committed to revolutionizing treatment for benign prostatic hyperplasia (BPH, otherwise known as prostate gland enlargement) through innovation in surgical robotics. As our company succeeds and grows, we improve the quality of life of patients, provide more effective treatment options for surgeons, uphold the trust of our shareholders. That starts with a commitment to our People with a focus on creating an evolving landscape for your career, brimming with transformative opportunities that provide continuous career growth opportunities.
**The Opportunity That Awaits You:** 
 We're seeking a talented Senior Product Manager to lead the disposables and accessories product portfolio, playing a pivotal role in shaping the future of PROCEPT. You will be responsible for the entire product lifecycle for disposable and system accessories used with both the HYDROS™ and AquaBeam® Robotic systems, from ideation to launch, driving the development of cutting\-edge solutions that enhance the surgical experience and patient outcomes. This includes defining the product vision, gathering and prioritizing customer needs, collaborating with cross\-functional teams to execute product development, and ensuring successful market adoption.
 This is an excellent opportunity for someone who wants to help transform patient care from the ground up as part of a small, energetic team in a dynamic, high growth company. The ideal candidate will have the ability to think creatively and execute flawlessly, with a proven track record of success in medical device product development and launches. Get ready to transform lives and shape the future of Urology!
**What Your Role Will Involve:** 
**Product Strategy:** 
 Develop and execute a comprehensive product strategy for the disposables and accessories portfolio, aligning with PROCEPT’s overall vision.
 Define product roadmaps and scope features based on customer needs and business objectives.
 Plan, manage, and incorporate Voice of Customers into product strategy and planning.
**Product Management:** 
 Own the product lifecycle, from ideation to launch, and partner with Product Marketing for Go\-to\-Market and post\-launch support.
 Develop in\-depth technical and clinical knowledge of Aquablation therapy, urological anatomy, disease states, BPH procedures, and associated products.
 Conduct user research, in\-field observations, and gather in\-field feedback and Voice of Customer to gain deep understanding of user needs and inform product improvements.
 Define product requirements and collaborate with engineering, design, and clinical teams to conduct evaluations of concepts and prototypes, translating key insights into actionable feedback to deliver impactful solutions.
 Manage multiple product workstreams in parallel at various stages of the product lifecycle and balance priorities, ensuring new products and improvements to meet business objectives.
 Stay abreast of regulatory requirements, standards, and guidelines related to medical devices and surgical robotics to ensure compliance and mitigate risks throughout entire product lifecycle.
**Cross\-Functional Collaboration and Leadership:** 
 Proven ability to lead cross\-functional teams and influence decision\-making at all levels (individual contributors to executive leaders).
 Lead and drive cross\-functional teams through trade\-off discussions, proposals and decisions. Provide clarity and direction amid ambiguity. 
 Build strong relationships with key internal stakeholders and external customers (e.g. surgeons).
 Provide key input and ensure completion of all product deliverables in support of Design Control execution.
**Market Launch and Adoption:** 
 Develop comprehensive launch and transition plans, in collaboration with other commercial support teams.
 Support the development of marketing assets, training materials, clinical documentation, and educational resources for internal teams and customers.
 Support initial product launches by supporting initial cases during LMR (Limited Market Release).
 Support development and commercial efforts by participating in conferences, symposiums, and customer engagements to showcase product capabilities and clinical evidence.
**The Qualifications We Need You to Possess** 
 ·
 Bachelor's degree in biomedical engineering, mechanical engineering, marketing or a related field.
 ·
 Minimum 7 years of experience in product management or related functions, demonstrating career progression within product development or commercial roles in the medical device industry.
 The position requires critical, analytical, and strategic thinking, the ability to take initiative and lead change, and the ability to ask the right questions to assess fundamental needs while working effectively with a diverse team.
 ·
 Strong desire and motivation to operate as a hands\-on leader responsible for driving execution from strategy to delivery
 ·
 Ability to travel up to 15% of the time.
 ·
 Onsite (3 days per week minimum)
**The Qualifications We Would Like You to Possess** 
 Advanced degree (MBA or MS).
 Experience managing high volume, disposable medical devices
 Experience managing products that interface with complex capital equipment
 Strong understanding of medical device Design Controls processes and product management deliverables.
 Experience with Jira and Jama.
**Understanding PROCEPT's Culture** 
 At
 **PROCEPT** 
 , we believe every person matters. Every employee, every patient, every caregiver. Because we are here to create a revolution, and we believe in doing that by innovating everywhere with pathological optimism. We believe in being humble and highly engaged in the work we do, while also working together seamlessly for a common goal. At Procept, curiosity, ingenuity and conviction in the power technology will transform the lives of our patients and providers.
 And this doesn’t happen by accident. It starts with our live induction program that serves as an incubator for cross\-functional team building, an immersion in Procept’s history, jam\-packed interactive sessions with executive leadership and a crash\-course in the mission and purpose of what we do. It continues with our one\-of\-a\-kind management program designed to build the best managers in the industry, where our people managers across functions come together to exchange ideas and grow, as both managers and learners, in an environment that challenges, supports and broadens.
 We are fueled by the opportunity to give people their lives back. And we believe that it begins with YOU! At Procept, we push beyond just finding a work/life balance, we strive to find a work/life blend, a professional world that you are honored and impassioned to belong to, one that you can proudly share with your family, friends, and acquaintances.
 An opportunity at PROCEPT BioRobotics won’t just be about finding a job. It will be an opportunity for you to join a community devoted to making a difference in this world!
**BENEFITS OF WORKING AT PROCEPT!** 
**PROCEPT’s** 
 health and wellness benefits for employees are second to none in the industry. As an organization, one of our top priorities is to maintain the health and wellbeing of our employees and their families. We offer a comprehensive benefits package that includes full medical coverage, wellness programs, on\-site gym, a 401(k) plan with employer match, short\-term and long\-term disability coverage, basic life insurance, wellbeing benefits, flexible or paid time off, paid parental leave, paid holidays, and many more!
**EQUAL EMPLOYMENT OPPORTUNITY STATEMENT** 
 PROCEPT BioRobotics is an equal opportunity employer that is committed to diversity and inclusion in the workplace. We prohibit discrimination and harassment of any kind on the basis of race, color, national origin, religion, gender, gender identity, sexual orientation, disability, genetic information, pregnancy, age, or any other protected status set forth in federal, state, or local laws. This policy applies to all employment practices within our organization.
**PAY RANGE TRANSPARENCY** 
 Procept is committed to fair and equitable compensation practices. The pay range(s) for this role represents a base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Procept utilizes the full width of the range. The total compensation package for this position may also include eligibility for annual performance bonus, equity, and the benefits listed above.
**WORK ENVIRONMENT** 
 We’ll provide you training for, and ask you to maintain trained status for, and comply with, all relevant aspects of the PROCEPT BioRobotics Quality Management System to ensure product and support regulatory compliance. We would also ask you to understand and adhere to the PROCEPT BioRobotics Quality \&amp; EHS policies.
**PROCEPT BioRobotics – Applicant Privacy Notice
 When you submit an application on this site, PROCEPT BioRobotics collects the personal information you provide. This may include your name, email address, phone number, résumé or CV, LinkedIn profile, and any optional demographic information you choose to share, such as gender or ethnicity. We use this information to review your application and assess your suitability for the role.
 To learn more about how we handle personal information, including your rights under applicable privacy regulations, please read our full Privacy Notice at:
**\[**
**Privacy Policy**
**]**
 .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This position includes a 15% bonus and RSUs at offer!**</t>
        </is>
      </c>
    </row>
    <row r="19">
      <c r="A19" t="inlineStr">
        <is>
          <t>li-4370090117</t>
        </is>
      </c>
      <c r="B19" t="inlineStr">
        <is>
          <t>Principal Product Manager</t>
        </is>
      </c>
      <c r="C19" t="inlineStr">
        <is>
          <t>The Walt Disney Company</t>
        </is>
      </c>
      <c r="D19" t="inlineStr">
        <is>
          <t>linkedin</t>
        </is>
      </c>
      <c r="E19" t="inlineStr"/>
      <c r="F19" t="inlineStr"/>
      <c r="G19" t="inlineStr">
        <is>
          <t>San Francisco, CA</t>
        </is>
      </c>
      <c r="H19" t="inlineStr"/>
      <c r="I19" t="inlineStr">
        <is>
          <t>Technology is at the heart of Disney’s past, present, and future. Disney Entertainment and ESPN Product \&amp; Technology is a global organization of engineers, product developers, designers, technologists, data scientists, and more – all working to build and advance the technological backbone for Disney’s media business globally.
 The team marries technology with creativity to build world\-class products, enhance storytelling, and drive velocity, innovation, and scalability for our businesses. We are Storytellers and Innovators. Creators and Builders. Entertainers and Engineers. We work with every part of The Walt Disney Company’s media portfolio to advance the technological foundation and consumer media touch points serving millions of people around the world.
*Here are a few reasons why we think you’d love working here:*
* Building the future of Disney’s media: Our Technologists are designing and building the products and platforms that will power our media, advertising, and distribution businesses for years to come.
* Reach, Scale \&amp; Impact: More than ever, Disney’s technology and products serve as a signature doorway for fans' connections with the company’s brands and stories. Disney\+. Hulu. ESPN. ABC. ABC News…and many more. These products and brands – and the unmatched stories, storytellers, and events they carry – matter to millions of people globally.
* Innovation: We develop and implement groundbreaking products and techniques that shape industry norms, and solve complex and distinctive technical problems.
 Product Management is responsible for driving the overall user experience, feature strategies and concepts, and engagement paradigms for Disney Entertainment \&amp; ESPN's global portfolio of consumer\-facing streaming and digital products – including Disney\+, Hulu, ESPN, ABC, ABC News, Nat Geo, Marvel, and Star Wars.
**About This Role**
 This position is part of the ESPN Product team. At ESPN, our mission is To Serve Sports Fans. Anytime. Anywhere. The mission statement is not just words; it is the mantra that we live by. The ESPN Product Team is responsible for setting strategy, building, executing and operating world\-class products for sports fans. Anytime. Anywhere. With unmatched scale, best\-in\-class content, incredible rights, and world class platforms, ESPN is the market leader in Sports, and we are never complacent. We are constantly innovating for our fans.
 As the Principal Product Manager of Fandom for ESPN Digital products, you will be a key leader responsible for shaping fan expression, “lean\-forward” participatory features, and connected social experiences across the ESPN suite of apps to unlock the full potential of sports fandom across the ESPN ecosystem.
 This role demands a seasoned product manager with a deep understanding of how to build an engaging fan experience in a brand safe way, a proven track record of operating online communities, navigating complex user experience projects, and the ability to collaborate effectively with cross\-functional teams, particularly in design and engineering. You will work with other leaders to define a unified strategic vision for creating engagement flywheels centered around sports fandom. The ability and excitement to strategize for a new generation of sports fans and how they engage with our products is vital for this position.
 This role demands a strong technical background, excellent product sense, strategic thinking, analytical capabilities, and the ability to collaborate with cross\-functional teams to deliver high\-quality, cutting\-edge solutions.
 The ideal candidate must be highly experienced in cultivating and operating online communities and connected social products that leverage user\-generated content (UGC). This person must operate with a high level of autonomy and demonstrate strong product vision, strategy, leadership and analytical thinking in furtherance of business objectives. This opportunity is uniquely positioned to make an immediate impact on the next generation of ESPN’s consumer experiences.
**Responsibilities**
***Product Strategy and Vison***
* Develop and communicate a strategic vision for engaging our fans, aligning with broader company goals and market trends.
* Effectively communicate product strategies, updates, and results to stakeholders at all levels, fostering a collaborative and transparent working environment.
* Work with leadership to craft product vision, strategy, OKRs, and roadmap while executing with great success.
* Stay abreast of industry trends and emerging technologies related to fan engagement and moderation, providing recommendations for continuous improvement.
* Be an ambassador and culture champion for ESPN products internally and externally.
***Product Development***
* Leverage previous experience building online communities and connected social experiences and apply those learnings to ESPN and Disney.
* Champion a fan\-centered design approach, ensuring that user needs and preferences drive the development of innovative and intuitive product features.
* Lead and inspire cross\-functional teams in the planning, execution, and delivery of complex user experience projects, ensuring timelines and quality standards are met.
* Write detailed product requirements, user stories, and documentation to drive development of features.
* Manage road maps, backlogs, and prioritize features to drive maximum impact.
* Fill in gaps across roles and functions as needed, performing as an adaptive problem solver.
* Engage in our sports\-obsessed culture to best serve our fans.
***OKRs and Analytics***
* Define and monitor Objectives and Key Results (OKRs) related to fan engagement and user satisfaction.
* Identify KPIs, build dashboards, and analyze data to understand user behaviors.
* Utilize data and analytics to make informed decisions, conduct A/B testing, and continuously iterate features to optimize performance and user satisfaction.
* Conduct user research to inform new features and improved user experiences.
**Basic Qualifications**
* 10\+ years of product management or highly\-relevant experience required.
* Direct product management experience cultivating and operating online communities and connected social products that leverage user\-generated content (UGC).
* Proven track record of building world\-class digital products for large, consumer\-focused companies.
* Keen product sense and demonstrated product leadership experience.
* Strong analytical skills with the ability to use data\-driven insights to inform product decisions, measure performance, and optimize the user experience.
* Ability to operate effectively in a team oriented and collaborative environment.
* Excellent written and verbal communication skills.
* Experience leading end\-to\-end product development processes, from concept through retrospective, for both consumer\-facing and back\-end features.
* Experience creating and delivering compelling, data\-driven presentations to both senior and junior audiences.
* Understanding of fandom, fan engagement, moderation, sports landscapes, and familiarity with terminologies and business models.
* Proven ability to drive product initiatives from concept to delivery.
**Required Education**
* Bachelor's degree in a relevant field or equivalent practical experience.
 The hiring range for this position in San Francisco is $201,900 \- $270,700 per year. The base pay actually offered will take into account internal equity and also may vary depending on the candidate’s geographic region, job\-related knowledge, skills, and experience among other factors. A bonus and/or long\-term incentive units may be provided as part of the compensation package, in addition to the full range of medical, financial, and/or other benefits, dependent on the level and position offered.</t>
        </is>
      </c>
    </row>
    <row r="20">
      <c r="A20" t="inlineStr">
        <is>
          <t>li-4371381910</t>
        </is>
      </c>
      <c r="B20" t="inlineStr">
        <is>
          <t>Senior Product Manager, YouTube Shorts Discovery</t>
        </is>
      </c>
      <c r="C20" t="inlineStr">
        <is>
          <t>Google</t>
        </is>
      </c>
      <c r="D20" t="inlineStr">
        <is>
          <t>linkedin</t>
        </is>
      </c>
      <c r="E20" t="inlineStr"/>
      <c r="F20" t="inlineStr"/>
      <c r="G20" t="inlineStr">
        <is>
          <t>Mountain View, CA</t>
        </is>
      </c>
      <c r="H20" t="inlineStr"/>
      <c r="I20" t="inlineStr">
        <is>
          <t>Note: By applying to this position you will have an opportunity to share your preferred working location from the following:
 **San Bruno, CA, USA; Mountain View, CA, USA** 
 .
 **Minimum qualifications:**
* Bachelor's degree or equivalent practical experience.
* 8 years of experience in product management or related technical role.
* 3 years of experience taking technical products from conception to launch (e.g., ideation to execution, end\-to\-end, 0 to 1, etc.).
* 3 years of experience working with recommender systems and machine learning teams.
**Preferred qualifications:**
* 5 years of experience working cross\-functionally with engineering, data science, UX/UI, sales finance, and other stakeholders.
* 3 years of experience working on shipping consumer products or consumer features.
* Experience with Machine Learning (ML) experimentation methodologies.
* Excellent investigative background and proficiency in leveraging key metrics.
**About the job** 
 At Google, we put our users first. The world is always changing, so we need Product Managers who are continuously adapting and excited to work on products that affect millions of people every day.
 In this role, you will work cross\-functionally to guide products from conception to launch by connecting the technical and business worlds. You can break down problems into steps that drive product development.
 One of the many reasons Google consistently brings innovative, world\-changing products to market is because of the collaborative work we do in Product Management. Our team works closely with creative engineers, designers, marketers, etc. to help design and develop technologies that improve access to the world's information. We're responsible for guiding products throughout the execution cycle, focusing specifically on analyzing, positioning, packaging, promoting, and tailoring our solutions to our users.
 As a part of the Shorts’ mission, you will give everyone a voice and show them the world through short\-form video. You will provide people with a safe, entertaining, and informative feed of videos and aim to inspire people to create Shorts through feed recommendations, making it easy to go from watching to creating.
 In this position, you will be instrumental in refining the algorithms that curate the Shorts feed for viewers to make it a satisfying and entertaining experience.At YouTube, we believe that everyone deserves to have a voice, and that the world is a better place when we share, and build community through our stories. We work together to give everyone the power to share their story, explore what they love, and connect with one another in the process. Working at the intersection technology and boundless creativity, we move at the speed of culture with a shared goal to show people the world. We explore new ideas, solve real problems, and have fun — and we do it all together.
 The US base salary range for this full\-time position is $183,000\-$271,000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a portfolio of Shorts Discovery products as the product lead, driving viewer growth and creation.
* Collaborate with engineering and date science teams to create new measurement methods and goals that support high\-quality ML algorithm optimization.
* Develop and own project roadmaps with a focus on ML and recommendation systems.
* Drive development and secure buy\-in for a compelling product goal that integrates machine learning and recommendation strategies to enhance the overall product narrative, achieving results greater than the sum of its parts.
* Lead and harmonize processes to define, identify, collect, and track appropriate quantitative and qualitative product or business metrics, including setting up and analyzing ML experiments for new or existing products or business ventures.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
      <c r="A21" t="inlineStr">
        <is>
          <t>li-4336795935</t>
        </is>
      </c>
      <c r="B21" t="inlineStr">
        <is>
          <t>Sr Product Manager – Technical, Amazon Leo for Government</t>
        </is>
      </c>
      <c r="C21" t="inlineStr">
        <is>
          <t>Amazon</t>
        </is>
      </c>
      <c r="D21" t="inlineStr">
        <is>
          <t>linkedin</t>
        </is>
      </c>
      <c r="E21" t="inlineStr"/>
      <c r="F21" t="inlineStr"/>
      <c r="G21" t="inlineStr">
        <is>
          <t>Redmond, WA</t>
        </is>
      </c>
      <c r="H21" t="inlineStr"/>
      <c r="I21" t="inlineStr">
        <is>
          <t>**Description**
 Amazon Leo is Amazon’s low Earth orbit satellite network. Our mission is to deliver fast, reliable internet connectivity to customers beyond the reach of existing networks. From individual households to schools, hospitals, businesses, and government agencies, Amazon Leo will serve people and organizations operating in locations without reliable connectivity.
 This position will be working within the Product Management Team within Amazon Leo for Government.
 10037
 Key job responsibilities
**Role**
 We have an immediate opening for a Sr Product Manager – Technical to support the Amazon Leo for Government (ALG) team focusing on DoD and National Security customers. This position will be based in in the Northern Virginia, El Segundo, CA or Redmond, WA areas. This position will be part of the team managing a family of products for high throughput terminals. This is a unique opportunity to innovate and define groundbreaking communications technology with few legacy constraints. The team develops and designs the Amazon Leo for Government products and analyzes performance such as for overall throughput, latency, and system availability. In this role you will:
* Write product roadmaps and product description documents,
* Create detailed product requirements documents based on an intimate knowledge of the specific customer verticals including use case prioritization, feature definition and product roadmap
* Work with leadership team to set the customer strategy and make appropriate high\-judgment trade\-offs between features and speed\-to\-launch
* Manage entire product life cycle from strategic planning to tactical execution and work with key internal and external stakeholders to deliver on that vision
* Research and identify new opportunities to innovate on behalf of our customers
 Security Clearance: This position requires that the candidate selected be a US Citizen and must currently possess and maintain an active TS/SCI security clearance.
**Basic Qualifications**
* Bachelor's degree
* 5\+ years of experience with feature delivery and tradeoffs of a product.
* 5\+ years of experience contributing to engineering discussions around technology decisions and strategy related to a product.
* 5\+ years of experience in representing and advocating for a variety of critical customers and stakeholders during executive\-level prioritization and planning.
* 5\+ years of experience owning/driving roadmap strategy and definition.
**Preferred Qualifications**
* Experience in using analytical tools, such as Tableau, Qlikview, QuickSight
* Experience in building and driving adoption of new tools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$136,100/year in our lowest geographic market up to $235,200/year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This position will remain posted until filled. Applicants should apply via our internal or external career site.
**Company** 
 \- KGS LLC
 Job ID: A3118682</t>
        </is>
      </c>
    </row>
    <row r="22">
      <c r="A22" t="inlineStr">
        <is>
          <t>li-4371526453</t>
        </is>
      </c>
      <c r="B22" t="inlineStr">
        <is>
          <t>Technical Product Manager</t>
        </is>
      </c>
      <c r="C22" t="inlineStr">
        <is>
          <t>Haystack</t>
        </is>
      </c>
      <c r="D22" t="inlineStr">
        <is>
          <t>linkedin</t>
        </is>
      </c>
      <c r="E22" t="inlineStr"/>
      <c r="F22" t="inlineStr"/>
      <c r="G22" t="inlineStr"/>
      <c r="H22" t="inlineStr"/>
      <c r="I22" t="inlineStr">
        <is>
          <t>**Technical Product Manager \- Devices \| Hawthorne, California \| $116,300 \- $201,100** 
 We're working with Amazon on this exciting opportunity.
 Ring is seeking an AI\-native Technical Product Manager to spearhead the development of innovative devices that enhance neighborhood safety. This role offers end\-to\-end ownership, from defining groundbreaking use cases to launching products into production, leveraging AI prototyping tools and driving business strategy.
**The Role** 
 • Define and drive the business strategy for your products, utilizing internal and external analysis.
 • Demonstrate UX concepts with cutting\-edge AI prototyping tools.
 • Develop crisp business requirements and user stories for product specifications and architecture.
 • Manage prioritization and trade\-offs across customer experience, performance, profitability, and operational support.
 • Lead firmware, battery, and connectivity improvement workstreams with engineering stakeholders.
**What You'll Need** 
 • Bachelor's degree or above.
 • 2\+ years of experience leading product development in a product management capacity.
 • Successful launch of at least one consumer electronics device.
 • Demonstrated use of AI tools to accelerate product delivery or uncover customer insights.
 • Exceptional written and verbal communication skills.
**What's On Offer** 
 • Opportunity to drive end\-to\-end product ownership from concept to launch.
 • Collaborate in a fast\-paced, innovative environment at Amazon.
 • Work on devices that directly contribute to making neighborhoods safer.
 • Competitive salary range of $116,300 \- $201,100\.
**Apply via Haystack today!**</t>
        </is>
      </c>
    </row>
    <row r="23">
      <c r="A23" t="inlineStr">
        <is>
          <t>li-4343083516</t>
        </is>
      </c>
      <c r="B23" t="inlineStr">
        <is>
          <t>Payments- Receivables Online Product Manager- Vice President</t>
        </is>
      </c>
      <c r="C23" t="inlineStr">
        <is>
          <t>JPMorganChase</t>
        </is>
      </c>
      <c r="D23" t="inlineStr">
        <is>
          <t>linkedin</t>
        </is>
      </c>
      <c r="E23" t="inlineStr"/>
      <c r="F23" t="inlineStr"/>
      <c r="G23" t="inlineStr">
        <is>
          <t>Chicago, IL</t>
        </is>
      </c>
      <c r="H23" t="inlineStr"/>
      <c r="I23" t="inlineStr">
        <is>
          <t>**Job Description**
 Be a leader committed to understanding customer needs with your advanced knowledge of product development, design, and data analytics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of Receivables Online,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**Job Responsibilities**
* Establish themselves as a subject matter expert Receivables Solutions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Leads oversight of complex client onboarding and client inquiries
* Coordinate internal and external communications about product updates while maintaining product and system documentation
* Oversee agile product development processes, including sprint planning, backlog grooming, and release management.
* Cultivate partnerships and collaborate across stakeholders, including Operations, Technology, Implementations, Sales, and Service to assure alignment
**Required Qualifications, Capabilities, And Skills**
* 5\+ years of experience or equivalent expertise in product management or a relevant domain area
* Advanced knowledge of the product development life cycle, design, and data analytics
* Proven ability to lead product life cycle activities including discovery, ideation, strategic development, requirements definition, and value management
* Demonstrated written and verbal communication and diplomacy skills to work cross\-organizationally to influence others, drive results/change and implement projects/processes
* Strong analytical and problem\-solving skills, organizational skills, attentive to detail and ability to work with minimal supervision
* Experience presenting product capabilities, gathering client feedback, and translating client requirements into actionable product enhancements.
* Ability to translate business requirements into technical specifications for engineering teams
**Preferred Qualifications, Capabilities, And Skills**
* Deep understanding of Receivables and cash application products, markets, and customer needs
* Demonstrated prior experience working in a highly matrixed, complex organization
* Stay current with emerging Fintech technologies and Receivables industry trends, integrating relevant advancements into product strategy
* Experience working with agile methodologies and tools (JIRA, Confluence)
* Demonstrated ability to engage directly with clients, understand their needs, and resolve complex issues efficiently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Morgan’s Commercial \&amp; Investment Bank is a global leader across banking, markets, securities services and payments. Corporations, governments and institutions throughout the world entrust us with their business in more than 100 countries. The Commercial \&amp; Investment Bank provides strategic advice, raises capital, manages risk and extends liquidity in markets around the world.</t>
        </is>
      </c>
    </row>
    <row r="24">
      <c r="A24" t="inlineStr">
        <is>
          <t>li-4371891027</t>
        </is>
      </c>
      <c r="B24" t="inlineStr">
        <is>
          <t>Payment Experiences and Services Program Manager</t>
        </is>
      </c>
      <c r="C24" t="inlineStr">
        <is>
          <t>JPMorganChase</t>
        </is>
      </c>
      <c r="D24" t="inlineStr">
        <is>
          <t>linkedin</t>
        </is>
      </c>
      <c r="E24" t="inlineStr"/>
      <c r="F24" t="inlineStr"/>
      <c r="G24" t="inlineStr">
        <is>
          <t>New York, NY</t>
        </is>
      </c>
      <c r="H24" t="inlineStr"/>
      <c r="I24" t="inlineStr">
        <is>
          <t>**Job Description**
 The Connected Commerce Banking Payments organization is a motivated, forward\-thinking team comprised of highly talented product managers with a singular focus of delivering innovative payment services via the most important platforms of today and tomorrow. We seek to transform customer experiences, simplify the ways we do business, and tirelessly drive toward product excellence.
 The Vice President, Payment Experiences and Services (PxS), Program Manager will help drive product strategy and delivery for Duplicate Payment Prevention and Banking Payments 2\.0 program. We are seeking a talented and impactful individual with high IQ and EQ to drive strategic direction and connect the dots on a business agenda spanning multiple teams, partners, and LOBs. The ideal candidate is highly organized, self\-motivated, a strong strategic thinker, strong communicator, and focused on execution. This candidate should also have superior influencing/relationship management and team leadership skills.
**Job Responsibilities**
* Develop and manage program plans, including timelines, budgets, and resource allocation
* Coordinate and oversee multiple projects to ensure they align with the organization's objectives
* Monitor program progress and make adjustments as necessary to ensure successful completion
* Communicate program status, risks, and issues to stakeholders and senior management
* Lead and mentor project managers and team members to achieve program goals
* Identify and mitigate potential risks and issues that may impact program success
* Foster a collaborative and high\-performance team environment
* Ensure compliance with company policies, procedures, and standards
* Evaluate program performance and identify areas for improvement
**Required Qualifications, Capabilities, And Skills**
* Bachelor's degree in Business Administration, Project Management, or a related field. A Master's degree is a plus
* Proven experience as a Program Manager or in a similar role
* Strong knowledge of project management methodologies and tools
* Excellent leadership, communication, and interpersonal skills
* Ability to manage multiple projects simultaneously and prioritize tasks effectively
* Strong problem\-solving and decision\-making abilities
* Experience with budget management and financial analysis
* PMP or other relevant project management certification is preferred
**Preferred Qualifications, Capabilities, And Skills**
* Demonstrated prior experience working in a highly matrixed, complex organization
**To be eligible for this position, you must be authorized to work in the United States. We do not offer any type of employment\-based immigration sponsorship for this position.  Likewise, JPMorgan Chase \&amp; Co., will not provide any assistance or sign any documentation in support of any other form of immigration sponsorship or benefit including optional practical training (OPT) or curricular practical training (CPT).**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offer a broad array of credit cards to meet the needs of individuals and small businesses, including Chase\-branded and co\-branded cards in partnership with well\-known companies and organizations. Merchant Services is a leading provider of payment, fraud and data security for companies, capable of authorizing transactions across global currencies.</t>
        </is>
      </c>
    </row>
    <row r="25">
      <c r="A25" t="inlineStr">
        <is>
          <t>li-4371843459</t>
        </is>
      </c>
      <c r="B25" t="inlineStr">
        <is>
          <t>AI Automation and Robotics Product Owner</t>
        </is>
      </c>
      <c r="C25" t="inlineStr">
        <is>
          <t>Sanofi</t>
        </is>
      </c>
      <c r="D25" t="inlineStr">
        <is>
          <t>linkedin</t>
        </is>
      </c>
      <c r="E25" t="inlineStr"/>
      <c r="F25" t="inlineStr"/>
      <c r="G25" t="inlineStr">
        <is>
          <t>Cambridge, MA</t>
        </is>
      </c>
      <c r="H25" t="inlineStr"/>
      <c r="I25" t="inlineStr">
        <is>
          <t>**Job Title:** 
 AI Automation and Robotics Product Owner
**Grade:** 
 L3
**Hiring Manager:** 
 Denise Teotico
**Location:** 
 Framingham, MA, Cambridge, MA
**About The Job**
 Join the digital engine driving Sanofi’s transformation \- where AI, automation, and bold experimentation power faster science and smarter decisions. Here, you’ll help build the first biopharma company powered by AI at scale.
 Digital \&amp; Data is at the heart of Sanofi: our ambition is to be the leading digital healthcare platform to develop \&amp; deliver medicine faster, enable healthcare professionals to improve treatments and help patients improve their health. Our scale, strong connections within health ecosystems across the world, and ability to leverage Sanofi's capabilities make us the best place to push the boundaries of medicine through technology.
**Why joining Sanofi Digital**
* Executive sponsorship and governance, with newly appointed CDO \&amp; leadership team.
* Digital \&amp; data culture in place with agile ways of working and a strong ecosystem (Sanofi Ventures, BD Partnerships).
* Unique diversity of medical \&amp; technical challenges, with mobility opportunities.
* Commitment to fostering an inclusive environment where diverse perspectives drive innovation.
* Opportunities for continuous learning and professional development.
 The
 **Digital In\-Silico CMC** 
 team is an innovation engine within Digital R\&amp;D, building next\-generation digital products that transform how we discover, design, and scale\-up manufacturing of new medicines. We combine PhysicalAI, machine learning, robotics, and automation to create in\-silico capabilities that empower scientists with predictive insights, streamline workflows, and turn data into action. Our work accelerates Discovery’s design\-make\-test\-analyze (DMTA) cycle and CMC development, compresses timelines, and enhances productivity. We're passionate about technologies that shape the future of pharmaceutical innovation.
 The
 **AI and Automation Robotics Product Owner** 
 leads the development of PhysicalAI products that transform Discovery’s design\-make\-test\-analyze (DMTA) cycle and CMC. As Product Owner, you'll connect AI technologies with physical laboratory systems, partnering with cross\-functional digital and scientific teams to deliver solutions that improve how Sanofi conducts research, optimizes processes, and brings treatments to patients. You'll directly impact the speed and efficiency of drug discovery and CMC development while ensuring effective integration of intelligent automation. This role combines technical expertise, strategic thinking, and collaborative leadership to advance pharmaceutical R\&amp;D and manufacturing.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**Product Strategy \&amp; Roadmap**
* Define and drive comprehensive product strategy for PhysicalAI\-powered automation and robotics solutions across Discovery \&amp; CMC experimental workflows.
* Collaborate with R\&amp;D and CMC stakeholders to develop product vision and operational demand initiatives, ensuring alignment with business needs.
* Lead strategic demand ideation for AI to accelerate DMTA and AI for Automation \&amp; Robotics products, including external innovation sourcing and effective prioritization.
* Develop long\-term strategy and delivery roadmaps integrating automation, robotics, and digital solutions.
**Product Delivery \&amp; Execution**
* Own development and execution of products under your ownership, ensuring solutions meet scientists' needs and accelerate delivering medicines to patients.
* Guide product development through governance processes, building compelling go/no\-go recommendations based on data and business value.
**Stakeholder Engagement \&amp; Adoption**
* Act as voice of the customer to drive development of AI\-powered tools for target identification, molecule generation, and CMC processes.
* Serve as key liaison between R\&amp;D/CMC business stakeholders and digital teams, translating business needs into requirements.
* Drive product adoption through business transformation and change management, integrating solutions into existing processes.
* Present executive summaries and value propositions to governance bodies with compelling data and evidence.
**Innovation \&amp; Technical Leadership**
* Act as change agent and thought leader on Digital, PhysicalAI, and Automation \&amp; Robotics opportunities.
* Stay current on industry trends and best practices in product management, automation, and pharmaceutical applications.
* Champion adoption of disruptive technologies that transform experimental workflows and accelerate development timelines.
* Align Discovery \&amp; CMC automation strategy with broader Sanofi initiatives and collaborate directly with Digital teams.
**About You**
 We're looking for candidates who bring strong expertise and passion for innovation in automation and robotics. We value diverse perspectives and encourage you to apply even if you don't meet every qualification listed—we're committed to supporting your growth and development in this role.
**Experience**
* 7\+ years in product management or technical leadership roles with focus on lab automation and robotics implementation.
* Proven track record delivering automation solutions in pharmaceutical, life sciences, or CMC environments.
* Experience managing complex, cross\-functional projects in global matrix organizations.
* Demonstrated success in stakeholder management and driving adoption of innovative technologies.
**Skills**
* Strong knowledge and experience in PhysicalAI, AI\-driven robotics, and automation platforms including scheduling/orchestration software.
* Solid understanding of robotic systems, mobile robots, co\-bots, and advanced automation architectures.
* Excellent communication and collaboration skills with ability to bridge technical and business stakeholders.
* Strategic thinking combined with execution excellence, comfortable with ambiguity and driving results in complex environments.
* Openness to learning and adapting to emerging technologies and methodologies.
**Education**
* Bachelor’s degree required, Master’s Degree and PhD preferred
* A degree in Automation, Robotics, Engineering Sciences or related engineering and scientific fields is preferred.
* Advanced degrees and additional experience in pharmaceutical R\&amp;D or industrial automation preferred.
**Why Choose Us?**
* Bring the miracles of science to life alongside a supportive, future\-focused team.
* Discover endless opportunities to grow your talent and drive your career, whether it’s through a promotion or a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 Opportunities for continuous learning and professional development in cutting\-edge technologies.
* Collaborative, inclusive team culture that values diverse perspectives and approaches.
* Flexible work arrangements to support work\-life balance.
* Meaningful work that directly impacts patients' lives.
* Supportive environment for career growth and skill development.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\#GD\-SA
 \#vhd
 All compensation will be determined commensurate with demonstrated experience. Employees may be eligible to participate in Company employee benefit programs, and additional benefits information can be found here.</t>
        </is>
      </c>
    </row>
    <row r="26">
      <c r="A26" t="inlineStr">
        <is>
          <t>li-4354262823</t>
        </is>
      </c>
      <c r="B26" t="inlineStr">
        <is>
          <t>Staff Product Manager - Member Understanding &amp; Intelligence</t>
        </is>
      </c>
      <c r="C26" t="inlineStr">
        <is>
          <t>ŌURA</t>
        </is>
      </c>
      <c r="D26" t="inlineStr">
        <is>
          <t>linkedin</t>
        </is>
      </c>
      <c r="E26" t="inlineStr"/>
      <c r="F26" t="inlineStr"/>
      <c r="G26" t="inlineStr">
        <is>
          <t>San Francisco, CA</t>
        </is>
      </c>
      <c r="H26" t="inlineStr"/>
      <c r="I26" t="inlineStr">
        <is>
          <t>Our mission at Oura is to empower every person to own their inner potential. Our award\-winning products help our global community gain a deeper knowledge of their readiness, activity, and sleep quality by using their Oura Ring and its connected app. We've helped millions of people understand and improve their health by providing daily insights and practical steps to inspire healthy lifestyles.
 Empowering the world starts with living our values and empowering our team. As a quickly growing company focused on helping people live healthier and happier lives, we ensure that our team members have what they need to do their best work — both in and out of the office.
 We are looking for a
 **Staff Product Manager \- Member Understanding \&amp; Intelligence** 
 to join this team. This is a Staff\-level individual contributor role with strategic ownership of member understanding and intelligence capabilities. You will drive strategy independently and be relied upon to make high\-impact decisions with minimal oversight.
 You will work closely with product, engineering, and executive leadership on the strategy for Oura's personalization platform, and you will often be the person connecting company\-level goals to concrete roadmaps.
 We're building the member understanding and intelligence layer that powers Oura's evolution from tracking device to personalized health companion. This role will lead our US\-based AI/ML capabilities, driving strategy for how we use member context to deliver truly personalized experiences.
 You'll ship personalization features, run experiments to validate what works, and build foundational capabilities that other product teams leverage.
**What You Will Do**
* Shape the vision and strategy for member understanding \&amp; intelligence: Define and evolve a product vision for how Oura understands members and serves members truly personalized experiences. Build conviction around which context types unlock the most member value and business impact, balancing platform capabilities with member\-facing experiences.
* Own outcomes across both platform and member experience layers: Drive a roadmap that balances robust platform capabilities (APIs, data models) with delightful member\-facing features. Navigate the tension between building infrastructure that enables other teams and shipping features that prove member value.
* Deeply understand our members and their health journeys: Partner with research, science, and data teams to understand which contextual factors actually drive personalization quality and health outcomes. Map end\-to\-end journeys, identify where generic guidance fails members, and prioritize the context types that matter most for our target ICPs and health outcomes.
* Partner with senior and executive leaders: Structure clear narratives and options for high\-impact decisions in a high\-ambiguity environment. Connect work to company\-level goals and use measurable outcomes to build trust and alignment across Oura.
* Drive internal adoption of capabilities: Work closely with other product teams to identify the highest\-value integration points. Ensure the platform is well\-documented, understood, and reliably supports their roadmaps.
* Measure impact and learn fast: Define success metrics, instrumentation needs, and experimentation plans for Context Engines. Build the A/B testing infrastructure that enables rapid iteration on personalization approaches. Use data and member feedback to validate which context types drive member value.
**This is a US hybrid\-remote role, with the expectation to work from our San Francisco offices a few times a month.Openness to flexible hours to support cross\-time\-zone collaboration with teams in Europe and the U.S \- should be available for morning meetings 3\+ days/week.**
**Requirements**
**We would love to consider you for our role if you have:**
* Product Experience: 7\+ years of Product Management experience in data platform, ML, or consumer technology products, with a proven track record of shipping successful products at scale. At least 2 years at Staff/Principal level or equivalent strategic scope.
* Production AI/ML Experience: You have shipped ML\-powered personalization or LLM features in production. Hands\-on experience with prompt engineering, RAG architectures, and managing cost/performance tradeoffs of AI at scale. You understand constraints of shipping GenAI at scale, and lead technical roadmap discussions on model integration, experimentation infrastructure, and vendor selection.
* Consumer Product Intuition: Experience shipping consumer\-facing features at scale. You understand the "Value \&gt; Effort" equation and can balance platform capabilities with member\-facing experiences that feel rewarding, not burdensome.
* Systems Thinking: Ability to design data architectures and ontologies that scale across multiple use cases and teams. Comfortable working with concepts like ETL pipelines, data normalization, and interoperability standards.
**Benefits**
 At Oura, we care about you and your well\-being. Everyone here at Oura has a ring of their own and we are continually looking to improve employee health.
**What We Offer**
* Competitive salary and equity packages
* Health, dental, vision insurance, and mental health resources
* An Oura Ring of your own plus employee discounts for friends \&amp; family
* 20 days of paid time off plus 13 paid holidays plus 8 days of flexible wellness time off
* Paid sick leave and parental leave
 Oura takes a market\-based approach to pay, which may vary depending on your location. US locations are categorized into tiers based on a cost of labor index for that geographic area. While most offers will be closer to the starting range, successful candidates' pay will be determined based on job\-related skills, experience, qualifications, work location, internal peer equity, and market conditions. These ranges may be modified in the future.
* Region 1: $198,050 \- $233,000
* Region 2 $180,200 \- $212,000
* Region 3 $169,150\- $199,000
 A recruiter can determine your zones/tiers based on your US location.
 We are not considering candidates residing in the following states: Alaska (AK), Arkansas (AR), Delaware (DE), Iowa (IA), Mississippi (MS), Missouri (MO), Nebraska (NE), Rhode Island (RI), South Dakota (SD), Vermont (VT), West Virginia (WV), and Wisconsin (WI).
 Oura is proud to be an equal opportunity workplace. We celebrate diversity and are committed to creating an inclusive environment for all employees. Individuals seeking employment at Oura are considered without regard to age, ancestry, color, gender (including pregnancy, childbirth, or related medical conditions), gender identity or expression, genetic information, marital status, medical condition, mental or physical disability, national origin, protected family care or medical leave status, race, religion (including beliefs and practices or the absence thereof), sexual orientation, military or veteran status, or any other characteristic protected by federal, state, or local laws. We will not tolerate discrimination or harassment based on any of these characteristics.
 We will work to ensure individuals with disabilities are provided reasonable accommodation to participate in the interview process, to perform essential job functions, and to receive other benefits and privileges of employment.
 Disclaimer: Beware of fake job offers!
 We’ve been alerted to scammers posing as ŌURA recruiters, especially for remote roles. Please note:
* Our jobs are listed only on the ŌURA Careers page and trusted job boards.
* We will never ask for personal information like ID or payment for equipment upfront.
* Official offers are sent through Docusign after a verbal offer, not via text or email.
 Stay cautious and protect your personal details.
 To all recruitment agencies: Oura does not accept agency resumes. Please do not forward resumes to our jobs alias, Oura employees, or any other organization's location. Oura is not responsible for any fees related to unsolicited resumes.</t>
        </is>
      </c>
    </row>
    <row r="27">
      <c r="A27" t="inlineStr">
        <is>
          <t>li-4350574950</t>
        </is>
      </c>
      <c r="B27" t="inlineStr">
        <is>
          <t>Senior Product Manager - Risk and Core Platforms</t>
        </is>
      </c>
      <c r="C27" t="inlineStr">
        <is>
          <t>PayPal</t>
        </is>
      </c>
      <c r="D27" t="inlineStr">
        <is>
          <t>linkedin</t>
        </is>
      </c>
      <c r="E27" t="inlineStr"/>
      <c r="F27" t="inlineStr"/>
      <c r="G27" t="inlineStr">
        <is>
          <t>San Jose, CA</t>
        </is>
      </c>
      <c r="H27" t="inlineStr"/>
      <c r="I27"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role will accelerate Venmo’s strategic priorities by productizing platform components, driving cross platform Risk, Compliance, Identity and Customer Support solutions and serving as a strategic thought partner to vertical teams.
**Job Description:**
**Essential Responsibilities:**
* Uses data to build insights on product or platform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and technology leadership as needed.
* Partners with content developers, data scientists, product designers and user experience researchers to identify new opportunities.
**Expected Qualifications:**
* 3\+ years relevant experience and a Bachelor’s degree OR Any equivalent combination of education and experience.
**Additional Responsibilities And Preferred Qualifications**
* 5\+ years of product management experience, ideally in a customer\-facing product or feature
* Strong verbal and written communication skills
* Excellent partnering skills with Engineering and Data Science teams to define and evaluate solutions and benefits
* Solid product planning and execution skills; taking an idea and driving definition, prioritization, and execution
* A general understanding of digital payments and the fintech industry
* Fraud/Risk experience preferred but not necessary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R0133485</t>
        </is>
      </c>
    </row>
    <row r="28">
      <c r="A28" t="inlineStr">
        <is>
          <t>li-4319115472</t>
        </is>
      </c>
      <c r="B28" t="inlineStr">
        <is>
          <t>Sr. Product Owner - Digital Applications</t>
        </is>
      </c>
      <c r="C28" t="inlineStr">
        <is>
          <t>Penn Mutual</t>
        </is>
      </c>
      <c r="D28" t="inlineStr">
        <is>
          <t>linkedin</t>
        </is>
      </c>
      <c r="E28" t="inlineStr"/>
      <c r="F28" t="inlineStr"/>
      <c r="G28" t="inlineStr"/>
      <c r="H28" t="inlineStr"/>
      <c r="I28" t="inlineStr">
        <is>
          <t>**Job Description**
 Join a forward\-thinking organization at the forefront of digital transformation in the life insurance industry. We are seeking a visionary Sr. Product Owner with deep subject matter expertise in life insurance and a passion for leveraging technology—including AI—to enhance user experience, operational efficiency, and strategic outcomes.
 As the Sr. Product Owner for Digital Applications, you will lead the evolution of our flagship platforms used by financial professionals, clients, field offices, and internal teams. You will drive product strategy, champion user\-centric design, and guide cross\-functional teams to deliver impactful digital solutions. Successful candidates will be adept at working with deeply technical partners and senior\-level stakeholders, seamlessly bridging the gap across all levels and technical aptitudes of the organization. You will serve as a translator between business needs and technical execution, ensuring alignment, driving results, and managing projects with precision and agility.
**Essential Functions**
**Stakeholder Engagement \&amp; Communication:**
* Build and maintain strong relationships with business leaders, technical teams, and end users to gather insights and align priorities.
* Provide transparent visibility into product development progress, challenges, and successes across all organizational levels.
* Facilitate consensus and inspire collaboration through compelling storytelling, visualizations, and strategic dialogue.
**Product Leadership \&amp; Strategy**
* Define and communicate a compelling product vision and roadmap aligned with enterprise goals.
* Determine and articulate Minimum Viable Product (MVP) to deliver maximum value with optimal investment.
* Collaborate with other Product Owners and stakeholders to manage interdependencies and ensure cohesive delivery.
* Demonstrate passion as both an advocate and hands\-on contributor who drives a vision to completion by executing when needed, advising where appropriate, and maintaining constant awareness of implementation progress.
* Construct and communicate release plan to stakeholders.
* Proactively gather and analyze feedback from customers and stakeholders to assess the quality, accuracy, and impact of delivered product features, ensuring continuous alignment with user needs and business goals.
**AI \&amp; Digital Enablement**
* Lead the responsible integration of AI\-powered tools to enhance decision\-making, automate processes, and improve user experience.
* Champion digital fluency by coaching staff and advisors on effective use of collaboration platforms (e.g., Zoom AI, Copilot, SharePoint).
* Partner with enterprise technology teams to align on digital strategies, monitor tool effectiveness, and drive continuous improvement.
**Knowledge, Skills And Abilities**
* Strategic thinker with a proven ability to inspire execution, drive innovation, and solve complex problems with creativity and clarity.
* Strong facilitation, negotiation, and influence skills across technical and business domains.
* Exceptional communication and presentation abilities, including the creation of impactful visual aids (e.g., PowerPoint, Visio, Prezi, Zoom Whiteboards) to guide discussions and foster shared understanding.
* Comfortable navigating and encouraging change, ambiguity, debate, conflict, experimentation, and informed risk\-taking.
* Proven ability in the area of creative facilitation and encouragement of innovation.
* Skilled in public speaking and stakeholder engagement across all organizational levels.
* Proven ability to make or facilitate effective decisions as they relate to an Agile team’s product delivery.
* Committed to continuous improvement, learning new skills, and contributing to process enhancements. Experience with AI tools and platforms, with a strong understanding of their practical applications in business operations.
**Education**
* Bachelor’s degree
* Advanced education or professional certifications preferred, such as an MBA or Agile Product Owner certification (e.g., CSPO, SAFe PO/PM)
* Ongoing commitment to professional development and staying current with emerging technologies, including AI and digital transformation trends
**Experience**
* 10\+ years of experience in life insurance with deep expertise in digital product development and user\-centric design.
* 5\+ years of leadership experience driving cross\-functional initiatives and managing stakeholder relationships.
* Proven track record of delivering enterprise\-grade digital solutions in Agile environments.
 Base Salary Range: $130,000 \- $145,000
 For over 175 years, Penn Mutual has empowered individuals, families and businesses on the journey to achieve their financial goals. Through our partnership with Financial Professionals across the U.S., we help instill the confidence and reliability that comes from a stronger financial future. Penn Mutual and its affiliates offer a comprehensive suite of competitive products and services to meet the unique needs of Financial Professionals and their clients, including life insurance, annuities, wealth management and institutional asset management. To learn more, including current financial strength ratings, visit www.pennmutual.com.
 Penn Mutual is committed to Equal Employment Opportunity (EEO). We provide employment and advancement opportunities to all qualified applicants and associates, according to applicable laws. This is reflected in our practices for hiring, placement, promotion, transfer, demotion, layoff, termination, recruitment, compensation, selection or training, and all other terms and conditions of employment. All employment\-related decisions and practices are free from unlawful discrimination. This includes: race, creed, color, national origin, ancestry, citizenship age, gender (including pregnancy), sexual orientation, gender identity or expression, domestic partnership or civil union status, marital status, genetic information, disability, religious observance or practice, liability, veteran status or any other classification protected under applicable law.</t>
        </is>
      </c>
    </row>
    <row r="29">
      <c r="A29" t="inlineStr">
        <is>
          <t>li-4371875347</t>
        </is>
      </c>
      <c r="B29" t="inlineStr">
        <is>
          <t>Product Manager – Global Studio</t>
        </is>
      </c>
      <c r="C29" t="inlineStr">
        <is>
          <t>Aon</t>
        </is>
      </c>
      <c r="D29" t="inlineStr">
        <is>
          <t>linkedin</t>
        </is>
      </c>
      <c r="E29" t="inlineStr"/>
      <c r="F29" t="inlineStr"/>
      <c r="G29" t="inlineStr">
        <is>
          <t>Illinois, United States</t>
        </is>
      </c>
      <c r="H29" t="inlineStr"/>
      <c r="I29" t="inlineStr">
        <is>
          <t>The Product Manager will oversee the requirements, strategy, roadmap, and delivery of software products that support Aon’s Business goals. This Individual Contributor role will work closely with global stakeholders to identify needs, define priorities, and deliver scalable solutions.
**Aon is in the business of better decisions**
 At Aon, we shape decisions for the better to protect and enrich the lives of people around the world.
 As an organization, we are united through trust as one inclusive team, and we are passionate about helping our colleagues and clients succeed.
**What The Day Will Look Like**
* Requirements, Product Strategy \&amp; Vision: Define and articulate a clear product requirements, vision and strategy aligned with Aon’s strategic goals and operational requirements.
* Technical Expertise: Solid understanding of cloud platforms (e.g., AWS, Azure, GCP), AI/ML and data technologies. Familiarity with workflow, automation and machine learning preferred.
* Cross\-Functional Collaboration: Partner with business leaders, IT, and end\-users to understand internal needs and translate them into product requirements.
* Roadmap Execution: Work using Agile methodologies and be responsible for the entire product lifecycle, from conceptualization to delivery, ensuring timely and high\-quality releases.
* Data\-Driven Decision Making: Use data insights and metrics to prioritize features, measure impact, and continuously improve products.
* Compliance \&amp; Security: Ensure all software solutions adhere to Aon’s data protection, security, and compliance standards.
**Skills And Experience That Will Lead To Success**
* Experience: 5\+ years of product management experience as an Individual Contributor, preferably in a global organization, with at least 3 years focused on data platforms, ML infrastructure, or related fields.
* Domain Knowledge: Familiarity with FinTech/Insurtech, cloud computing, insurance, or financial services operations is desirable.
* Technical Acumen: Experience working with Agile Methodologies and with software tools like Azure DevOps, Jira, and Confluence.
* Business Acumen: Create Epics, Stories, features and support System/User Testing as part of Aon’s SDLC process.
* Leadership: Proven track record of working with cross\-functional teams, including in a distributed or remote setting. Proactively gaining consensus across all stakeholders
* Communication Skills: Exceptional ability to communicate complex concepts to technical and non\-technical stakeholders.
* Problem\-Solving: Strong analytical and critical thinking skills, with the ability to navigate ambiguity and get results.
* Education: Bachelor’s degree or equivalent experience in business, Computer Science, or an equivalent; MBA or advanced degree is a plus.
 Why Join Aon?
* Be at the forefront of driving data and AI innovation in the reinsurance and risk management industry.
* Collaborate with a diverse and highly skilled global team.
* Access to cutting\-edge tools and technologies.
* Competitive compensation and benefits tailored to the local market.
* A culture that values continuous learning and professional growth.
 How we support our colleagues
 In addition to our comprehensive benefits package, we encourage an inclusive workforce. Plus, our agile, inclusive environment allows you to manage your wellbeing and work/life balance, ensuring you can be your best self at Aon. Furthermore, all colleagues enjoy two “Global Wellbeing Days” each year, encouraging you to take time to focus on yourself. We offer a variety of working style solutions, but we also recognize that flexibility goes beyond just the place of work... and we are all for it. We call this Smart Working!
 Our continuous learning culture inspires and equips you to learn, share and grow, helping you achieve your fullest potential. As a result, at Aon, you are more connected, more relevant, and more valued.
 Aon values an innovative and inclusive workplace where all colleagues feel empowered to be their authentic selves. Aon is proud to be an equal opportunity workplace.
 Aon provides equal employment opportunities to all employees and applicants for employment without regard to race, color, religion, creed, sex, sexual orientation, gender identity, national origin, age, disability, veteran, marital, domestic partner status, or other legally protected status. People with criminal histories are encouraged to apply.
 We welcome applications from all and provide individuals with disabilities with reasonable adjustments to participate in the job application, interview process and to perform essential job functions once onboard. If you would like to learn more about the reasonable accommodations we provide, email ReasonableAccommodations@Aon.com
 For positions in San Francisco and Los Angeles, we will consider for employment qualified applicants with arrest and conviction record in accordance with local Fair Chance ordinances.
 Nothing in this job description restricts management's right to assign or reassign duties and responsibilities to this job at any time.
**Pay Transparency Laws**
 The salary range for this position (intended for U.S. applicants) is $90,200 to $125,000 annually. The actual salary will vary based on applicant’s education, experience, skills, and abilities, as well as internal equity and alignment with market data. The salary may also be adjusted based on applicant’s geographic location.
 This position is eligible to participate in one of Aon’s annual incentive plans to receive an annual discretionary bonus in addition to base salary. The amount of any bonus varies and is subject to the terms and conditions of the applicable incentive plan.
 Aon offers a comprehensive package of benefits for full\-time and regular part\-time colleagues, including, but not limited to: a 401(k) savings plan with employer contributions; an employee stock purchase plan; consideration for long\-term incentive awards at Aon’s discretion; medical, dental and vision insurance, various types of leaves of absence, paid time off, including 12 paid holidays throughout the calendar year, 15 days of paid vacation per year, paid sick leave as provided under state and local paid sick leave laws, short\-term disability and optional long\-term disability, health savings account, health care and dependent care reimbursement accounts, employee and dependent life insurance and supplemental life and AD\&amp;D insurance; optional personal insurance policies, adoption assistance, tuition assistance, commuter benefits, and an employee assistance program that includes free counseling sessions. Eligibility for benefits is governed by the applicable plan documents and policies.
 2564822</t>
        </is>
      </c>
    </row>
    <row r="30">
      <c r="A30" t="inlineStr">
        <is>
          <t>li-4326633591</t>
        </is>
      </c>
      <c r="B30" t="inlineStr">
        <is>
          <t>Lead Product Manager, Platform Seller Leads</t>
        </is>
      </c>
      <c r="C30" t="inlineStr">
        <is>
          <t>Realtor.com</t>
        </is>
      </c>
      <c r="D30" t="inlineStr">
        <is>
          <t>linkedin</t>
        </is>
      </c>
      <c r="E30" t="inlineStr"/>
      <c r="F30" t="inlineStr"/>
      <c r="G30" t="inlineStr">
        <is>
          <t>Austin, TX</t>
        </is>
      </c>
      <c r="H30" t="inlineStr"/>
      <c r="I30" t="inlineStr">
        <is>
          <t>Recognized as the No. 1 site trusted by real estate professionals, Realtor.com® has been at the forefront of online real estate for over 25 years, connecting buyers, sellers, and renters with trusted insights and expert guidance to find their perfect home. Through its robust suite of tools, Realtor.com® not only makes a significant impact on the real estate industry at large, but for consumers, navigating the biggest purchase they will make in their life, by providing a user experience that is easy to use, easy to understand, and most of all, easy to make decisions.
 Join us on our mission to empower more people to find their way home by breaking barriers to entry, making the right connections, and building confidence through expert guidance.
 Are you a Product expert? Are you looking to maximize value for our most critical real\-estate partners? If you want to expand your professional goals at Realtor.com®, this is the role for you. Join us as our newest Senior Product Manager and continue to Love Your Career at Realtor.com®.
 We are seeking a highly strategic and results\-driven
 **Lead Product Manager, Platform Seller Leads** 
 , to own the core systems that match high\-intent seller leads with the best\-fit real estate professionals, driving significant business impact and maximizing agent success. This strategic role will be critical in evolving our seller lead infrastructure, leveraging data and algorithms to optimize routing and performance, and ensuring a seamless, high\-quality experience for both our consumers and our agent partners.
**🚀 What you’ll do:** 
 As the Senior Product Manager for Platform Seller Leads, you will define and execute the product strategy and roadmap for our high\-impact seller lead ecosystem, with a focus on maximizing platform efficiency and professional partner outcomes.
* ****Product Vision \&amp; Strategy:****
 You will develop and communicate a clear product vision and strategy for our core lead platform, ensuring alignment with the company's objective to grow market share and drive revenue. You will own and prioritize the product’s roadmap, balancing short\-term execution with long\-term strategic investments.
* **Marketplace Efficiency \&amp; Optimization:** 
 Define, launch, and iterate on sophisticated
 **matching and lead distribution algorithms** 
 to optimize the flow of value through the platform to maximize platform conversion and unit economics.
* **Data\-Driven Decision Making:** 
 You will leverage platform data, analytics, and data science recommendations to inform product decisions, validate hypotheses, and drive continuous improvement, identifying
 **opportunities for performance gains** 
 and strategic investment.
* ****Stakeholder \&amp; Partner Engagement:****
 Serve as the primary product leader for internal and external stakeholders regarding the platform's strategic roadmap. Partner closely with Engineering, Data Science, and Operations teams to ensure successful execution and launch.
* ****Customer Enablement:****
 You will partner with the Product Manager of Seller Client Experience to develop and deliver customer\-facing UI experience, materials, training, and documentation to support new features and drive adoption.
**✅ What you’ll bring:** 
* ****10 years of related experience with a Bachelor’s degree; or 8 years and a Master’s degree;****
 preferably within a marketplace, real estate, or B2B/SaaS environment.
* ****Strong technical background****
 with hands\-on experience or deep familiarity working with
 **data science, machine learning, and matching algorithms** 
 .
* Proven track record of defining, owning, and scaling complex platform products, particularly those involving advanced lead matching, routing logic, and data\-driven optimization.
* Deep understanding of the entire B2B lead generation lifecycle, lead qualification, and professional partner performance dynamics.
* Demonstrable experience leveraging data and analytics to make product decisions, define success metrics (KPIs/OKRs), and drive measurable business impact (e.g., revenue/lead, close rate).
* Experience with platform modernization and/or migration projects is highly desirable.
* Familiarity with agent/user success tools, AI/ML concepts, and building performance\-focused user interfaces.
* Excellent communication, negotiation, and stakeholder management skills, with the ability to articulate complex product strategies to both technical and executive audiences.
**💰 How we Reward you:** 
 Realtor.com is committed to investing in the health and wellbeing of our employees and their families. Our benefits programs include, but are not limited to:
* Inclusive and Competitive medical, Rx, dental, and vision coverage
* Family forming benefits
* 13 Paid Holidays
* Flexible Time Off
* Immediate eligibility into Company 401(k) plan with 3\.5% company match
* Tuition Reimbursement program for degreed and non\-degreed program]
* 1:1 personalized Financial Planning Session
* Student Debt Retirement Savings Match program
* Free snacks and refreshments in each office location
 🤝 How We Work:
 We balance creativity and innovation on a foundation of in\-person collaboration. For most roles, our employees work three or more days in our office in Austin, TX, where they have the opportunity to collaborate in\-person, adding richness to our culture and knitting us closer together.
 Do the best work of your life at Realtor.com®
 Here, you’ll partner with a diverse team of experts as you use leading\-edge tech to empower everyone to meet a crucial goal: finding their way home. And you’ll find your way home too. At Realtor.com®, you’ll bring your full self to work as you innovate with speed, serve our consumers, and champion your teammates. In return, we’ll provide you with a warm, welcoming, and inclusive culture; intellectual challenges; and the development opportunities you need to grow.
 Diversity is important to us, therefore, Realtor.com® is an Equal Opportunity Employer regardless of age, color, national origin, race, religion, creed, gender, sex, sexual orientation, gender identity and/or expression, marital status, status as a disabled veteran and/or veteran of the Vietnam Era or any other characteristic protected by federal, state or local law. In addition, Realtor.com® will provide reasonable accommodations for otherwise qualified disabled individuals.</t>
        </is>
      </c>
    </row>
    <row r="31">
      <c r="A31" t="inlineStr">
        <is>
          <t>li-4363265687</t>
        </is>
      </c>
      <c r="B31" t="inlineStr">
        <is>
          <t>ASSOCIATE PRODUCT MANAGER</t>
        </is>
      </c>
      <c r="C31" t="inlineStr">
        <is>
          <t>Globus Medical</t>
        </is>
      </c>
      <c r="D31" t="inlineStr">
        <is>
          <t>linkedin</t>
        </is>
      </c>
      <c r="E31" t="inlineStr"/>
      <c r="F31" t="inlineStr"/>
      <c r="G31" t="inlineStr">
        <is>
          <t>King of Prussia, PA</t>
        </is>
      </c>
      <c r="H31" t="inlineStr"/>
      <c r="I31" t="inlineStr">
        <is>
          <t>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At Globus Medical, we move with a sense of urgency to deliver innovations that improve the quality of life of patients with musculoskeletal disorders. Our team is inspired by the needs of these patients, and the surgeons and healthcare providers who treat them. We embrace a culture of exceptional response by partnering with researchers and educators to transform clinical insights into tangible solutions. Our solutions improve the techniques and outcomes of surgery so patients can resume their lives as quickly as possible.
****Key Responsibilities****
**Upstream Activities:**
* Collaborate with management to establish strategic plans and objectives
* Conduct market analysis to identify opportunities for new products and line extensions
* Develop biomechanical, pre\-clinical, and clinical data supporting product innovation
* Create and manage project plans with engineering counterparts
* Lead coordination of design reviews, V\&amp;V testing, cadaver labs, and team meetings
* Ensure high\-quality documentation of DHFs, DMRs, and DHRs per regulatory standards
****Downstream Activities:****
* Develop marketing plans for new product introductions
* Create sales tools and training collateral (technique guides, brochures, sales binders)
* Forecast and manage inventory needs in collaboration with operations and supply chain
* Monitor product performance via revenue, adoption, and customer feedback
* Gather post\-launch insights from end users and field teams to guide future iterations
****Customer\-Facing Responsibilities:****
* Support the sales team with product positioning, demos, and value messaging
* Deliver clinical education to surgeons, OR staff, and sales representatives
* Provide direct on\-site operating room support during surgical procedures
* Act as a field\-based resource to resolve technical issues and reinforce proper technique use
* Serve as the voice of the customer, translating clinical feedback into actionable improvements
* Adheres to the letter and spirit of the company Code of Conduct, the AdvaMed Code, MedTech Code, and all other company policies
* Ensures Compliance with applicable governmental laws, rules, and regulations, both in the United States and internationally, by completing introductory and annual training and maintaining knowledge of compliance as it applies to your role
* Represents the company in a professional manner and upholds the highest standards of ethical business practices and socially responsible conduct in all interactions with other employees, customers, suppliers, and other third parties
* Reasonable accommodations may be made to enable individuals with disabilities to perform these essential functions.
****Qualifications****
* Product Manager: Bachelor’s Degree in related field with 3\+ years of relevant experience
* Associate Product Manager: Bachelor's Degree in related field with 0\-3 years of experience
* Experience in medical devices or healthcare preferred
* Strong project management and communication skills
* Highly organized and able to prioritize tasks/initiatives with support from manager and team
* Customer\-centric and results driven
* Ability to travel up to 20%
**Core Values**
* Passionate About Innovation – Relentlessly focused on improving patient outcomes
* Customer Focused – Actively listen and respond to clinical and commercial needs
* Teamwork – Collaborate with cross\-functional teams in a respectful, accountable way
* Driven – Results\-oriented, fast\-moving, and committed to excellence
****Our Values:****
 Our Life Moves Us philosophy is built on four values: Passionate About Innovation, Customer Focused, Teamwork, and Driven.
* Passionate about Innovation: Improving patient care by delivering advanced technology to our customers is at the core of what we do. We are passionate in our role in improving the lives of patients by continuously developing better solutions.
* Customer Focused: We listen to our customers’ needs and respond with a sense of urgency.
* Teamwork: Working together, anything is possible. We value every person on our team and treat each other with respect. We are accountable to one another and support each other. Together, we make each other stronger.
* Driven: We pursue our mission with energy and passion. We are nimble, results\-oriented and decisive. We overcome obstacles that arise in our quest to deliver solutions that will improve the lives of our customers and patients.
****Equal Employment Opportunity:****
 Globus Medical is an equal opportunity employer. All applicants will receive consideration for employment without regard to race, color, religion, gender, sexual orientation, age, disability, marital status, pregnancy, national origin or citizenship. We are committed to a diverse workforce. We value all employees’ talents and support an environment that is inclusive and respectful.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****Other Duties:****
 Please note this job description is not designed to cover or contain a comprehensive listing of activities, duties or responsibilities that are required of the employee for this job. Duties, responsibilities and activities may change at any time with or without notice.</t>
        </is>
      </c>
    </row>
    <row r="32">
      <c r="A32" t="inlineStr">
        <is>
          <t>li-4365247760</t>
        </is>
      </c>
      <c r="B32" t="inlineStr">
        <is>
          <t>Sr. Product Manager - Selection, Amazon Now</t>
        </is>
      </c>
      <c r="C32" t="inlineStr">
        <is>
          <t>Amazon</t>
        </is>
      </c>
      <c r="D32" t="inlineStr">
        <is>
          <t>linkedin</t>
        </is>
      </c>
      <c r="E32" t="inlineStr"/>
      <c r="F32" t="inlineStr"/>
      <c r="G32" t="inlineStr">
        <is>
          <t>Bellevue, WA</t>
        </is>
      </c>
      <c r="H32" t="inlineStr"/>
      <c r="I32" t="inlineStr">
        <is>
          <t>**Description**
 If you have a founder's mentality, are a seasoned product \&amp; business person and are looking for an opportunity to impact how we innovate getting products to customers when and how they need them, then this is the team for you.
 The Amazon Now team is a passionate group of mission\-focused leaders working on an exciting new initiative \- deliveries in under 30 minutes. In this role, you will work with a wide range of stakeholders across operational, technical, business, retail, and finance teams to drive overall selection, customer experience, and business performance. The role will focus on the Amazon Now selection strategy, building localized selection, owning vendor promotions and partnerships, improving pricing and in\-stock, and implementing operational process improvements. The successful candidate will leverage their team to build and implement a multi\-year roadmap of initiatives that enhance customer selection and drive the flywheel to accelerate growth.
 Your work will directly to impact the shopping experience of millions of customers globally by operationalizing this exciting new service.
 Please request an informational and don't contact the hiring manager directly.
**Basic Qualifications**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**Preferred Qualifications**
* Experience in influencing senior leadership through data driven insights
* Experience working across functional teams and senior stakeholders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NY, New York \- 152,200\.00 \- 206,000\.00 USD annually
 USA, WA, Bellevue \- 136,000\.00 \- 184,100\.00 USD annually
**Company** 
 \- Amazon.com Services LLC
 Job ID: A3164026</t>
        </is>
      </c>
    </row>
    <row r="33">
      <c r="A33" t="inlineStr">
        <is>
          <t>li-4371857300</t>
        </is>
      </c>
      <c r="B33" t="inlineStr">
        <is>
          <t>Senior Product Manager</t>
        </is>
      </c>
      <c r="C33" t="inlineStr">
        <is>
          <t>Microsoft</t>
        </is>
      </c>
      <c r="D33" t="inlineStr">
        <is>
          <t>linkedin</t>
        </is>
      </c>
      <c r="E33" t="inlineStr"/>
      <c r="F33" t="inlineStr"/>
      <c r="G33" t="inlineStr">
        <is>
          <t>Redmond, WA</t>
        </is>
      </c>
      <c r="H33" t="inlineStr"/>
      <c r="I33" t="inlineStr">
        <is>
          <t>**Overview**
**We are the Client Core Team. What do we do?**
 We are the base platform layer, the core of the windows kernel, with a focus towards Windows client products. Partner teams build their technologies on top of our team's code base and rely on the integrity of our code base.
*We're responsible for the lowest layers of the operating system:*
* where the processors and most core system hardware components interface with Windows
* where the heart of power management occurs
* where the most critical devices like storage and network engage the system
* where the code lives to turn the whole system on in the first place
**We’re looking for someone to join our team.**
 As a
 **Senior Product Manager** 
 of our team, you will have the opportunity to work on features that advance the Windows platform to be more performant, scale better across the wide spectrum of Windows hardware and even consider new hardware scenarios. Our team has a number of dependent teams, internal and external, which allows you to work with a diverse set of individuals across Windows, Microsoft and the industry.
 We work directly with hardware partners and OEMs to ensure that Windows can start and run the latest processors and chipsets coming down the pipe. Members of our team work on the core firmware that ships in first party products. Others work on the most critical of system components such as PCI, boot, and the hardware abstraction layer (HAL). We also work with the industry on what new hardware or features are in the works on future silicon, and how we might best leverage those in future iterations of Windows.
**What Our Team Offers**
* Teammates who are some of the best engineers in the world.
* Opportunities to take on interesting technical challenges that directly impact the millions of customers that use Windows.
* Incredible mentorship. We are looking to groom and grow the next set of leaders on our team.
* Teammates that come from an array of diverse backgrounds and experiences who really love what they’re working on. You can look forward to friendly faces that are ready to help you get you up to speed.
 Microsoft’s mission is to empower every person and every organization on the planet to achieve more. As employees we come together with a growth mindset, innovate to empower others, and collaborate to realize our shared goals. Each day we build on our values of respect, integrity, and accountability to create a culture of inclusion where everyone can thrive at work and beyond.
**Responsibilities**
**As a member of our team, a typical day might include:**
* Collaborating with external and internal partner teams to drive clarity and ensure execution on parallel work streams and coordinating communication across partner teams.
* Partnering with developers on our team to remove roadblocks and enabling them to complete their work efficiently. This could include being POC for your feature area and serving as the first gate for all partner team requests and inquiries.
* Driving features from inception (based on customer and industry partner feedback) \-\&gt; planning \-\&gt; feature completion \-\&gt; industry adoption.
**Qualifications**
**Required Qualifications:**
* Bachelor's Degree AND 5\+ years experience in product/service/program management or software development
* 
+ OR equivalent experience.
**Preferred Qualifications**
* 3\+ years experience managing cross\-functional and/or cross\-team projects.
 Other Requirements: Ability to meet Microsoft, customer and/or government security screening requirements are required for this role. These requirements include but are not limited to the following specialized security screenings:
* Microsoft Cloud Background Check: This position will be required to pass the Microsoft Cloud background check upon hire/transfer and every two years thereafter.
**Our Team Might Be a Good Fit If**
* You have a genuine passion and interest in the technical challenges our team tackles.
* You are looking to commit to 3\+ years at your next job.
* You have a growth mindset (really, we mean it!) and are eager and ready to learn.
* You care deeply about doing the right thing for your customers.
* You are a team player that approaches communication and collaboration with empathy and compassion.
* You have experience with hardware and/or C programming.
 \#W\+DJOBS
 \#CoreOSJob
 Product Management IC4 \- The typical base pay range for this role across the U.S. is USD $119,800 \- $234,700 per year. There is a different range applicable to specific work locations, within the San Francisco Bay area and New York City metropolitan area, and the base pay range for this role in those locations is USD $158,400 \- $258,000 per year.
 Certain roles may be eligible for benefits and other compensation. Find additional benefits and pay information here:
 https://careers.microsoft.com/us/en/us\-corporate\-pay
 This position will be open for a minimum of 5 days, with applications accepted on an ongoing basis until the position is filled.
 Microsoft is an equal opportunity employer. All qualified applicants will receive consideration for employment without regard to age, ancestry, citizenship, color, family or medical care leave, gender identity or expression, genetic information, immigration status, marital status, medical condition, national origin, physical or mental disability, political affiliation, protected veteran or military status, race, ethnicity, religion, sex (including pregnancy), sexual orientation, or any other characteristic protected by applicable local laws, regulations and ordinances. If you need assistance with religious accommodations and/or a reasonable accommodation due to a disability during the application process, read more about
 **requesting accommodations.**</t>
        </is>
      </c>
    </row>
    <row r="34">
      <c r="A34" t="inlineStr">
        <is>
          <t>li-4349680271</t>
        </is>
      </c>
      <c r="B34" t="inlineStr">
        <is>
          <t>SW product Manager III</t>
        </is>
      </c>
      <c r="C34" t="inlineStr">
        <is>
          <t>Candescent</t>
        </is>
      </c>
      <c r="D34" t="inlineStr">
        <is>
          <t>linkedin</t>
        </is>
      </c>
      <c r="E34" t="inlineStr"/>
      <c r="F34" t="inlineStr"/>
      <c r="G34" t="inlineStr">
        <is>
          <t>Elkhart County, IN</t>
        </is>
      </c>
      <c r="H34" t="inlineStr"/>
      <c r="I34" t="inlineStr">
        <is>
          <t>Candescent is the leading cloud\-based digital banking solutions provider for financial institutions. We are transforming digital banking with intelligent, cloud\-powered solutions that connect account opening, digital banking, and branch experiences for financial institutions. Our advanced technology and developer tools enable seamless, differentiated customer journeys that elevate trust, service, and innovation. Success here requires flexibility in a fast\-paced environment, a client\-first mindset, and a commitment to delivering consistent, reliable results as part of a performance\-driven, values\-led team. With team members around the world, Candescent is an equal opportunity employer.
**Position Summary**
 We are seeking experienced Product Manager to help deliver on our product objectives and roadmaps. Product Owners are responsible for delivering product outcomes and functionality that meet customer and user needs. They translate product vision and insights into prioritized features and user stories, developed by their agile team of 8–10 members.
 This role collaborates with Candescent clients and Product Managers to identify and prioritize requirements for enhancements to the Banking Platform. Product Managers also work with the Product Advisory Council, participating in user group discussions and presenting both strategic and tactical functionality. Additional responsibilities include release planning, product roadmap maintenance, and backlog grooming for assigned Candescent Banking Services initiatives.
**Key Areas of Responsibility**
* Lead efforts to define specific functions, integration requirements, user experiences, and deployment strategies for delivery to both the company and market
* Develop, shape, and refine user stories, problem statements, and acceptance criteria to ensure efficient and effective team consumption
* Collaborate with the broader product organization to ensure integration across all Candescent Digital Banking Technology products
* Work closely with the development team to ensure that delivered products meet specified requirements and are delivered on time and within budget
* Drive understanding of the work to be completed by the development team, supporting effective sprint sequencing and incremental delivery
* Participate actively in scrum ceremonies such as sprint planning, reviews, retrospectives, daily stand\-ups, and demos
* Maintain functional quality by setting and evaluating expectations and acceptance criteria
* Present and train internal customers on new platform features and services released in each version
* Prepare explanatory documentation for customers on existing and new platform functionality
* Document business requirements using the company's software development tools and methodology
**Product P\&amp;L and Pricing**
* Collaborate with the Product Manager to manage product profitability and performance, ensuring alignment with short\- and long\-term product objectives and roadmaps
**Product Strategy, Vision, and Planning**
* Gather customer and user needs, along with market research, to inform the product vision and strategy created by the Product Manager
* Use the product vision and insights to define product features and prioritize the team’s backlog
**Customer Experience Research, Insights, And Execution**
* Demonstrate a deep understanding of customers and users through the development of insights, including personas, journey maps, and product charters
**Product Design and Development**
* Participate in PI (Program Increment) planning to prioritize the roadmap and inform team backlogs
* Write and prioritize user stories based on business needs, user requirements, and technical feasibility
* Continuously refine the product backlog by analyzing value versus effort
* Define acceptance criteria and validate that features and stories meet user quality standards
* Drive product development in collaboration with cross\-functional teams and engage stakeholders (e.g., PMs, other POs, functions) to manage dependencies and resolve issues
**Qualifications**
* Bachelor’s degree in computer science or a related field, or equivalent work experience
* 9\+ years of experience in the finance industry, preferably with large\-scale digital, online, or mobile banking applications for consumers or small businesses
* Strong understanding of complex business and technical problems
* Proven experience delivering software products through the definition, design, and release cycle
* Experience with Agile/Scrum methodologies throughout the software development lifecycle
* Familiarity with industry standards such as PCI, WCAG, and FFIEC
* Strong leadership, project management, time management, and problem\-solving skills
* Excellent verbal and written communication skills
* Deep understanding of user and business needs to create and prioritize user stories that deliver value
* Ability to prioritize based on business value, user impact, and technical feasibility
**Statement to Third Party Agencies**
 To ALL recruitment agencies: Candescent only accepts resumes from agencies on the preferred supplier list. Please do not forward resumes to our applicant tracking system, Candescent employees, or any Candescent facility. Candescent is not responsible for any fees or charges associated with unsolicited resumes.</t>
        </is>
      </c>
    </row>
    <row r="35">
      <c r="A35" t="inlineStr">
        <is>
          <t>li-4371392860</t>
        </is>
      </c>
      <c r="B35" t="inlineStr">
        <is>
          <t>Product Manager - AI &amp; Data Analytics</t>
        </is>
      </c>
      <c r="C35" t="inlineStr">
        <is>
          <t>RemoteHunter</t>
        </is>
      </c>
      <c r="D35" t="inlineStr">
        <is>
          <t>linkedin</t>
        </is>
      </c>
      <c r="E35" t="inlineStr"/>
      <c r="F35" t="inlineStr"/>
      <c r="G35" t="inlineStr"/>
      <c r="H35" t="inlineStr"/>
      <c r="I35" t="inlineStr">
        <is>
          <t>About the Opportunity:
 This organization is seeking a Product Manager focused on AI and Data Analytics. The role supports product management efforts to develop and enhance AI\-driven data analytics solutions in a fully remote capacity within the US.
 Responsibilities:
 • Manage product lifecycle for AI and data analytics offerings
 • Collaborate with cross\-functional teams to define product requirements
 • Analyze market trends and customer needs to guide product strategy
 • Oversee roadmap planning and prioritization
 • Drive product launches and ensure alignment with business goals
 • Monitor product performance and iterate based on feedback
 Requirements:
 • Experience in product management with AI and data analytics focus
 • Strong understanding of data\-driven product development
 • Ability to work effectively in remote, cross\-functional teams
 • Excellent communication and stakeholder management skills
 • Authorization to work lawfully in the United States
 • Does not require employment visa sponsorship now or in the future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36">
      <c r="A36" t="inlineStr">
        <is>
          <t>li-4371880116</t>
        </is>
      </c>
      <c r="B36" t="inlineStr">
        <is>
          <t>Telematics Product Manager</t>
        </is>
      </c>
      <c r="C36" t="inlineStr">
        <is>
          <t>Ajulia Executive Search</t>
        </is>
      </c>
      <c r="D36" t="inlineStr">
        <is>
          <t>linkedin</t>
        </is>
      </c>
      <c r="E36" t="inlineStr"/>
      <c r="F36" t="inlineStr"/>
      <c r="G36" t="inlineStr">
        <is>
          <t>Madison, WI</t>
        </is>
      </c>
      <c r="H36" t="inlineStr"/>
      <c r="I36" t="inlineStr">
        <is>
          <t>Responsibilities
* Strengthens dealer and customer relationships while driving adoption of a telematics platform through effective onboarding and ongoing engagement
* Creates and delivers enablement programs—both in‑person and digital—including training content, feature tutorials, and practical “how‑to” resources for dealers, sales teams, and end users.
* Develops dashboards, reports, and performance insights to support fleet management, utilization analysis, and data‑driven selling, presenting findings that influence strategy and engagement.
* Supports product strategy and roadmap development by translating customer needs into prioritized features, user stories, and release plans in collaboration with cross‑functional teams
* Contributes to go‑to‑market execution, assisting with feature launches, positioning, pricing recommendations, and participation in demos, roadshows, and industry events
* Oversees platform operations and governance, including user management, asset tracking, help‑desk monitoring, process documentation, and coordination with Engineering/IT on data privacy, security, and uptime
 Qualifications
* Educational foundation in business, engineering, analytics, or a related field, with advanced degrees considered an advantage
* 5\+ years of product management experience in SaaS, IoT, and telematics, ideally with exposure to material handling, batteries, chargers, or industrial fleets
* Proven ability to launch and scale data‑driven products, delivering measurable customer and business impact
* Strong communicator skilled at tailoring training and presentations for diverse groups, including dealers, sales teams, technicians, and national accounts
 Salary: $100k \- $120k
 Ask for: Aarti Manchanda
 Ajulia Executive Search is a New Jersey based Executive Search Firm specializing in retained searches in multiple sectors, including Manufacturing, Finance, IT, Legal, and Pharmaceutical. We have a nationwide client base and offer services in temporary and direct hire placements</t>
        </is>
      </c>
    </row>
    <row r="37">
      <c r="A37" t="inlineStr">
        <is>
          <t>li-4371507442</t>
        </is>
      </c>
      <c r="B37" t="inlineStr">
        <is>
          <t>Senior Product Manager - Range Modeling &amp; Analytics</t>
        </is>
      </c>
      <c r="C37" t="inlineStr">
        <is>
          <t>Bettercomp</t>
        </is>
      </c>
      <c r="D37" t="inlineStr">
        <is>
          <t>linkedin</t>
        </is>
      </c>
      <c r="E37" t="inlineStr"/>
      <c r="F37" t="inlineStr"/>
      <c r="G37" t="inlineStr"/>
      <c r="H37" t="inlineStr"/>
      <c r="I37" t="inlineStr">
        <is>
          <t>**About the role** 
 We're looking for a
 **Senior Product Manager, Range Modeling \&amp; Analytics** 
 who excels at diving deep into complex domains, understanding how users actually work, and building products that transform their workflows.
 This role is about mastering compensation range modeling – how companies design salary structures, define grades and ranges, and build the architecture that governs how they pay people. It's a technical, nuanced domain where deep customer understanding is essential. You'll spend real time with progressive compensation leaders, learn how they think about this work, and build solutions that evolve industry practices.
 You'll own the product strategy for range modeling and integrated analytics. That means shipping capabilities like job\-based ranges, advancing our core modeling tools, and ensuring users can understand the impact of their decisions without leaving their workflow. You'll also establish the foundation for AI\-assisted modeling that makes complex compensation work more intuitive.
 We're not looking for someone who already knows compensation inside\-out (though that's a bonus). We're looking for someone who's thrived in complex, technical domains before – whether fintech, healthcare, HR tech, legal tech, or operations software – and has the customer discovery chops and domain learning ability to do it again here.
**What you’ll do:** 
* **Master the range modeling domain** 
 – become the expert in how compensation teams design salary structures, understand the practices and decisions that matter, and identify opportunities for innovation
* **Own the Range Modeling \&amp; Analytics product strategy** 
 – define and deliver a roadmap that advances our modeling capabilities and transforms how customers get insights from their compensation data
* **Drive deep customer discovery** 
 – spend real time with users understanding their workflows, uncover needs beneath stated requests, and synthesize signals into compelling product vision
* **Enable AI\-assisted modeling and reporting** 
 – deliver capabilities that help users model structures and generate reports through natural interaction
* **Partner across functions** 
 – collaborate with engineering, design, customer success, sales, and data analysts
**What you bring:** 
* **5\+ years of product management experience** 
 in B2B SaaS with a track record of shipping valuable products
* **Proven ability to master complex domains** 
 – you've landed in technical or specialized areas (fintech, healthcare, HR, legal, ops) and quickly developed deep expertise and credible product strategy
* **Exceptional customer discovery skills** 
 – you spend real time with users, uncover genuine needs, and build trust with domain experts. You're credible and inspiring with customers.
* **Product strategy and execution** 
 – you define roadmaps with clear rationale, prioritize effectively, and drive outcomes through delivery
* **Strong PM fundamentals** 
 – you write clear requirements, work hands\-on through delivery details, and balance strategy with execution
* **Cross\-functional collaboration** 
 – you build strong partnerships across product, engineering, design, and go\-to\-market teams
* ***Nice to have:***
 compensation or HR domain experience, experience with AI/ML products, analytics product experience
**Why you’ll love it:** 
 This is a chance to
 **define the future of an entire product domain** 
 . You'll own range modeling and analytics with clear customer needs, engineering partnership, and organizational support to deliver real impact.
 You'll
 **work with a focused, high\-performing team** 
 – we're thoughtful about how we build, nimble enough to move fast, and committed to sustainable pace. Your ideas ship quickly – with a pace you can maintain.
 You'll
 **become a domain expert in compensation** 
 – working directly with progressive compensation leaders who'll teach you how they think about this work. Not requirements filtered through others, but deep relationships where you learn from the best.
 You'll
 **ship capabilities that change how customers work** 
 – job\-based ranges, AI\-assisted modeling, and integrated analytics that transform compensation workflows.
 You'll
 **shape how AI transforms this space** 
 – building on customer\-validated prototypes to establish patterns that could define the category.
 And you'll
 **help shape how we do product** 
 – we're ambitious about our product craft, and you'll be an active part of that journey.
 Bettercomp is transforming the way companies approach compensation, delivering modern, data\-driven solutions that help organizations streamline pay practices, ensure fairness, and stay competitive. With a growing roster of enterprise clients, including many of the world’s largest companies, we’re redefining how compensation teams work.
 As a fast\-moving startup, we thrive on building what doesn’t yet exist—solving complex problems with creativity, agility, and a bias for action. At Bettercomp, you’ll be part of a forward\-thinking team that values bold ideas, empowers you to take ownership, and provides the support needed to grow your career.
 Our success is driven by exceptional people. We hire top talent and give them the autonomy and space to do their best work. Here, you’ll collaborate with some of the most innovative and driven minds in the industry, tackling compensation’s toughest challenges and shaping the future of HRTech.
**What we offer:** 
* Our fully remote position, based in the U.S., offers you the freedom to work from the comfort of your home, giving you the flexibility you've always wanted.
* Competitive compensation package that includes:
* Base salary range for this position:
 **$150,000 \- $175,000** 
 (annually based on experience and location)
* Equity
* Flexible PTO, generous company holidays
* Comprehensive health, dental, and vision insurance
* 401(k) with company match
*In compliance with federal law, all persons hired will be required to verify identity and eligibility to work in the United States.*</t>
        </is>
      </c>
    </row>
    <row r="38">
      <c r="A38" t="inlineStr">
        <is>
          <t>li-4371511341</t>
        </is>
      </c>
      <c r="B38" t="inlineStr">
        <is>
          <t>Staff Product Manager - QGOV</t>
        </is>
      </c>
      <c r="C38" t="inlineStr">
        <is>
          <t>Qualcomm</t>
        </is>
      </c>
      <c r="D38" t="inlineStr">
        <is>
          <t>linkedin</t>
        </is>
      </c>
      <c r="E38" t="inlineStr"/>
      <c r="F38" t="inlineStr"/>
      <c r="G38" t="inlineStr">
        <is>
          <t>San Diego, CA</t>
        </is>
      </c>
      <c r="H38" t="inlineStr"/>
      <c r="I38" t="inlineStr">
        <is>
          <t>**Company**
 Qualcomm Technologies, Inc.
**Job Area**
 Operations Group, Operations Group \&gt; Product Management
**General Summary**
 Qualcomm Government Technologies (QGOV) partners with the U.S. Government to bring the latest in new and innovative commercial technologies to government use cases. QGOV is seeking a results\-oriented Staff Product Manager to manage multiple products and technology areas as part of highly strategic, complex government programs.
 The ideal candidate is an outstanding team player, self\-starter, and can thrive in an ambiguous, fast\-paced technical environment. This individual has both a Product Management and technical background, is capable of simultaneously managing multiple products and technology areas. Excellent oral and written communication skills are critical, including the ability to create and effectively present product plans and roadmaps to diverse audiences.
 Key responsibilities include: Directing a comprehensive product strategy from product conception and definition through end of life. Defining the requirements and interdependencies of assigned products and technology areas. Working with proposal teams to prepare responses to customer RFPs. Establishing regular communications with upper management and other stakeholders regarding products and technology areas. Interacting with Engineering, Program Management, Business Development and other internal functional groups as required to ensure alignment and accomplish objectives as the product(s) and/or product line(s) move through their lifecycle.
 A successful applicant must have excellent interpersonal, teamwork, mentoring, and organizational skills, as well as proven Product Management skills with an emphasis on Qualcomm products, technologies, roadmaps, and ecosystems with advanced knowledge of internal Qualcomm systems and an extensive network of Product Management contacts within the company.
 Applicants selected will be subject to a government security investigation and must meet eligibility requirements for access to classified information.
* Must be a U.S. citizen and eligible for a U.S. Government security clearance\*\*\*
**Preferred Qualifications**
* A current or recent Top Secret (TS/SI) security clearance.
* Advanced degree in Engineering, Computer Science, or MBA.
* 10\+ years of Product Management or related work experience managing complete lifecycle of products from concept to launch, defining product requirements and working with cross\-functional teams, both technical and non\-technical.
* 3\+ years of work experience in a role requiring interaction with senior leadership (e.g., Director level and above).
* 3\+ years of experience working in a large matrixed organization.
* Experience within the Wireless Telecommunications industry, including Modem, Location, AI, Compute, and other technologies.
**Principal Duties And Responsibilities**
* Identifies gaps in market based on complex analyses of market, customer, technology, and other ecosystem demands and provides this information to guide design conversations.
* Leads team collaboration in the creation of product plans for development of new and complex products to ensure they are appropriate given business direction and asks appropriate questions to understand relevance of program to roadmap.
* Markets new and complex products and technologies through technical marketing opportunities and drives product launch efforts.
* Prepares and delivers highly complex technical presentations regarding a product roadmap that explains and demonstrates products managed to customers.
* Translates customer feedback and external environment into potential changes for the differentiated product roadmap and communicates this to senior leaders.
* Directs and oversees the development of highly complex products or new products areas and services, independently; maintains communication with individuals across functional teams.
* Completes product development and definition activities for a new or highly complex, owned product, including determination of cost and impact, and interacts with sales team to generate forecasts.
* Holds self and team(s) accountable for remaining up to date on competitors, technological advances, and the product ecosystem and taking the lead on development and design innovation of new and complex products to articulate differentiation of products to customer and identify trends.
* Communicates regularly with leadership following a communication plan to ensure cross\-functional understanding of product plans for a product line.
* Ensures successful cross\-functional collaboration by ensuring that agreed upon KPIs and specifications are met for a new, complex product(s), upon delivery by engineering team.
* Collaborates with key stakeholders and program sponsors to develop product goals (e.g., performance, cost, timeline, customer schedules), discuss product feasibility, and facilitate cross\-functional decision making for products they own.
**Level Of Responsibility**
* Working independently with little supervision.
* Making decisions that are significant in impact; errors are not readily apparent due to the complexity of work process/product or time between decisions and results; errors typically result in significant expenditure of time, resources, and funds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require multiple steps that can be performed in various orders; tasks require simultaneously executing multiple cognitive abilities and maintaining information in short\- or long\-term memory.
* Exercising exceptional creativity to innovate new ideas and develop innovative products/processes without established objectives or known parameters.
* Using deductive and inductive problem solving; multiple approaches may be taken/necessary to solve the problem; often information is missing or conflicting; advanced data analysis and interpretation skills are required.
* Actively participates in strategic planning within own area affecting immediate operations.
**Minimum Qualifications**
* Bachelor's degree in Engineering, Information Systems, Computer Science, Humanities, or related field.
* 5\+ years of Product Management or related work experience.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$179,200\.00 \- $268,800\.00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39">
      <c r="A39" t="inlineStr">
        <is>
          <t>li-4309206886</t>
        </is>
      </c>
      <c r="B39" t="inlineStr">
        <is>
          <t>Sr. Product Manager, Compute Platform</t>
        </is>
      </c>
      <c r="C39" t="inlineStr">
        <is>
          <t>Databricks</t>
        </is>
      </c>
      <c r="D39" t="inlineStr">
        <is>
          <t>linkedin</t>
        </is>
      </c>
      <c r="E39" t="inlineStr"/>
      <c r="F39" t="inlineStr"/>
      <c r="G39" t="inlineStr">
        <is>
          <t>San Francisco, CA</t>
        </is>
      </c>
      <c r="H39" t="inlineStr"/>
      <c r="I39" t="inlineStr">
        <is>
          <t>RDQ127R236
 At Databricks, we are passionate about enabling data teams to solve the world’s toughest problems — from making the next mode of transportation a reality to accelerating the development of medical breakthroughs. We do this by building and running the world’s best data and AI infrastructure platform so our customers can use deep data insights to improve their business. Founded by engineers — and customer obsessed — we leap at every opportunity to tackle technical challenges, from designing next\-gen UI/UX for interfacing with data to scaling our services and infrastructure across millions of virtual machines. And we're only getting started.
 We are looking for a
 **customer\-obsessed, strategic,** 
 and
 **action\-oriented** 
 Sr. Product Manager for the Compute Platform. What’s the Compute Platform? Simply, it’s what powers Databricks workloads \- providing customers many types of compute for different types of work \- Classic Compute, SQL Warehouses, and Serverless Compute. This platform is mission\-critical to many Databricks products and features.
 This role will be highly cross\-functional and deeply technical. It will require coordinating product activities from vision to implementation, including engaging large enterprise customers to understand their needs, developing long\-term product strategy, defining product roadmaps, working with engineering to build those products, and coordinating with various internal stakeholders (both pre\- and post\-launch) to ensure product success.
**The Impact You Will Have**
* Research, define, and own the product vision, strategy, and roadmap for compute platform features and products (Classic and Serverless)
* Work closely with engineering, design, sales, and marketing to launch new features and drive adoption.
* Engage directly with customers and partners to understand their needs and prioritize high\-impact solutions.
* Continually improve efficiency and value for internal stakeholders and external customers though measured and strategic execution.
* Drive competitive differentiation and positioning between our compute platform and competitive SaaS and IaaS products.
* Collaborate with leadership to align product initiatives with business goals.
* Use data\-driven insights to measure success, iterate, and improve user experience.
**What We Look For**
* 5\+ years of product management experience, preferably in cloud, analytics, or data platforms.
* Deep understanding of data platforms, the compute products that power them, and compute use cases.
* Educational background in computer science or related engineering practice.
* Experience working with engineers and designers to ship high\-impact and cross\-functional products.
* Exceptional communication and storytelling skills to inspire teams and stakeholders.
* Experience in working hand\-in\-hand with enterprise customers and ISV partners in the data market.
**Pay Range Transparency**
 Databricks is committed to fair and equitable compensation practices. The pay range(s) for this role is listed below and represents the expected salary range for non\-commissionable roles or on\-target earnings for commissionable roles. Actual compensation packages are based on several factors that are unique to each candidate, including but not limited to job\-related skills, depth of experience, relevant certifications and training, and specific work location. Based on the factors above, Databricks anticipates utilizing the full width of the range. The total compensation package for this position may also include eligibility for annual performance bonus, equity, and the benefits listed above. For more information regarding which range your location is in visit our page here.
 Zone 1 Pay Range
 $153,000—$210,450 USD
**About Databricks**
 Databricks is the data and AI company. More than 10,000 organizations worldwide — including Comcast, Condé Nast, Grammarly, and over 50% of the Fortune 500 — rely on the Databricks Data Intelligence Platform to unify and democratize data, analytics and AI. Databricks is headquartered in San Francisco, with offices around the globe and was founded by the original creators of Lakehouse, Apache Spark™, Delta Lake and MLflow. To learn more, follow Databricks on Twitter, LinkedIn and Facebook.
**Benefits**
 At Databricks, we strive to provide comprehensive benefits and perks that meet the needs of all of our employees. For specific details on the benefits offered in your region, please visit https://www.mybenefitsnow.com/databricks.
**Our Commitment to Diversity and Inclusion**
 At Databricks, we are committed to fostering a diverse and inclusive culture where everyone can excel. We take great care to ensure that our hiring practices are inclusive and meet equal employment opportunity standards. Individuals looking for employment at Databricks are considered without regard to age, color, disability, ethnicity, family or marital status, gender identity or expression, language, national origin, physical and mental ability, political affiliation, race, religion, sexual orientation, socio\-economic status, veteran status, and other protected characteristics.
**Compliance**
**If access to export\-controlled technology or source code is required for performance of job duties, it is within Employer's discretion whether to apply for a U.S. government license for such positions, and Employer may decline to proceed with an applicant on this basis alone.**</t>
        </is>
      </c>
    </row>
    <row r="40">
      <c r="A40" t="inlineStr">
        <is>
          <t>li-4371880236</t>
        </is>
      </c>
      <c r="B40" t="inlineStr">
        <is>
          <t>Product Manager, Vice President</t>
        </is>
      </c>
      <c r="C40" t="inlineStr">
        <is>
          <t>JPMorganChase</t>
        </is>
      </c>
      <c r="D40" t="inlineStr">
        <is>
          <t>linkedin</t>
        </is>
      </c>
      <c r="E40" t="inlineStr"/>
      <c r="F40" t="inlineStr"/>
      <c r="G40" t="inlineStr">
        <is>
          <t>Columbus, OH</t>
        </is>
      </c>
      <c r="H40" t="inlineStr"/>
      <c r="I40"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Product Manager, Vice President within the Global Customer Platform team, you will leverage your expertise in product development and optimization to make a significant impact. You’ll use user research and customer feedback to fuel the creation of innovative products and enhance existing offerings. With a strong focus on scalability, resiliency, and stability, you’ll collaborate with cross\-functional teams and play a pivotal role in shaping the future of our products and the ongoing success of our organization.
**Job Responsibilities**
* Partners with the Product Owner to identify new product opportunities that reflect the needs of our customers and the market through user research and discovery.
* Considers and plans for upstream and downstream implications of new product features on the overall product experience.
* Supports the collection of user research, journey mapping, and market analysis to inform the strategic product roadmap and provide insight on potential product features that provide value to customers.
* Analyzes, tracks, and evaluates product metrics including work to time, cost, and quality targets across the product development life cycle.
* Writes the requirements, epics, and user stories to support product development.
* Supports the completion of change management activities across functional partners and monitors adherence to the firm’s risk, controls, compliance, and regulatory requirements.
* Raise blockers and other impediments to the Product Manager and assist in driving solutions to removed blockers.
* Assist Product Owner in managing timelines and reporting risks and issues.
* Remain flexible in a changing environment due to high demands from products across the firm all working to solution their highest priority change.
* Excel in communication, collaboration, and coordination across product and technology to ensure the needs of our customers are clearly understood and we expeditiously deliver solutions that meet or exceed their needs and expectations.
**Required Qualifications, Capabilities, And Skills**
* 5\+ years of experience or equivalent expertise in product management or a relevant domain area
* Proficient knowledge of the product development life cycle
* Experience in product life cycle activities including discovery and requirements definition.
* Developing knowledge of data analytics
* Demonstrated performance in either product management or relevant domain area.
* Experience executing operational management and change readiness activities.
* Experience in product deployment processes
* Understand the process and practice of Agile software delivery.
* Support Product Manager with breaking down a complex problem into manageable and achievable parts, then the experience to see it thru to implementation.
**Preferred Qualifications, Capabilities, And Skills**
* Demonstrated prior experience working in a highly matrixed, complex organization
* Firm knowledge of the product development life cycle
* Strong verbal and written communication skills to effectively collaborate with stakeholders, present findings, and document requirements.
* Teamwork and Collaboration: Ability to work collaboratively with cross\-functional teams, including product managers, designers, and engineers.
* Strong diligence to ensure accuracy and precision in data analysis, documentation, and requirement gathering.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We are here to help you manage your money with checking, savings and credit cards, combining the latest banking technology with comprehensive solutions to meet the financial needs of nearly half of U.S. households.</t>
        </is>
      </c>
    </row>
    <row r="41">
      <c r="A41" t="inlineStr">
        <is>
          <t>li-4349455082</t>
        </is>
      </c>
      <c r="B41" t="inlineStr">
        <is>
          <t>AI Cloud Product Manager</t>
        </is>
      </c>
      <c r="C41" t="inlineStr">
        <is>
          <t>CyberCoders</t>
        </is>
      </c>
      <c r="D41" t="inlineStr">
        <is>
          <t>linkedin</t>
        </is>
      </c>
      <c r="E41" t="inlineStr"/>
      <c r="F41" t="inlineStr"/>
      <c r="G41" t="inlineStr">
        <is>
          <t>New York, NY</t>
        </is>
      </c>
      <c r="H41" t="inlineStr"/>
      <c r="I41" t="inlineStr">
        <is>
          <t>**Title: Product Manager\- AI Cloud Infrastructure**
**Location:** 
 FULLY remote! Must be located in the USA
**Salary:** 
 $150k\-$220k base \+ Bonus \+ RSUs \+ Benefits \+ 401k/ Match \+ Unlimited PTO \\ 
**Requirements:** 
 3\+ years of experience in tech focused Product Management. Must have experience with AI products, high tier SaaS, and/or HPC/GPU Infrastructure. 
 We're a fast\-moving team building the next generation of AI infrastructure\-designed from the ground up for scale, speed, and performance. Our platform powers some of the most advanced AI workloads in the world, combining high\-density GPU clusters, cutting\-edge networking, and smart orchestration tools. We operate Tier\-3 data centers optimized for AI and HPC, and offer flexible hybrid cloud solutions that let teams move fast and build big.
**The role:** 
 We are seeking a Product Manager to lead the vision, strategy, and execution of a core product in the AI cloud space. This role combines classic product management with deeper strategic responsibilities, including road\-mapping, market research, financial modeling, and competitive analysis.
**Responsibilities**
* Own and drive the product roadmap in it's entirety while working with our C\-levels.
* Conduct market and competitor research to identify opportunities and risks
* Develop business and financial models to support product decisions
* Collaborate with engineering, design, and go\-to\-market teams to deliver impactful features
* Translate customer and industry insights into actionable product requirements
* Measure product performance and iterate based on data\-driven insights
**Qualifications**
* 3\+ years of product management experience in cloud, SaaS, or AI\-Infrastructure related products
* Strong analytical skills with experience in business and financial modeling
* Proven ability to synthesize market research and competitive intelligence into strategy
* Excellent communication and collaboration skills across technical and business teams
* Experience defining and executing product roadmaps in fast\-paced environments
**Offering:** 
* $150k \- $220k \+ bonus and RSU package
* unlimited PTO
* 401k w/ match
* Comprehensive benefits including employer\-paid Health Insurance
**Email Your Resume In Word To**
 Sean.Gur@CyberCoders.com
 Looking forward to receiving your resume through our website and going over the position with you. Clicking apply is the best way to apply.
 Please do NOT change the email subject line in any way. You must keep the JobID: linkedin : SG6\-1971599 \-\- in the email subject line for your application to be considered.
 Sean Gur \- Lead Recruiter
 For this position, you must be currently authorized to work in the United States without the need for sponsorship for a non\-immigrant visa.
 This job was first posted by CyberCoders on 12/09/2025 and applications will be accepted on an ongoing basis until the position is filled or closed.
**CyberCoders is proud to be an Equal Opportunity Employer** 
 All qualified applicants will receive consideration for employment without regard to race, color, religion, sex, age, sexual orientation, gender identity or expression, national origin, ancestry, citizenship, genetic information, registered domestic partner status, marital status, status as a crime victim, disability, protected veteran status, or any other characteristic protected by law. CyberCoders will consider qualified applicants with criminal histories in a manner consistent with the requirements of applicable state and local law, including but not limited to the Los Angeles County Fair Chance Ordinance, the San Francisco Fair Chance Ordinance, and the California Fair Chance Act.  CyberCoders is committed to working with and providing reasonable accommodation to individuals with physical and mental disabilities. Individuals needing special assistance or an accommodation while seeking employment can contact a member of our Human Resources team at Benefits@CyberCoders.com to make arrangements.
 Copyright 1999 \- 2025\. CyberCoders , Inc. All rights reserved.</t>
        </is>
      </c>
    </row>
    <row r="42">
      <c r="A42" t="inlineStr">
        <is>
          <t>li-4223660047</t>
        </is>
      </c>
      <c r="B42" t="inlineStr">
        <is>
          <t>Senior Product Manager, Post Order Experience</t>
        </is>
      </c>
      <c r="C42" t="inlineStr">
        <is>
          <t>Xometry</t>
        </is>
      </c>
      <c r="D42" t="inlineStr">
        <is>
          <t>linkedin</t>
        </is>
      </c>
      <c r="E42" t="inlineStr"/>
      <c r="F42" t="inlineStr"/>
      <c r="G42" t="inlineStr">
        <is>
          <t>Waltham, MA</t>
        </is>
      </c>
      <c r="H42" t="inlineStr"/>
      <c r="I42" t="inlineStr">
        <is>
          <t>Xometry (NASDAQ: XMTR) powers the industries of today and tomorrow by connecting the people with big ideas to the manufacturers who can bring them to life. Xometry’s digital marketplace gives manufacturers the critical resources they need to grow their business while also making it easy for buyers at Fortune 1000 companies to tap into global manufacturing capacity.
 Xometry is seeking a
 **Senior Product Manager, Post\-Order Experience** 
 to own and optimize the customer journey after an order is placed. From order confirmation to delivery and support resolution, your work will ensure every buyer feels informed, confident, and delighted throughout their interaction with Xometry.
**Responsibilities:**
* Define and prioritize the roadmap for all post\-order touchpoints including order tracking, status updates, delays, communications, and support workflows.
* Collaborate with engineering, design, and customer service to streamline resolution paths and improve transparency.
* Work cross\-functionally with supply chain and logistics teams to reduce turnaround times and ensure SLAs are met.
* Build and iterate on features that proactively address customer pain points and increase CSAT/NPS.
* Drive a data\-informed approach using experimentation and user research to improve retention and customer loyalty.
* Act as the voice of the customer internally and develop mechanisms to gather feedback at scale.
**Qualifications:**
* 5\+ years of product management experience, ideally with B2B or transactional platforms.
* Experience with order management, fulfillment tracking, or support tooling preferred.
* Strong customer empathy and experience with user\-centered product development.
* Familiarity with agile product development, data tools, and experimentation frameworks.
 The estimated base salary range for new hires into this role is $135,000\- $175,000 annually \+ annual bonus depending on factors such as job\-related skills, relevant experience, and location. We also offer a competitive benefits package, including 401(k) match, medical, dental and vision insurance; life and disability insurance; generous paid time off including vacation, sick leave, floating and fixed holidays, maternity and bonding leave; EAP, other wellbeing resources; and much more.
 Xometry is an equal opportunity employer. All applicants will be considered for employment without attention to race, color, religion, sex, sexual orientation, gender identity, national origin, veteran, or disability status.
 For US based roles: Xometry participates in E\-Verify and after a job offer is accepted, will provide the federal government with your Form I\-9 information to confirm that you are authorized to work in the U.S.</t>
        </is>
      </c>
    </row>
    <row r="43">
      <c r="A43" t="inlineStr">
        <is>
          <t>li-4350444976</t>
        </is>
      </c>
      <c r="B43" t="inlineStr">
        <is>
          <t>Lead Product Manager - Risk and Core Platforms</t>
        </is>
      </c>
      <c r="C43" t="inlineStr">
        <is>
          <t>PayPal</t>
        </is>
      </c>
      <c r="D43" t="inlineStr">
        <is>
          <t>linkedin</t>
        </is>
      </c>
      <c r="E43" t="inlineStr"/>
      <c r="F43" t="inlineStr"/>
      <c r="G43" t="inlineStr">
        <is>
          <t>San Jose, CA</t>
        </is>
      </c>
      <c r="H43" t="inlineStr"/>
      <c r="I43"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This role will accelerate Venmo’s strategic priorities by productizing platform components, driving cross platform Risk, Compliance, Identity and Customer Support solutions and serving as a strategic thought partner to vertical teams.
**Job Description:**
**Essential Responsibilities:**
* Inputs to product strategy with cross\-functional stakeholders consistent with the shared vision for the product or enabling platform.
* Implements the architectural roadmap that balances innovative design and technical implementation, while balancing regulatory requirements, time\-to\-market, meeting customer needs and product profitability.
* Controls for the customer experience and customer needs in product requirements and as an input to decision making.
* Monitors metrics that inform the success of products including usability studies, research and market analysis.
* Manages one or more workstreams to include analytics, customer discovery, market research and competitive analysis to drive data\-driven decision\-making.
* Monitors product profitability measures, including budget.
* Participates in operational mechanisms that drive execution and accountability including Product Reviews, Operating Reviews, and Business Reviews. Interfaces with product and technology leadership as needed.
* Partners with content developers, data scientists, product designers and user experience researchers.
**Expected Qualifications:**
* 5\+ years relevant experience and a Bachelor’s degree OR Any equivalent combination of education and experience.
**Additional Responsibilities And Preferred Qualifications**
* 8\+ years of product management experience, ideally in a customer\-facing product or feature
* Strong verbal and written communication skills
* Excellent partnering skills with Engineering and Data Science teams to define and evaluate solutions and benefits
* Solid product planning and execution skills; taking an idea and driving definition, prioritization, and execution
* A general understanding of digital payments and the fintech industry
* Fraud/Risk experience preferred but not necessary
 The base pay for this role will depend on where you work and the relevant experience and expertise you bring. The expected range of pay for this role by location is:
**Primary Location : Pay Range:**
 San Jose, California : ($176,500\.00 \- $262,350\.00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R0132909</t>
        </is>
      </c>
    </row>
    <row r="44">
      <c r="A44" t="inlineStr">
        <is>
          <t>li-4363971827</t>
        </is>
      </c>
      <c r="B44" t="inlineStr">
        <is>
          <t>Sr Product Manager, SSD OI Tech</t>
        </is>
      </c>
      <c r="C44" t="inlineStr">
        <is>
          <t>myGwork - LGBTQ+ Business Community</t>
        </is>
      </c>
      <c r="D44" t="inlineStr">
        <is>
          <t>linkedin</t>
        </is>
      </c>
      <c r="E44" t="inlineStr"/>
      <c r="F44" t="inlineStr"/>
      <c r="G44" t="inlineStr">
        <is>
          <t>New York, United States</t>
        </is>
      </c>
      <c r="H44" t="inlineStr"/>
      <c r="I44" t="inlineStr">
        <is>
          <t>**This job is with Amazon, an inclusive employer and a member of myGwork – the largest global platform for the LGBTQ\+ business community. Please do not contact the recruiter directly.**
**Description**
 Sub Same Day is looking for a Senior Product Manager with a strong delivery record and proven project management experience. Your focused will be owning and executing strategic, cross\-functional operations and technology projects for the Same Day Operations Integrations team. This role requires robust understanding of under\-the\-roof fulfillment operations including inventory flows, constrained fulfillment center assets (capacity and labor) and fulfillment technologies. You will play a critical role in scoping large projects, communicating to senior leadership on status, risks and process/product changes. Cross\-functional team coordination, project management and executive presentation skills are essential.
 Key job responsibilities
* Define a strategic framework for under\-the\-roof operations, including "working backwards" documents on products and features
* Thinking creatively about how technology can enable a better cost structure, lower overhead, and better engagement.
* Gathering and analyzing data across business functions to establish global standards for supply chain and product fulfillment
* Managing cross\-functional project teams, planning and organizing, and executing projects across multiple organizations and stakeholders to enable the launch of new projects and processes
* Innovate to improve customer experience and continuously remove cost from our fulfillment network
**This Candidate Will Also Demonstrate**
* Attention to detail including proven ability to manage multiple, competing priorities simultaneously
* Ability to think strategically and execute methodically
* Ability to work in a fast\-paced environment where continuous innovation is desired
* Ability to clearly communicate data insights to others
**Basic Qualifications**
* Bachelor's degree or equivalent
* 5\+ years of product or program management, product marketing, business development or technology experience
* Experience owning/driving roadmap strategy and definition
* Experience with end to end product delivery
* Experience with feature delivery and tradeoffs of a product
* Experience as a product manager or owner
* Experience owning technology products
**Preferred Qualifications**
* Experience in influencing senior leadership through data driven insights
* Experience working across functional teams and senior stakeholders
* Master's degree or equivalent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NY, New York \- 152,200\.00 \- 206,000\.00 USD annually]]\&gt;</t>
        </is>
      </c>
    </row>
    <row r="45">
      <c r="A45" t="inlineStr">
        <is>
          <t>li-4238481468</t>
        </is>
      </c>
      <c r="B45" t="inlineStr">
        <is>
          <t>Product Manager, Site Integrations and Payments</t>
        </is>
      </c>
      <c r="C45" t="inlineStr">
        <is>
          <t>PAR Technology</t>
        </is>
      </c>
      <c r="D45" t="inlineStr">
        <is>
          <t>linkedin</t>
        </is>
      </c>
      <c r="E45" t="inlineStr"/>
      <c r="F45" t="inlineStr"/>
      <c r="G45" t="inlineStr">
        <is>
          <t>New Hartford, NY</t>
        </is>
      </c>
      <c r="H45" t="inlineStr"/>
      <c r="I45" t="inlineStr">
        <is>
          <t>For over four decades, PAR Technology Corporation (NYSE: PAR) has been a leader in restaurant technology, empowering brands worldwide to create lasting connections with their guests. Our innovative solutions and commitment to excellence provide comprehensive software and hardware that enable seamless experiences and drive growth for over 100,000 restaurants in more than 110 countries. Embracing our "Better Together" ethos, we offer Unified Customer Experience solutions, combining point\-of\-sale, digital ordering, loyalty and back\-office software solutions as well as industry\-leading hardware and drive\-thru offerings. To learn more, visit partech.com or connect with us on LinkedIn, X (formerly Twitter), Facebook, and Instagram.
**Position Description**
 We are looking for a Product Manager, Site Integrations and Payments to lead the development of site\-level integrations and payment experiences for our retail and commerce loyalty platform. The ideal candidate has deep experience in the Convenience and Fuel Retail industry, with a strong understanding of POS systems, site controllers, and forecourt integrations. A working knowledge of digital payments and transaction systems is highly valuable. Your ability to bring together hardware, software, and customer needs in a rapid development environment will be essential in creating seamless and valuable consumer experiences.
 You will work closely with customers, engineering and design teams, and internal stakeholders to define integration requirements, drive roadmap execution, and ensure the platform meets the operational and business needs of our fuel and convenience partners. Your leadership will help us scale our capabilities, improve retailer outcomes, and deliver on our promise of a connected in\-store and digital experience.
**Position Location:**
 Remote, United States
**Reports To**
 Director, Product Management
**Requirements**
**What We’re Looking For:**
* Own and manage the roadmap for site integrations, including POS systems, site controllers, forecourt equipment, and other in\-store hardware.
* Work directly with customers and vendors to understand integration needs and support rollout across varied retail environments.
* Serve as the subject matter expert for site\-level technology in the fuel and convenience space.
* Partner with engineering to define and validate requirements for hardware/software interactions.
* Ensure integration features are designed for scale, reliability, and long\-term maintainability.
* Support onboarding, testing, and certification efforts for new hardware and configurations.
* Contribute to the strategic development of payment capabilities across the platform, including card\-present, mobile, and ACH\-based flows.
* Manage relationships with payment vendors and partners, ensuring compliance and performance.
* Advocate for improvements that enhance the consumer journey and operational simplicity.
* Translate feedback into product features that improve transaction efficiency.
* Write clear product requirements, proposals, and user stories to guide engineering.
* Engage with technical teams throughout the development lifecycle and lead acceptance testing.
* Maintain roadmap items for site integrations and payments aligned with platform strategy.
* Coordinate with other product managers and leaders to prioritize work.
* Build strong relationships with customers, stakeholders, and vendor partners.
**Additional Skills**
* 2–5\+ years as a product owner or product manager in Convenience and Fuel Retail.
* Experience with POS systems (e.g., Gilbarco, Verifone, NCR, GK), site controllers, and payments.
* Background in integrating digital products with hardware and transaction infrastructure.
* Cross\-functional collaboration skills across engineering, QA, and customer\-facing teams.
* Familiarity with software development and tools (e.g., Jira, Confluence).
* Excellent communication skills, confident presenting to leadership and customers.
* Ability to work US East Coast hours and collaborate across global time zones.
**Unleash your potential: What you will be doing and owning:**
* Lead the product vision and roadmap for site\-level technology integrations.
* Collaborate with technical and business teams to deliver on customer needs.
* Influence payment strategy and build out seamless transaction experiences.
* Deliver high\-quality, scalable features that enable loyalty and commerce innovation.
**Interview Process**
* Interview \#1: Phone Screen with Talent Acquisition Team
* Interview \#2: Video interview with the Hiring Manager (via MS Teams)
* Interview \#3: Video interview with the Team (via MS Teams)
* Take\-Home Assignment (60 minutes)
* Interview \#4: (Optional) Final interview with Hiring Manager (via MS Teams)
 PAR is proud to provide equal employment opportunities (EEO) to all employees and applicants for employment without regard to race, color, religion, sex, national origin, age, disability or genetics. We also provide reasonable accommodations to individuals with disabilities in accordance with applicable laws. If you require reasonable accommodation to complete a job application, pre\-employment testing, a job interview or to otherwise participate in the hiring process, or for your role at PAR, please contact accommodations@partech.com. If you’d like more information about your EEO rights as an applicant, please visit the US Department of Labor's website.
 Compensation Range: $135K \- $150K</t>
        </is>
      </c>
    </row>
    <row r="46">
      <c r="A46" t="inlineStr">
        <is>
          <t>li-4336951833</t>
        </is>
      </c>
      <c r="B46" t="inlineStr">
        <is>
          <t>Senior Product Manager, Growth &amp; Developer Experience</t>
        </is>
      </c>
      <c r="C46" t="inlineStr">
        <is>
          <t>MongoDB</t>
        </is>
      </c>
      <c r="D46" t="inlineStr">
        <is>
          <t>linkedin</t>
        </is>
      </c>
      <c r="E46" t="inlineStr"/>
      <c r="F46" t="inlineStr"/>
      <c r="G46" t="inlineStr">
        <is>
          <t>Miami, FL</t>
        </is>
      </c>
      <c r="H46" t="inlineStr"/>
      <c r="I46" t="inlineStr">
        <is>
          <t>You’ll own the Expansion Squad \- our digital growth engine for mid\-market customers. Your mission: guide existing Atlas customers to grow their usage of MongoDB across new environments, new applications, and larger workloads. You’ll turn ambiguous “growth potential” into crisp product bets, human experiences, and set the standard for how we scale Atlas upmarket with and without a human in the loop.
 You’ll partner closely with Design, Engineering, Data, Marketing, Sales, and Marketing Ops, and you’ll be accountable for moving a single, unflinching number.
 This role follows a hybrid working model in our New York City office, or can be performed remotely from central to the east United States.
 What you'll do
* Own the Expansion product strategy and roadmap \- define segments, journeys, and experiments to drive account growth
* Ship friction\-killing features for multi\-app and multi\-team orgs (e.g., project cloning, streamlined user invites and roles, org\-to\-project patterns, workload templates)
* Build and iterate digital nudges: smart prompts, upgrade paths, in\-app moments, email triggers, and journey orchestration that keep MongoDB top of mind for the next workload
* Partner with Marketing on lifecycle campaigns and with Data Science on targeting models (propensity to expand, workload detection, cohort health)
* Instrument the journey end\-to\-end—set clear events, funnels, and cohort views; deliver weekly insights on what moves conversion
* Collaborate with Sales \&amp; CS and Lead Flow to align digital\-led expansion with enterprise motions; ensure clean handoffs for truly “sales\-worthy” accounts while keeping most growth self\-serve
* Champion quality and scale: build for reliability, permissions, compliance, and org hygiene so larger customers trust Atlas for every new app
 What we look for
* 3\-5\+ years in product management for B2B SaaS (ideally PLG), with a track record of driving expansion, monetization, or retention
* Background in engineering (computer science, electrical, software)
* Know your way around data: cohorts, revenue metrics (MRR, GRR), funnels, experimentation; you can separate correlation from causation
* Comfortable with platform and infrastructure products and developer experiences
* Write clean, concise docs; align teams; and make decisions with incomplete data
* Data\-driven and business\-minded \- you understand why products resonate with customers and know how to measure long\-term impact
* Strong research and analytical skills with the ability to identify insights, uncover opportunities, and translate findings into actionable strategies
 Nice to have
* Experience with developer platforms, data infrastructure, or cloud services
* Familiarity with lifecycle marketing, journey orchestration, and in\-app messaging systems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3263258253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$118,000—$231,000 USD</t>
        </is>
      </c>
    </row>
    <row r="47">
      <c r="A47" t="inlineStr">
        <is>
          <t>li-4371896216</t>
        </is>
      </c>
      <c r="B47" t="inlineStr">
        <is>
          <t>Technical Product Manager</t>
        </is>
      </c>
      <c r="C47" t="inlineStr">
        <is>
          <t>Synopsys Inc</t>
        </is>
      </c>
      <c r="D47" t="inlineStr">
        <is>
          <t>linkedin</t>
        </is>
      </c>
      <c r="E47" t="inlineStr"/>
      <c r="F47" t="inlineStr"/>
      <c r="G47" t="inlineStr">
        <is>
          <t>Sunnyvale, CA</t>
        </is>
      </c>
      <c r="H47" t="inlineStr"/>
      <c r="I47" t="inlineStr">
        <is>
          <t>**We Are:**
 At Synopsys, we drive the innovations that shape the way we live and connect. Our technology is central to the Era of Pervasive Intelligence, from self\-driving cars to learning machines. We lead in chip design, verification, and IP integration, empowering the creation of high\-performance silicon chips and software content. Join us to transform the future through continuous technological innovation.
**You Are:**
 You are an experienced and highly motivated engineer with a passion for semiconductor innovation and digital design solutions. You thrive in environments that challenge you to bridge customer needs with cutting\-edge technology, and you excel at translating complex technical concepts into actionable product strategies. With a deep understanding of EDA tools—especially in areas like synthesis, RTL architecture, place and route and ECO methodologies—you are eager to drive the development of next\-generation solutions. You bring a strong analytical mindset, a collaborative spirit, and a customer\-centric approach to every project. Your ability to engage directly with customers, understand their critical challenges, and translate those insights into high\-value product features sets you apart. You are a thought leader, comfortable presenting at industry forums and representing Synopsys as a subject matter expert. You are adept at managing cross\-functional teams, prioritizing product roadmaps, and ensuring releases meet the highest standards of quality and impact. Your enthusiasm for technology is matched by your commitment to inclusivity, mentorship, and continuous learning. If you are ready to lead transformative projects and be at the forefront of semiconductor innovation, Synopsys is the place for you.
**What You’ll Be Doing:**
* Engaging directly with customers to identify high\-value problems, particularly around optimizing power, performance, and area (PPA), and achieving multi\-physics closure in design.
* Analyzing and interpreting market trends to inform the Synopsys SCA roadmap, with a focus on advanced nodes and GenAI/Agentic flows.
* Collaborating with DRIs and field partners to pinpoint product gaps and evaluate new opportunities for tool enhancement and innovation.
* Defining and prioritizing product roadmaps by crafting Market Requirements Documents (MRDs) and partnering with Product Engineers to develop Product Requirements Documents (PRDs).
* Writing code prototypes for new features and products, serving as "executable specifications" to demonstrate functionality and requirements to development teams.
* Managing release readiness, including defining criteria for Alpha, Beta, Limited Customer Availability (LCA), and General Availability (GA) stages.
* Enabling partners and field teams with training, strategic campaigns, and benchmarks to ensure new products deliver on promised value.
* Representing Synopsys as a subject matter expert at customer forums, including TRMs and MRMs, and driving thought leadership at industry conferences.
**The Impact You Will Have:**
* Accelerate the adoption of Synopsys solutions, driving improved PPA outcomes for customers.
* Shape the direction of Synopsys’s product offerings by identifying and acting on emerging industry trends.
* Build stronger customer relationships through direct engagement, enabling tailored solutions that address their most critical challenges.
* Enhance Synopsys’s reputation as a technology leader by presenting at industry events and fostering thought leadership.
* Streamline product development processes through executable specifications, ensuring clarity and alignment across teams.
* Increase the commercial success of new products by ensuring release readiness and effective go\-to\-market strategies.
* Elevate partner and sales enablement, empowering teams to communicate product value and drive adoption.
**What You’ll Need:**
* Deep technical expertise in EDA tools, especially in synthesis, RTL architecture, place and route and ECO methodologies.
* Proven experience in product management, including roadmap prioritization, MRD/PRD development, and release readiness are a nice to have
* Strong coding skills for prototyping features and creating executable specifications.
* Ability to analyze market trends, customer feedback, and competitive landscapes to inform product strategy.
* Experience collaborating with cross\-functional teams (engineering, sales, marketing, partners) in a fast\-paced environment.
* Familiarity presenting at industry forums, conferences, and customer meetings as a subject matter expert.
**Who You Are:**
* Customer\-centric, with a passion for solving complex technical challenges.
* Analytical and strategic thinker, able to synthesize information and drive actionable decisions.
* Collaborative leader, skilled at working across teams and building consensus.
* Effective communicator, comfortable presenting to diverse audiences and stakeholders.
* Adaptable, curious, and committed to continuous learning and improvement.
* Inclusive and supportive, fostering a culture of mentorship and teamwork.
**The Team You’ll Be A Part Of:**
 You’ll join a passionate and innovative product management team at Synopsys, focused on delivering state\-of\-the\-art solutions for semiconductor design, verification, and optimization. Our team works closely with engineering, sales, and marketing to ensure that our tools meet the evolving needs of our customers. Together, we drive product excellence, industry leadership, and customer success.
**Rewards and Benefits** 
 :
 We offer a comprehensive range of health, wellness, and financial benefits to cater to your needs. Our total rewards include both monetary and non\-monetary offerings. Your recruiter will provide more details about the salary range and benefits during the hiring process.</t>
        </is>
      </c>
    </row>
    <row r="48">
      <c r="A48" t="inlineStr">
        <is>
          <t>li-4343203031</t>
        </is>
      </c>
      <c r="B48" t="inlineStr">
        <is>
          <t>Vice President Product Manager, Small and Mid-sized Business Payments</t>
        </is>
      </c>
      <c r="C48" t="inlineStr">
        <is>
          <t>JPMorganChase</t>
        </is>
      </c>
      <c r="D48" t="inlineStr">
        <is>
          <t>linkedin</t>
        </is>
      </c>
      <c r="E48" t="inlineStr"/>
      <c r="F48" t="inlineStr"/>
      <c r="G48" t="inlineStr">
        <is>
          <t>New York, NY</t>
        </is>
      </c>
      <c r="H48" t="inlineStr"/>
      <c r="I48" t="inlineStr">
        <is>
          <t>**Job Description**
 The Connected Commerce Payments organization is a motivated, forward\-thinking team of highly talented product managers focused on delivering innovative payment services via today's and tomorrow's most important platforms. We aim to transform customer experiences, simplify business processes, and drive product excellence.
 As a Vice President Product Manager in the Small and Mid\-sized Business Payments team, you are an integral part of the team that innovates new product offerings and leads the end\-to\-end product life cycle. As a core leader, you are responsible for acting as the voice of the customer and developing profitable products that provide customer value. With a strong commitment to scalability, resiliency, and stability, you collaborate closely with cross\-functional teams to deliver high\-quality products that exceed customer expectations.
**Job Responsibilities**
* Develop a product strategy and product vision that delivers value to customers
* Manage discovery efforts and market research to uncover customer solutions and integrate them into the product roadmap
* Owns, maintains, and develops a product backlog that enables development to support the overall strategic roadmap and value proposition
* Integrate data analytics, product metrics, user experience research, competitive and market analysis, and company goals to drive prioritization of product initiatives
* Partner across Design, Data, and Technology teams to deliver large\-scale initiatives and collaborate with Risk, Controls, Compliance and Legal to ensure a strong risk and control environment
* Manage production support, issue and defect resolution, and prioritization
* Publish regular executive reports summarizing the overall health of the product, industry and competitive trends and the voice of the customer
**Required Qualifications, Capabilities, And Skills**
* 7\+ years of experience or equivalent expertise in product management or a relevant domain area
* Proven ability to lead product life cycle activities, including discovery, ideation, strategic development, requirements definition, and value management
* Advanced knowledge of digital payments and the product development life cycle, design, and data analytics
* Excellent communication, analytical and problem\-solving skills
* Proficient with JIRA, Microsoft Office tools, and Confluence
* Ability to thrive in a cross\-functional environment while balancing multiple responsibilities, scoping projects, evaluating priorities, and effectively working well within a team
**Preferred Qualifications, Capabilities, And Skills**
* Thorough understanding of small business customers and their needs
* Demonstrated prior experience working in a highly matrixed, complex organization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t>
        </is>
      </c>
    </row>
    <row r="49">
      <c r="A49" t="inlineStr">
        <is>
          <t>li-4350879832</t>
        </is>
      </c>
      <c r="B49" t="inlineStr">
        <is>
          <t>Group Product Manager – Healthtech</t>
        </is>
      </c>
      <c r="C49" t="inlineStr">
        <is>
          <t>Carex Consulting Group</t>
        </is>
      </c>
      <c r="D49" t="inlineStr">
        <is>
          <t>linkedin</t>
        </is>
      </c>
      <c r="E49" t="inlineStr"/>
      <c r="F49" t="inlineStr"/>
      <c r="G49" t="inlineStr">
        <is>
          <t>Seattle, WA</t>
        </is>
      </c>
      <c r="H49" t="inlineStr"/>
      <c r="I49" t="inlineStr">
        <is>
          <t>W2 only, no C2C, must be authorized to work in the US (both now and in the future).
 Group Product Manager \- Healthtech (Direct Hire) \- Remote in Seattle, Washington. Apply now for this opportunity at Carex!
**Carex is partnering with an innovative healthcare SaMD partner** 
 to hire a
 **Group Product Manager – Breast Risk Solutions** 
 focused on shaping the future of AI\-driven breast cancer screening and diagnostics. This role will lead the vision, strategy, roadmap, and execution of a comprehensive breast cancer risk management solution that integrates clinical risk models, imaging\-derived insights, and programmatic pathways.
 The ideal candidate is a mission\-driven product leader with deep technical and strategic acumen, strong experience in clinical workflows (particularly Epic Radiant or Ambulatory), and a proven ability to thrive in a highly regulated, fast\-paced environment. Flexibility and the ability to collaborate across global teams and time zones is key. PST and MST strongly preferred.
 What You’ll Do
* Product Vision \&amp; Strategy: Define and own the product vision and roadmap for a unified Breast Risk Solution. Align strategy with customer needs, clinical workflows, and regulatory requirements. Set short\- and long\-term goals while monitoring market trends, user insights, and competitive landscape.
* Product Development \&amp; Execution: Lead cross\-functional product development, translating the vision into clear user stories and deliverables. Manage multiple product teams and prioritize effectively while engaging deeply with radiologists, risk experts, and clinical teams to validate direction.
* Business \&amp; Market Impact: Partner with sales and marketing to shape pricing, packaging, and go\-to\-market messaging. Identify opportunities for market expansion and strategic partnerships to drive adoption and revenue growth.
* Cross\-Functional Leadership: Collaborate across clinical, regulatory, and commercial teams to align product strategy with execution. Act as the key product voice both internally and externally.
* Team Leadership: Mentor product managers and foster a mission\-driven, high\-performance product culture. Define and track KPIs, ensuring decisions are guided by data.
 What You’ll Bring
* 10\+ years in product management, including 5\+ in healthcare AI, radiology, digital health, or regulated software (SaMD).
* Strong experience with breast cancer screening workflows, risk models, and imaging integration.
* Deep knowledge of Epic clinical workflows—preferably Radiant, but Ambulatory is also valuable.
* Proven success delivering regulated, high\-impact products from concept through global launch.
* Hands\-on and strategic mindset, capable of operating at 30,000 feet and in the weeds.
* Demonstrated experience leading cross\-functional teams across engineering, clinical, regulatory, and commercial groups.
* Solid understanding of clinical environments and user workflows, especially within diagnostic imaging.
* Analytical and customer\-focused with a data\-driven approach to decision making.
* Experience with global reimbursement models and regulatory frameworks (FDA, CE, MDR).
* Prior work in startup and/or hybrid corporate environments with flexibility in work hours.
* Willingness to adapt work hours to accommodate collaboration with global teams (Preferred time zones: PST or MST).
* Direct experience with breast cancer risk assessment tools (e.g., BI\-RADS density, Gail, Tyrer\-Cuzick, NCCN) strongly preferred.
* Experience mentoring PMs or leading multiple product teams.
**Compensation**
**$160,000–$210,000 base salary.**
 If the range doesn’t align with your needs, please still apply! Carex values transparency in all steps of the recruiting process. The range listed above is dependent on skills and experience as it relates to the role. New roles arise every day, and we want you to be the first to know when the right role pops up for you.
 Carex Consulting Group is an equal opportunity employer. We are committed to equal employment opportunity regardless of race, color, ancestry, religion, sex, national origin, sexual orientation, age, marital status, disability, gender identity, or Veteran status.</t>
        </is>
      </c>
    </row>
    <row r="50">
      <c r="A50" t="inlineStr">
        <is>
          <t>li-4371390842</t>
        </is>
      </c>
      <c r="B50" t="inlineStr">
        <is>
          <t>Program Manager II, Global Business Tools</t>
        </is>
      </c>
      <c r="C50" t="inlineStr">
        <is>
          <t>Google</t>
        </is>
      </c>
      <c r="D50" t="inlineStr">
        <is>
          <t>linkedin</t>
        </is>
      </c>
      <c r="E50" t="inlineStr"/>
      <c r="F50" t="inlineStr"/>
      <c r="G50" t="inlineStr">
        <is>
          <t>New York, NY</t>
        </is>
      </c>
      <c r="H50" t="inlineStr"/>
      <c r="I50" t="inlineStr">
        <is>
          <t>Applicants in San Francisco: Qualified applications with arrest or conviction records will be considered for employment in accordance with the San Francisco Fair Chance Ordinance for Employers and the California Fair Chance Act.
 Note: By applying to this position you will have an opportunity to share your preferred working location from the following:
 **New York, NY, USA; Mountain View, CA, USA; San Francisco, CA, USA** 
 .
 **Minimum qualifications:**
* Bachelor's degree or equivalent practical experience.
* 2 years of experience in program or project management.
**Preferred qualifications:**
* Experience in program management and coordinating large cross\-organizational programs.
* Experience in program management fundamentals for technical cross\-functional projects (e.g., planning, execution, estimation, risk management, stakeholder management).
* Experience in helping teams measure and improve operational excellence, product excellence and accessibility.
* Ability to be comfortably working with data and pulling insights from data.
* Excellent investigative, problem\-solving, negotiation and organizational skills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The Go To Market (GTM) organization, the umbrella organization for Global Business Applied AI (GBAI), provides business critical insights using analytics, ensures cross\-functional alignment of goals and execution, and helps teams drive strategic partnerships and new initiatives forward. We stay focused on aligning the highest\-level company priorities with strong day\-to\-day operations, and help evolve early stage ideas into future\-growth initiatives.
 The Global Business Organization (GBO) Tools teams are responsible for improving sales and support efficiency and effectiveness by building great tools for its users. Our team is the glue that binds the direction of the business with the needs of GBO in our CRM ecosytem. We accomplish this by partnering with Product Management, Engineering, Sales, gTech and GTM teams to deliver a delightful experience to our users.
 In this role, you will focus on advocating complex tooling initiatives and will partner with colleagues from Product Management, Engineering, Sales, gTech and GTM teams to ensure strategic alignment across multiple stakeholders, prioritization of seamless experiences for our customers and successful execution of high priority initiatives.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Define program objectives, scope, deliverables, and success metrics in collaboration with cross\-functional stakeholders.
* Develop and maintain program plans, schedules, governance, and communication structures.
* Facilitate cross\-functional collaboration and communication to ensure alignment and on\-time delivery.
* Drive governance and engagement cadence across multiple work streams to ensure clear decision and escalation paths.
* Collaborate with partner teams and subject matter experts to proactively identify and surface risks, action items or key dependencies impacting program delivery quality or timeline.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51">
      <c r="A51" t="inlineStr">
        <is>
          <t>li-4332771533</t>
        </is>
      </c>
      <c r="B51" t="inlineStr">
        <is>
          <t>Senior Data Product Manager, GTM</t>
        </is>
      </c>
      <c r="C51" t="inlineStr">
        <is>
          <t>MongoDB</t>
        </is>
      </c>
      <c r="D51" t="inlineStr">
        <is>
          <t>linkedin</t>
        </is>
      </c>
      <c r="E51" t="inlineStr"/>
      <c r="F51" t="inlineStr"/>
      <c r="G51" t="inlineStr">
        <is>
          <t>Chicago, IL</t>
        </is>
      </c>
      <c r="H51" t="inlineStr"/>
      <c r="I51" t="inlineStr">
        <is>
          <t>Our Internal Data team is on a mission to power decisions and applications across MongoDB, oriented around the business areas of GTM, Product \&amp; Technology, Finance and HR. With this role, we are focusing on delivery of scalable, insightful, and impactful data products for GTM teams \- that is, Sales, Marketing and Customer Success. These products drive smarter decisions, automate workflows, enable AI agents and deliver actionable insights that accelerate growth. If shaping the future of data\-as\-a\-product excites you, then this opportunity is for you.
 As a Senior Data Product Manager on our Data team — which includes Data Pipeline/Platform Engineering, Data Architecture, and Data Governance — you will lead efforts to build, enhance, and scale the data products MongoDB employees use every day across a growing, high\-impact company. You’ll deliver data products like data pipelines, datasets, reports/dashboards, APIs, ML models, playbooks, and frameworks while enhancing more traditional data management tools/services to power both AI and BI. These data products form the backbone of our internal data ecosystem and are instrumental in empowering teams to achieve their KPIs and innovate faster.
 This role is perfect for someone who thrives in a high\-growth, fast\-paced environment, understands the operational needs of GTM teams, and has hands\-on experience managing modern, scalable data platforms like those leveraging medallion data and lakehouse architectures.
 We are looking to speak to candidates who are based in one of our MongoDB Offices for our hybrid working model.
**Responsibilities**
 Lead Product Strategy and Ownership
* Define product vision, strategy, and roadmap for MongoDB’s Data teams and products
* Evangelize the importance of data\-as\-a\-product by creating repeatable and scalable data solutions tailored to business needs
* Balance quick wins for immediate needs with longer\-term innovation aligned with strategic goals, particularly integrating modern data frameworks such as lakehouses and medallion data architecture (bronze, silver, gold sets)
 Partner with GTM Teams
* Collaborate deeply with GTM teams (Sales, Marketing, Customer Success, etc.) to ensure data products address their unique challenges and workflows
* Work closely with diverse personas — analysts, engineers, GTM teams, and senior leadership — to capture detailed business processes, user stories, and pain points
* Serve as a trusted partner and advocate for GTM stakeholders by prioritizing solutions that have direct, measurable business impact, as well as driving the “art of the possible”
 Performance and Market Analysis
* Define metrics and KPIs to measure success and iterate on continuous improvement
* Track innovation and emerging trends in modern data platforms, scalable data engineering, and advanced analytics tooling, integrating these insights into the roadmap to maintain cutting\-edge capabilities
 Stakeholder Enablement
* Build user\-friendly documentation, guides, and onboarding materials for data products to drive adoption and ensure ongoing literacy in using product features effectively
* Partner with training teams and change management functions to ensure teams successfully integrate new data tools and features into their workflows
 Adoption and Evangelization
* Announce new product features, datasets, and tools with tailored product marketing strategies to maximize awareness and adoption across MongoDB teams
* Champion the value of data products in solving business questions; lead re\-launch efforts as necessary to reinvigorate flagging adoption and spotlight transformative benefits
 Agile Product Management
* Own and drive agile processes, including sprint planning, backlog grooming, and retrospectives, to ensure timely, high\-quality product delivery
* Balance innovation with tackling tech debt while delivering new features, particularly focusing on datasets, pipelines, frameworks, and tools for GTM enablement
**Requirements**
 Proven Data Product Manager \&amp; Domain Expertise
* 5\+ years of hands\-on product management experience, with at least two years focused on data products or platforms at a modern, fast\-paced, high\-growth company
* Experience with stakeholders in GTM functions such as Sales, Marketing, and Customer Success is critical; strong understanding of GTM operational processes
 Technical Strength \&amp; Understanding of Modern Data Architecture
* Strong technical foundation in data engineering, analytics, and data products
* Deep familiarity with modern data platforms, scalable architecture (e.g., lakehouses, medallion data), and tools that operationalize insights at enterprise scale
 Strategic and Adaptable Mindset
* Proven ability to prioritize roadmaps in line with GTM operational needs and long\-term goals, driving innovation while managing trade\-offs with scope, resources, and timelines
* Adaptable and resourceful problem\-solver who tackles challenges independently and escalates only when absolutely necessary
 Growth\-Focused
* Expertise in identifying measurable outcomes, tracking success metrics, and iteratively improving product impact
* Comfortable working in an agile, fast\-paced environment where continuous improvement and high\-quality delivery are paramount
 Outstanding Communication Skills
* Able to articulate complex concepts to a variety of audiences, from technical teams to non\-technical GTM stakeholders and executives
* Proven ability to align diverse groups on shared goals, priorities, and solutions
 What Sets You Apart
* Experience uncovering and driving insights with data science, BI, analytics, or data engineering tools to measure impact and find new business opportunities
* Proven track record of creating engaging product enablement materials, such as guides, documentation, and training resources
* Demonstrated passion for evangelizing technical products, datasets, frameworks, and tools while driving adoption across diverse teams
* Knowledge around metadata management and its implications for long\-term discoverability
* Up\-to\-date awareness in data market trends, including databases, data science advancements, and software development innovations
**About MongoDB**
 MongoDB is built for change, empowering our customers and our people to innovate at the speed of the market. We have redefined the database for the AI era, enabling innovators to create, transform, and disrupt industries with software. MongoDB’s unified database platform—the most widely available, globally distributed database on the market—helps organizations modernize legacy workloads, embrace innovation, and unleash AI. Our cloud\-native platform, MongoDB Atlas, is the only globally distributed, multi\-cloud database and is available across AWS, Google Cloud, and Microsoft Azure.
 With offices worldwide and nearly 60,000 customers—including 75% of the Fortune 100 and AI\-native startups—relying on MongoDB for their most important applications, we’re powering the next era of software.
 Our compass at MongoDB is our Leadership Commitment, guiding how and why we make decisions, show up for each other, and win. It’s what makes us MongoDB.
 To drive the personal growth and business impact of our employees, we’re committed to developing a supportive and enriching culture for everyone. From employee affinity groups, to fertility assistance and a generous parental leave policy, we value our employees’ wellbeing and want to support them along every step of their professional and personal journeys. Learn more about what it’s like to work at MongoDB, and help us make an impact on the world!
 MongoDB is committed to providing any necessary accommodations for individuals with disabilities within our application and interview process. To request an accommodation due to a disability, please inform your recruiter.
 MongoDB, Inc. provides equal employment opportunities to all employees and applicants for employment and prohibits discrimination and harassment of any type and makes all hiring decisions without regard to race, color, religion, age, sex, national origin, disability status, genetics, protected veteran status, sexual orientation, gender identity or expression, or any other characteristic protected by federal, state or local laws.
 Req ID: 3263226175
 MongoDB’s base salary range for this role is posted below. Compensation at the time of offer is unique to each candidate and based on a variety of factors such as skill set, experience, qualifications, and work location. Salary is one part of MongoDB’s total compensation and benefits package. Other benefits for eligible employees may include: equity, participation in the employee stock purchase program, flexible paid time off, 20 weeks fully\-paid gender\-neutral parental leave, fertility and adoption assistance, 401(k) plan, mental health counseling, access to transgender\-inclusive health insurance coverage, and health benefits offerings. Please note, the base salary range listed below and the benefits in this paragraph are only applicable to U.S.\-based candidates.
 MongoDB’s base salary range for this role in the U.S. is:
 $136,000—$266,000 USD</t>
        </is>
      </c>
    </row>
    <row r="52">
      <c r="A52" t="inlineStr">
        <is>
          <t>li-4371522517</t>
        </is>
      </c>
      <c r="B52" t="inlineStr">
        <is>
          <t>Product Manager - Commercial Lines</t>
        </is>
      </c>
      <c r="C52" t="inlineStr">
        <is>
          <t>Oliver James</t>
        </is>
      </c>
      <c r="D52" t="inlineStr">
        <is>
          <t>linkedin</t>
        </is>
      </c>
      <c r="E52" t="inlineStr"/>
      <c r="F52" t="inlineStr"/>
      <c r="G52" t="inlineStr">
        <is>
          <t>Tampa, FL</t>
        </is>
      </c>
      <c r="H52" t="inlineStr"/>
      <c r="I52" t="inlineStr">
        <is>
          <t>Job Summary / Introduction
 We are partnering with a growing property and casualty insurer to identify an experienced Commercial Lines Product Manager to lead the strategy, development, and performance of commercial property insurance products. This role sits at the intersection of product, pricing, underwriting, and regulatory strategy and plays a critical role in driving profitable growth across the commercial portfolio.
 The ideal candidate combines deep commercial property expertise with strong analytical skills and the ability to collaborate across actuarial, underwriting, claims, IT, and regulatory teams to bring products from concept through execution and ongoing optimization.
 Detailed Job Description
 The Commercial Lines Product Manager will own the end to end management of commercial property insurance products, including product design, coverage structure, rating, underwriting guidelines, and regulatory filings. This role is responsible for ensuring products are competitive, compliant, and aligned with portfolio profitability and growth objectives.
 Key responsibilities include monitoring and analyzing portfolio performance across profitability, loss ratios, growth, retention, claims frequency and severity, and exposure concentrations. The Product Manager will identify underperforming or high risk segments and recommend corrective actions through pricing, underwriting, or product changes.
 The role requires ongoing market and competitive analysis to assess pricing, coverage offerings, eligibility, and distribution strategies across multiple states. Close partnership with actuarial, underwriting, claims, reinsurance, IT, operations, and sales teams is essential to align product strategy with broader business goals.
 This position leads the development and maintenance of policy forms, rating structures, rating rules, and underwriting manuals, and manages regulatory filings with state departments of insurance in collaboration with actuarial and risk management teams. The Product Manager also supports pricing strategy through data driven insights, monitors legislative and regulatory developments, and drives product and rate changes through implementation, including coordination with IT systems and external vendors.
 Additional responsibilities include supporting agent and policyholder communications related to product updates and new initiatives, collaborating with data teams to develop reporting and dashboards, and mentoring junior team members or product analysts as needed.
 Skills \&amp; Experience
**Education**
 Bachelor's degree or equivalent experience required. Preferred fields include Actuarial Science, Business, Economics, Insurance, Finance, Mathematics, Statistics, or Risk Management.
**Experience**
 5 to 8 years of experience within commercial insurance, with a strong focus on commercial property. Prior experience in product management, underwriting, actuarial or pricing, or portfolio analytics is highly preferred. Experience with Florida commercial property insurance is a plus.
**Skills and Knowledge**
 Strong command of commercial lines insurance products, policy forms, rating methodologies, and underwriting principles
 Demonstrated ability to analyze portfolio performance and translate data into actionable product strategy
 Proven experience leading cross functional initiatives and managing complex projects
 Excellent written and verbal communication skills with the ability to influence stakeholders at all levels
 Advanced proficiency in Excel and data analysis tools; experience with SQL, Tableau, or similar platforms preferred
 Experience working with policy administration systems and IT implementation projects
 Knowledge of regulatory filing processes and tools such as SERFF and IRFS
 Strong market and competitive research capabilities
 Highly organized, adaptable, and effective in fast paced, regulated environments
 Collaborative, solutions oriented mindset with the ability to drive results
 If interested, please apply to this job advert or reach out to Olivea.Kupiec@oliverjames.com</t>
        </is>
      </c>
    </row>
    <row r="53">
      <c r="A53" t="inlineStr">
        <is>
          <t>li-4326743422</t>
        </is>
      </c>
      <c r="B53" t="inlineStr">
        <is>
          <t>Staff Product Manager, SynBio</t>
        </is>
      </c>
      <c r="C53" t="inlineStr">
        <is>
          <t>Twist Bioscience</t>
        </is>
      </c>
      <c r="D53" t="inlineStr">
        <is>
          <t>linkedin</t>
        </is>
      </c>
      <c r="E53" t="inlineStr"/>
      <c r="F53" t="inlineStr"/>
      <c r="G53" t="inlineStr">
        <is>
          <t>South San Francisco, CA</t>
        </is>
      </c>
      <c r="H53" t="inlineStr"/>
      <c r="I53" t="inlineStr">
        <is>
          <t>The Product Manager will develop multi\-generational product strategies and guide planning for future positioning, growth, and development of disruptive advancements in synthetic biology. This includes assessing and prioritizing customer and market requirements, working with strategic collaborators, research \&amp; development, operations and the wider commercial team to deliver truly innovative products. The product manager is ultimately responsible for revenue, margin, customer satisfaction, and market share objectives.
**What You’ll Be Doing**
* In collaboration with the commercial team, the product manager will own and be responsible for growing the synthetic biology product portfolio
* Work closely with customers and strategic partners to gather input to develop disruptive new products
* Develop detailed product strategy and roadmaps to meet company financial and strategic objectives
* Build business plans and strategy for the application area that includes opportunity assessment, positioning strategy, financial analysis, and required tactical plans to support successful product adoption
* Deliver on an ongoing basis the product requirements with associated prioritization, metrics, and supporting analysis
* Work very closely with development teams to ensure successful implementation of product requirements and drive product development to commercial launch
* Perform ongoing competitive and market analyses
* Train the sales teams and support selling activities as appropriate, including the development of sales tools and collateral
* Create content collateral and product messaging to convey the value proposition to target markets
* Provide input to partnership opportunity assessments
* Manage collaborations with key partners and customers to rapidly develop innovative gene synthesis solutions and support broader product adoption
* Follow regulatory and ISO 13485 requirements
**What You’ll Bring To The Team**
* Track record of success defining and launching products in the research tools marketplace with a deep knowledge of synthetic DNA preferred
* Must speak DNA
* Understanding of gene synthesis technologies, workflows including current and future applications
* Proven ability to influence cross\-functional teams, and to work effectively with customers, development, and sales teams
* A successful candidate will have both molecular biology and product management experience
* Demonstrated track record of managing high profile collaborations that deliver successful products
* Experience with building product roadmaps and product life cycle management
* Experience with financial modeling and data analysis skills. Ability to build and analyze models to forecast and track results
* Degree in molecular biology, genetics or associated scientific field required.
* Outstanding leadership, teamwork, and communication skills
* Hands on, high energy, proactive attitude
* Ability to travel up to 20% both domestically and internationally
 The base cash compensation for this California\-based role is below. In addition to base salary, this role is eligible for bonus, equity, and a generous benefits package. Final compensation amounts are determined by multiple factors, including candidate skill, experience, expertise, and location and may vary from the amount listed above. Compensation may be different in other locations.
 San Francisco Bay Area Pay Range
 $185,000 \- $200,000 USD</t>
        </is>
      </c>
    </row>
    <row r="54">
      <c r="A54" t="inlineStr">
        <is>
          <t>li-4323015682</t>
        </is>
      </c>
      <c r="B54" t="inlineStr">
        <is>
          <t>Technical Program Manager</t>
        </is>
      </c>
      <c r="C54" t="inlineStr">
        <is>
          <t>BlinkRx</t>
        </is>
      </c>
      <c r="D54" t="inlineStr">
        <is>
          <t>linkedin</t>
        </is>
      </c>
      <c r="E54" t="inlineStr"/>
      <c r="F54" t="inlineStr"/>
      <c r="G54" t="inlineStr"/>
      <c r="H54" t="inlineStr"/>
      <c r="I54" t="inlineStr">
        <is>
          <t>**Company Overview:** 
 Blink Health is the fastest growing healthcare technology company that builds products to make prescriptions accessible and affordable to everybody.  Our two primary products – BlinkRx and Quick Save – remove traditional roadblocks within the current prescription supply chain, resulting in better access to critical medications and improved health outcomes for patients. 
 BlinkRx is the world’s first pharma\-to\-patient cloud that offers a digital concierge service for patients who are prescribed branded medications. Patients benefit from transparent low prices, free home delivery, and world\-class support on this first\-of\-its\-kind centralized platform. With BlinkRx, never again will a patient show up at the pharmacy only to discover that they can’t afford their medication, their doctor needs to fill out a form for them, or the pharmacy doesn’t have the medication in stock. 
 We are a highly collaborative team of builders and operators who invent new ways of working in an industry that historically has resisted innovation. Join us!
 Blink Health is seeking a Senior Technical Program Manager to lead large\-scale, cross\-functional technology programs that advance our mission to make healthcare more affordable and accessible. In this role, you will partner closely with engineering, product management, and business leadership to define program strategy, drive execution, and deliver impactful results across multiple teams and systems.
 This is an opportunity for a seasoned, hands\-on TPM who thrives in ambiguity, can translate vision into execution, and wants to make a measurable impact on healthcare technology.
**RESPONSIBILITIES** 
* Own and drive the lifecycle of complex, cross\-functional programs that span multiple teams or domains, from inception through delivery.
* Translate strategic business objectives into clear program goals, engineering requirements, and execution roadmaps.
* Partner with senior engineering and product leaders to define program strategy, influence architecture and design trade\-offs, and ensure alignment between technical solutions and long\-term business priorities.
* Identify and drive resolution of dependencies and risks across multiple systems and organizations, developing mitigation plans and ensuring accountability for results.
* Define and implement scalable mechanisms to improve delivery predictability, quality, and operational excellence across teams.
* Proactively identify opportunities to streamline and enhance cross\-team processes; establish new frameworks that improve efficiency and transparency.
* Use data and metrics to measure progress, communicate status, and influence decision\-making at multiple levels of leadership, including Directors and VPs.
* Mentor and coach other TPMs and engineers in program management best practices, acting as a force multiplier to elevate the entire organization’s execution capabilities.
* Foster strong partnerships across product, engineering, and business teams to ensure seamless collaboration and alignment toward shared goals.
**REQUIRED QUALIFICATIONS** 
* 5\+ years of experience managing large\-scale, cross\-functional technical programs, driving alignment and execution across multiple teams or systems.
* Proven ability to deliver complex projects on time and within scope.
* Strong analytical and problem\-solving skills with a data\-driven approach to decision\-making.
* Experience working with software engineering teams and understanding of technical concepts related to system architecture and software development.
* Excellent written and verbal communication skills, with the ability to present to technical and non\-technical stakeholders.
* Ability to work effectively in a fast\-paced, high\-growth environment with shifting priorities.
* Bachelor's degree in Computer Science, Engineering, or a related field.
**PREFERRED QUALIFICATIONS** 
* Experience influencing architecture and design decisions in distributed systems or modern web platforms.
* Familiarity with agile methodologies and scaled agile frameworks for managing multiple teams and dependencies.
* Experience leading programs across geographically distributed teams and multiple functional areas.
**Why Join Us:** 
 It is rare to have a company that both deeply impacts its customers and is able to provide its services across a massive population.  At Blink, we have a huge impact on people when they are most vulnerable: at the intersection of their healthcare and finances. We are also the fastest growing healthcare company in the country and are driving that impact across millions of new patients every year.  Our business model not only helps people, but drives economics that allow us to build a generational company. We are a relentlessly learning, constantly curious, and aggressively collaborative cross\-functional team dedicated to inventing new ways to improve the lives of our customers.
 We are an equal opportunity employer and value diversity of all kinds. We do not discriminate on the basis of race, religion, color, national origin, gender, sexual orientation, age, marital status, veteran status, or disability status.</t>
        </is>
      </c>
    </row>
    <row r="55">
      <c r="A55" t="inlineStr">
        <is>
          <t>li-4371881233</t>
        </is>
      </c>
      <c r="B55" t="inlineStr">
        <is>
          <t>Product Owner 55ip - Senior Associate</t>
        </is>
      </c>
      <c r="C55" t="inlineStr">
        <is>
          <t>JPMorganChase</t>
        </is>
      </c>
      <c r="D55" t="inlineStr">
        <is>
          <t>linkedin</t>
        </is>
      </c>
      <c r="E55" t="inlineStr"/>
      <c r="F55" t="inlineStr"/>
      <c r="G55" t="inlineStr">
        <is>
          <t>Boston, MA</t>
        </is>
      </c>
      <c r="H55" t="inlineStr"/>
      <c r="I55" t="inlineStr">
        <is>
          <t>**Description**
**JOB DESCRIPTION**
 Join our collaborative environment, where you'll contribute to our strategy and make an impact on product success. Grow your skills, participate in product planning, and define user workflows while working alongside experienced product managers. Don't miss this opportunity to be part of a dynamic team and promote innovation in customer experiences.
 As a Product Associate in Asset \&amp; Wealth Management, you play a crucial role in supporting the product development process and contributing to the discovery of innovative solutions that address customer needs. Working closely with the product management team and cross\-functional partners, you contribute your skills and insights to help ensure the success of our product offerings. As a valued member of the team, you have the opportunity to learn and grow in a dynamic and fast\-paced environment, making a tangible impact on our products and customer experiences.
**Job Responsibilities**
* Supports the development of our product strategy and roadmap. Assist in the development and execution of product strategies and roadmaps using Agile methodologies.
* Collects and analyzes metrics on product performance to inform decision\-making. Conduct market research and competitive analysis to identify trends and opportunities. Collaborate with product managers to define product requirements and specifications, ensuring alignment with Agile principles.
* Contributes to solution discovery through collaboration with cross\-functional teams to identify potential solutions that address user needs and align with business goals. Support the product lifecycle from concept to launch, including product design, testing, and implementation.
* Participates in product planning sessions, contributes ideas and insights, and assists in the execution of product initiatives, ensuring timely and successful product launches
* Collaborates with the product manager to engage stakeholders and define user workflows, requirements, stories, and customer value
**Required Qualifications, Capabilities, And Skills**
* 2\+ years of experience or equivalent expertise in product management, project management, or a relevant domain area
* 2\+ years of experience related to trade implementation, order management, or managed account operations within asset management or wealth management.
* Working knowledge of order management systems and their integration with investment platforms.
* Experience in product management, financial services, or a related field.
* Strong analytical and problem\-solving skills.
* Excellent verbal and written communication skills.
* Proficiency in Agile methodologies and experience using JIRA for project management.
* Proficiency in Microsoft Office Suite (Excel, PowerPoint, Word).
* Exposure to product life cycle activities including discovery and requirements definition
* Emerging knowledge of data analytics and data literacy
* Prior experience with order aggregation, trade routing, and OMS integration projects.
* Familiarity with FIX protocol or other electronic trading standards is a plus.
**Preferred Qualifications, Capabilities, And Skills**
* Prior experience with order aggregation, trade routing, and OMS integration projects.
* Familiarity with FIX protocol or other electronic trading standards is a plus.
**About Us**
 JPMorganChase, one of the oldest financial institutions, offers innovative financial solutions to millions of consumers, small businesses and many of the world’s most prominent corporate, institutional and government clients under the J.P. Morgan and Chase brands. Our history spans over 200 years and today we are a leader in investment banking, consumer and small business banking, commercial banking, financial transaction processing and asset management.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JPMorgan Chase \&amp; Co. is an Equal Opportunity Employer, including Disability/Veterans
**About The Team**
 J.P. Morgan Asset \&amp; Wealth Management delivers industry\-leading investment management and private banking solutions. Asset Management provides individuals, advisors and institutions with strategies and expertise that span the full spectrum of asset classes through our global network of investment professionals. Wealth Management helps individuals, families and foundations take a more intentional approach to their wealth or finances to better define, focus and realize their goals.</t>
        </is>
      </c>
    </row>
    <row r="56">
      <c r="A56" t="inlineStr">
        <is>
          <t>li-4371836547</t>
        </is>
      </c>
      <c r="B56" t="inlineStr">
        <is>
          <t>AI Automation and Robotics Product Owner</t>
        </is>
      </c>
      <c r="C56" t="inlineStr">
        <is>
          <t>Sanofi</t>
        </is>
      </c>
      <c r="D56" t="inlineStr">
        <is>
          <t>linkedin</t>
        </is>
      </c>
      <c r="E56" t="inlineStr"/>
      <c r="F56" t="inlineStr"/>
      <c r="G56" t="inlineStr">
        <is>
          <t>Framingham, MA</t>
        </is>
      </c>
      <c r="H56" t="inlineStr"/>
      <c r="I56" t="inlineStr">
        <is>
          <t>**Job Title:** 
 AI Automation and Robotics Product Owner
**Grade:** 
 L3
**Hiring Manager:** 
 Denise Teotico
**Location:** 
 Framingham, MA, Cambridge, MA
**About The Job**
 Join the digital engine driving Sanofi’s transformation \- where AI, automation, and bold experimentation power faster science and smarter decisions. Here, you’ll help build the first biopharma company powered by AI at scale.
 Digital \&amp; Data is at the heart of Sanofi: our ambition is to be the leading digital healthcare platform to develop \&amp; deliver medicine faster, enable healthcare professionals to improve treatments and help patients improve their health. Our scale, strong connections within health ecosystems across the world, and ability to leverage Sanofi's capabilities make us the best place to push the boundaries of medicine through technology.
**Why joining Sanofi Digital**
* Executive sponsorship and governance, with newly appointed CDO \&amp; leadership team.
* Digital \&amp; data culture in place with agile ways of working and a strong ecosystem (Sanofi Ventures, BD Partnerships).
* Unique diversity of medical \&amp; technical challenges, with mobility opportunities.
* Commitment to fostering an inclusive environment where diverse perspectives drive innovation.
* Opportunities for continuous learning and professional development.
 The
 **Digital In\-Silico CMC** 
 team is an innovation engine within Digital R\&amp;D, building next\-generation digital products that transform how we discover, design, and scale\-up manufacturing of new medicines. We combine PhysicalAI, machine learning, robotics, and automation to create in\-silico capabilities that empower scientists with predictive insights, streamline workflows, and turn data into action. Our work accelerates Discovery’s design\-make\-test\-analyze (DMTA) cycle and CMC development, compresses timelines, and enhances productivity. We're passionate about technologies that shape the future of pharmaceutical innovation.
 The
 **AI and Automation Robotics Product Owner** 
 leads the development of PhysicalAI products that transform Discovery’s design\-make\-test\-analyze (DMTA) cycle and CMC. As Product Owner, you'll connect AI technologies with physical laboratory systems, partnering with cross\-functional digital and scientific teams to deliver solutions that improve how Sanofi conducts research, optimizes processes, and brings treatments to patients. You'll directly impact the speed and efficiency of drug discovery and CMC development while ensuring effective integration of intelligent automation. This role combines technical expertise, strategic thinking, and collaborative leadership to advance pharmaceutical R\&amp;D and manufacturing.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**Product Strategy \&amp; Roadmap**
* Define and drive comprehensive product strategy for PhysicalAI\-powered automation and robotics solutions across Discovery \&amp; CMC experimental workflows.
* Collaborate with R\&amp;D and CMC stakeholders to develop product vision and operational demand initiatives, ensuring alignment with business needs.
* Lead strategic demand ideation for AI to accelerate DMTA and AI for Automation \&amp; Robotics products, including external innovation sourcing and effective prioritization.
* Develop long\-term strategy and delivery roadmaps integrating automation, robotics, and digital solutions.
**Product Delivery \&amp; Execution**
* Own development and execution of products under your ownership, ensuring solutions meet scientists' needs and accelerate delivering medicines to patients.
* Guide product development through governance processes, building compelling go/no\-go recommendations based on data and business value.
**Stakeholder Engagement \&amp; Adoption**
* Act as voice of the customer to drive development of AI\-powered tools for target identification, molecule generation, and CMC processes.
* Serve as key liaison between R\&amp;D/CMC business stakeholders and digital teams, translating business needs into requirements.
* Drive product adoption through business transformation and change management, integrating solutions into existing processes.
* Present executive summaries and value propositions to governance bodies with compelling data and evidence.
**Innovation \&amp; Technical Leadership**
* Act as change agent and thought leader on Digital, PhysicalAI, and Automation \&amp; Robotics opportunities.
* Stay current on industry trends and best practices in product management, automation, and pharmaceutical applications.
* Champion adoption of disruptive technologies that transform experimental workflows and accelerate development timelines.
* Align Discovery \&amp; CMC automation strategy with broader Sanofi initiatives and collaborate directly with Digital teams.
**About You**
 We're looking for candidates who bring strong expertise and passion for innovation in automation and robotics. We value diverse perspectives and encourage you to apply even if you don't meet every qualification listed—we're committed to supporting your growth and development in this role.
**Experience**
* 7\+ years in product management or technical leadership roles with focus on lab automation and robotics implementation.
* Proven track record delivering automation solutions in pharmaceutical, life sciences, or CMC environments.
* Experience managing complex, cross\-functional projects in global matrix organizations.
* Demonstrated success in stakeholder management and driving adoption of innovative technologies.
**Skills**
* Strong knowledge and experience in PhysicalAI, AI\-driven robotics, and automation platforms including scheduling/orchestration software.
* Solid understanding of robotic systems, mobile robots, co\-bots, and advanced automation architectures.
* Excellent communication and collaboration skills with ability to bridge technical and business stakeholders.
* Strategic thinking combined with execution excellence, comfortable with ambiguity and driving results in complex environments.
* Openness to learning and adapting to emerging technologies and methodologies.
**Education**
* Bachelor’s degree required, Master’s Degree and PhD preferred
* A degree in Automation, Robotics, Engineering Sciences or related engineering and scientific fields is preferred.
* Advanced degrees and additional experience in pharmaceutical R\&amp;D or industrial automation preferred.
**Why Choose Us?**
* Bring the miracles of science to life alongside a supportive, future\-focused team.
* Discover endless opportunities to grow your talent and drive your career, whether it’s through a promotion or a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 Opportunities for continuous learning and professional development in cutting\-edge technologies.
* Collaborative, inclusive team culture that values diverse perspectives and approaches.
* Flexible work arrangements to support work\-life balance.
* Meaningful work that directly impacts patients' lives.
* Supportive environment for career growth and skill development.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\#GD\-SA
 \#vhd
 All compensation will be determined commensurate with demonstrated experience. Employees may be eligible to participate in Company employee benefit programs, and additional benefits information can be found here.</t>
        </is>
      </c>
    </row>
    <row r="57">
      <c r="A57" t="inlineStr">
        <is>
          <t>li-4336982010</t>
        </is>
      </c>
      <c r="B57" t="inlineStr">
        <is>
          <t>Technical Product Manager, Vice President - Experimentation</t>
        </is>
      </c>
      <c r="C57" t="inlineStr">
        <is>
          <t>JPMorganChase</t>
        </is>
      </c>
      <c r="D57" t="inlineStr">
        <is>
          <t>linkedin</t>
        </is>
      </c>
      <c r="E57" t="inlineStr"/>
      <c r="F57" t="inlineStr"/>
      <c r="G57" t="inlineStr">
        <is>
          <t>Wilmington, DE</t>
        </is>
      </c>
      <c r="H57" t="inlineStr"/>
      <c r="I57" t="inlineStr">
        <is>
          <t>**Job Description**
 You enjoy shaping the future of product innovation as a core leader, driving value for customers, guiding successful launches, and exceeding expectations. Join our dynamic team and make a meaningful impact by delivering high\-quality products that resonate with clients.
 As a Technical Product Manager Vice President in Digital Channels \- Experimentation, you are an integral part of the team that innovates new product offerings and leads the end\-to\-end product life cycle. As a core leader, you are responsible for acting as the voice of the customer and developing profitable products that provide customer value. Utilizing your deep understanding of how to get a product off the ground, you guide the successful launch of products, gather crucial feedback, and ensure top\-tier client experiences. With a strong commitment to scalability, resiliency, and stability, you collaborate closely with cross\-functional teams to deliver high\-quality products that exceed customer expectations.
 As a key member of our team, you’ll have the opportunity to rapidly prototype new features, validate complex statistical engines, and help shape the future of experimentation at Chase. Join us to make a meaningful impact by delivering robust, high\-quality tools that empower our users and advance our platform’s capabilities.
**Job Responsibilities**
* Develops a product strategy and product vision that delivers value to customers
* Manages discovery efforts and market research to uncover customer solutions and integrate them into the product roadmap
* Owns, maintains, and develops a product backlog that enables development to support the overall strategic roadmap and value proposition
* Builds the framework and tracks the product's key success metrics such as cost, feature and functionality, risk posture, and reliability
* Act as the technical thought leader in advancing statistical methods and GenAI capabilities of the platform
* Rapidly build prototypes of new features and concepts for the experimentation platform to enhance self\-serviceability using Python or similar languages.
* Debug, validate, and optimize statistical methods to ensure accuracy and reliability of experiment results.
* Triage production issues related to experimentation with partners to identify root cause.
* Collaborate with product, design, and engineering teams to refine technical requirements and scope.
* Stay current with best practices in experimentation, statistics, and analytics, and apply them to platform development.
**Required Qualifications, Capabilities, And Skills**
* 5\+ years of experience or equivalent expertise in product management, data science, computer science or a relevant domain area.
* Advanced knowledge of the product development life cycle, design, and data analytics
* Proven ability to lead product life cycle activities including discovery, ideation, strategic development, requirements definition, and value management
* Practical coding ability (e.g., Python, scripting, or similar)—able to read, understand, and write code to support prototyping, troubleshooting, and integration.
* Strong background in statistical methods for A/B Testing.
* Strong proficiency in Python, SQL, Snowflake, with the ability to create complex queries and analyses.
* Excellent problem\-solving skills and attention to detail.
* Strong communication skills, with the ability to explain complex analytics concepts to non\-technical users.
* Ability to work independently and collaboratively in a fast\-paced, dynamic environment.
* Proven ability to collaborate and achieve actionable results with cross\-functional teams.
**Preferred Qualifications, Capabilities, And Skills**
* Demonstrated prior experience working in a highly matrixed, complex organization
* Experience in bringing GenAI features to production at scale
* Prior experience working in a highly matrixed, complex organization
* Background in data science, data engineering, or software engineering
* Experience in scaling platforms
* Advanced statistical knowledge related to experimentation, including Contextual Multi\-Armed Bandit (CMAB), Sequential Testing, CUPED (Controlled Experiments Using Pre\-Experiment Data), and other advanced methodologies.
**About Us**
 Chase is a leading financial services firm, helping nearly half of America’s households and small businesses achieve their financial goals through a broad range of financial products. Our mission is to create engaged, lifelong relationships and put our customers at the heart of everything we do. We also help small businesses, nonprofits and cities grow, delivering solutions to solve all their financial needs.
 We offer a competitive total rewards package including base salary determined based on the role, experience, skill set and location. Those in eligible roles may receive commission\-based pay and/or discretionary incentive compensation, paid in the form of cash and/or forfeitable equity, awarded in recognition of individual achievements and contributions. We also offer a range of benefits and programs to meet employee needs, based on eligibility. These benefits include comprehensive health care coverage, on\-site health and wellness centers, a retirement savings plan, backup childcare, tuition reimbursement, mental health support, financial coaching and more. Additional details about total compensation and benefits will be provided during the hiring process.
 We recognize that our people are our strength and the diverse talents they bring to our global workforce are directly linked to our success. We are an equal opportunity employer and place a high value on diversity and inclusion at our company. We do not discriminate on the basis of any protected attribute, including race, religion, color, national origin, gender, sexual orientation, gender identity, gender expression, age, marital or veteran status, pregnancy or disability, or any other basis protected under applicable law. We also make reasonable accommodations for applicants’ and employees’ religious practices and beliefs, as well as mental health or physical disability needs. Visit our FAQs for more information about requesting an accommodation.
 Equal Opportunity Employer/Disability/Veterans
**About The Team**
 Our Consumer \&amp; Community Banking division serves our Chase customers through a range of financial services, including personal banking, credit cards, mortgages, auto financing, investment advice, small business loans and payment processing. We’re proud to lead the U.S. in credit card sales and deposit growth and have the most\-used digital solutions – all while ranking first in customer satisfaction.
 The Digital team is dedicated to creating innovative, industry\-leading products and experiences that help customers access, share and control their financial data so they can make smart decisions with their money. Teams enable innovation while adhering to the firm’s data sharing principles of security, customer control and convenience, and privacy.</t>
        </is>
      </c>
    </row>
    <row r="58">
      <c r="A58" t="inlineStr">
        <is>
          <t>li-4341189432</t>
        </is>
      </c>
      <c r="B58" t="inlineStr">
        <is>
          <t>General Line Product Manager</t>
        </is>
      </c>
      <c r="C58" t="inlineStr">
        <is>
          <t>Boise Cascade Company</t>
        </is>
      </c>
      <c r="D58" t="inlineStr">
        <is>
          <t>linkedin</t>
        </is>
      </c>
      <c r="E58" t="inlineStr"/>
      <c r="F58" t="inlineStr"/>
      <c r="G58" t="inlineStr">
        <is>
          <t>Sugar Land, TX</t>
        </is>
      </c>
      <c r="H58" t="inlineStr"/>
      <c r="I58" t="inlineStr">
        <is>
          <t>Boise Cascade Company has been in the business of manufacturing wood products and distributing building materials for over half a century. We are one of the largest producers of engineered wood products and plywood in North America and a leading U.S. wholesale distributor of building materials. Because our business is built on relationships, our associates are critical to our success. We are committed to investing in them and that is why we offer a comprehensive benefits package designed to have a positive impact on all areas on your life – from health and well\-being, career, and community, to financial security and personal safety, with many benefits beginning on your first day of employment. Please review the responsibilities and needed qualifications below and apply today!
 Boise Cascade has an exciting opening for a General Line Product Manager! Please review the responsibilities and needed qualifications below and apply today!
**Responsibilities**
 General Line Product Manager will purchase, price, and market a group of general line products for warehouse and customer sales. General Line Product Manager develops and implements sales strategies, new products, promotions, and conducts sales presentations on assigned general line products. General Line Product Manager will monitor and maintain acceptable inventory levels, turnover, and margins to maximize branch profitability. Solicits direct and warehouse sales on all general line products. Work closely with location manager or location sales manager in promotion of assigned and new products. Maintain direct control over replenishment, pricing and inventory of assigned products. General Line Product Managers change prices as necessary and maintain catalogue price pages. Develop annual marketing plan incorporating vendor, division and product promotions. Maintain technical product knowledge. General Line Product Managers determine product market potential. Identify and evaluate competitive products, new markets, new product opportunities, and competitors. Work closely with division merchandising in selection of suppliers. Maintain customer relationships, quote prices, sell additional products. Assist operations manager in warehousing assigned products. Make presentations at dealers’ meetings, sales meetings, builder shows, etc. Demonstrate strong commitment to safety, quality, environmental awareness, and continuous process improvement. Perform other duties and responsibilities as assigned.
**Qualifications**
*Basic Qualifications:* 
 College Degree or equivalent work experience in related job function. Working conditions are an office environment with minimal physical exertion.
*Preferred Qualifications:* 
 Effective communication skills. Requires proficiency in utilizing computer software applications necessary for performing job responsibilities. Typically more than seven (7\) years in building products industry or general line sales.
* Can work out of Sugarland or Hondo Location\*\*\*\*
**Our Benefits**
* Medical \+ Dental \+ Vision
* Flexible Spending Accounts \+ HRA
* 401(k) Retirement Savings
* Annual Incentives
* Paid Time Off (20/yr) and holidays (10/yr)
* Paid Parental Leave</t>
        </is>
      </c>
    </row>
    <row r="59">
      <c r="A59" t="inlineStr">
        <is>
          <t>li-4342168184</t>
        </is>
      </c>
      <c r="B59" t="inlineStr">
        <is>
          <t>Senior Technical Program Manager</t>
        </is>
      </c>
      <c r="C59" t="inlineStr">
        <is>
          <t>Snowflake</t>
        </is>
      </c>
      <c r="D59" t="inlineStr">
        <is>
          <t>linkedin</t>
        </is>
      </c>
      <c r="E59" t="inlineStr"/>
      <c r="F59" t="inlineStr"/>
      <c r="G59" t="inlineStr">
        <is>
          <t>Menlo Park, CA</t>
        </is>
      </c>
      <c r="H59" t="inlineStr"/>
      <c r="I59"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We’re at the forefront of the data revolution, committed to building the world’s greatest data and applications platform. Snowflake is striving to become the cloud data platform of choice for everyone who needs affordable, reliable, scalable and elastic data management. Armed with great technical talent, our expanding product offering is designed for the cloud and automatically handles infrastructure, optimization, availability, data protection, and more so our users can focus on using their data, not managing it. And we’re doing this across all the major cloud providers, breaking new ground in what it means to be multi\-cloud and cloud agnostic.
 We are looking to hire an experienced Senior Technical Program Manager who can be part of a world\-class team that builds Snowflake’s product and cloud platform. This role is a unique opportunity to make a significant impact by building a flexible, large scale, high\-performance, and resilient platform for Snowlake features and services. Be part of the vision to create the best data cloud platform. Our ‘get it done’ culture allows everyone at Snowflake to have an equal opportunity to innovate on new ideas, create work with a lasting impact, and excel in a culture of collaboration.
**AS A SENIOR TECHNICAL PROGRAM MANAGER, YOU WILL:**
* Be responsible for defining and delivering important programs with broad organizational, business and technical impact.
* Provide cross\-functional leadership with Engineering and Product Management, and inter/intra team communications to deliver outstanding program outcomes.
* Bring strong, data\-driven and strategic technical judgment to decisions.
* Be hands\-on, working closely with Software Engineers and Product Managers to design, build, and deliver the next generation of Snowflake services and apps.
* Amplify your impact by educating and mentoring the TPM and Engineering communities on program management best practices.
* Identify opportunities to improve execution of the organization as a whole, to increase engineering productivity through tools and light\-weight processes. (Snowflake happens to have a nice data platform to use :\-)
**A SENIOR TECHNICAL PROGRAM MANAGER AT SNOWFLAKE IS EXPECTED TO HAVE:**
* 5\+ years of demonstrated industry experience and expertise leading medium to large complex engineering projects in current cloud technologies
* Ability to thrive and succeed in a dynamic environment not slowed down by ambiguity or competing priorities
* Experience working cross functionally with engineering, product management, and other functions involved in the product life cycle
* Strong program management skills with technical and business acumen
* Effective verbal and written communication and presentation skills, with the ability to interact with technical and non\-technical groups
* Excellent analytical, problem\-solving, consultation and organizational skills
* BS/MS/PhD degree in Computer Science, Engineering, or related fields or equivalent practical experience (e.g. familiarity with SQL, Python, Data)
 Every Snowflake employee is expected to follow the company’s confidentiality and security standards for handling sensitive data. Snowflake employees must abide by the company’s data security plan as an essential part of their duties. It is every employee's duty to keep customer information secure and confidential.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$166,000 \- $238,050\.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60">
      <c r="A60" t="inlineStr">
        <is>
          <t>li-4371836737</t>
        </is>
      </c>
      <c r="B60" t="inlineStr">
        <is>
          <t>Technical Product Owner, Manager - Tax Transformation</t>
        </is>
      </c>
      <c r="C60" t="inlineStr">
        <is>
          <t>Deloitte</t>
        </is>
      </c>
      <c r="D60" t="inlineStr">
        <is>
          <t>linkedin</t>
        </is>
      </c>
      <c r="E60" t="inlineStr"/>
      <c r="F60" t="inlineStr"/>
      <c r="G60" t="inlineStr">
        <is>
          <t>San Francisco, CA</t>
        </is>
      </c>
      <c r="H60" t="inlineStr"/>
      <c r="I60"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31, 2026\.
**Work you'll do**
 As a Deloitte Tax Technical Product Owner, you will be responsible for managing vendor teams in building and delivering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development team's priorities and adherence to delivery standards.
* Provide leadership coordination and oversight within one delivery team to deliver functionality on behalf of Tax.
* Coordinate with business representatives when details are needed.
* Partner on the design and ensure product meets specifications by conducting demos at Program Increment Sessions.
* Follow standards, guidelines, and metrics aimed at delivering business value quickly and efficiently.
* Proactively identify and mitigate product\-related risks (escalate issues to the Delivery Lead and/or Portfolio Lead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Information Technology, Business or other relevant discipline.
* 5\+ years' experience leading technical delivery teams.
* Demonstrated product development experience using different software development methodologies, like Agile and Scaled Agile.
* Proven knowledge of risk management and tracking techniques.
* Ability to travel up to 15%,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Alteryx Designer\- Advanced Certification
* CBAP® \- Certified Business Analysis Professional
* Certified SAFe® Advanced Scrum Master
* Certified SAFe® Agile Software Engineer
* Certified SAFe® Agilist
* Certified SAFe® Architect
* Certified SAFe® DevOps Practitioner
* Certified SAFe® Lean Portfolio Manager
* Certified SAFe® Practitioner
* Certified SAFe® Product Owner / Product Manager
* Certified SAFe® Scrum Master
* Certified Scrum Product Owner (CSPO)
* Microsoft Certified Solutions Developer (MCSD)
* Program Management Professional (PgMP)
* Project Management Professional (PMP)
* Six Sigma (Green or Black Belt)
**Preferred**
* Previous tax firm or consulting firm experience
* Azure DevOps exposure
* Excellent analytical and problem\-solving skills
* Strong verbal and written communication skills; strong listening, interpersonal, and facilitation skills
* Able to interact effectively with professionals at all levels and communicate recommendations.
* Demonstrated experience working with and influencing as part of a team.
* Motivated, resourceful, and dependable
* Well organized with the ability to multitask and prioritize multiple, ongoing projects
* Able to respond quickly to high\-priority deadlines with little lead\-time and adaptable to direction changes.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$111,090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61">
      <c r="A61" t="inlineStr">
        <is>
          <t>li-4365246078</t>
        </is>
      </c>
      <c r="B61" t="inlineStr">
        <is>
          <t>GTM Onboarding, Program Manager</t>
        </is>
      </c>
      <c r="C61" t="inlineStr">
        <is>
          <t>Aircall</t>
        </is>
      </c>
      <c r="D61" t="inlineStr">
        <is>
          <t>linkedin</t>
        </is>
      </c>
      <c r="E61" t="inlineStr"/>
      <c r="F61" t="inlineStr"/>
      <c r="G61" t="inlineStr">
        <is>
          <t>New York, NY</t>
        </is>
      </c>
      <c r="H61" t="inlineStr"/>
      <c r="I61" t="inlineStr">
        <is>
          <t>Aircall is a unicorn, AI\-powered customer communications platform used by 22,000\+ companies worldwide to drive revenue, resolve issues faster, and scale customer\-facing teams. We’re redefining customer communications by bringing voice, SMS, WhatsApp, and AI together into one seamless workspace.
 Our momentum comes from a simple idea: help teams work smarter, not harder. Aircall’s AI Voice Agent automates routine calls, AI Assist streamlines post\-call work, and AI Assist Pro delivers real\-time guidance so people can do their best work. The result is higher revenue, faster resolutions, and teams that scale with confidence.
 Aircall is headquartered in Paris, our European HQ, with a strong North American presence anchored in Seattle, our North American HQ, and teams across Madrid, London, Berlin, San Francisco, New York City, Sydney, and Mexico City. We’ve built a product customers love and a business that’s scaling quickly, backed by world\-class investors and driven by rapid AI innovation across multiple product lines.
 At Aircall, you’ll join a company in motion. We’re ambitious, product\-driven, and execution\-focused, with visible impact, fast decisions, and real growth.
**How we work at Aircall:** 
 We’re customer\-obsessed, data\-driven, and focused on delivering meaningful outcomes. We value ownership, continuous learning, and thoughtful speed. If you thrive in a collaborative, fast\-moving environment where trust and impact matter, you’ll feel at home here.
**About the Team:**
 Aircall’s GTM Enablement team operates at the heart of our selling motion, translating product innovations into clear value changes to GTM teams whilst building scalable functional foundations to enhance our buyer journey.
 This is a dynamic, hands\-on role central to every GTM team, that will strengthen your project \&amp; stakeholder management abilities, sharpen your communication skills and deepen your functional expertise. With a necessity to eagerly and continuously learn, you will reshape our onboarding engine and become a key xDR stakeholder for all functional changes.
 As a GTM Onboarding, Program Manager , you will own the end\-to\-end onboarding delivery for all our GTM teams to drive process excellence, product excellence, and ensure cross\-functional integration. You will design, implement, and reinforce workflows that will be paramount to establishing foundations for success and cement Aircall as a talent incubator.
 As an xDR functional expert, you will also partner with RevOps, Marketing and Product teams to provide your expertise and ensure new processes are tailored, adapted and adopted by xDR teams.
**Key Responsibilities**
* GTM Onboarding
* Define and own global onboarding standards and learning journeys for all GTM roles, including: SDRs, BDRs, AEs, AMs, PAMs, Customer Engineers, Solution Engineers, Forward Deployed Engineers (FDEs) and Support teams.
* Drive the evolution toward a robust, scalable, and modern onboarding engine by leveraging a dedicated LMS, gamified learning paths and staging environments to provide a full learning immersion and support long\-term skill development.
* Partner with GTM adjacent teams to improve the immediate operational readiness of newcomers
* Become a primary PoCs for newcomers through their first month to support their initial workings and run enablement sessions to cement their product \&amp; process foundations
* Build workflows \&amp; automations to track onboarding progress, improve onboarding accountability and pre\-emptively identify areas for improvementOwn the continuous optimization of the onboarding experience and its outcomes, through qualitative feedback, performance and ramp data and the regular enrichment of activities based on the latest programs, frameworks, and initiatives driven by Field Enablement Act as the primary enablement point of contact for the BDR audience on an as\-needed basis, to influence the scope and rollout of new tools, process changes, and priority field requests.
* Build, tailor and communicate training to the xDR audience to maximise process adoption
**Qualifications**
* 2–3 years or more within a GTM facing role
* Excellent communication and stakeholder management skills, with a strong aptitude to adapt your communication style to your audience
* Strong command of GTM outreach tools
* Hands on experience building Salesforce reports and with low\-code orchestration tools (Zapier, Make, n8n, Workato)
* Complete understanding of our end\-to\-end buyer journey
* A growth mindset — constantly learning new tools, frameworks, and ways to improve the customer experience and team capability.
**What Success Looks Like**
* Consistent delivery of high\-quality, immersive training programs Continuous optimisation of onboarding programs to ensure clear learnings paths with structured milestones, readiness checkpoints and strong alignment to real on\-the\-job execution
* End\-to\-end understanding of each GTM team’s Target Operating Model
* Smooth operational efficiency across GTM\-adjacent teams and managers to drive strong accountability
* Sustained improvements in our onboarding metrics (ramp time, NPS score, retention)
**Why This Role is Unique**
* This role offers rare visibility and influence across the entire GTM motion. You’ll manage complex programs, partner with our Leadership team and drive impact at both an individual and functional level.
* Bridging your curiosity and enthusiasm with strong autonomy and constant cross\-functional exposure, you will be a key operator throughout Aircall’s major 2026 transformations to shape the learning journey for our entire revenue ecosystem.
 $90,000 \- $110,000 a year
 This compensation range is not including equity and other benefits. The actual salary offered will carefully consider a wide range of factors, including your skills, qualifications, and experience.
**Why join us?**
 🚀 Key moment to join Aircall in terms of growth and opportunities
 💆‍♀️ Our people matter, work\-life balance is important at Aircall
 📚 Fast\-learning environment, entrepreneurial and strong team spirit
 🌍 45\+ Nationalities: cosmopolite \&amp; multi\-cultural mindset
 💵 Competitive salary package \&amp; equity
 🏨 Medical, dental, and vision insurance is 100% covered
 📈 401k plan with company matching!
 ✈️ Unlimited PTO — take the time you need to come to work feeling great!
 ⭐️ Wellness, commuter, and childcare reimbursements
 💚 Generous parental leave policy
 DE\&amp;I Statement:
 At Aircall, we believe diversity, equity and inclusion – irrespective of origins, identity, background and orientations – are core to our journey.
 We pride ourselves on promoting active inclusion within our business to foster a strong sense of belonging for all. We’re working to create a place filled with diverse people who can enrich and learn from one another. We’re committed to ensuring that everyone not only has a seat at the table but is valued and respected at it by providing equal opportunities to develop and thrive.
 We will constantly challenge ourselves to make sure that we live up to our ambitions around diversity, equity and inclusion, and keep this conversation open. Above all else, we understand and acknowledge that we have work to do and much to learn.
 Want to know more about candidate privacy? Find our Candidate Privacy Notice here.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62">
      <c r="A62" t="inlineStr">
        <is>
          <t>li-4323262825</t>
        </is>
      </c>
      <c r="B62" t="inlineStr">
        <is>
          <t>Senior Program Manager</t>
        </is>
      </c>
      <c r="C62" t="inlineStr">
        <is>
          <t>Qualcomm</t>
        </is>
      </c>
      <c r="D62" t="inlineStr">
        <is>
          <t>linkedin</t>
        </is>
      </c>
      <c r="E62" t="inlineStr"/>
      <c r="F62" t="inlineStr"/>
      <c r="G62" t="inlineStr">
        <is>
          <t>San Diego, CA</t>
        </is>
      </c>
      <c r="H62" t="inlineStr"/>
      <c r="I62" t="inlineStr">
        <is>
          <t>**Company**
 Qualcomm Technologies, Inc.
**Job Area**
 Engineering Services Group, Engineering Services Group \&gt; Program Management
**General Summary**
 Develops, defines, and executes plans of record, including: schedules, budgets, resources, deliverables, and risks. Monitors and drives the program from initiation through delivery, interfacing with internal and external stakeholders across functions on technical matters, as needed. Monitors budget/spending, on\-time delivery, and achievement of program milestones. Represents the program and drives alignment across stakeholders.
**Minimum Qualifications**
* Bachelor's degree in Engineering, Computer Science, or related field.
* 4\+ years of Program Management or related work experience.
**Preferred Qualifications**
* Master's degree in Engineering, Computer Science, or related field.
* PMP Certification.
* 7\+ years of Program Management or related work experience.
* 3\+ years of work experience in a role requiring interaction with senior leadership (e.g., Director level and above).
* 2\+ years of experience working in a large matrixed organization.
* 2\+ years of experience with program management tools such as dashboards, Gantt charts, etc.
**Experience With AI (models, Tool Chain, Development) Preferred**
 Experience with managing complex SW for chipsets preferred
**Principal Duties And Responsibilities**
* Collaborates with key stakeholders and program sponsors to develop goals, set the prioritization of deliverables, and discuss necessary priorities and stakeholder needs.
* Manages and takes responsibility for multiple small programs/technology with moderate complexity or a single complex program/technology by applying up\-to\-date program management knowledge to meet deadlines.
* Develops and manages the execution of the program Plan of Record (e.g., on time, on budget, within scope) for multiple small programs or a single medium sized or complex programs/technologies which includes schedule and resource forecasting, stakeholder identification, method and frequency of communication, scope, and prioritization.
* Tracks and manages all key metrics pertaining to a program and identifies when metrics deviate significantly from Plan of Record; escalates issues in a timely manner and proposes corrective actions.
* Manages and prioritizes the work of the program team by establishing schedules, task assignments, and tracking tasks of team members.
* Identifies program issues/risks and creates a risk mitigation plan for multiple small programs or a single medium sized or complex program. Maintains and updates the risk tracker.
* Helps to promote program vision and objectives within own team, and ensures program objectives are met or exceeded.
* Supports the adoption of processes by applying best practices and identifying and recommending process improvement opportunities within respective programs.
**Level Of Responsibility**
* Working independently with little supervision.
* Making decisions that are moderate in impact; errors may have financial impact or effect on projects, operations, or customer relationships; errors may require involvement beyond immediate work group to correct.
* Using verbal and written communication skills to convey complex and/or detailed information to multiple individuals/audiences with differing knowledge levels. May require strong negotiation and influence, communication to large groups or high\-level constituents.
* Having a moderate amount of influence over key organizational decisions (e.g., is consulted by senior leadership to provide input on key decisions).
* Completing tasks that do not have defined steps; simultaneous use of multiple mental abilities is generally required to determine the best approach; mistakes may result in significant rework.
* Exercising substantial creativity to innovate new processes, procedures, or work products within guidelines or to achieve established objectives.
* Using deductive and inductive problem solving; multiple approaches may be taken/necessary to solve the problem; often information is missing or conflicting; advanced data analysis and interpretation skills are required.
* Occasionally participates in strategic planning within own area affecting immediate operations.
**The Responsibilities Of This Role Do Not Include**
* Financial accountability (e.g., does not involve budgeting responsibility).
 Qualcomm is an equal opportunity employer. If you are an individual with a disability and need an accommodation during the application/hiring process, rest assured that Qualcomm is committed to providing an accessible process. You may e\-mail disability\-accomodations@qualcomm.com or call Qualcomm's toll\-free number found here. Upon request, Qualcomm will provide reasonable accommodations to support individuals with disabilities to be able participate in the hiring process. Qualcomm is also committed to making our workplace accessible for individuals with disabilities. (Keep in mind that this email address is used to provide reasonable accommodations for individuals with disabilities. We will not respond here to requests for updates on applications or resume inquiries).
**To all Staffing and Recruiting Agencies** 
 : Our Careers Site is only for individuals seeking a job at Qualcomm. Staffing and recruiting agencies and individuals being represented by an agency are not authorized to use this site or to submit profiles, applications or resumes, and any such submissions will be considered unsolicited. Qualcomm does not accept unsolicited resumes or applications from agencies. Please do not forward resumes to our jobs alias, Qualcomm employees or any other company location. Qualcomm is not responsible for any fees related to unsolicited resumes/applications.
**EEO Employer: Qualcomm is an equal opportunity employer; all qualified applicants will receive consideration for employment without regard to race, color, religion, sex, sexual orientation, gender identity, national origin, disability, Veteran status, or any other protected classification.**
 Qualcomm expects its employees to abide by all applicable policies and procedures, including but not limited to security and other requirements regarding protection of Company confidential information and other confidential and/or proprietary information, to the extent those requirements are permissible under applicable law.
**Pay Range And Other Compensation \&amp; Benefits**
 $154,400\.00 \- $231,600\.00
 The above pay scale reflects the broad, minimum to maximum, pay scale for this job code for the location for which it has been posted. Even more importantly, please note that salary is only one component of total compensation at Qualcomm. We also offer a competitive annual discretionary bonus program and opportunity for annual RSU grants (employees on sales\-incentive plans are not eligible for our annual bonus). In addition, our highly competitive benefits package is designed to support your success at work, at home, and at play. Your recruiter will be happy to discuss all that Qualcomm has to offer – and you can review more details about our US benefits at this link.
 If you would like more information about this role, please contact Qualcomm Careers.</t>
        </is>
      </c>
    </row>
    <row r="63">
      <c r="A63" t="inlineStr">
        <is>
          <t>li-4371398778</t>
        </is>
      </c>
      <c r="B63" t="inlineStr">
        <is>
          <t>Program Manager</t>
        </is>
      </c>
      <c r="C63" t="inlineStr">
        <is>
          <t>RemoteHunter</t>
        </is>
      </c>
      <c r="D63" t="inlineStr">
        <is>
          <t>linkedin</t>
        </is>
      </c>
      <c r="E63" t="inlineStr"/>
      <c r="F63" t="inlineStr"/>
      <c r="G63" t="inlineStr"/>
      <c r="H63" t="inlineStr"/>
      <c r="I63" t="inlineStr">
        <is>
          <t>About the Opportunity:
 The organization seeks a Program Manager for Brand/Seasonal Marketing to lead end\-to\-end execution of key brand\-led, seasonal, and cross\-channel marketing programs. This role involves bringing strategic marketing visions to life across multiple channels, including in\-store experiences and digital campaigns, to deliver exceptional omni\-channel marketing programs that engage clients.
 Responsibilities:
 • Drive omni\-channel marketing programs across online and offline channels, including in\-store, print, direct mail, digital, video, and social media.
 • Create and publish schedules integrating traditional and digital media touchpoints, ensuring timely execution to meet launch dates.
 • Collaborate cross\-functionally with Strategy, Brand Marketing, Creative, Visual Merchandising/Production, Channel partners, Merchandising, Store Design, and Agency partners to communicate requirements, deliverables, and timelines.
 • Manage day\-to\-day execution by tracking schedules, preparing meeting agendas, routing creative for feedback, facilitating asset handoffs, and maintaining program archives.
 • Identify risks early during program execution and implement mitigation strategies.
 • Oversee budget management by understanding budget and co\-op funding requirements, tracking expenditures, and facilitating discussions between Creative, Marketing, and Production teams regarding cost impacts.
 Requirements:
 • 4 to 6 years of project or account management experience managing complex, multi\-channel marketing programs from planning through implementation.
 • Exceptional organizational and prioritization skills with strong attention to detail and proactive problem\-solving abilities.
 • Outstanding interpersonal and communication skills for effective collaboration across cross\-functional teams.
 • Ability to adapt and thrive in a fast\-paced, changing environment.
 Benefits \&amp; Perks:
 • Medical, dental, and vision coverage with disability and life insurance fully covered by the organization.
 • Competitive 401k plan with 4% match, FSA and HSA programs, and a Student Debt Retirement plan that qualifies student loan payments for 401k matching.
 • Paid time off, flexible work options, and protected leave to support work/life balance.
 • Access to training, development, and tuition reimbursement for career growth.
 • 30% discount on merchandise and services, opportunities for free product, and flash sale discounts on related brand products.
 • Free mental health and financial coaching resources available 24/7 plus volunteer and donation matching programs.
 Compensation:
 • The annual base salary range for this position is $99,000\.00 to $131,000\.00\.
 • Actual salary depends on factors such as qualifications, experience, skills, education, certifications, business factors specific to the role, and geographic location.
 • Employees in this position may be eligible for bonuses.
 • This job will be posted for a minimum of five days.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64">
      <c r="A64" t="inlineStr">
        <is>
          <t>li-4326557125</t>
        </is>
      </c>
      <c r="B64" t="inlineStr">
        <is>
          <t>Senior Healthcare Treasury Management Product Manager</t>
        </is>
      </c>
      <c r="C64" t="inlineStr">
        <is>
          <t>Fifth Third Bank</t>
        </is>
      </c>
      <c r="D64" t="inlineStr">
        <is>
          <t>linkedin</t>
        </is>
      </c>
      <c r="E64" t="inlineStr"/>
      <c r="F64" t="inlineStr"/>
      <c r="G64" t="inlineStr">
        <is>
          <t>Charlotte, NC</t>
        </is>
      </c>
      <c r="H64" t="inlineStr"/>
      <c r="I64" t="inlineStr">
        <is>
          <t>**Make banking a Fifth Third better®**
 We connect great people to great opportunities. Are you ready to take the next step? Discover a career in banking at Fifth Third Bank.
**General Function**
 Seeking a visionary Senior Healthcare Product Manager to lead the development of next\-generation healthcare payment solutions within our Treasury Management group. This is not just a product role—it’s an opportunity to reshape how healthcare organizations manage payments and revenue cycles in a rapidly evolving financial ecosystem.
**Essential Duties \&amp; Responsibilities**
* Drive innovation by introducing cutting\-edge capabilities, including AI, machine learning, and advanced analytics, to optimize payment workflows and revenue cycle management.
* Serve as a strategic connector between the banking industry and the healthcare fintech ecosystem, leveraging your network to identify partnerships, emerging trends, and disruptive opportunities.
* Champion solutions that simplify complex payer\-provider interactions, improve interoperability, and deliver seamless payment experiences for healthcare organizations.
* Influence the future of healthcare payments by anticipating regulatory changes, market dynamics, and customer needs, ensuring our offerings remain ahead of the curve.
* Define and execute product strategy for healthcare payment solutions.
* Collaborate with internal teams and external stakeholders (payers, providers) to identify market needs.
* Manage the product lifecycle from ideation to launch and ongoing optimization.
* Drive sales for product(s) within designated product line.
* Develop and enhance products.
* Develop strategy plan and product plan to meet revenue and market share goals.
* Pricing, profitability, packaging, promotion and margin management
* Vendor selection and relations; contract negotiations
* Develop and distribute sales tools
* Develop customer education and customer focus programs for new and existing product initiatives.
* Act as liaison between several areas of the bank, including Sales, Operations, IT, Legal, Audit, Legal, and Risk.
* Identify risk associated with product lines and contribution to process development and management to minimize risk. Works under minimal supervision.
**Minimum Knowledge, Skills And Abilities Required**
* Undergraduate degree in business or finance required. MBA or advanced degree preferred.
* 7\+ years experience in related healthcare product management, which includes product development, sales or operations
* Experience working in matrix management and multi\-site environments
* Collaboration and relationship management skills required
* Understanding of related current industry trends and issues
* Priority management and time management skills
* Extensive experience/ability to influence and negotiate with individuals outside span of control
* Excellent interpersonal, written and verbal skills as individual interfaces with all levels of management
* Strong analytical, financial and strategic skills
 Senior Healthcare Treasury Management Product Manager
 Total Base Pay Range 94,500\.00 \- 203,200\.00 USD Annual
 At Fifth Third, we understand the importance of recognizing our employees for the role they play in improving the lives of our customers, communities and each other. Our Total Rewards include comprehensive benefits and differentiated compensation offerings to give each employee the opportunity to be their best every day.
 The base salary for this position is reflective of the range of salary levels for all roles within this pay grade across the U.S. Individual salaries within this range will vary based on factors such as role, relevant skillset, relevant experience, education and geographic location. In addition to the base salary, this role is eligible to participate in an incentive compensation plan, with any such payment based upon company, line of business and/or individual performance.
 Our extensive benefits programs are designed to support the individual needs of our employees and their families, encompassing physical, financial, emotional and social well\-being. You can learn more about those programs on our 53\.com Careers page at: https://www.53\.com/content/fifth\-third/en/careers/benefits.html or by consulting with your talent acquisition partner.
 LOCATION \-\- Cincinnati, Ohio 45202
 Attention search firms and staffing agencies: do not submit unsolicited resumes for this posting. Fifth Third does not accept resumes from any agency that does not have an active agreement with Fifth Third. Any unsolicited resumes – no matter how they are submitted – will be considered the property of Fifth Third and Fifth Third will not be responsible for any associated fee.
 Fifth Third Bank, National Association is proud to have an engaged and inclusive culture and to promote and ensure equal employment opportunity in all employment decisions regardless of race, color, gender, national origin, religion, age, disability, sexual orientation, gender identity, military status, veteran status or any other legally protected status.</t>
        </is>
      </c>
    </row>
    <row r="65">
      <c r="A65" t="inlineStr">
        <is>
          <t>li-4279797420</t>
        </is>
      </c>
      <c r="B65" t="inlineStr">
        <is>
          <t>Lead Product Manager (Compliance and Fraud)</t>
        </is>
      </c>
      <c r="C65" t="inlineStr">
        <is>
          <t>Zinnia</t>
        </is>
      </c>
      <c r="D65" t="inlineStr">
        <is>
          <t>linkedin</t>
        </is>
      </c>
      <c r="E65" t="inlineStr"/>
      <c r="F65" t="inlineStr"/>
      <c r="G65" t="inlineStr">
        <is>
          <t>Greenwich, CT</t>
        </is>
      </c>
      <c r="H65" t="inlineStr"/>
      <c r="I65" t="inlineStr">
        <is>
          <t>**Who We Are**
 Zinnia is the leading technology platform for accelerating life and annuities growth. With innovative enterprise solutions and data insights, Zinnia simplifies the experience of buying, selling, and administering insurance products. All of which enables more people to protect their financial futures. Our success is driven by a commitment to three core values: be bold, team up, deliver value – and that we do. Zinnia has over $180 billion in assets under administration, serves 100\+ carrier clients, 2500 distributors and partners, and over 2 million policyholders.
**Who You Are**
 Zinnia is seeking a Lead Product Manager to drive the evolution of our compliance and fraud prevention capabilities across our life and annuity product ecosystem. This role will shape how we embed intelligent, scalable safeguards that prevent illicit activity, detect suspicious behavior, and ensure we meet the expectations of a tightly regulated industry. You’ll partner across product, data, engineering, risk, and legal to deliver customer\-focused solutions that balance protection, regulatory alignment, and seamless experiences. Life and annuity domain knowledge is not required, but you should bring proven success managing complex product capabilities in regulated, fraud\-sensitive financial environments.
**What You’ll Do**
* Own the product strategy, roadmap, and delivery of compliance, AML, and fraud detection capabilities within a modern insurance platform.
* Build and enhance controls across the policy lifecycle—from onboarding and payment intake to servicing, surrender, and disbursement—with fraud and regulatory alignment at every touchpoint.
* Develop intelligent monitoring systems that detect suspicious transaction patterns (e.g., unusual funding, beneficiary manipulation, synthetic identities, rapid movement of funds) and support rule\-based or ML\-driven alerting.
* Define and deliver AML/KYC features such as identity verification, sanctions/PEP screening, enhanced due diligence workflows, and audit traceability.
* Collaborate with Compliance, Legal, and Operations to translate regulatory requirements into scalable, productized features aligned with BSA/AML, OFAC, SEC, NAIC, and GLBA/CCPA frameworks.
* Guide integrations with external fraud, AML, and identity platforms (e.g., Alloy, Socure, ComplyAdvantage), optimizing automation and performance.
* Build internal tools for case management, escalation workflows, and alert resolution, supporting real\-time decisioning and investigation by compliance analysts.
* Drive a culture of risk\-aware product development, including data governance, secure customer data handling, and detailed incident response procedures.
* Support fraud and AML incident response, including root cause analysis, impact reporting, and long\-term mitigation planning.
* Stay current on regulatory shifts and fraud trends to inform strategy, priorities, and capability design.
**What You’ll Need**
* 10\+ years of experience in product management, with direct ownership of features tied to fraud prevention, AML, KYC, risk management, or regulatory compliance in fintech, banking, payments, or adjacent fields.
* Strong understanding of fraud prevention techniques and tools including transaction monitoring, behavioral analytics, identity verification, device intelligence, and threat modeling.
* Familiarity with relevant regulations and industry standards (e.g., BSA/AML, USA PATRIOT Act, OFAC, GDPR, CCPA, GLBA, SEC/FINRA).
* Experience integrating third\-party compliance/risk tools via APIs; comfort designing and owning vendor\-driven workflows.
* Ability to collaborate deeply across legal, security, engineering, and data teams with strong documentation and stakeholder communication skills.
* Technical literacy in secure architecture, data pipelines, and basic SQL or BI tools to support investigation, tuning, and decision\-making.
* Process\-minded with a knack for building scalable, policy\-aligned systems that support both business goals and regulatory obligations.
**Bonus Points**
* Experience designing product capabilities for complex user journeys, such as account origination, financial product onboarding, or multi\-party data workflows.
* Familiarity with fraud vector detection for synthetic identity, account takeover, payment fraud, or agent/broker manipulation.
* Certifications such as CAMS, CFE, CFCS, or CISA.
* Prior work with or understanding of life insurance, annuities, or wealth management platforms
**WHAT’S IN IT FOR YOU?**
 Zinnia offers excellent career progression and competitive compensation. We offer great benefits, including health/dental insurance, parental leave, 401(k), incentive/bonus opportunity, tuition reimbursement, and so much more. The expected salary range for this position is $160,000 \- $180,000 dependent on skills and location. The salary range is a good faith estimate based on what a successful candidate might be paid in certain Company locations. All offers presented to candidates are carefully reviewed to ensure fair, equitable pay by offering competitive salaries that align with the individual’s skills, education, experience, training, and geographic location and may be above or below the stated amounts. We’re looking for the best and brightest innovators in the industry to join our team. At Zinnia, you collaborate with smart, creative professionals who are dedicated to delivering cutting\-edge technologies, deeper data insights, and enhanced services to transform how insurance is done. Visit our website at www.zinnia.com for more information. Apply by completing the online application on the careers section of our website. We are an Equal Opportunity employer committed to a diverse workforce. We do not discriminate based on race, religion, color, national origin, gender, sexual orientation, age, marital status, veteran status, or disability.
 Notice for California residents: Information about how we collect and use your personal information can be found
 ***here***</t>
        </is>
      </c>
    </row>
    <row r="66">
      <c r="A66" t="inlineStr">
        <is>
          <t>li-4371847253</t>
        </is>
      </c>
      <c r="B66" t="inlineStr">
        <is>
          <t>Technical Product Owner, Manager - Tax Transformation</t>
        </is>
      </c>
      <c r="C66" t="inlineStr">
        <is>
          <t>Deloitte</t>
        </is>
      </c>
      <c r="D66" t="inlineStr">
        <is>
          <t>linkedin</t>
        </is>
      </c>
      <c r="E66" t="inlineStr"/>
      <c r="F66" t="inlineStr"/>
      <c r="G66" t="inlineStr">
        <is>
          <t>New York, NY</t>
        </is>
      </c>
      <c r="H66" t="inlineStr"/>
      <c r="I66"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31, 2026\.
**Work you'll do**
 As a Deloitte Tax Technical Product Owner, you will be responsible for managing vendor teams in building and delivering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development team's priorities and adherence to delivery standards.
* Provide leadership coordination and oversight within one delivery team to deliver functionality on behalf of Tax.
* Coordinate with business representatives when details are needed.
* Partner on the design and ensure product meets specifications by conducting demos at Program Increment Sessions.
* Follow standards, guidelines, and metrics aimed at delivering business value quickly and efficiently.
* Proactively identify and mitigate product\-related risks (escalate issues to the Delivery Lead and/or Portfolio Lead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Information Technology, Business or other relevant discipline.
* 5\+ years' experience leading technical delivery teams.
* Demonstrated product development experience using different software development methodologies, like Agile and Scaled Agile.
* Proven knowledge of risk management and tracking techniques.
* Ability to travel up to 15%,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Alteryx Designer\- Advanced Certification
* CBAP® \- Certified Business Analysis Professional
* Certified SAFe® Advanced Scrum Master
* Certified SAFe® Agile Software Engineer
* Certified SAFe® Agilist
* Certified SAFe® Architect
* Certified SAFe® DevOps Practitioner
* Certified SAFe® Lean Portfolio Manager
* Certified SAFe® Practitioner
* Certified SAFe® Product Owner / Product Manager
* Certified SAFe® Scrum Master
* Certified Scrum Product Owner (CSPO)
* Microsoft Certified Solutions Developer (MCSD)
* Program Management Professional (PgMP)
* Project Management Professional (PMP)
* Six Sigma (Green or Black Belt)
**Preferred**
* Previous tax firm or consulting firm experience
* Azure DevOps exposure
* Excellent analytical and problem\-solving skills
* Strong verbal and written communication skills; strong listening, interpersonal, and facilitation skills
* Able to interact effectively with professionals at all levels and communicate recommendations.
* Demonstrated experience working with and influencing as part of a team.
* Motivated, resourceful, and dependable
* Well organized with the ability to multitask and prioritize multiple, ongoing projects
* Able to respond quickly to high\-priority deadlines with little lead\-time and adaptable to direction changes.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$111,090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67">
      <c r="A67" t="inlineStr">
        <is>
          <t>li-4342891862</t>
        </is>
      </c>
      <c r="B67" t="inlineStr">
        <is>
          <t>Program Manager, Migrations</t>
        </is>
      </c>
      <c r="C67" t="inlineStr">
        <is>
          <t>Relativity</t>
        </is>
      </c>
      <c r="D67" t="inlineStr">
        <is>
          <t>linkedin</t>
        </is>
      </c>
      <c r="E67" t="inlineStr"/>
      <c r="F67" t="inlineStr"/>
      <c r="G67" t="inlineStr">
        <is>
          <t>Delaware, United States</t>
        </is>
      </c>
      <c r="H67" t="inlineStr"/>
      <c r="I67"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Manager, Success Strategy and Business Operations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68">
      <c r="A68" t="inlineStr">
        <is>
          <t>li-4342931694</t>
        </is>
      </c>
      <c r="B68" t="inlineStr">
        <is>
          <t>Program Manager, Migrations</t>
        </is>
      </c>
      <c r="C68" t="inlineStr">
        <is>
          <t>Relativity</t>
        </is>
      </c>
      <c r="D68" t="inlineStr">
        <is>
          <t>linkedin</t>
        </is>
      </c>
      <c r="E68" t="inlineStr"/>
      <c r="F68" t="inlineStr"/>
      <c r="G68" t="inlineStr">
        <is>
          <t>Missouri, United States</t>
        </is>
      </c>
      <c r="H68" t="inlineStr"/>
      <c r="I68"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Manager, Success Strategy and Business Operations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69">
      <c r="A69" t="inlineStr">
        <is>
          <t>li-4371837749</t>
        </is>
      </c>
      <c r="B69" t="inlineStr">
        <is>
          <t>Technical Product Owner, Manager - Tax Transformation</t>
        </is>
      </c>
      <c r="C69" t="inlineStr">
        <is>
          <t>Deloitte</t>
        </is>
      </c>
      <c r="D69" t="inlineStr">
        <is>
          <t>linkedin</t>
        </is>
      </c>
      <c r="E69" t="inlineStr"/>
      <c r="F69" t="inlineStr"/>
      <c r="G69" t="inlineStr">
        <is>
          <t>Arlington, VA</t>
        </is>
      </c>
      <c r="H69" t="inlineStr"/>
      <c r="I69"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31, 2026\.
**Work you'll do**
 As a Deloitte Tax Technical Product Owner, you will be responsible for managing vendor teams in building and delivering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development team's priorities and adherence to delivery standards.
* Provide leadership coordination and oversight within one delivery team to deliver functionality on behalf of Tax.
* Coordinate with business representatives when details are needed.
* Partner on the design and ensure product meets specifications by conducting demos at Program Increment Sessions.
* Follow standards, guidelines, and metrics aimed at delivering business value quickly and efficiently.
* Proactively identify and mitigate product\-related risks (escalate issues to the Delivery Lead and/or Portfolio Lead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Information Technology, Business or other relevant discipline.
* 5\+ years' experience leading technical delivery teams.
* Demonstrated product development experience using different software development methodologies, like Agile and Scaled Agile.
* Proven knowledge of risk management and tracking techniques.
* Ability to travel up to 15%,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Alteryx Designer\- Advanced Certification
* CBAP® \- Certified Business Analysis Professional
* Certified SAFe® Advanced Scrum Master
* Certified SAFe® Agile Software Engineer
* Certified SAFe® Agilist
* Certified SAFe® Architect
* Certified SAFe® DevOps Practitioner
* Certified SAFe® Lean Portfolio Manager
* Certified SAFe® Practitioner
* Certified SAFe® Product Owner / Product Manager
* Certified SAFe® Scrum Master
* Certified Scrum Product Owner (CSPO)
* Microsoft Certified Solutions Developer (MCSD)
* Program Management Professional (PgMP)
* Project Management Professional (PMP)
* Six Sigma (Green or Black Belt)
**Preferred**
* Previous tax firm or consulting firm experience
* Azure DevOps exposure
* Excellent analytical and problem\-solving skills
* Strong verbal and written communication skills; strong listening, interpersonal, and facilitation skills
* Able to interact effectively with professionals at all levels and communicate recommendations.
* Demonstrated experience working with and influencing as part of a team.
* Motivated, resourceful, and dependable
* Well organized with the ability to multitask and prioritize multiple, ongoing projects
* Able to respond quickly to high\-priority deadlines with little lead\-time and adaptable to direction changes.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$111,090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70">
      <c r="A70" t="inlineStr">
        <is>
          <t>li-4323182162</t>
        </is>
      </c>
      <c r="B70" t="inlineStr">
        <is>
          <t>Technical Program Manager - Trucking</t>
        </is>
      </c>
      <c r="C70" t="inlineStr">
        <is>
          <t>Applied Intuition</t>
        </is>
      </c>
      <c r="D70" t="inlineStr">
        <is>
          <t>linkedin</t>
        </is>
      </c>
      <c r="E70" t="inlineStr"/>
      <c r="F70" t="inlineStr"/>
      <c r="G70" t="inlineStr">
        <is>
          <t>Sunnyvale, CA</t>
        </is>
      </c>
      <c r="H70" t="inlineStr"/>
      <c r="I70" t="inlineStr">
        <is>
          <t>**About Applied Intuition**
 Applied Intuition, Inc. is powering the future of physical AI. Founded in 2017 and now valued at $15 billion, the Silicon Valley company is creating the digital infrastructure needed to bring intelligence to every moving machine on the planet. Applied Intuition services the automotive, defense, trucking, construction, mining and agriculture industries in three core areas: tools and infrastructure, operating systems, and autonomy. Eighteen of the top 20 global automakers, as well as the United States military and its allies, trust the company’s solutions to deliver physical intelligence. Applied Intuition is headquartered in Sunnyvale, California, with offices in Washington, D.C.; San Diego; Ft. Walton Beach, Florida; Ann Arbor, Michigan; London; Stuttgart; Munich; Stockholm; Bangalore; Seoul; and Tokyo. Learn more at applied.co.
*We are an in\-office company, and our expectation is that employees primarily work from their Applied Intuition office 5 days a week. However, we also recognize the importance of flexibility and trust our employees to manage their schedules responsibly. This may include occasional remote work, starting the day with morning meetings from home before heading to the office, or leaving earlier when needed to accommodate family commitments.*
**About The Role**
 We are looking for a Technical Program Manager to help strategize and manage complex autonomous trucking engineering projects, identify gaps, and implement best practices for our customers. This position will involve intense collaboration with engineers within Applied Intuition and at the customer, in order to implement solutions towards our customers’ autonomy deployment goals.
 At Applied Intuition, you will:
* Own strategic trucking autonomy projects that are critical for Applied Intuition’s engagements with global truck OEMs
* Drive execution of large\-scope, cross\-disciplinary initiatives focused on Level 4 (L4\) autonomy for trucks, integrating hardware, software, and operations to accelerate development, deployment, and commercialization
* Collaborate with customers and stakeholders — working directly with OEM customers, engineering teams, and executives — to understand use\-cases, clear requirements, and address technical challenges to ensure project success in trucking autonomy
* Work closely with cross\-functional teams including software, hardware, safety, and operations to deliver major program milestones
* Support business development activities by drafting technical proposals, authoringRFQ responses, and hosting technology demonstrations
 We're looking for someone who has:
* At least a Bachelor's degree in Engineering, Computer Science, or a related technical field.
* 3\+ years of experience with advanced software, robotics, or autonomous vehicle programs (ADAS or L4 autonomy)
* Ability to collaborate effectively with cross\-functional teams
* Strong communication skills
* Willingness to get into technical details of projects
 Nice to have:
* Direct experience at L4 autonomy programs
 Compensation at Applied Intuition for eligible roles includes base salary, equity, and benefits. Base salary is a single component of the total compensation package, which may also include equity in the form of options and/or restricted stock units, comprehensive health, dental, vision, life and disability insurance coverage, 401k retirement benefits with employer match, learning and wellness stipends, and paid time off. Note that benefits are subject to change and may vary based on jurisdiction of employment.
 Applied Intuition pay ranges reflect the minimum and maximum intended target base salary for new hire salaries for the position. The actual base salary offered to a successful candidate will additionally be influenced by a variety of factors including experience, credentials \&amp; certifications, educational attainment, skill level requirements, interview performance, and the level and scope of the position.
 Please reference the job posting’s subtitle for where this position will be located. For pay transparency purposes, the base salary range for this full\-time position in the location listed is: $115,000 \- $222,000 USD annually.
*Don’t meet every single requirement? If you’re excited about this role but your past experience doesn’t align perfectly with every qualification in the job description, we encourage you to apply anyway. You may be just the right candidate for this or other roles.*
*Applied Intuition is an equal opportunity employer and federal contractor or subcontractor. Consequently, the parties agree that, as applicable, they will abide by the requirements of 41 CFR 60\-1\.4(a), 41 CFR 60\-300\.5(a) and 41 CFR 60\-741\.5(a) and that these laws are incorporated herein by reference. These regulations prohibit discrimination against qualified individuals based on their status as protected veterans or individuals with disabilities, and prohibit discrimination against all individuals based on their race, color, religion, sex, sexual orientation, gender identity or national origin. These regulations require that covered prime contractors and subcontractors take affirmative action to employ and advance in employment individuals without regard to race, color, religion, sex, sexual orientation, gender identity, national origin, protected veteran status or disability. The parties also agree that, as applicable, they will abide by the requirements of Executive Order 13496 (29 CFR Part 471, Appendix A to Subpart A), relating to the notice of employee rights under federal labor laws.*</t>
        </is>
      </c>
    </row>
    <row r="71">
      <c r="A71" t="inlineStr">
        <is>
          <t>li-4342871879</t>
        </is>
      </c>
      <c r="B71" t="inlineStr">
        <is>
          <t>Program Manager, Migrations</t>
        </is>
      </c>
      <c r="C71" t="inlineStr">
        <is>
          <t>Relativity</t>
        </is>
      </c>
      <c r="D71" t="inlineStr">
        <is>
          <t>linkedin</t>
        </is>
      </c>
      <c r="E71" t="inlineStr"/>
      <c r="F71" t="inlineStr"/>
      <c r="G71" t="inlineStr">
        <is>
          <t>Wisconsin, United States</t>
        </is>
      </c>
      <c r="H71" t="inlineStr"/>
      <c r="I71"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Manager, Success Strategy and Business Operations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72">
      <c r="A72" t="inlineStr">
        <is>
          <t>li-4342822115</t>
        </is>
      </c>
      <c r="B72" t="inlineStr">
        <is>
          <t>Program Manager, Migrations</t>
        </is>
      </c>
      <c r="C72" t="inlineStr">
        <is>
          <t>Relativity</t>
        </is>
      </c>
      <c r="D72" t="inlineStr">
        <is>
          <t>linkedin</t>
        </is>
      </c>
      <c r="E72" t="inlineStr"/>
      <c r="F72" t="inlineStr"/>
      <c r="G72" t="inlineStr">
        <is>
          <t>Nebraska, United States</t>
        </is>
      </c>
      <c r="H72" t="inlineStr"/>
      <c r="I72"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Manager, Success Strategy and Business Operations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73">
      <c r="A73" t="inlineStr">
        <is>
          <t>li-4342901916</t>
        </is>
      </c>
      <c r="B73" t="inlineStr">
        <is>
          <t>Program Manager, Migrations</t>
        </is>
      </c>
      <c r="C73" t="inlineStr">
        <is>
          <t>Relativity</t>
        </is>
      </c>
      <c r="D73" t="inlineStr">
        <is>
          <t>linkedin</t>
        </is>
      </c>
      <c r="E73" t="inlineStr"/>
      <c r="F73" t="inlineStr"/>
      <c r="G73" t="inlineStr">
        <is>
          <t>Minnesota, United States</t>
        </is>
      </c>
      <c r="H73" t="inlineStr"/>
      <c r="I73"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Manager, Success Strategy and Business Operations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74">
      <c r="A74" t="inlineStr">
        <is>
          <t>li-4342891861</t>
        </is>
      </c>
      <c r="B74" t="inlineStr">
        <is>
          <t>Program Manager, Migrations</t>
        </is>
      </c>
      <c r="C74" t="inlineStr">
        <is>
          <t>Relativity</t>
        </is>
      </c>
      <c r="D74" t="inlineStr">
        <is>
          <t>linkedin</t>
        </is>
      </c>
      <c r="E74" t="inlineStr"/>
      <c r="F74" t="inlineStr"/>
      <c r="G74" t="inlineStr">
        <is>
          <t>Arkansas, United States</t>
        </is>
      </c>
      <c r="H74" t="inlineStr"/>
      <c r="I74"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Manager, Success Strategy and Business Operations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75">
      <c r="A75" t="inlineStr">
        <is>
          <t>li-4342971603</t>
        </is>
      </c>
      <c r="B75" t="inlineStr">
        <is>
          <t>Program Manager, Migrations</t>
        </is>
      </c>
      <c r="C75" t="inlineStr">
        <is>
          <t>Relativity</t>
        </is>
      </c>
      <c r="D75" t="inlineStr">
        <is>
          <t>linkedin</t>
        </is>
      </c>
      <c r="E75" t="inlineStr"/>
      <c r="F75" t="inlineStr"/>
      <c r="G75" t="inlineStr">
        <is>
          <t>Michigan, United States</t>
        </is>
      </c>
      <c r="H75" t="inlineStr"/>
      <c r="I75"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Manager, Success Strategy and Business Operations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76">
      <c r="A76" t="inlineStr">
        <is>
          <t>li-4332413579</t>
        </is>
      </c>
      <c r="B76" t="inlineStr">
        <is>
          <t>Program Manager,</t>
        </is>
      </c>
      <c r="C76" t="inlineStr">
        <is>
          <t>Baxter International Inc.</t>
        </is>
      </c>
      <c r="D76" t="inlineStr">
        <is>
          <t>linkedin</t>
        </is>
      </c>
      <c r="E76" t="inlineStr"/>
      <c r="F76" t="inlineStr"/>
      <c r="G76" t="inlineStr">
        <is>
          <t>Round Lake, IL</t>
        </is>
      </c>
      <c r="H76" t="inlineStr"/>
      <c r="I76" t="inlineStr">
        <is>
          <t>**This is where** 
 your work makes a difference.
 At Baxter, we believe every person—regardless of who they are or where they are from—deserves a chance to live a healthy life. It was our founding belief in 1931 and continues to be our guiding principle. We are redefining healthcare delivery to make a greater impact today, tomorrow, and beyond.
 Our Baxter colleagues are united by our Mission to Save and Sustain Lives. Together, our community is driven by a culture of courage, trust, and collaboration. Every individual is empowered to take ownership and make a meaningful impact. We strive for efficient and effective operations, and we hold each other accountable for delivering exceptional results.
 Here, you will find more than just a job—you will find purpose and pride.
 Your Role at Baxter
 This is where your work saves lives.
 The studies we undertake and the products we generate boost results for patients worldwide. As a Program Manager at Baxter, your contributions directly impact others significantly. It's demanding work, and you won't be working alone. Our teams collaborate across functions and lead through inspiration. Whether guiding a team through a project or supervising employees, our research and development team is tasked with motivating others to achieve outcomes.
 Our colleagues within our R\&amp;D organization desire to work on products that make a meaningful difference in others' lives. We are motivated by the power of teamwork and are natural leaders who are skilled at influencing others.
 Joining Baxter in the role of Program Manager will require your adept analytical skills to identify risks and innovation opportunities promptly. Demonstrating agility and a proactive attitude, you excel in staying composed under pressure.
 Your Team
 While everyone at Baxter has a shared passion for our mission, the R\&amp;D teams play a meaningful role in our ability to save and sustain lives. Scientists and engineers in R\&amp;D collaborate to develop, test, and launch products that improve patient care.
 We encourage teamwork and collaboration and prioritize building relationships with each other. It's easy to do because we all share common traits of reliability, ethics, and caring. We lean on our colleagues for their expertise and hold each other accountable.
 Baxter values learning and growth. Leaders discuss team members' development goals and offer support.
 What you'll be doing
* Support and provide business and technical leadership for one or more projects within the Infusion Therapies and Technologies (ITT).
* Lead team in defining project strategies, developing goals, and ensuring project scope is defined and controlled.
* Engage regularly with all management levels for clear communication across teams and collaborators.
* Guarantee identification and communication of project risks, devise risk plans, and guide teams in the proactive handling of risk strategies.
* Foresee possible conflict scenarios, offer proactive resolutions, and address conflicts for mutually beneficial results.
* Drive teams to identify and implement continuous improvements.
* Work with and support other program managers to ensure the successful launch of new products.
 What you'll bring
* Bachelor’s Degree in Engineering field preferred with 8\+ years total combined experience or Masters with 5\+ years.
* 3\+ years of experience in project management.
* Evidenced proficiency in guiding cross\-functional global teams within the medical field (pharmaceuticals or biotechnology).
* Experience across the full project lifecycle (discovery, requirements definition, development, launch, and sustaining).
* Knowledge of regulatory pathways for drugs, biologics, or combination devices.
* Strong business insight.
* Effective communication and presentation skills.
* Demonstrated self\-starter who can quickly and efficiently manage continuous change; willing to challenge the norm when needed and drive decisions.
* Understanding and experience in good manufacturing procedures, good laboratory, and product development process requirements.
* Ability to collaborate within a distributed team to comprehend project requests and transform requirements into final project deliverables.
*Baxter is committed to supporting the needs for flexibility in the workplace. We do so through our flexible workplace policy which includes a required minimum number of days a week onsite. This policy provides the benefits of connecting and collaborating in\-person in support of our Mission. The flexible workplace policy is subject to local laws and legal requirements. At its discretion, Baxter may decide to adjust, suspend, or discontinue as business needs change.*
 We understand compensation is an important factor as you consider the next step in your career. At Baxter, we are committed to equitable pay for all employees, and we strive to be more transparent with our pay practices. The estimated base salary for this position is $120,000\-$165,000 annually. The estimated range is meant to reflect an anticipated salary range for the position. We may pay more or less than of the anticipated range based upon market data and other factors, all of which are subject to change. Individual pay is based on upon location, skills and expertise, experience, and other relevant factors. This position may also be eligible for discretionary bonuses. For questions about this, our pay philosophy, and available benefits, please speak to the recruiter if you decide to apply and are selected for an interview.
**Applicants must be authorized to work for any employer in the U.S. We are unable to sponsor or take over sponsorship of an employment visa at this time.**
**US Benefits At Baxter (except For Puerto Rico)**
 This is where your well\-being matters. Baxter offers comprehensive compensation and benefits packages for eligible roles. Our health and well\-being benefits include medical and dental coverage that start on day one, as well as insurance coverage for basic life, accident, short\-term and long\-term disability, and business travel accident insurance. Financial and retirement benefits include the Employee Stock Purchase Plan (ESPP), with the ability to purchase company stock at a discount, and the 401(k) Retirement Savings Plan (RSP), with options for employee contributions and company matching. We also offer Flexible Spending Accounts, educational assistance programs, and time\-off benefits such as paid holidays, paid time off ranging from 20 to 35 days based on length of service, family and medical leaves of absence, and paid parental leave. Additional benefits include commuting benefits, the Employee Discount Program, the Employee Assistance Program (EAP), and childcare benefits. Join us and enjoy the competitive compensation and benefits we offer to our employees. For additional information regarding Baxter US Benefits, please speak with your recruiter or visit our Benefits site: Benefits \| Baxter
**Equal Employment Opportunity**
 Baxter is an equal opportunity employer. Baxter evaluates qualified applicants without regard to race, color, religion, gender, national origin, age, sexual orientation, gender identity or expression, protected veteran status, disability/handicap status or any other legally protected characteristic.
 Know Your Rights: Workplace Discrimination is Illegal
**Reasonable Accommodations**
 Baxter is committed to working with and providing reasonable accommodations to individuals with disabilities globally. If, because of a medical condition or disability, you need a reasonable accommodation for any part of the application or interview process, please click on the link here and let us know the nature of your request along with your contact information.
**Recruitment Fraud Notice**
 Baxter has discovered incidents of employment scams, where fraudulent parties pose as Baxter employees, recruiters, or other agents, and engage with online job seekers in an attempt to steal personal and/or financial information. To learn how you can protect yourself, review our Recruitment Fraud Notice.</t>
        </is>
      </c>
    </row>
    <row r="77">
      <c r="A77" t="inlineStr">
        <is>
          <t>li-4371398710</t>
        </is>
      </c>
      <c r="B77" t="inlineStr">
        <is>
          <t>Senior Technical Program Manager, Commercial Services Infrastructure &amp; Platform</t>
        </is>
      </c>
      <c r="C77" t="inlineStr">
        <is>
          <t>Expedia Group</t>
        </is>
      </c>
      <c r="D77" t="inlineStr">
        <is>
          <t>linkedin</t>
        </is>
      </c>
      <c r="E77" t="inlineStr"/>
      <c r="F77" t="inlineStr"/>
      <c r="G77" t="inlineStr">
        <is>
          <t>Seattle, WA</t>
        </is>
      </c>
      <c r="H77" t="inlineStr"/>
      <c r="I77" t="inlineStr">
        <is>
          <t>Expedia Group brands power global travel for everyone, everywhere. We design cutting\-edge tech to make travel smoother and more memorable, and we create groundbreaking solutions for our partners. Our diverse, vibrant, and welcoming community is essential in driving our success.
**Why Join Us?**
 To shape the future of travel, people must come first. Guided by our Values and Leadership Agreements, we foster an open culture where everyone belongs, differences are celebrated and know that when one of us wins, we all win.
 We provide a full benefits package, including exciting travel perks, generous time\-off, parental leave, a flexible work model (with some pretty cool offices), and career development resources, all to fuel our employees' passion for travel and ensure a rewarding career journey. We’re building a more open world. Join us.
 Senior Technical Program Manager, Commercial Services Infrastructure \&amp; Platform
 Expedia Group Travel \&amp; Partner Services Platform (TPSP) Product \&amp; Technology team is charted with delivering innovative, world class support \&amp; account management experiences to Expedia Group's Partner Ecosystem and Traveler support. TPSP Product \&amp; Technology team is seeking a Senior Technical Program Manager to lead delivery and evolution of services and applications that power our Field Sales teams and Servicing business. As a Sr. Program Manager on our team, you will create meaningful changes for our internal teams, Expedia Groups Partner Ecosystem and Travelers. You will work collaboratively and autonomously to lead delivery of our 3\-year strategic outcomes. Initially, this role will be central to enabling commercial outcomes and partner success for our Travel Partnerships \&amp; Advertising (TPA) division with a heavy emphasis on commercial services infrastructure \&amp; platform health.
**In This Role, You Will**
* Lead Platform Innovation \&amp; Scalability Programs: Own delivery of platform‑wide innovation and scalability initiatives spanning Salesforce, integration services, and third‑party applications, ensuring alignment with TPSP and TPA divisional strategies.
* Advance Responsible, AI‑Driven Capabilities: Provide thought leadership and practical guidance to ensure platform services support scalable, AI‑enabled experiences that are implemented responsibly and with a customer‑centric focus.
* Drive Cross‑Team Technical Execution: Coordinate execution across multiple engineering and business domains, managing dependencies, risks, and trade‑offs to deliver secure, reliable, and resilient platform solutions.
* Partner on Architecture \&amp; System Design: Collaborate with Engineering, Product, and Architecture teams to define program scope, system interfaces, and service‑level objectives that enable efficient servicing workflows and commercial operations.
* Lead Planning \&amp; Program Governance: Facilitate cross‑functional planning and governance processes to ensure programs are effectively prioritized, staffed, and supported across business units and technical teams.
* Champion Platform Thinking: Promote platform architecture principles—reusability, extensibility, and long‑term scalability—across programs and technical decisions.
* Enable Agile Delivery \&amp; Transparency: Drive agile execution using Jira and related tools to ensure visibility, predictable delivery, and continuous improvement throughout the program lifecycle.
* Influence Through Clarity \&amp; Insight: Translate complex systems, architectural considerations, and technical trade‑offs into clear, actionable decisions for technical and business stakeholders, driving measurable outcomes.
**Minimum Qualifications**
* Bachelor's degree in Computer Science, Engineering, or a related technical field; or equivalent related professional experience.
* 8\+ years of relevant professional experience in technical program management, including delivery of large\-scale, cross\-team initiatives.
* Proven track record of managing programs with broad scope of ownership encompassing multiple services, domains, or organizations.
* Demonstrated technical aptitude to collaborate with engineering and AI/ML teams, including understanding of system/API design and data modeling.
* Familiarity with AI\-driven systems, tools, or workflows and applying AI/ML concepts to real world products.
**Preferred Qualifications**
* Platform‑oriented Technical Program Management: Proven experience as a platform‑focused Technical Program Manager (or similar role) with a strong background in service management, operational readiness, systems integration, AI‑driven ecosystems, and end‑to‑end technical program delivery.
* Salesforce Expertise: Hands\-on experience with Salesforce.com, including platform integrations, customizations, and workflows; Salesforce certifications strongly preferred.
* Architecture \&amp; Integration: Strong understanding of service‑oriented architecture, APIs, and enterprise integration patterns, with experience overseeing scalable, high‑availability platforms.
* AI/ML Program Leadership: Experience architecting or guiding integration of AI/ML capabilities within program scope, with a strong understanding of responsible deployment and monitoring of AI‑enabled features.
* Cross‑Functional Program Leadership: Track record of leading complex, multi‑team, multi‑system programs while driving alignment across engineering, product, and business stakeholders.
* CRM \&amp; Business Process Acumen: Skilled at navigating CRM ecosystems—especially Salesforce—and connecting technical execution to business outcomes across commercial operations, partner engagement, and sales/service workflows.
* Influence \&amp; Collaboration: Ability to influence without formal authority and work effectively across engineering, product, and business teams to drive clarity and alignment.
* Program Governance \&amp; Agile Delivery: Proficiency in agile methodologies, Jira, and program governance frameworks, with experience managing roadmaps, risks, and cross‑team dependencies.
* Communication \&amp; Strategic Thinking: Clear and confident communicator capable of simplifying complex concepts and driving shared understanding across diverse technical and non‑technical audiences.
 The total cash range for this position in Seattle is $184,500\.00 to $258,000\.00\. Employees in this role have the potential to increase their pay up to $295,000\.00, which is the top of the range, based on ongoing, demonstrated, and sustained performance in the role.
 Starting pay for this role will vary based on multiple factors, including location, available budget, and an individual’s knowledge, skills, and experience. Pay ranges may be modified in the future.
 Expedia Group is proud to offer a wide range of benefits to support employees and their families, including medical/dental/vision, paid time off, and an Employee Assistance Program. To fuel each employee’s passion for travel, we offer a wellness \&amp; travel reimbursement, travel discounts, and an International Airlines Travel Agent (IATAN) membership. View our full list of benefits.
**Accommodation requests**
 If you need assistance with any part of the application or recruiting process due to a disability, or other physical or mental health conditions, please reach out to our Recruiting Accommodations Team through the Accommodation Request.
 We are proud to be named as a Best Place to Work on Glassdoor in 2024 and be recognized for award\-winning culture by organizations like Forbes, TIME, Disability:IN, and others.
 Expedia Group's family of brands includes: Brand Expedia®, Hotels.com®, Expedia® Partner Solutions, Vrbo®, trivago®, Orbitz®, Travelocity®, Hotwire®, Wotif®, ebookers®, CheapTickets®, Expedia Group™ Media Solutions, Expedia Local Expert®, CarRentals.com™, and Expedia Cruises™. © 2024 Expedia, Inc. All rights reserved. Trademarks and logos are the property of their respective owners. CST: 2029030\-50
 Employment opportunities and job offers at Expedia Group will always come from Expedia Group’s Talent Acquisition and hiring teams. Never provide sensitive, personal information to someone unless you’re confident who the recipient is. Expedia Group does not extend job offers via email or any other messaging tools to individuals with whom we have not made prior contact. Our email domain is @expediagroup.com. The official website to find and apply for job openings at Expedia Group is careers.expediagroup.com/jobs.
 Expedia is committed to creating an inclusive work environment with a diverse workforce. All qualified applicants will receive consideration for employment without regard to race, color, religion, gender, gender identity or expression, sexual orientation, national origin, genetics, disability, age, or veteran status. This employer participates in E\-Verify. The employer will provide the Social Security Administration (SSA) and, if necessary, the Department of Homeland Security (DHS) with information from each new employee's I\-9 to confirm work authorization.</t>
        </is>
      </c>
    </row>
    <row r="78">
      <c r="A78" t="inlineStr">
        <is>
          <t>li-4326672958</t>
        </is>
      </c>
      <c r="B78" t="inlineStr">
        <is>
          <t>Customer Program Manager</t>
        </is>
      </c>
      <c r="C78" t="inlineStr">
        <is>
          <t>Celestica</t>
        </is>
      </c>
      <c r="D78" t="inlineStr">
        <is>
          <t>linkedin</t>
        </is>
      </c>
      <c r="E78" t="inlineStr"/>
      <c r="F78" t="inlineStr"/>
      <c r="G78" t="inlineStr">
        <is>
          <t>Hillsborough County, NH</t>
        </is>
      </c>
      <c r="H78" t="inlineStr"/>
      <c r="I78" t="inlineStr">
        <is>
          <t>Req ID: 131337
 Remote Position: Yes
 Region: Americas
 Country: USA
**Summmary**
 Celestica enables the world’s best brands. Through our unrivalled customer\-centric approach, we partner with leading companies in numerous markets to deliver solutions for their most complex challenges. A leader in design, manufacturing, hardware platform and supply chain solutions, Celestica brings global expertise and insight at every stage of product development – from the drawing board to full\-scale production and after\-market services.
 The Customer Program Manager position acts as the primary interface to the customer for the purpose of managing specific programs and projects on behalf of the customer account to achieve the planned revenue and profits. The main areas of responsibility are Program Mgmt.,Cost and P\&amp;L mgmt., Business Development, Pricing/Bid development, Development support, NPI coordination, Customer Satisfaction, Customer Business Processes set up , Communications Mgmt.and performance reporting and planning. The program manager is key team leader for the customer account and coordinates the teams interface with the customer and other internal Celestica groups such as Marketing, Sales, Finance, Mfg. etc
**Responsibilities Include**
* Acts as the primary interface between the customer and the company for managing specific programs to achieve planned revenue and profits for smaller cust.accounts.
* May also be assigned to a large\-scale initiative across multi\-customers
* Works as a member of teams responsible for day\-to\-day activities of cust.accounts to ensure that product deliveries are on time and that projects/programs are on schedule.
* Coordinates and hosts regular program tracking meetings with the cust. and internal account team members to ensure ongoing communication
* With guidance from more experienced team members,manages current and planned programs to achieve planned revenue.
* Develops plans to meet commitments and schedules for customers.
* Supports sales team and GCBU with contents required for customer communications and business reviews
* Develops action plans to correct out\-of\-plan conditions.
* Communicates frequently with cust.to help ensure satisfaction with the company and the products.
* Solicits performance feedback and communicates information to internal teams and dept's.
* Prepares,distributes and analyzes cust.surveys and self\-assessments.
* Receives and resolves customer issues and complaints. Acts as a customer advocate to drive prioritization of projects and responses to problems/issues.
* Manages cust.account profitability.
* Participates in forecasting, planning and monitoring of efficiency and execution of account strategies.
* Participates in the pricing/bid preparation process and contract development and management
* Provides performance reporting and analysis for monthly OPS Reviews and quarterly Cust.Performance Reviews.
* Plays a key role in developing account sales strategies and in this capacity works directly with sales and marketing to implement with the customer.
**Knowledge/Skills/Competencies**
* Relationship Management
* Project Management
* Sales Process and Business Development Management
* Industry, Market \&amp; Technology Knowledge
* Financial and Business Acumen
* Understanding of Data Analytics
* Ability to learn internal IT tools
* Commercial Skills \- Contracts, Financials, Quotations
* High degree of computer literacy, with proficiency in Microsoft Office applications
* Leadership, communication and teamwork skills, collaboration, conflict resolution, and leading without authority
* Able to lead and navigate cross functional teams in a matrix organization
* Excellent understanding of Celestica capabilities, offerings, sites and key functional teams
* Preffered EMS and/ OEM, ODM experience
**Typical Experience**
 Nine plus years of relevant experience
**Typical Education**
 Bachelor’s degree in related field, or consideration of an equivalent combination of education and experience.
**Salary**
 $156,000\-214,000 USD/year
 The salary range described in this posting is an estimate by the Company, and may change based on several factors, including by not limited to a change in the duties covered by the job posting, or the credentials, experience or geographic jurisdiction of the successful candidate.
 Celestica is an Equal Opportunity Employer. All qualified applicants will receive consideration for employment without regard to race, color, religion, sex, sexual orientation, gender identity, national origin, age, pregnancy, genetic information, disability, status as a protected veteran, or any other protected category under applicable federal, state, and local laws.
 This policy applies to hiring, promotion, discharge, pay, fringe benefits, job training, classification, referral and other aspects of employment and also states that retaliation against a person who files a charge of discrimination, participates in a discrimination proceeding, or otherwise opposes an unlawful employment practice will not be tolerated. All information will be kept confidential according to EEO guidelines.
 Celestica is an E\-Verify employer.
 Location: This is a remote position, with travel as necessary. We are open to considering candidates close to any of our US locations in Massachusetts, Pennsylvania, Minnesota, Texas, Arizona, Oregon or California as well as locations near major airports such as the Northeast, Southeast, Midwest and Pacific Coast.
**Company Overview**
 Celestica (NYSE, TSX: CLS) enables the world’s best brands. Through our recognized customer\-centric approach, we partner with leading companies in Aerospace and Defense, Communications, Enterprise, HealthTech, Industrial, Capital Equipment and Energy to deliver solutions for their most complex challenges. As a leader in design, manufacturing, hardware platform and supply chain solutions, Celestica brings global expertise and insight at every stage of product development – from drawing board to full\-scale production and after\-market services for products from advanced medical devices, to highly engineered aviation systems, to next\-generation hardware platform solutions for the Cloud. Headquartered in Toronto, with talented teams spanning 40\+ locations in 13 countries across the Americas, Europe and Asia, we imagine, develop and deliver a better future with our customers.
 Celestica would like to thank all applicants, however, only qualified applicants will be contacted.
 Celestica does not accept unsolicited resumes from recruitment agencies or fee based recruitment services.</t>
        </is>
      </c>
    </row>
    <row r="79">
      <c r="A79" t="inlineStr">
        <is>
          <t>li-4323400829</t>
        </is>
      </c>
      <c r="B79" t="inlineStr">
        <is>
          <t>Program Manager, Dukovany I&amp;C ALS Systems</t>
        </is>
      </c>
      <c r="C79" t="inlineStr">
        <is>
          <t>Westinghouse Electric Company</t>
        </is>
      </c>
      <c r="D79" t="inlineStr">
        <is>
          <t>linkedin</t>
        </is>
      </c>
      <c r="E79" t="inlineStr"/>
      <c r="F79" t="inlineStr"/>
      <c r="G79" t="inlineStr">
        <is>
          <t>Warrendale, PA</t>
        </is>
      </c>
      <c r="H79" t="inlineStr"/>
      <c r="I79" t="inlineStr">
        <is>
          <t>Are you interested in being part of an innovative team that supports Westinghouse’s mission to provide clean energy solutions? At Westinghouse, we recognize that our employees are our most valuable asset and we seek to identify, attract and recruit the most qualified talent while recognizing and encouraging the value of diversity in the global workplace.
**About The Role**
 As the Program Manager overseeing the Dukovany I\&amp;C ALS Systems, you will lead comprehensive aspects of the South Korean design specifications, implemented for Diverse Systems in ALS V2, from component design engineering through manufacturing, testing and delivery of equipment for plant startup. The Dukovany project will have diverse systems implemented for the first time in ALS FPGA technology when compared to BNPP and SKN 34 which preceded it. It will also need to conform to IEC and EU requirements. You will also have oversight for three diverse systems, and will eventually have responsibility for FAT, site installation planning for SAT, and initial energizations for plant startup.
 You will report to the Senior Director of Dukovany I\&amp;C Delivery and will be based out of our Cranberry Township, PA facility.
**Key Responsibilities**
* Be the Primary Leader for delivery of the Dukovany I\&amp;C ALS Diverse Control Systems and their cabinet and system integration in new applications for IEC and European union requirements. This will include working with the platform development team for ALS for systems procurement and test and assembly activities.
* Be the Oversight for Diverse Controls, Diverse Protection and Diverse Indication Systems scope of supply
* Be the manager and mentor of assigned project managers and technical team members
* Plan and coordinate the execution of the Annual program forecasts for systems with periodic updates (quarterly) to include SIOP demand planning for personnel and facilities issues including EQ planning and coordination
* Review and lead responses to issues, technical or programmatic. Monthly reporting to reflect accurate progress, scope planning/forecasting, and change control of this multi\-faceted project; this includes serving as a member of the I\&amp;C CCB (Change Control Board)
* Work with Global Supply Chain and GICP to implement a procurement and assembly plan to meet or exceed customer committed deliverable schedules; strategic platform development and commissioning programs will need to be supported and influenced by you
* Ensure resource loaded, logic tied schedules are accurate and status is maintained by assigned technical resources; manage the upcoming workloads to find and fix resource issues beforehand
* Provide experienced leadership to project teams, development teams, and BU leaders on the Dukovany project to include issue escalation, CAP utilization and lead solutions through closure and incorporate learning
**Qualifications:**
* Bachelor's degree in Engineering, Manufacturing, or related technical field.
* 10 years of project related experience, 5\+ years relevant I\&amp;C project experience
* PMI or equivalent certification
* Served in increasing levels of responsibilities on complex projects with Earned Value Management
* Experience working with foreign cultures, suppliers, designers and customers
 We are committed to transparency and equity in all of our people practices. The base salary range for this position, which is dependent upon experience, qualifications and skills, is estimated to be $130,400\.00 to $163,000\.00 per year.
**Why Westinghouse?**
**Benefits**
**Our benefits package is tailored to meet the diverse needs of our employees, while also promoting wellness and career growth. The following are representative of what we offer:**
* Comprehensive Medical benefits which could include medical, dental, vision, prescription coverage and Health Savings Account (HSA) with employer contributions options
* Wellness Programs designed to support employees in maintaining their health and well\-being including Employee Assistance Program providing support for our employees and their household members
* 401(k) with Company Match Contributions to support employees' retirement
* Paid Vacations and Company Holidays
* Opportunities for Flexible Work Arrangements to promote work\-life balance
* Educational Reimbursement and Comprehensive Career Programs to help employees grow in their careers
* Global Recognition and Service Programs to celebrate employee accomplishments and service
* Employee Referral Program
 Westinghouse Electric Company Is The Global Nuclear Energy Industry's First Choice For Safe, Clean, And Efficient Energy Solutions. We Enable Our Delivery Of This Vision By Living Our Value System
* Safety and Quality
* Integrity and Trust
* Customer Focus and Innovation
* Speed and Passion to Win
* Teamwork and Accountability
**While our Global Headquarters are located in Cranberry Township, PA, we have over 11,000 employees working at locations in 19 different countries. You can learn more by visiting** 
 http://www.westinghousenuclear.com .
 Westinghouse is an Equal Opportunity Employer including Veterans and Individuals with Disabilities
**Get connected with Westinghouse on social media:** 
**Twitter** 
**\|** 
**Facebook** 
**\|** 
**LinkedIn** 
**\|** 
**YouTube**</t>
        </is>
      </c>
    </row>
    <row r="80">
      <c r="A80" t="inlineStr">
        <is>
          <t>li-4371395310</t>
        </is>
      </c>
      <c r="B80" t="inlineStr">
        <is>
          <t>Clinical Behavior Program Manager</t>
        </is>
      </c>
      <c r="C80" t="inlineStr">
        <is>
          <t>Redwood Family Care Network</t>
        </is>
      </c>
      <c r="D80" t="inlineStr">
        <is>
          <t>linkedin</t>
        </is>
      </c>
      <c r="E80" t="inlineStr"/>
      <c r="F80" t="inlineStr"/>
      <c r="G80" t="inlineStr">
        <is>
          <t>Mukilteo, WA</t>
        </is>
      </c>
      <c r="H80" t="inlineStr"/>
      <c r="I80" t="inlineStr">
        <is>
          <t>Changing Lives Shaping The Future
 Clinical Behavioral Program Manager
 (For Supported Living Services)
 Job Title:
 Clinical Behavioral Program Manager
 (BCBA)
 Salary Range: $85,000 \- $100,000
 Job Status: Full Time
 Work Base: Spokane Area 
 Helping You Live Life to the Fullest! SAILS Washington is dedicated to providing quality community\-based support services for people of all ages and needs.
 SAILS Washington is an innovative leader in delivering person\-centered home and community\-based services to individuals with intellectual and developmental disabilities. Our Mission is to provide World Class person\-centered services, support and advocacy for individuals in positive and life\-enriching environments.
 SAILS Washington takes a ZERO tolerance stance on abuse and neglect. Any allegations will be reported to the proper authorities. We are committed to the Health and Safety of the individuals we support. Our employees share a passion for making a positive impact in the lives of others. We are looking for individuals who share our Mission, Vision, and Core Values.
 All applicants are subject to a background check. Once a conditional offer is made and a background check has been completed, if SAILS Washington is concerned about a conviction that is directly related to the job, we reserve the right to withdraw the offer of employment.
 Benefits we Provide:
    Medical, Vision and Dental Insurance
    Voluntary Short\-term and Long\-term Disability
    Employee Assistance Program (EAP)
    Company Paid Basic Life Insurance \&amp; ADD plus Voluntary Life Insurance
    Accrued Paid Time Off
    Unlimited Peer Referral Program
    On\-Demand Pay!!
    Working Advantage employee discount program
    Health Savings Account (HSA)
    Flexible Savings Account (FSA)
    401(K)
    Capella University Discount
 Summary: 
 The Clinical Behavior Program Manager ensures and maintains regulatory compliance as mandated by licensing and Regional Centers. The Clinical Behavior Program Manager will develop initial positive behavior support plan (PBSP). Create \&amp; implement behavior support protocols specific to the particular behavioral needs of each client. Must be a Board Certified Behavioral Analyst (BCBA), Licensed Professional Counselor (LPC), Marriage and Family Therapist (MFT), Licensed Behavior Analyst (LBA), or Board Certified Assistant Behavior Analyst (BCaBA).  
 Essential Duties and Responsibilities: 
    Responsible for performing and delivering curriculum and learning material and overseeing all operations of Washington SAILS training program as reflected by the following duties and responsibilities:
 •    Observes clients on an individualized basis.
 •    Develop Initial PBSP and updates as needs change
 •    Collects, organizes, analyzes and disseminates behavioral data.
 •    Train direct staff to the PBSP and periodically (weekly) reviews behavior data to ensure direct staff are tracking properly
 •    Produces, reviews and modifies PBSP
 •    Provide training to our Residential staff on clients’ behavioral plans.
 •    Attends client care committee meetings
 •    Works with Behavior Support Director to ensure compliance for department
 •    Works with stakeholders: teachers, guardians, caseworkers, medical specialists and direct staff.
 •    Attends planning meetings to develop or modify behavioral plans.
 •    Participates in the screening of referrals and initial intake assessment of potential clients.
 •    Conducts fidelity evaluation to ensure behavioral support plans are being implemented and services are delivered as designed.
 •    Works with Behavior Support Director to create and provide training related to behavioral support to our residential team.
 •    Maintains and promotes SAILS Behavioral and Organizational Philosophy, and policies and procedures.
 •    Participates in client psychoactive medication review appointments.
 •    Creates and implements visual aids as needed for clients.
 •    Reviews all incident reports related to behavioral episodes.
 •    Provides progressive counseling to staff relating to their knowledge, implementation and the progress of clients per their behavior plans.
 •    Evaluate potential clients for placement into supported living residential homes
 •    Work in collaboration with other behavioral professionals, supervisors, case managers and client guardians
 •    Provide one to one and group training for staff as needed and complete weekly review of data.
 •    Enter behavior data into excel or other tracking software for annual and semi\-annual reporting purposes.
    Other duties as assigned
 Required education and experience:
    Must have one of the following certificates or licenses:
* Board Certified Behavioral Analyst 
 (BCBA)
* Licensed Professional Counselor
 (LPC)
* Marriage and Family Therapist
 (MFT)
* Licensed Behavior Analyst 
 (LBA)
* Board Certified Assistant Behavior Analyst
 (BCaBA)
 •    Must be at least 21 years of age.
 •    Must have a minimum of three years supervisory experience in social work, child care, and/or support staff industry providing direct services to the elderly and or children/adults with developmental disabilities.
 •    Experience providing behavioral tech support to adults of children with Autism, Intellectual Disability, Behavioral Disorders or Mental Health
 •    Must have fingerprints and criminal clearance prior to starting. 
 •    Must have a driver's license and a vehicle to drive.
 Licensing Requirements:
    Must pass a Washington State background check
    First Aid/CPR Certified (within 120 days of employment, training can be provided)
    Blood Borne Pathogen (within 120 days of employment, training can be provided)
    Need to obtain CPI Blue Card
 SAILS Washington and Citizen Access Residential Resources are part of the Redwood Family Care Network family of companies. Operating in California, Washington, Arizona, and Nevada. Responsible, Compassionate \&amp; Trusted. Redwood Family Care Network’s mission is to provide World Class person\-centered services, support and advocacy for individuals in positive and life\-enriching environments. 
 Providing Excellent Support and Advocacy</t>
        </is>
      </c>
    </row>
    <row r="81">
      <c r="A81" t="inlineStr">
        <is>
          <t>li-4363943643</t>
        </is>
      </c>
      <c r="B81" t="inlineStr">
        <is>
          <t>Operations Program Manager- Costing Systems</t>
        </is>
      </c>
      <c r="C81" t="inlineStr">
        <is>
          <t>Johnson Controls</t>
        </is>
      </c>
      <c r="D81" t="inlineStr">
        <is>
          <t>linkedin</t>
        </is>
      </c>
      <c r="E81" t="inlineStr"/>
      <c r="F81" t="inlineStr"/>
      <c r="G81" t="inlineStr">
        <is>
          <t>Milwaukee, WI</t>
        </is>
      </c>
      <c r="H81" t="inlineStr"/>
      <c r="I81" t="inlineStr">
        <is>
          <t>**Advance your career with the Johnson Controls team!**
 As a global leader in smart, healthy, and sustainable buildings, our mission is to reimagine the performance of buildings to serve people, places, and the planet. Join a diverse and inclusive team that empowers you to build your best future! Our teams are strategically positioned to support a multitude of industries across the globe. You will have the opportunity to grow and develop through meaningful work projects and learning opportunities. We are committed to fostering an environment that supports the physical, financial, and emotional wellbeing of all employees. Become a valued member of the Johnson Controls family and thrive in a company culture that values your unique voice and ideas – your next great opportunity is just a few clicks away!
**Benefits**
 We recognize that a fulfilling career is supported by your overall wellbeing. That's why we offer a comprehensive benefits package designed to support you in multiple aspects of life, including:
* Competitive salary
* Generous paid vacation, holidays, and sick time \- 15 days of vacation in your first year to promote work\-life balance
* Comprehensive benefits package, including 401K, medical, dental, and vision care, available from day one
* An encouraging and collaborative team environment that values diverse perspectives and fosters innovation
* On\-the\-job and cross\-training opportunities
* A strong commitment to safety through our Zero Harm policy, ensuring a safe and secure workplace for all employees
* JCI Employee discount programs (The Loop by Perk Spot)
* Check us Out: A Day in the Life of the Building of the Future
 Become part of a culture that celebrates your achievements and encourages your voice and ideas. Your next great opportunity for advancement is right at your fingertips! Take the initiative to explore your potential and embark on an exciting career journey with Johnson Controls.
**What You Will Do**
 As a Operations Program Manager, you will lead the strategic development and execution of our Complex Projects Selection \&amp; Costing Program. This includes overseeing the configuration of systems and the automated generation of tasks, hours, and costing. You will drive the expansion of standardized tools to ensure consistency, scalability, and alignment with regional requirements. This role also supports cross\-functional teams by enabling the deployment of standard libraries and selection tools across various regions.
**How You Will Do It**
* Develop and manage a comprehensive program plan, coordinating resources and working independently to meet program goals.
* Maintain and enhance selection and configuration tools to improve operational efficiency and output quality.
* Identify opportunities for workflow improvement and standardization across engineering functions.
* Collaborate with product sales teams to define and support product application needs.
* Engage regularly with internal stakeholders to understand business requirements and deliver effective solutions.
* Lead and manage projects and programs, ensuring timely delivery and high\-quality outcomes.
* Design and implement tools and procedures that streamline business operations.
* Partner with supply chain teams to optimize product grouping and maximize market reach.
* Oversee detailed design and development activities and provide mentorship and training to junior staff.
**What We Look For**
* Proven experience in program management, preferably within building technologies or HVAC controls
* Strong understanding of project estimation and complex costing models
* Strong understanding of system design, selection tools, and engineering workflows..
* Excellent communication and stakeholder engagement skills.
* Ability to work independently and manage multiple priorities in a fast\-paced environment.
* Experience with global standardization initiatives and cross\-functional collaboration.
* Experience with Excel formulas and automation, SQL, or cost estimating tools
 HIRING SALARY RANGE: $101,000 \- 150,000 (Salary to be determined by the education, experience, knowledge, skills, and abilities of the applicant, internal equity, location and alignment with market data.) This position includes a competitive benefits package. For details, please visit the About Us tab on the Johnson Controls Careers site at https://jobs.johnsoncontrols.com/about\-us</t>
        </is>
      </c>
    </row>
    <row r="82">
      <c r="A82" t="inlineStr">
        <is>
          <t>li-4363981651</t>
        </is>
      </c>
      <c r="B82" t="inlineStr">
        <is>
          <t>Sr. Staff Program Manager, Commissioning and Qualification - Steriles (Hybrid)</t>
        </is>
      </c>
      <c r="C82" t="inlineStr">
        <is>
          <t>myGwork - LGBTQ+ Business Community</t>
        </is>
      </c>
      <c r="D82" t="inlineStr">
        <is>
          <t>linkedin</t>
        </is>
      </c>
      <c r="E82" t="inlineStr"/>
      <c r="F82" t="inlineStr"/>
      <c r="G82" t="inlineStr">
        <is>
          <t>Plainville, CT</t>
        </is>
      </c>
      <c r="H82" t="inlineStr"/>
      <c r="I82" t="inlineStr">
        <is>
          <t>**This job is with Thermo Fisher Scientific, an inclusive employer and a member of myGwork – the largest global platform for the LGBTQ\+ business community. Please do not contact the recruiter directly.**
**Work Schedule**
 Standard (Mon\-Fri)
**Environmental Conditions**
 Office
**Job Description**
 As part of the Thermo Fisher Scientific team, you’ll discover meaningful work that makes a positive impact on a global scale. Join our colleagues bringing our Mission to life every single day to enable our customers to make the world healthier, cleaner, and safer. We provide our global teams with the resources needed to achieve individual career goals while helping to take science a step beyond by developing solutions for some of the world’s toughest challenges, like protecting the environment, making sure our food is safe, or helping find cures for cancer.
**Position Summary**
 As a Sr. Staff Program Manager, Commissioning \&amp; Qualification \- Steriles, you will engage with and support the sites within the PSG network. We are seeking a professional with in\-depth knowledge of the commissioning, qualification and validation lifecycle. As part of the PSG global engineering team, this hybrid role provides CQV oversight to PSG sites having significant effect on the organization, complex site(s) and projects. The Sr. Staff Program Manager will have good knowledge of manufacturing processes and equipment, regulations, quality management principles, and Facilities, Utilities, and Equipment (FUE) Qualification requirements to be effective in the conduct of responsibilities. The incumbent will be viewed as a subject matter expert for commissioning and qualification programs, regulations, and requirements.
* This is a hybrid position and this person needs to be in close proximity to one of the following sites \- Plainville, MA; Greenville, NC, St. Louis, MO.
**Key Responsibilities**
* Ensuring site adherence to global validation policies and procedures
* High level support for Capital Project validation within the network
* Provide support for regulatory/customer audits, documents and engagements as needed to foster successful business outcomes
* Support sites as needed with pre\-inspection readiness within CQV space
* Commissioning, Qualification and Validation SME
**Education**
 QUALIFICATIONS AND REQUIREMENTS:
* Bachelor's Degree in Engineering or related field.
 In some cases an equivalency, consisting of a combination of appropriate education, training, and/or directly related experience, will be considered sufficient for an individual to meet the requirements of the role.
**Experience**
* 10\+ years of related experience in the Pharmaceutical or related industry including experience in validation, engineering, operations, program and project management
* Extensive knowledge of full validation lifecycle requirements for Steriles Manufacturing, Biologics, Clean Utilities and Support Services.
* Audit experience strongly preferred
**Knowledge, Skills And Abilities**
* Advanced knowledge of CQV for pharmaceutical equipment and systems (e.g Filling lines, Isolators, Autoclaves, Lyophilizers, Single Use Bioreactors and Mixers, WFI, Clean Steam, Process Gases, and ancillary equipment)
* Proven track record leading medium to large\-scale capital projects through commissioning and qualification
* Advanced knowledge of applicable regulatory requirements (FDA, EMA, WHO, Annex 15, ISO, etc.) related to commissioning, qualification and validation
* Strong analytical and problem\-solving capabilities
* Strong communication and presentation skills at all organizational levels
* Experience with risk management and mitigation strategies
* Ability to lead and influence in a matrix and global environment effectively
* Willingness to travel up to 20% as required, domestic/international
* Working knowledge of deviation and quality record platform (i.e. TrackWise)
* Experience qualifying systems using Kneat or other paperless validation tools is highly preferred.
* Ability to manage multiple high\-priority initiatives simultaneously
* Experience working with global, geographically dispersed teams
**Compensation And Benefits**
 The salary range estimated for this position based in Massachusetts is $143,000\.00–$180,000\.00\.
 This Position May Also Be Eligible To Receive a Variable Annual Bonus Based On Company, Team, And/or Individual Performance Results In Accordance With Company Policy. We Offer a Comprehensive Total Rewards Package That Our U.S. Colleagues And Their Families Can Count On, Which Includes
* A choice of national medical and dental plans, and a national vision plan, including health incentive programs
* Employee assistance and family support programs, including commuter benefits and tuition reimbursement
* At least 120 hours paid time off (PTO), 10 paid holidays annually, paid parental leave (3 weeks for bonding and 8 weeks for caregiver leave), accident and life insurance, and short\- and long\-term disability in accordance with company policy
* Retirement and savings programs, such as our competitive 401(k) U.S. retirement savings plan
* Employees’ Stock Purchase Plan (ESPP) offers eligible colleagues the opportunity to purchase company stock at a discount
 For more information on our benefits, please visit: https://jobs.thermofisher.com/global/en/total\-rewards
 ]]\&gt;</t>
        </is>
      </c>
    </row>
    <row r="83">
      <c r="A83" t="inlineStr">
        <is>
          <t>li-4371500234</t>
        </is>
      </c>
      <c r="B83" t="inlineStr">
        <is>
          <t>Clinical Behavioral Program Manager - Olympia</t>
        </is>
      </c>
      <c r="C83" t="inlineStr">
        <is>
          <t>Redwood Family Care Network</t>
        </is>
      </c>
      <c r="D83" t="inlineStr">
        <is>
          <t>linkedin</t>
        </is>
      </c>
      <c r="E83" t="inlineStr"/>
      <c r="F83" t="inlineStr"/>
      <c r="G83" t="inlineStr">
        <is>
          <t>Olympia, WA</t>
        </is>
      </c>
      <c r="H83" t="inlineStr"/>
      <c r="I83" t="inlineStr">
        <is>
          <t>Changing Lives Shaping The Future
 Clinical Behavioral Program Manager
 Job Title:
 Clinical Behavioral Program Manager
 Salary Range: $85,000 \- $100,000
 Job Status: Full Time
 Work Base: Olympia Area 
 Helping You Live Life to the Fullest! SAILS Washington is dedicated to providing quality community\-based support services for people of all ages and needs.
 SAILS Washington is an innovative leader in delivering person\-centered home and community\-based services to individuals with intellectual and developmental disabilities. Our Mission is to provide World Class person\-centered services, support and advocacy for individuals in positive and life\-enriching environments.
 SAILS Washington takes a ZERO tolerance stance on abuse and neglect. Any allegations will be reported to the proper authorities. We are committed to the Health and Safety of the individuals we support. Our employees share a passion for making a positive impact in the lives of others. We are looking for individuals who share our Mission, Vision, and Core Values.
 All applicants are subject to a background check. Once a conditional offer is made and a background check has been completed, if SAILS Washington is concerned about a conviction that is directly related to the job, we reserve the right to withdraw the offer of employment.
 Benefits we Provide:
    Medical, Vision and Dental Insurance
    Voluntary Short\-term and Long\-term Disability
    Employee Assistance Program (EAP)
    Company Paid Basic Life Insurance \&amp; ADD plus Voluntary Life Insurance
    Accrued Paid Time Off
    Unlimited Peer Referral Program
    On\-Demand Pay!!
    Working Advantage employee discount program
    Health Savings Account (HSA)
    Flexible Savings Account (FSA)
    401(K)
    Capella University Discount
 Summary: 
 The Clinical Behavioral Program Manager ensures and maintains regulatory compliance as mandated by licensing and Regional Centers. The BCBA Program Manager will develop initial positive behavior support plan (PBSP). Create \&amp; implement behavior support protocols specific to the particular behavioral needs of each client. Must be a Board Certified Behavioral Analysist (BCBA).  
 Essential Duties and Responsibilities: 
    Responsible for performing and delivering curriculum and learning material and overseeing all operations of Washington SAILS training program as reflected by the following duties and responsibilities:
 •    Observes clients on an individualized basis.
 •    Develop Initial PBSP and updates as needs change
 •    Collects, organizes, analyzes and disseminates behavioral data.
 •    Train direct staff to the PBSP and periodically (weekly) reviews behavior data to ensure direct staff are tracking properly
 •    Produces, reviews and modifies PBSP
 •    Provide training to our Residential staff on clients’ behavioral plans.
 •    Attends client care committee meetings
 •    Works with Behavior Support Director to ensure compliance for department
 •    Works with stakeholders: teachers, guardians, caseworkers, medical specialists and direct staff.
 •    Attends planning meetings to develop or modify behavioral plans.
 •    Participates in the screening of referrals and initial intake assessment of potential clients.
 •    Conducts fidelity evaluation to ensure behavioral support plans are being implemented and services are delivered as designed.
 •    Works with Behavior Support Director to create and provide training related to behavioral support to our residential team.
 •    Maintains and promotes SAILS Behavioral and Organizational Philosophy, and policies and procedures.
 •    Participates in client psychoactive medication review appointments.
 •    Creates and implements visual aids as needed for clients.
 •    Reviews all incident reports related to behavioral episodes.
 •    Provides progressive counseling to staff relating to their knowledge, implementation and the progress of clients per their behavior plans.
 •    Evaluate potential clients for placement into supported living residential homes
 •    Work in collaboration with other behavioral professionals, supervisors, case managers and client guardians
 •    Provide one to one and group training for staff as needed and complete weekly review of data.
 •    Enter behavior data into excel or other tracking software for annual and semi\-annual reporting purposes.
    Other duties as assigned
 Required education and experience:
    Must have their Board Certified Behavioral Analyst (BCBA) Certification or similar (LPC, MFT LBA or BCaBA).
 •    Must be at least 21 years of age.
 •    Must have a minimum of two years experience working with Individuals with Developmental Disabilities (IDD).
 •    Must have fingerprints and criminal clearance prior to starting. 
 •    Must have a driver's license and a vehicle to drive.
 Licensing Requirements:
    Must pass a Washington State background check
    First Aid/CPR Certified (within 120 days of employment, training can be provided)
    Blood Borne Pathogen (within 120 days of employment, training can be provided)
    Need to obtain CPI Blue Card
 SAILS Washington and Citizen Access Residential Resources are part of the Redwood Family Care Network family of companies. Operating in California, Washington, Arizona, and Nevada. Responsible, Compassionate \&amp; Trusted. Redwood Family Care Network’s mission is to provide World Class person\-centered services, support and advocacy for individuals in positive and life\-enriching environments. 
 Providing Excellent Support and Advocacy</t>
        </is>
      </c>
    </row>
    <row r="84">
      <c r="A84" t="inlineStr">
        <is>
          <t>li-4363991878</t>
        </is>
      </c>
      <c r="B84" t="inlineStr">
        <is>
          <t>Product Manager | Technical Data</t>
        </is>
      </c>
      <c r="C84" t="inlineStr">
        <is>
          <t>Machinify</t>
        </is>
      </c>
      <c r="D84" t="inlineStr">
        <is>
          <t>linkedin</t>
        </is>
      </c>
      <c r="E84" t="inlineStr"/>
      <c r="F84" t="inlineStr"/>
      <c r="G84" t="inlineStr"/>
      <c r="H84" t="inlineStr"/>
      <c r="I84" t="inlineStr">
        <is>
          <t>Machinify is a leading healthcare intelligence company with expertise across the payment continuum, delivering unmatched value, transparency, and efficiency to health plan clients across the country. Deployed by over 85 health plans, including many of the top 20, and representing more than 270 million lives, Machinify brings together a fully configurable and content\-rich, AI\-powered platform along with best\-in\-class expertise. We’re constantly reimagining what’s possible in our industry, creating disruptively simple, powerfully clear ways to maximize financial outcomes and drive down healthcare costs.
**Product Manager \| Technical Data**
**About Machinify**
 Machinify is a leading healthcare intelligence company formed through the combination of five payment integrity industry leaders: The Rawlings Group, Apixio Payment Integrity, VARIS, Machinify's AI platform, and Performant Healthcare. Backed by New Mountain Capital and valued at approximately $5 billion, we serve over 60 health plans including many of the top 20, representing more than 160 million lives.
 We are building a unified AI\-powered platform that transforms healthcare payments by combining revolutionary technology, clinical expertise, and rich data assets to deliver unmatched value, transparency, and efficiency across the payment continuum.
 Position Summary
 We are hiring a
 **Senior Technical Data Product Manager** 
 to drive the data product roadmap in close partnership with data engineering and architecture leadership. Reporting to the Sr. Director of Product Management for Platform \&amp; Data, you will work alongside the VP of Data Engineering, CTO, and technical leads to translate business needs into product requirements and coordinate execution across teams.
 This role requires someone exceptional at three critical capabilities:
 **deeply understanding complex current state** 
 ,
 **envisioning and defining compelling future state** 
 , and
 **executing at extraordinary velocity** 
 to bridge the two. The right candidate will rapidly assess the landscape, build credibility across technical teams, and ship measurable value quickly—we expect clear thinking on product direction within the first 90 days and demonstrable impact on team velocity shortly after.
 You will partner with data engineering, data science, and platform engineering leadership to define and deliver data products and capabilities that enable product teams across coordination of benefits, subrogation, audit, pharmacy payment integrity, and complex claims solutions. You will serve as the connective tissue between business requirements and technical execution, coordinating the consolidation of disparate legacy systems into modern, unified infrastructure while enabling new product capabilities.
 This is a hands\-on technical role requiring prior experience as a
 **data engineer, data scientist, or analytics engineer** 
 . You must be comfortable writing SQL, reviewing data architectures, and engaging substantively in technical discussions. You will work across multiple legacy platforms, each with different technologies, cultures, and tribal knowledge—requiring exceptional ability to influence without direct authority.
 Core Responsibilities
 Product Strategy and Planning
* Assess current state rapidly: Work with data engineering and architecture teams to understand complex legacy landscapes—what exists, where critical information lives, and how systems actually work
* Contribute to future state vision: Partner with VP Data Engineering, CTO, and architecture leads to shape target data architectures, canonical models, and platform capabilities that will scale to support product teams
* Develop product roadmap: Translate business priorities into data product requirements, working with technical leadership to sequence initiatives and balance migration work, new capabilities, and product enablement
* Support technical evaluations: Contribute product perspective to build vs. buy decisions, technology evaluations (lakehouse formats, real\-time processing, AI\-powered automation), and architectural choices
* Define and track success metrics: Establish product\-level OKRs, track adoption across product teams, and communicate progress to stakeholders
 Execution and Coordination
* Drive cross\-functional delivery: Coordinate data initiatives from requirements through production, working across data engineering, data science, platform engineering, and product teams
* Unblock relentlessly: Identify and resolve dependencies, bottlenecks, and blockers before they slow down team velocity
* Navigate complexity: Find critical information scattered across legacy platforms, undocumented systems, and tribal knowledge; synthesize insights and create clarity
* Facilitate decisions: Build consensus across teams with competing priorities and different technical opinions
* Leverage AI extensively: Use LLMs and AI\-powered tools to accelerate analysis, documentation, SQL generation, information synthesis, and decision\-making
* Establish lightweight visibility: Create metrics, dashboards, and reporting that provide insight without creating overhead
 Technical Collaboration and Product Enablement
* Partner with technical leadership: Work closely with data engineering, data science, and architecture leads—contributing product perspective while respecting their technical expertise and domain ownership
* Translate requirements: Convert product team needs into clear technical requirements that engineering teams can execute against
* Enable product teams: Ensure downstream product teams can successfully consume data platform capabilities through clear interfaces, documentation, and support
* Participate in technical discussions: Engage substantively in reviews of ETL pipelines, data models, distributed architectures, and platform decisions
* Bridge stakeholders: Translate complex technical concepts into business value for executives and product teams; bring business context to technical discussions
 What You'll Work On
 You will partner with data engineering, data science, and platform teams on initiatives such as:
**Data consolidation and unification** 
 across legacy platforms—working with engineering teams to coordinate migrations to unified infrastructure while maintaining production stability and enabling parallel product development
**Canonical data model development** 
 —collaborating with data engineering and data science leadership to define product requirements for production\-ready models covering medical claims, pharmacy claims, eligibility, and other core healthcare entities
**Platform modernization** 
 —contributing product perspective to technical evaluations and roadmaps for lakehouse adoption, OLAP/OLTP separation, real\-time processing capabilities, and distributed architecture patterns
**AI\-powered automation** 
 —partnering with technical teams to evaluate and implement LLM\-based approaches that accelerate ETL development, data transformation, and migration workflows
**Data discovery and cataloging** 
 —working with engineering to define requirements for capabilities that help teams understand what data exists, where it lives, how to access it, and what it means
**Product team enablement** 
 —ensuring downstream product teams can successfully consume data platform capabilities through clear interfaces, comprehensive documentation, and responsive support
 These represent current focus areas but the role will evolve based on business priorities, strategic direction, and technical roadmap.
**Required Qualifications**
 Experience Requirements
* 10\+ years total professional experience
* 5\+ years in product management roles
* Prior hands\-on experience as data engineer, data scientist, or analytics engineer (required)
* Proven track record shipping data products or platforms used by internal/external teams
* Experience driving execution in matrixed organizations without direct authority
* Demonstrated ability to assess complex technical landscapes and define future\-state architectures
 Technical Skills (Must\-Have)
* Data architecture expertise: Deep understanding of data modeling, normalization/denormalization, distributed systems, batch/streaming patterns, ETL/ELT design
* Advanced SQL proficiency: Write complex queries, optimize performance, understand CDC patterns, validate data quality
* Cloud data infrastructure: AWS preferred (S3, Spark, RDS, DMS, Glue) or equivalent GCP/Azure experience
* Modern data stack fluency: Knowledge of data warehouses, lakehouse formats, orchestration tools (Airflow), transformation frameworks (DBT), BI platforms
* Analytical rigor: Define metrics, analyze data, make data\-driven decisions, identify patterns across complex systems
 Product Management Excellence (Must\-Have)
* Strong stakeholder management across technical teams (data engineering, data science, platform) and business audiences
* Ability to translate complex technical architectures into business outcomes and vice versa
* Experience defining product vision, building roadmaps, and measuring success
* Proven influence without direct authority—building consensus through credibility and data\-driven arguments
* Excellent written and verbal communication across all organizational levels
* Agile/Scrum methodology experience
 Critical Success Factors
**Current State Mastery:** 
 Exceptional ability to rapidly understand complex legacy systems—navigating five different platforms with different data models, ETL patterns, and team cultures to discover how things actually work
**Future State Vision:** 
 Can envision target architectures that will scale 10\-100x beyond current state, articulate why they matter, and define pragmatic paths to get there
**Execution Velocity:** 
 Move with extraordinary speed from analysis to decision to implementation. Bias toward shipping 80% solutions today over 95% solutions next quarter. Understand that speed is a competitive advantage.
**AI\-Augmented Productivity:** 
 Active, sophisticated use of AI tools (ChatGPT, Claude, Copilot, etc.) to accelerate analysis, generate SQL, synthesize information, draft documentation, and make faster decisions than traditional approaches
**Technical Credibility:** 
 Data engineering and data science teams respect you because you can engage substantively in architectural discussions, understand their constraints, and spot issues before they become problems
**Cross\-Boundary Navigation:** 
 Excel at finding critical information across disparate systems and tribal knowledge; build trust across teams with different cultures and priorities; serve as connective tissue in high\-pressure environments
**Systems Thinking:** 
 Understand second and third\-order effects of architectural decisions across platform, products, and operations
**Preferred Qualifications**
* Experience with LLM/AI applications for data transformation, code generation, or workflow automation
* Python proficiency for data analysis, prototyping, or understanding engineering implementations
* Prior data platform migrations or consolidations at significant scale
* Healthcare payment integrity, payer operations, or regulated industry experience
* Hands\-on experience with Snowflake, Databricks, Kafka, Fivetran, or similar modern data platforms
* Background in distributed systems, database internals, or data\-intensive applications
* Fast\-paced startup or high\-growth company experience
 Why This Role Matters
**Transformational Impact:** 
 Your work enables product teams serving 160M\+ lives to ship faster and unlocks significant business value across coordination of benefits, subrogation, audit, and payment integrity
**Technical Depth:** 
 Engage substantively in cutting\-edge architecture decisions—lakehouse formats, distributed systems, real\-time processing, LLM\-powered automation—not just coordinate meetings
**Unique Challenge:** 
 Navigate five legacy platforms with different data models, technologies, and cultures—partnering with technical leadership to shape unified future state in a once\-in\-career data consolidation opportunity
**Execution Autonomy:** 
 We value speed over process. Fast decision\-making and shipping results matter more than perfect planning
**AI\-First Environment:** 
 We use Claude, LLMs, and AI\-powered tools extensively throughout the organization. You're expected to leverage AI to move faster than traditional approaches
**Strategic Partnership:** 
 Work alongside VP Data Engineering, CTO, and architecture leadership to shape data platform serving dozens of product teams and supporting a $5B healthcare intelligence platform
 Team and Culture
**Reporting Structure:** 
 Sr. Director of Product Management, Platform \&amp; Data
**Key Partnerships**
* VP of Data Engineering and CTO (primary technical partners for strategy and architecture)
* Data Engineering leadership
* Data Science teams
* Platform Engineering teams
* Product teams across COB, Subrogation, Audit, Pharmacy PI, Complex Claims
* Architecture and Technical Strategy leadership
 You will work in close partnership with the VP of Data Engineering and CTO, bringing the product lens to technical strategy discussions while they own engineering execution and technical architecture. Your role is to translate business needs into product requirements, coordinate across teams, and ensure data initiatives deliver value to product organizations.
**Culture**
* Fast\-paced with bias toward action over analysis paralysis
* Technically deep—we respect engineering expertise and engage substantively
* Lightweight processes that accelerate rather than burden
* Remote\-first with occasional travel for strategic planning (\~quarterly)
* Sophisticated use of AI tools to augment productivity expected and encouraged
**Technical Environment**
* Current: Postgres (Citus), Apache Spark, AWS (S3, DMS, RDS), Python, SQL
* Evolving: Lakehouse formats (Delta Lake/Iceberg), streaming capabilities, unified data architecture, LLM\-powered automation
* Scale: Hundreds of millions of records, petabyte\-range data, multi\-tenant architecture, dozens of data sources
**Equal Employment Opportunity at Machinify**
 We are committed to equal employment opportunity regardless of race, color, ancestry, religion, sex, national origin, sexual orientation, age, citizenship, marital status, disability, gender, gender identity or expression, or veteran status. We are proud to be an equal opportunity workplace. Machinify is an employment at will employer. We participate in E\-Verify as required by applicable law. In accordance with applicable state laws, we do not inquire about salary history during the recruitment process. If you require a reasonable accommodation to complete any part of the application or recruitment process, please let our recruiters know. See our Candidate Privacy Notice at: https://www.machinify.com/candidate\-privacy\-notice/</t>
        </is>
      </c>
    </row>
    <row r="85">
      <c r="A85" t="inlineStr">
        <is>
          <t>li-4371836365</t>
        </is>
      </c>
      <c r="B85" t="inlineStr">
        <is>
          <t>Product Manager - Test</t>
        </is>
      </c>
      <c r="C85" t="inlineStr">
        <is>
          <t>Talently</t>
        </is>
      </c>
      <c r="D85" t="inlineStr">
        <is>
          <t>linkedin</t>
        </is>
      </c>
      <c r="E85" t="inlineStr"/>
      <c r="F85" t="inlineStr"/>
      <c r="G85" t="inlineStr">
        <is>
          <t>Batavia, IL</t>
        </is>
      </c>
      <c r="H85" t="inlineStr"/>
      <c r="I85" t="inlineStr">
        <is>
          <t>**Job Title:** 
 Product Manager \- Test
**Location:** 
 On Site \- Batavia, Illinois, United States
**Salary:** 
 $70,000\-$80,000
**Skills:** 
 Product Management, Event Technology, Stakeholder Communication, Project Coordination, AI Productivity
**About the Events Services Company / The Opportunity:**
 Join a forward\-thinking organization within the Events Services industry dedicated to delivering exceptional experiences and innovative event solutions. As a Product Manager in Batavia, Illinois, you will play a pivotal role in shaping technology and service offerings that streamline event operations. This is an exciting opportunity for a motivated individual to work onsite with cross\-functional teams and drive impactful product initiatives, leveraging AI\-driven productivity tools to enhance event success.
**Responsibilities:** 
* Lead the planning, development, and launch of event\-related products and features.
* Collaborate with internal teams, vendors, and clients to gather requirements and prioritize product enhancements.
* Define and track key performance metrics to measure product impact and user satisfaction.
* Integrate productivity tools, including AI\-based solutions, to improve event workflows and client outcomes.
* Oversee product lifecycle management, ensuring timely delivery and post\-launch support.
* Conduct competitive analysis to identify trends and opportunities within the Events Services market.
**Must\-Have Skills:** 
* 2\+ years of product management experience, ideally in a technology\-driven environment.
* Proven ability to lead product initiatives from concept through launch.
* Strong stakeholder management and communication skills.
* Experience in project coordination and cross\-functional collaboration.
* Familiarity with AI productivity tools and event technology solutions.
**Nice\-to\-Have Skills:** 
* Background in the Events Services industry or related sectors.
* Experience with SaaS product development.
* Data analytics skills to interpret event and user engagement metrics.
* Product management certification (e.g., PMP, Scrum Product Owner).
* Understanding of UX/UI principles as applied to event platforms.</t>
        </is>
      </c>
    </row>
    <row r="86">
      <c r="A86" t="inlineStr">
        <is>
          <t>li-4371391849</t>
        </is>
      </c>
      <c r="B86" t="inlineStr">
        <is>
          <t>AI Product Manager - Remote</t>
        </is>
      </c>
      <c r="C86" t="inlineStr">
        <is>
          <t>RemoteHunter</t>
        </is>
      </c>
      <c r="D86" t="inlineStr">
        <is>
          <t>linkedin</t>
        </is>
      </c>
      <c r="E86" t="inlineStr"/>
      <c r="F86" t="inlineStr"/>
      <c r="G86" t="inlineStr"/>
      <c r="H86" t="inlineStr"/>
      <c r="I86" t="inlineStr">
        <is>
          <t>About the Opportunity:
 This AI Product Manager role is responsible for defining product roadmaps and leading the development of multiple new digital offerings to expand digital services within a highly visible, innovative, digitally\-savvy, and customer\-centric healthcare organization. The position collaborates with cross\-functional teams, drives a lean and agile development process, and ensures seamless delivery of a product vision aligned with operational needs.
 Responsibilities:
 • Manage key initiatives end\-to\-end, from ideation to implementation, defining project requirements and collaborating with cross\-functional teams.
 • Conduct research on best practices and analyze data to monitor project performance and identify improvement areas.
 • Develop and implement data analytics strategies to identify trends, risks, and opportunities and address performance bottlenecks.
 • Ensure AI investments translate into scalable solutions with high adoption across departments.
 • Drive adoption by engaging clinicians and staff, integrating solutions into workflows, and aligning deployments with organizational goals.
 • Define KPIs and track clinical, operational, financial, and satisfaction outcomes to communicate impact and refine the AI product portfolio.
 • Address risk, ethics, alignment, and ensure AI tools are usable, safe, compliant, and trustworthy in a hospital context.
 • Represent patient perspectives in defining and selecting innovative digital solutions, understanding user personas, pain points, and journeys.
 • Translate user needs and business problems into clear solutions and product requirements; shape product strategy and priorities.
 • Collaborate cross\-functionally with teams in Engineering, Design, Customer Support, Marketing, and Business Development on complex projects.
 • Develop feature lists, user stories, roadmaps; maintain an agile backlog and sprint process.
 • Lead sprint ceremonies and manage product documentation.
 • Gather and manage product feedback via surveys, concept testing, analytics, and A/B testing; make product decisions based on user needs, business goals, and operational capabilities.
 • Champion the MVP concept, focusing on desirability, viability, and feasibility.
 • Define product goals and KPIs; monitor, report, and improve product performance; adjust roadmaps as needed; manage multiple product roadmaps concurrently.
 • Act as liaison between clinical and operational teams to identify needs, ideate, prioritize, design, test concepts, and deliver innovative solutions.
 • Assist with business case development and operating plans.
 • Develop communication materials to share vision and progress with leadership and identify growth opportunities.
 • Influence and partner with key stakeholders to promote solution\-oriented approaches.
 • Monitor market competition and evaluate competitive offerings to ensure product competitiveness.
 • Refine product strategy, including pricing, target personas, and distribution channels.
 Requirements:
 • Minimum of three years’ experience as a Product Manager leading cross\-functional teams, preferably with Artificial Intelligence workflows.
 • Project management experience is highly preferred.
 • Ability to manage multiple priorities simultaneously.
 • High School Diploma or GED required.
 • Bachelor’s degree in Computer Science, Information Technology, Healthcare, or a related field preferred.
 Compensation:
 • Minimum salary 100,110\.40
 • Maximum salary 160,180\.80
 Note:
 RemoteHunter is not the Employer of Record (EOR) for this role. Our purpose in this opportunity is to connect exceptional candidates with leading employers. We help job seekers worldwide discover roles that match their goals and guide them to complete their full application directly through the hiring company’s career page or ATS.</t>
        </is>
      </c>
    </row>
    <row r="87">
      <c r="A87" t="inlineStr">
        <is>
          <t>li-4371874160</t>
        </is>
      </c>
      <c r="B87" t="inlineStr">
        <is>
          <t>Senior Consultant - Technical Product Manager</t>
        </is>
      </c>
      <c r="C87" t="inlineStr">
        <is>
          <t>Captios Partners</t>
        </is>
      </c>
      <c r="D87" t="inlineStr">
        <is>
          <t>linkedin</t>
        </is>
      </c>
      <c r="E87" t="inlineStr"/>
      <c r="F87" t="inlineStr"/>
      <c r="G87" t="inlineStr"/>
      <c r="H87" t="inlineStr"/>
      <c r="I87" t="inlineStr">
        <is>
          <t>**About Captios** 
 Captios is a full\-stack technology consultancy focused on agribusiness clients, working across infrastructure, software, data, and AI. We are strongly business\-leaning \- technology is only useful if it solves real problems.
 Our work starts with understanding how our clients actually operate, then translating messy, real\-world requirements into clear technical direction and execution. The ability to pick up client context quickly, ask good questions, and communicate clearly (written and verbal) is non\-negotiable here.
 We’re a scrappy, bootstrapped firm. There’s no fluff, no layers, and no hiding behind process. We rely on merit, ownership, and execution. Strong performers take on real responsibility fast and get experience that jumpstarts careers.
**The Role** 
 We’re looking for a
 ***Senior Consultant \- Technical Product Manager***
 to lead the definition and delivery of data\-, software\-, and AI\-driven solutions. This is a technical product ownership and delivery leadership role \- not a UI product role.
 You’ll guide data, software, and AI teams through builds, own and prioritize technical requirements, and manage both internal and external stakeholders. You are accountable for clarity, momentum, and outcomes.
**What You’ll Do** 
**Technical Product Ownership (Must Have)** 
 \- Own and lead technical product requirements across data, software, and AI initiatives
 \- Define epics, features, and technical user stories focused on backend systems, data pipelines, integrations, and platforms
 \- Make and stand behind scope, sequencing, and trade\-off decisions
**Delivery \&amp; Team Leadership (Must Have)** 
 \- Guide data engineers, software engineers, and AI/ML teams through design and build phases
 \- Work closely with technical leads and architects to ensure requirements are clear and buildable
 \- Prioritize backlogs with a clear point of view on business value, risk, and dependencies
 \- Hold a high bar for quality, clarity, and delivery
 \- Drive execution through Agile ceremonies and hands\-on delivery leadership
**Stakeholder Management (Must Have)** 
 \- Manage and align clients, partners, and internal teams
 \- Translate business goals into actionable technical direction
 \- Communicate progress, risks, and decisions directly and clearly
 \- Create alignment without bureaucracy
**Data \&amp; AI Enablement** 
 \- Support delivery of data platforms, analytics solutions, and applied AI use cases
 \- Help move AI and advanced analytics from concept to production
 \- Ensure solutions are scalable, maintainable, and tied to real outcomes
**Must\-Have Experience** 
 \- 3–5\+ years in technical product ownership, delivery leadership, or technical consulting
 \- Proven experience guiding data, software, and/or AI teams through builds
 \- Strong ability to define and prioritize technical requirements (data, APIs, integrations, platforms, models)
 \- Experience managing internal and external stakeholders
 \- Strong written and verbal communication skills
 \- Comfort operating in ambiguity with limited process
 \- A strong sense of ownership and accountability
**Preferred (Nice to Have, Not Required)** 
 Industry Experience:
 \- Manufacturing, distribution, or supply chain
 \- Financial services (trading platforms or banking clients)
 \- Agribusiness experience is a plus, not a requirement
 Background:
 \- Experience in consulting, professional services, or direct customer\-facing roles strongly preferred
 \- Candidates from internal\-only product teams are less preferred unless they bring meaningful client\-facing experience
 Technical Exposure:
 \- Exposure to cloud\-based data platforms (Azure is a plus, not a must)
 \- Familiarity with modern data stacks, analytics platforms, or AI/ML delivery
**How We Work** 
 \- We are no\-frills and execution\-focused
 \- We value merit over titles
 \- We expect people to own outcomes, not just tasks
 \- We hold a high bar for ourselves and our teammates
 \- We demand accountability and support each other
 \- We are collaborative, direct, and genuinely good to work with</t>
        </is>
      </c>
    </row>
    <row r="88">
      <c r="A88" t="inlineStr">
        <is>
          <t>li-4302628305</t>
        </is>
      </c>
      <c r="B88" t="inlineStr">
        <is>
          <t>Senior Product Manager - Consumer Payments</t>
        </is>
      </c>
      <c r="C88" t="inlineStr">
        <is>
          <t>PayPal</t>
        </is>
      </c>
      <c r="D88" t="inlineStr">
        <is>
          <t>linkedin</t>
        </is>
      </c>
      <c r="E88" t="inlineStr"/>
      <c r="F88" t="inlineStr"/>
      <c r="G88" t="inlineStr">
        <is>
          <t>San Jose, CA</t>
        </is>
      </c>
      <c r="H88" t="inlineStr"/>
      <c r="I88"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Venmo is seeking a Senior Product Manager to join the Pay with Venmo team. We want you to be a tactical driver in crafting delightful consumer experiences in the online commerce space and drive high impact initiatives from inception through execution We’re looking for a roll\-up\-the\-sleeves product manager who has a keen interest in understanding the current Fintech and digital commerce landscape and can translate the consumer needs into a comprehensive product roadmap. In this role, you will participate and lead discovery for new features and improvements, work with engineering and design to build and launch A/B tests to optimize existing product flows. This role requires strong leadership skills, strategic thinking, technical and data acumen, and the ability to navigate ambiguity and drive alignment across multiple teams and stakeholders.
**Job Description:**
**Essential Responsibilities:**
* Uses data to build insights on product requirements consistent with the shared vision for the product.
* Gathers insights from the customer experience and customer needs to input to product requirements
* Analyzes research, market analysis and usability studies, research and market analysis to support data\-driven decision making
* Monitors product profitability measures, including budget.
* Lead sprint planning, daily standups and retrospectives to drive execution. Interfaces with product leadership as needed.
* Partners with content developers, data scientists, product designers and user experience researchers to identify new opportunities.
**Expected Qualifications:**
* Minimum of 5 years of relevant work experience and a Bachelor's degree or equivalent experience.
**Additional Responsibilities And Preferred Qualifications**
* 5 years of related experience with software or technology product management \-\- preferable in e\-commerce, payments or financial services
* Experience building a product roadmap and working with cross\-functional stakeholders to deliver measurable impact
* Analyze, quantify, and articulate trade\-offs of what you are building
* Familiarity with Fintech products and concepts
* Strong verbal communication and presentation skills to senior leaders and stakeholders
* Deep attention to detail; desire to collaborate on new processes for efficiency
* Demonstrated ability to work independently and still hit core responsibilities and key deadlines
* Know how to collaborate and tactically work with senior leaders who are stakeholders on your projects, and have the ability to quickly build consensus.
* Experience with qualitative and quantitative user testing
 The base pay for this role will depend on where you work and the relevant experience and expertise you bring. The expected range of pay for this role by location is:
**Primary Location : Pay Range:**
 San Jose, California : ($143,500\.00 \- $212,850\.00 Annually)
**Additional Location(s) : Pay Range:**
 No other locations are assigned to this requisition currently.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R0131172</t>
        </is>
      </c>
    </row>
    <row r="89">
      <c r="A89" t="inlineStr">
        <is>
          <t>li-4371878781</t>
        </is>
      </c>
      <c r="B89" t="inlineStr">
        <is>
          <t>Product Owner - Financial Services</t>
        </is>
      </c>
      <c r="C89" t="inlineStr">
        <is>
          <t>Highspring (Formerly MorganFranklin Consulting)</t>
        </is>
      </c>
      <c r="D89" t="inlineStr">
        <is>
          <t>linkedin</t>
        </is>
      </c>
      <c r="E89" t="inlineStr"/>
      <c r="F89" t="inlineStr"/>
      <c r="G89" t="inlineStr">
        <is>
          <t>McLean, VA</t>
        </is>
      </c>
      <c r="H89" t="inlineStr"/>
      <c r="I89" t="inlineStr">
        <is>
          <t>**Transform Your Career**
 We deliver unparalleled opportunities for growth and career advancement. Our dynamic, entrepreneurial culture supports your journey every step of the way.
 Embrace new challenges and deliver real value to some of the world’s most influential Fortune 100 brands, growth companies transforming their industries, and mid\-market firms that need help navigating the defining moments of their lifecycle. Work side by side with business leaders to solve complex client challenges and make a true impact. Love what you do as part of a diverse organization committed to collaboration and continuous learning.
**The Team – Strategy \&amp; Transformation**
 Join a team of experienced professionals who combine financial, operational, and technical expertise to help financial institutions and corporate finance organizations transform how they work. We guide clients through major transactions (M\&amp;A, carve outs, IPOs), new system implementations, and large\-scale digital initiatives—delivering solutions that improve operational accounting, financial process efficiency, and technology enablement.
**Your Impact**
 As a Product Owner focused on financial services, you will be at the center of delivery—directing and delivering the daily activities of an agile engineering pod and ensuring the success of the key products that power clients’ finance organizations.
 You will:
* Partner closely with business stakeholders to translate financial process or regulatory requirements into actionable technical solutions.
* Facilitate daily engineering pod activities, including backlog refinement, sprint planning, standups, and retrospectives.
* Write, review, and accept user stories, ensuring requirements are clear, testable, and aligned to business outcomes and compliance needs.
* Collaborate with the Testing Management Office (TMO) to coordinate test data setup, ensure test coverage, and validate that user acceptance criteria are met.
* Lead defect remediation—working with engineers, end users, and the TMO to triage, prioritize, and resolve defects efficiently.
* Plan and prioritize next\-quarter technical builds, balancing resiliency and infrastructure needs with user\-driven feature enhancements.
* Manage competing priorities and drive trade\-off discussions to maintain delivery velocity and product quality.
* Track and report progress against sprint goals, KPIs, and release timelines.
* Guide and mentor junior team members to ensure adherence to agile best practices and delivery excellence.
**Your Experience**
**Minimum Qualifications**
* BA/BS in Business, Finance, Computer Science, or related discipline.
* 3\+ years as a Product Owner or Product Manager in an agile software delivery environment.
* 5\+ years of client\-facing experience in professional services and/or the financial services industry.
* Demonstrated experience facilitating daily agile ceremonies and managing engineering teams.
* Proven ability to author and manage user stories, acceptance criteria, and defect workflows using tools like Jira and Confluence.
* Experience coordinating with testing functions (QA/TMO) and supporting UAT cycles.
* Exposure to finance or accounting systems (Close \&amp; Consolidation, FP\&amp;A, Treasury, Order to Cash).
* Strong analytical and problem\-solving skills with the ability to make data\-driven prioritization decisions.
**Preferred Qualifications**
* MBA or advanced degree in Business or Technology.
* Relevant Agile certifications (e.g., Certified Scrum Product Owner).
* Experience with financial data systems, regulatory requirements, and control frameworks (SOX, GAAP, IFRS).
* Understanding of cloud\-based financial applications and APIs.
* Familiarity with emerging technologies in financial services (AI, machine learning, intelligent automation).
* CPA or CFA designation is a plus.
 Determining compensation for this role (and others) at Highspring depends upon a wide array of factors including but not limited to the individual’s skill sets, experience and training, licensure and certifications, office location and other geographic considerations, as well as other business and organizational needs. With that said, as required by local law, Highspring believes that the following salary range reasonably estimates the base compensation for an individual hired into this position in geographies that require salary range disclosure to be between the range below. The individual may also be eligible for a variety of bonus and financial incentives based on individual and company performance.
 Base Compensation Range: $109,062 USD \- $188,411 USD</t>
        </is>
      </c>
    </row>
    <row r="90">
      <c r="A90" t="inlineStr">
        <is>
          <t>li-4371840408</t>
        </is>
      </c>
      <c r="B90" t="inlineStr">
        <is>
          <t>Senior Product Manager, Grocery and Retail Discovery</t>
        </is>
      </c>
      <c r="C90" t="inlineStr">
        <is>
          <t>Uber</t>
        </is>
      </c>
      <c r="D90" t="inlineStr">
        <is>
          <t>linkedin</t>
        </is>
      </c>
      <c r="E90" t="inlineStr"/>
      <c r="F90" t="inlineStr"/>
      <c r="G90" t="inlineStr">
        <is>
          <t>New York, NY</t>
        </is>
      </c>
      <c r="H90" t="inlineStr"/>
      <c r="I90" t="inlineStr">
        <is>
          <t>**About The Role**
 Whether it's a late\-night sandwich, the weekly grocery haul, or a last\-minute makeup restock, Uber Eats delivers anything, anywhere. As a Sr. Product Manager for Grocery \&amp; Retail Discovery, you won't just build local discovery experiences\-you'll architect the future of how people shop their neighborhoods.
 Uber is making a big bet to enable Grocery and Retail commerce in the app. You'll partner with world\-class scientists and engineers to turn "shopping from local stores" into a seamless, inspiring and hyper\-personalized experience. The Discovery and Browsing landscape is also undergoing a paradigm shift. You will need to think beyond traditional grids and filters and pave the way towards building more generative AI forward experiences.
**What The Candidate Will Do**
* Define a product vision and strategy for the team; identify near and long\-term initiatives to execute an effective product roadmap.
* Translate user needs into product requirements by distilling user problems, writing hypotheses, and describing desired outcomes.
* Clearly communicate product plans, tradeoffs and results to a wide audience, including internal partner teams, executives, end users and external partners.
* Launch experiments to test changes and analyze results, tradeoffs to drive launch decisions.
* Build, launch and drive usage of brand new, innovative features and experiences.
* Work closely with a team of world\-class engineers, designers, data scientists, and user researchers, setting team deliverables, roadmap and driving execution.
* Build and foster a strong team culture with a focus on collaboration, execution and results.
**Basic Qualifications**
* Computer science undergraduate (or other engineering degree equivalent) or business/management undergraduate degree.
* Minimum 5 years Product Management experience delivering highly successful and innovative technology products.
* Passion for working on machine learning, personalization based products.
* Experience with running experiments and data\-driven decision\-making ability.
* High standards across the board \- from your own contributions to the people you work with to the products you work on.
**Preferred Qualifications**
* Experience building customer facing products, iterating on iOS and Android user experience through A/B tests and leading design sprints to deliver a world\-class UX.
* Finger\-tippiness with data: you just go get the data you need with no muss/fuss and can whip it into an insightful story with no help.
* Experience running experiments to assess the effectiveness of releases
* Stellar design instincts and product taste.
* Experience utilizing machine learning to develop world\-class products.
 For New York, NY\-based roles: The base salary range for this role is USD$190,000 per year \- USD$211,000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USD$190,000 per year \- USD$211,000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91">
      <c r="A91" t="inlineStr">
        <is>
          <t>li-4371528088</t>
        </is>
      </c>
      <c r="B91" t="inlineStr">
        <is>
          <t>Product Manager</t>
        </is>
      </c>
      <c r="C91" t="inlineStr">
        <is>
          <t>Haystack</t>
        </is>
      </c>
      <c r="D91" t="inlineStr">
        <is>
          <t>linkedin</t>
        </is>
      </c>
      <c r="E91" t="inlineStr"/>
      <c r="F91" t="inlineStr"/>
      <c r="G91" t="inlineStr"/>
      <c r="H91" t="inlineStr"/>
      <c r="I91" t="inlineStr">
        <is>
          <t>**Senior Product Manager \| Seattle, Washington \| $137,000 \- $236,800** 
 We're working with Amazon on this exciting opportunity.
 Are you a passionate and experienced Senior Product Manager ready to shape the future of smart TVs? Join Amazon's Fire TV team and drive innovative platform features, scaling solutions to power millions of devices for leading global brands. This is your chance to make a significant impact on the next generation of television entertainment!
**The Role** 
 • Define and execute the product strategy and roadmap for Fire TV, accounting for customer, partner, and business needs.
 • Develop detailed business requirements and user stories for product specifications and architecture.
 • Collaborate with engineering, program management, and QA teams to deliver high\-quality products on time.
 • Drive cross\-functional decisions with engineering, UX, and commercial teams.
 • Lead product launches, working closely with Go to Market, operations, and PR teams.
**What You'll Need** 
 • Bachelor's degree in Computer Science, Engineering, Math, Finance, or Economics.
 • 5\+ years of product management experience, including taking products from conception to market.
 • 3\+ years of technical experience (software development, network development, IT).
 • Proven ability to collect requirements and describe software product features and technical designs to customers, technical teams, and management.
**What's On Offer** 
 • Opportunity to work on a high\-impact product that reaches millions of customers globally.
 • Collaborative and innovative "Day 1" mentality team environment.
 • Competitive compensation package with a base salary range of $137,000 \- $236,800\.
 • Comprehensive benefits including medical, financial, equity, and sign\-on payments.
**Apply via Haystack today!**</t>
        </is>
      </c>
    </row>
    <row r="92">
      <c r="A92" t="inlineStr">
        <is>
          <t>li-4365262304</t>
        </is>
      </c>
      <c r="B92" t="inlineStr">
        <is>
          <t>Principal Product Manager - Tech, Personalization and Discovery Systems, Fire TV Experience</t>
        </is>
      </c>
      <c r="C92" t="inlineStr">
        <is>
          <t>Amazon</t>
        </is>
      </c>
      <c r="D92" t="inlineStr">
        <is>
          <t>linkedin</t>
        </is>
      </c>
      <c r="E92" t="inlineStr"/>
      <c r="F92" t="inlineStr"/>
      <c r="G92" t="inlineStr">
        <is>
          <t>Sunnyvale, CA</t>
        </is>
      </c>
      <c r="H92" t="inlineStr"/>
      <c r="I92" t="inlineStr">
        <is>
          <t>**Description**
 Fire TV is transforming how millions of customers discover and engage with entertainment content every day. We're bringing TV into the AI era—revolutionizing discovery to help customers find 'what's next' and making TV the intelligent heart of the home.
 We are seeking a Principal Product Manager \- Tech to lead intelligent discovery and personalization for Fire TV. In this role, you will define and execute the vision for AI\-powered discovery systems and personalization primitives that help customers find content they love. You will drive the development of recommendation systems, intelligent discovery features, and the foundational signals and frameworks that power experiences across Fire TV.
 This role requires deep expertise in building discovery systems at scale, proficiency with AI/ML technologies, and a proven track record of delivering customer\-obsessed experiences in consumer technology products. You will partner with engineering, data science, design, Prime Video, Alexa, and advertising teams to create the most intelligent content discovery experience in the industry.
 Key job responsibilities
* Define and own the long\-term product vision and strategy for hyper\-personalized recommendations across Fire TV's global footprint.
* Drive the development of personalization primitives, signals, and frameworks that power experiences across search, browse, recommendations, and AI\-powered interfaces; partnering with data science, product management, and engineering teams.
* Build and launch customer\-facing discovery experiences including content rows, recommendation surfaces, and AI\-driven features that directly impact how customers find and engage with content.
* Translate complex strategies into clear product requirements, user stories, and technical specifications.
* Manage prioritization and trade\-offs among customer experience, technical complexity, performance, and business impact.
* Own key metrics including customer engagement, content discovery success rates, conversion, and satisfaction scores.
* Stay at the forefront of AI/ML advancements in discovery, recommendation systems, and content intelligence.
**Basic Qualifications**
* Bachelor's degree
* Experience owning/driving roadmap strategy and definition
* Experience with feature delivery and tradeoffs of a product
* 8\+ years of technical product or program management experience
* Experience using managed ML/AI solutions
* Experience demonstrating strong analytical abilities and confidence in the use of data
* Experience influencing multiple stakeholders and leading cross functional teams across geographies and business units
**Preferred Qualifications**
* Experience working directly with Engineers on product enhancements
* Experience in project management methodologies, business analysis, or process improvement
* Experience interpreting and communicating analytics
* Bachelor's degree, or MBA in business, data science, public administration, finance, engineering, human resources or related field
* Experience working effectively with science, data processing, and software engineering teams
* Experience with digital products and interactive entertainment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\- 206,900\.00 \- 279,900\.00 USD annually
 USA, WA, Seattle \- 179,900\.00 \- 243,400\.00 USD annually
**Company** 
 \- Amazon.com Services LLC
 Job ID: A3163938</t>
        </is>
      </c>
    </row>
    <row r="93">
      <c r="A93" t="inlineStr">
        <is>
          <t>li-4346539313</t>
        </is>
      </c>
      <c r="B93" t="inlineStr">
        <is>
          <t>Global Product Manager, Fire Protection</t>
        </is>
      </c>
      <c r="C93" t="inlineStr">
        <is>
          <t>PPG</t>
        </is>
      </c>
      <c r="D93" t="inlineStr">
        <is>
          <t>linkedin</t>
        </is>
      </c>
      <c r="E93" t="inlineStr"/>
      <c r="F93" t="inlineStr"/>
      <c r="G93" t="inlineStr">
        <is>
          <t>Pittsburgh, PA</t>
        </is>
      </c>
      <c r="H93" t="inlineStr"/>
      <c r="I93" t="inlineStr">
        <is>
          <t>As the
 **Global Product Manager, Passive Fire Protection** 
 , you will develop the global product strategy for PMC's entire intumescent passive fire protection (PFP) product range. You will your respective product and new product development (NPD) portfolios and manage product life cycles, improve range complexity and support growth in priority segments.
 Working from our Pittsburgh General Office, you will be eligible for a hybrid schedule and will report to the Global Platform Director. We may also consider working remotely outside of Pittsburgh.
**Key Responsibilities**
* Develop Global Product Strategy according to the Global Business Platform.
* Orchestrate execution of global product line strategies within regions, by providing governance and oversight to regional product managers
* Critical interface between Segment Management, R\&amp;D and commercial teams to lead alignment and set priorities
* Support segment managers during key customer discussions to assess needs from industry experts and share critical product characteristics
* Lead the global NPD portfolio by product category and lead decisions for prioritization and resource commitment
* Update all supporting documentation for products in respective categories.
* Collaborate with Commercial, Supply, Technical and Manufacturing to develop product life cycle optimization (product launch to elimination).
* Compile global assessment of competitive products to identify points of difference
* Develop compelling value propositions for the product line
* Final decision rights around system design w/ technical service
* Support business case development for capital and resource investments
* Gather, quantify and analyze market intelligence and data from multiple sources to develop a clear market assessment, identify viable business prospects, and support decisions on new opportunities.
* Engage external customers at all levels.
**Qualifications**
* Bachelor's degree in engineering, chemistry, business, or related degree
* 5\+ years of experience in product development, strategic marketing or product management
 PPG pay ranges and benefits can vary by location which allows us to compensate employees competitively in different geographic markets. PPG considers several factors in making compensation decisions including, but not limited to, skill sets, experience and training, qualifications and education, licensure and certifications, and other organizational needs. Other incentives may apply.
 Our employee benefits programs are designed to support the health and well\-being of our employees. Any insurance coverages and benefits will be in accordance with the terms and conditions of the applicable plans and associated governing plan documents.</t>
        </is>
      </c>
    </row>
    <row r="94">
      <c r="A94" t="inlineStr">
        <is>
          <t>li-4363913783</t>
        </is>
      </c>
      <c r="B94" t="inlineStr">
        <is>
          <t>Principal Product Manager - Performance Solutions Delivery Architecture</t>
        </is>
      </c>
      <c r="C94" t="inlineStr">
        <is>
          <t>FactSet</t>
        </is>
      </c>
      <c r="D94" t="inlineStr">
        <is>
          <t>linkedin</t>
        </is>
      </c>
      <c r="E94" t="inlineStr"/>
      <c r="F94" t="inlineStr"/>
      <c r="G94" t="inlineStr"/>
      <c r="H94" t="inlineStr"/>
      <c r="I94" t="inlineStr">
        <is>
          <t>FactSet creates flexible, open data and software solutions for over 200,000 investment professionals worldwide, providing instant access
 to financial data and analytics that investors use to make crucial decisions.
 At FactSet, our values are the foundation of everything we do. They express how we act and operate, serve as a compass in our decision\-making, and play a big role in how we treat each other, our clients, and our communities. We believe that the best ideas can come from anyone, anywhere, at any time, and that curiosity is the key to anticipating our clients’ needs and exceeding their expectations.
 The Principal Product Manager – Performance Solutions Delivery Architecture is responsible for discovery, strategy, success metrics, planning, launch, and optimization of the client solutioning process from their legacy Performance Solution to FactSet Performance Solution (FPS). These legacy Performance Solutions include many market solutions, including (but not limited to) SS\&amp;C Sylvan, SS\&amp;C Anova, Eagle Performance, Confluence StatPro, etc – but will also include clients transitioning from FactSet B\-One to FPS.
 This person will represent FactSet as a Performance Subject Matter Expert in client engagements during the solution creation phase of the sales \&amp; onboarding lifecycle, which begins during the sales process (pre\-contract) and extends throughout the implementation. This person will work heavily across Product, Sales, Enterprise Hosting, Portfolio Services, Professional Services, and Support Services.
**Job Requirements**
**Client Engagement and Solution Design:**
* Serve as the Performance Subject Matter Expert in new sales opportunities, particularly for complex, multi\-component Performance product sales.
* Partner with Sales, Professional Services, and Managed Services to thoroughly understand client requirements through Product Assessments \&amp; Solutions Workshops.
* Design and document Performance solutions tailored to client business requirements.
* Partner with Professional Services to develop and advise on the optimal approach to prioritizing implementation phases.
**Solution Documentation And Implementation Support**
* Produce comprehensive solution design documents to guide the Professional Services team in crafting Statements of Work (SOW) for implementation.
* Establish and document a prioritized gap list for clients, aligned with the implementation timeline and plan, ensuring all stakeholders are informed and engaged.
**Cross\-functional Collaboration**
* Work closely with various internal teams (Product, Sales, Enterprise Hosting, Portfolio Services, Professional Services, and Support Services) to ensure cohesive and coordinated efforts in client solutioning and implementation.
* Communicate with various Product teams across Performance and other functional areas to translate client use cases and requirements into actionable product enhancements which are needed as part of the solution design.
* Maintain continuous communication with clients throughout the solutioning and implementation phases to ensure alignment and satisfaction.
**Qualifications**
* Extensive experience as a Performance Subject Matter Expert, preferably with hands\-on experience in transitioning clients from legacy solutions such as SS\&amp;C Sylvan, SS\&amp;C Anova, Eagle Performance, Confluence StatPro, and FactSet B\-One to new performance solutions.
* Strong background in leading client workshops, requirements gathering, and solution design.
* Proven ability to create detailed and actionable solution design documents and implementation plans.
* Demonstrated capability to work collaboratively across multiple internal teams and manage complex projects, inspiring several cross\-functional teams to deliver on the product solution and vision without direct authority.
* Bachelor’s degree in STEM, finance, economics, or other relevant field, or equivalent experience
* 12\+ years relevant experience
**Competencies**
* Insights: Actively engages with users and prospects to deepen understanding of current user needs and anticipate future needs.  Sought out for expertise on end\-market trends and competitors.
* Strategy: Translates company and Firm Type strategies into specific priorities and objectives for their product line department. Evangelizes the strategy across the department and the business line. Proactively drives product sunsets where necessary. Thoughtfully experiments, prioritizes resources and repoints to most valuable problems.
* Execution: Challenges the status quo to extend the limits of what is possible.  Expertly navigates organizational obstacles to crush constraints
* Leadership \&amp; Inclusion:  Building reputation as a thought leader and internal subject matter expert.  Has a strong enterprise mindset. Promotes our culture of collaboration across functions.
**Working Environment** 
 : Hybrid
 For U.S. locations, must be legally authorized to work in the United States without the need for employer sponsorship, now or at any time in the future
**What's In It For You**
 At FactSet, our people are our greatest asset, and our culture is our biggest competitive advantage. Being a FactSetter means:
* The opportunity to join an S\&amp;P 500 company with over 45 years of sustainable growth powered by the entrepreneurial spirit of a start\-up.
* Support for your total well\-being. This includes health, life, and disability insurance, as well as retirement savings plans and a discounted employee stock purchase program, plus paid time off for holidays, family leave, and company\-wide wellness days.
* Flexible work accommodations. We value work/life harmony and offer our employees a range of accommodations to help them achieve success both at work and in their personal lives.
* A global community dedicated to volunteerism and sustainability, where collaboration is always encouraged, and individuality drives solutions.
* Career progression planning with dedicated time each month for learning and development.
* Business Resource Groups open to all employees that serve as a catalyst for connection, growth, and belonging.
**Learn More About Our Benefits Here.**
 Salary is just one component of our compensation package and is based on several factors including but not limited to education, work experience, and certifications.
**The budgeted amount range for this position in California, Colorado, Connecticut, New York City and Toronto is $140,000 \- $170,000**
**Company Overview**
 FactSet (NYSE:FDS \| NASDAQ:FDS) helps the financial community to see more, think bigger, and work better. Our digital platform and enterprise solutions deliver financial data, analytics, and open technology to more than 8,200 global clients, including over 200,000 individual users. Clients across the buy\-side and sell\-side, as well as wealth managers, private equity firms, and corporations, achieve more every day with our comprehensive and connected content, flexible next\-generation workflow solutions, and client\-centric specialized support. As a member of the S\&amp;P 500, we are committed to sustainable growth and have been recognized among the Best Places to Work in 2023 by Glassdoor as a Glassdoor Employees’ Choice Award winner. Learn more at www.factset.com and follow us on X and LinkedIn.
 At FactSet, we celebrate difference of thought, experience, and perspective. Qualified applicants will be considered for employment without regard to race, color, religion, national origin, sex, sexual orientation, gender identity, disability, protected veteran status or other characteristics protected by law. FactSet participates in E\-Verify</t>
        </is>
      </c>
    </row>
    <row r="95">
      <c r="A95" t="inlineStr">
        <is>
          <t>li-4343122121</t>
        </is>
      </c>
      <c r="B95" t="inlineStr">
        <is>
          <t>Senior Staff Product Manager, Rotorcraft Logistics (R4116)</t>
        </is>
      </c>
      <c r="C95" t="inlineStr">
        <is>
          <t>Shield AI</t>
        </is>
      </c>
      <c r="D95" t="inlineStr">
        <is>
          <t>linkedin</t>
        </is>
      </c>
      <c r="E95" t="inlineStr"/>
      <c r="F95" t="inlineStr"/>
      <c r="G95" t="inlineStr"/>
      <c r="H95" t="inlineStr"/>
      <c r="I95" t="inlineStr">
        <is>
          <t>Founded in 2015, Shield AI is a venture\-backed deep\-tech company with the mission of protecting service members and civilians with intelligent systems. Its products include the V\-BAT and X\-BAT aircraft, Hivemind Enterprise, and the Hivemind Vision product lines. With offices and facilities across the U.S., Europe, the Middle East, and the Asia\-Pacific, Shield AI’s technology actively supports operations worldwide. For more information, visit www.shield.ai . Follow Shield AI on LinkedIn , X , Instagram , and YouTube .
**Job Description:**
 Shield AI is redefining defense technology by delivering mission autonomy solutions that provide next generation manned\-unmanned teams in the rotorcraft domain. We design, develop, and deploy cutting\-edge software solutions that leverage robotics, AI\-driven autonomy, and mature software foundations to support mission\-critical operations.
 As a Product Manager for rotorcraft logistics, you will play a pivotal role in shaping the strategy, execution, and commercialization of our mission autonomy solutions. You will own the entire product lifecycle—from concept to deployment—ensuring our solutions meet mission needs, enhance operational efficiency, and align with strategic business objectives.
 You will lead efforts to identify and address the most critical autonomy needs for Shield AI and its customers. Collaborating with a cross\-functional team—business development, program managers, engineers, and executives—you'll help define what we build, when, and for whom. This high\-impact role requires deep expertise in the testing, development, procurement, and operational use of rotorcraft – including related autonomy and robotics products – across a wide variety of applications: CASEVAC, cargo, logistics, resupply, weapons.
**What you'll do:**
**Product Strategy \&amp; Roadmap Development:**
* Define, manage, and execute the product strategy aligned with business objectives, customer needs, and emerging threats.
* Develop and maintain the product roadmap that prioritizes mission\-critical features and balances technical feasibility.
* Lead strategic planning to expand the portfolio based on customer feedback and operational insights.
* Conduct business case analyses to guide investment decisions.
* Develop and maintain product documentation, including roadmaps, whitepapers, and concept of operations (CONOPs), serving as a guide for business and technical teams to build, deliver and market the capability.
**Market \&amp; Technology Awareness:**
* Stay current on technology and business trends within defense, rotorcraft, and logistics.
* Monitor industry innovations and emerging technologies related to rotorcraft, autonomy, and robotics to forecast future needs.
* Identify opportunities for integrating new technologies and improving product performance.
* Develop product feature requirements and pricing models based on market events, customer feedback, and competitive intelligence.
**Cross\-Functional Execution:**
* Establish clear product goals, key success metrics, and key performance metrics and measure progress continuously.
* Partner closely with the Chief Engineer and Technical Program Managers to ensure product designs meet customer timelines and business requirements.
* Serve as the product owner, effectively communicating strategy and goals to internal and external stakeholders to drive support.
* Work closely with Finance and Business Leadership to set and achieve product financial targets.
* Lead margin optimization efforts through efforts including design improvements, make vs buy decisions, new technology introductions.
**Operational \&amp; Customer Engagement:**
* Serve as the primary advocate for rotorcraft and contested logistics, acting as the bridge between development teams, operators, program managers, and stakeholders.
* Leverage operational experience to translate mission needs into technical requirements and user\-centric solutions.
* Engage with government sponsors and B2B partners to gather insights and validate product direction.
* Partner with business development and field support personnel to gather product feedback and drive continuous product refinement.
**Capability Development \&amp; Continuous Improvement:**
* Identify and implement emerging technologies, such as artificial intelligence and machine learning, to enhance mission effectiveness.
* Support wargaming, modeling \&amp; simulation (M\&amp;S), and digital engineering initiatives to refine space autonomy operations capabilities.
**Stakeholder Engagement \&amp; Advocacy:**
* Build and maintain relationships with key stakeholders, including senior military leaders, program managers, and technical experts.
* Represent the product during technical exchanges, capability demonstrations, and stakeholder briefings.
* Support business development by articulating product value, mission relevance, and technical differentiation.
**Required qualifications:**
* Bachelor's or Master’s degree in Aerospace Engineering, Computer Science, Systems Engineering, or a related technical field.
* 10\+ years of experience in defense technology, autonomy, rotorcraft, cargo logistics, or related domains.
* Proven experience managing complex programs within DoD or IC environments.
* Proven ability to lead product strategy and development from concept to deployment.
* Experience with defense or government stakeholders, ideally within mission\-critical roles.
* Relevant military experience or operational expertise.
* Strong communication skills—able to articulate complex technical concepts to diverse audiences.
* Eligible to obtain and maintain a U.S. Secret security clearance.
**Preferred qualifications:**
* Active TS with SCI eligibility clearance.
* Advanced degree in a relevant technical or business field (MBA, Systems Engineering).
* Familiarity with real\-time processing and sensor integration on autonomous systems or UAS payloads.
* Familiarity with autonomy development methodologies (Agile, DevSecOps).
* Knowledge of AI/ML techniques for multi\-sensor fusion applications.
* Experience in cross\-functional leadership within defense technology development.
 $190,000 \- $290,000 a year
 \#LE
 Full\-time regular employee offer package:
 Pay within range listed \+ Bonus \+ Benefits \+ Equity
 Temporary employee offer package:
 Pay within range listed above \+ temporary benefits package (applicable after 60 days of employment)
 Salary compensation is influenced by a wide array of factors including but not limited to skill set, level of experience, licenses and certifications, and specific work location. All offers are contingent on a cleared background and possible reference check. Military fellows and part\-time employees are not eligible for benefits. Please speak to your talent acquisition representative for more information.
 \#\#\#
 Shield AI is proud to be an equal opportunity workplace and is an affirmative action employer. We are committed to equal employment opportunity regardless of race, color, ancestry, religion, sex, national origin, sexual orientation, age, marital status, disability, gender identity or Veteran status. If you have a disability or special need that requires accommodation, please let us know.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96">
      <c r="A96" t="inlineStr">
        <is>
          <t>li-4348038834</t>
        </is>
      </c>
      <c r="B96" t="inlineStr">
        <is>
          <t>eDiscovery Program Manager</t>
        </is>
      </c>
      <c r="C96" t="inlineStr">
        <is>
          <t>PayPal</t>
        </is>
      </c>
      <c r="D96" t="inlineStr">
        <is>
          <t>linkedin</t>
        </is>
      </c>
      <c r="E96" t="inlineStr"/>
      <c r="F96" t="inlineStr"/>
      <c r="G96" t="inlineStr">
        <is>
          <t>San Jose, CA</t>
        </is>
      </c>
      <c r="H96" t="inlineStr"/>
      <c r="I96" t="inlineStr">
        <is>
          <t>**The Company**
 PayPal has been revolutionizing commerce globally for more than 25 years. Creating innovative experiences that make moving money, selling, and shopping simple, personalized, and secure, PayPal empowers consumers and businesses in approximately 200 markets to join and thrive in the global economy.
 We operate a global, two\-sided network at scale that connects hundreds of millions of merchants and consumers. We help merchants and consumers connect, transact, and complete payments, whether they are online or in person. PayPal is more than a connection to third\-party payment networks. We provide proprietary payment solutions accepted by merchants that enable the completion of payments on our platform on behalf of our customers.
 We offer our customers the flexibility to use their accounts to purchase and receive payments for goods and services, as well as the ability to transfer and withdraw funds. We enable consumers to exchange funds more safely with merchants using a variety of funding sources, which may include a bank account, a PayPal or Venmo account balance, PayPal and Venmo branded credit products, a credit card, a debit card, certain cryptocurrencies, or other stored value products such as gift cards, and eligible credit card rewards. Our PayPal, Venmo, and Xoom products also make it safer and simpler for friends and family to transfer funds to each other. We offer merchants an end\-to\-end payments solution that provides authorization and settlement capabilities, as well as instant access to funds and payouts. We also help merchants connect with their customers, process exchanges and returns, and manage risk. We enable consumers to engage in cross\-border shopping and merchants to extend their global reach while reducing the complexity and friction involved in enabling cross\-border trade.
 Our beliefs are the foundation for how we conduct business every day. We live each day guided by our core values of Inclusion, Innovation, Collaboration, and Wellness. Together, our values ensure that we work together as one global team with our customers at the center of everything we do – and they push us to ensure we take care of ourselves, each other, and our communities.
**Job Description Summary:**
 We are seeking a highly skilled eDiscovery Project Manager who will be responsible for developing and executing plans for the preservation, collection, review and production of electronic data in coordination with both internal teams at PayPal and external counsel. They will serve as a key partner in managing assigned client relationships across PayPal.
**Job Description:**
**Essential Responsibilities:**
* Scope: The project \&amp; program responsibilities are focused on internal information system\-specific project tasks or non\-technical project completion using an internal customer perspective, both typically from initiation through delivery.
* Organize daily activities based on organizational goals.
* Develop and implement new programs that support objectives.
* Monitor projects and oversee project managers.
* Evaluate program strengths and weaknesses.
* Develop program budgets and plans.
* Meet with stakeholders to discuss program status and goals.
* Improve strategies with the marketing team.
**Expected Qualifications:**
* 5\+ years relevant experience and a Bachelor’s degree OR Any equivalent combination of education and experience.
**Additional Responsibilities And Preferred Qualifications**
**Key Responsibilities:**
* Lead end\-to\-end eDiscovery projects from initial consultation through final production
* Manage project scope, timelines, budgets, and client expectations across multiple concurrent matters
* Coordinate cross\-functional teams including attorneys, technical staff, and vendors
* Develop and maintain project documentation, workflows, and status reports
* Oversee data preservation, and collections from Microsoft 365 and Google Workspace environments
* Manage data processing workflows in Relativity, including optimization and troubleshooting
* Execute complex productions adhering to varying specifications and legal requirements, including productions to government agencies
* Perform forensic collections and analysis when required
* Develop and maintain scripts to automate workflows and enhance efficiency
* Configure and administer Relativity backend infrastructure and databases
**Qualifications:**
* A solid understanding of eDiscovery and the litigation support industry which is typically a result of several years of experience in project management positions with law firms, corporate legal departments or eDiscovery service providers
* Extensive experience with the Relativity platform, including RelativityOne and other Relativity products, including administration and backend configuration
* Demonstrated proficiency across all phases of the Electronic Discovery Reference Model:
+ Information governance and identification
+ Preservation and collection
+ Processing and review
+ Analysis and production
* SQL scripting and database management capabilities
* Proven experience with Microsoft 365 and Google Workspace collections
* Proficiency with forensic collection tools (e.g., OpenText Forensic (EnCase), FTK, Cellebrite, Oxygen, Magnet AXIOM, SUMURI)
* Experience managing large\-scale, complex litigation matters
* Demonstrated experience producing data to government agencies and regulatory bodies, including understanding of specific formatting and protocol requirements
* Familiarity with data processing platforms and methodologies
* Relativity Certified Administrator (RCA) highly desired
* Additional Relativity certifications preferred (e.g., Relativity Analytics Specialist, Relativity Data Management Specialist, Relativity Processing Specialist, Relativity Project Management Specialist)
* Additional industry certifications valued (e.g., ACEDS, EnCE, CFCE)
 The base pay for this role will depend on where you work and the relevant experience and expertise you bring. The expected range of pay for this role by location is:
**Primary Location : Pay Range:**
 San Jose, California : ($109,000\.00 \- $156,200\.00 Annually)
**Additional Location(s) : Pay Range:**
 Chicago, Illinois : ($95,500\.00 \- $141,900\.00 Annually)
 Austin, Texas : ($95,500\.00 \- $141,900\.00 Annually)
 Scottsdale, Arizona : ($94,000\.00 \- $134,750\.00 Annually)
 Additional compensation for this role may include an annual performance bonus, equity, or other incentive compensation, as applicable.
 PayPal does not charge candidates any fees for courses, applications, resume reviews, interviews, background checks, or onboarding. Any such request is a red flag and likely part of a scam. To learn more about how to identify and avoid recruitment fraud please visit https://careers.pypl.com/contact\-us.
 For the majority of employees, PayPal's balanced hybrid work model offers 3 days in the office for effective in\-person collaboration and 2 days at your choice of either the PayPal office or your home workspace, ensuring that you equally have the benefits and conveniences of both locations.
**Our Benefits:**
 At PayPal, we’re committed to building an equitable and inclusive global economy. And we can’t do this without our most important asset\-you. That’s why we offer benefits to help you thrive in every stage of life. We champion your financial, physical, and mental health by offering valuable benefits and resources to help you care for the whole you.
 We have great benefits including a flexible work environment, employee shares options, health and life insurance and more. To learn more about our benefits please visit https://www.paypalbenefits.com
**Who We Are:**
 To learn more about our culture and community visit https://about.pypl.com/who\-we\-are/default.aspx
**Commitment to Diversity and Inclusion**
 PayPal provides equal employment opportunity (EEO) to all persons regardless of age, color, national origin, citizenship status, physical or mental disability, race, religion, creed, gender, sex, pregnancy, sexual orientation, gender identity and/or expression, genetic information, marital status, status with regard to public assistance, veteran status, or any other characteristic protected by federal, state, or local law. In addition, PayPal will provide reasonable accommodations for qualified individuals with disabilities. If you are unable to submit an application because of incompatible assistive technology or a disability, please contact us at paypalglobaltalentacquisition@paypal.com.
**Belonging at PayPal:**
 Our employees are central to advancing our mission, and we strive to create an environment where everyone can do their best work with a sense of purpose and belonging. Belonging at PayPal means creating a workplace with a sense of acceptance and security where all employees feel included and valued. We are proud to have a diverse workforce reflective of the merchants, consumers, and communities that we serve, and we continue to take tangible actions to cultivate inclusivity and belonging at PayPal.
 Any general requests for consideration of your skills, please Join our Talent Community.
 We know the confidence gap and imposter syndrome can get in the way of meeting spectacular candidates. Please don’t hesitate to apply.
 REQ ID R0133218</t>
        </is>
      </c>
    </row>
    <row r="97">
      <c r="A97" t="inlineStr">
        <is>
          <t>li-4371835742</t>
        </is>
      </c>
      <c r="B97" t="inlineStr">
        <is>
          <t>Technical Product Owner, Manager - Tax Transformation</t>
        </is>
      </c>
      <c r="C97" t="inlineStr">
        <is>
          <t>Deloitte</t>
        </is>
      </c>
      <c r="D97" t="inlineStr">
        <is>
          <t>linkedin</t>
        </is>
      </c>
      <c r="E97" t="inlineStr"/>
      <c r="F97" t="inlineStr"/>
      <c r="G97" t="inlineStr">
        <is>
          <t>Costa Mesa, CA</t>
        </is>
      </c>
      <c r="H97" t="inlineStr"/>
      <c r="I97"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31, 2026\.
**Work you'll do**
 As a Deloitte Tax Technical Product Owner, you will be responsible for managing vendor teams in building and delivering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development team's priorities and adherence to delivery standards.
* Provide leadership coordination and oversight within one delivery team to deliver functionality on behalf of Tax.
* Coordinate with business representatives when details are needed.
* Partner on the design and ensure product meets specifications by conducting demos at Program Increment Sessions.
* Follow standards, guidelines, and metrics aimed at delivering business value quickly and efficiently.
* Proactively identify and mitigate product\-related risks (escalate issues to the Delivery Lead and/or Portfolio Lead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Information Technology, Business or other relevant discipline.
* 5\+ years' experience leading technical delivery teams.
* Demonstrated product development experience using different software development methodologies, like Agile and Scaled Agile.
* Proven knowledge of risk management and tracking techniques.
* Ability to travel up to 15%,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Alteryx Designer\- Advanced Certification
* CBAP® \- Certified Business Analysis Professional
* Certified SAFe® Advanced Scrum Master
* Certified SAFe® Agile Software Engineer
* Certified SAFe® Agilist
* Certified SAFe® Architect
* Certified SAFe® DevOps Practitioner
* Certified SAFe® Lean Portfolio Manager
* Certified SAFe® Practitioner
* Certified SAFe® Product Owner / Product Manager
* Certified SAFe® Scrum Master
* Certified Scrum Product Owner (CSPO)
* Microsoft Certified Solutions Developer (MCSD)
* Program Management Professional (PgMP)
* Project Management Professional (PMP)
* Six Sigma (Green or Black Belt)
**Preferred**
* Previous tax firm or consulting firm experience
* Azure DevOps exposure
* Excellent analytical and problem\-solving skills
* Strong verbal and written communication skills; strong listening, interpersonal, and facilitation skills
* Able to interact effectively with professionals at all levels and communicate recommendations.
* Demonstrated experience working with and influencing as part of a team.
* Motivated, resourceful, and dependable
* Well organized with the ability to multitask and prioritize multiple, ongoing projects
* Able to respond quickly to high\-priority deadlines with little lead\-time and adaptable to direction changes.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$111,090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98">
      <c r="A98" t="inlineStr">
        <is>
          <t>li-4342812225</t>
        </is>
      </c>
      <c r="B98" t="inlineStr">
        <is>
          <t>Program Manager, Migrations</t>
        </is>
      </c>
      <c r="C98" t="inlineStr">
        <is>
          <t>Relativity</t>
        </is>
      </c>
      <c r="D98" t="inlineStr">
        <is>
          <t>linkedin</t>
        </is>
      </c>
      <c r="E98" t="inlineStr"/>
      <c r="F98" t="inlineStr"/>
      <c r="G98" t="inlineStr">
        <is>
          <t>Kentucky, United States</t>
        </is>
      </c>
      <c r="H98" t="inlineStr"/>
      <c r="I98"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Manager, Success Strategy and Business Operations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99">
      <c r="A99" t="inlineStr">
        <is>
          <t>li-4343021001</t>
        </is>
      </c>
      <c r="B99" t="inlineStr">
        <is>
          <t>Program Manager, Migrations</t>
        </is>
      </c>
      <c r="C99" t="inlineStr">
        <is>
          <t>Relativity</t>
        </is>
      </c>
      <c r="D99" t="inlineStr">
        <is>
          <t>linkedin</t>
        </is>
      </c>
      <c r="E99" t="inlineStr"/>
      <c r="F99" t="inlineStr"/>
      <c r="G99" t="inlineStr">
        <is>
          <t>New Mexico, United States</t>
        </is>
      </c>
      <c r="H99" t="inlineStr"/>
      <c r="I99" t="inlineStr">
        <is>
          <t>***Posting Type***
 Hybrid/Remote
**Job Overview**
 Team Overview
 Relativity’s Account Services team within the Relativity Success team, ensures each customer or partner account for Relativity’s business has a group of dedicated individuals to manage the account and reduce friction, assist with growth and enable transformation. The team partners across Sales, Customer Success, Product Management, Engineering, and partner organizations to enable seamless data migrations from diverse sources into RelativityOne, amongst other adoption goals. Our mission is to ensure efficient, secure, and successful customer transitions to the RelativityOne platform — accelerating adoption, reducing risk, and maximizing value realization for clients and partners.
 This role sits at the intersection of program management, technical coordination, and customer engagement, supporting large\-scale technology transformations across our customer base.
 Role Overview
 The Program Manager, Migrations will lead and coordinate complex migration initiatives involving multiple internal and external stakeholders. This role requires strong program management expertise and a proven ability to orchestrate large\-scale data migrations from legacy and competitive systems to modern SaaS, Cloud, and AI platforms.
 You’ll collaborate closely with Technical Account Managers, Engineering, and Product teams, as well as external partners and customers, to manage the planning, execution, and reporting of migration programs. This position demands both strategic oversight and hands\-on leadership to drive execution through influence.
 The role reports to the Manager, Success Strategy and Business Operations and can be based in Chicago or remote within the U.S.
**Core Responsibilities**
***Job Description and Requirements***
* Lead Complex Migration Programs: Manage end\-to\-end coordination of multi\-phase, high\-impact data migration programs from a variety of environments — including Relativity Server, competitor SaaS platforms, and on\-premise or legacy legal data systems.
* Program Governance \&amp; Stakeholder Alignment: Establish and maintain program governance, timelines, and deliverables, ensuring alignment across internal teams, customers, and partners.
* Strategic Planning \&amp; Reporting: Develop, maintain, and communicate detailed program plans, risk registers, and progress reports tailored for technical, business, and executive audiences.
* Cross\-Functional Collaboration: Partner with Engineering, Product Management, Customer Success, and external vendors to resolve blockers, assess risks, and ensure data integrity throughout migration cycles.
* Executional Leadership: Lead through influence — driving accountability, surfacing challenges, and ensuring deliverables are met through proactive engagement and coordination.
* Continuous Improvement: Contribute to the evolution of Relativity’s migration frameworks, playbooks, and tools, leveraging lessons learned to improve efficiency, repeatability, and customer experience.
* Customer \&amp; Partner Engagement: Serve as a primary point of contact for program\-level migration activities, ensuring stakeholders are informed, supported, and confident throughout the migration journey.
**Required Qualifications**
* 5–8 years of program or project management experience in complex technology or IT transformation programs, ideally involving data migrations to SaaS or cloud environments.
* Demonstrated ability to manage multi\-stakeholder programs with technical and business complexity.
* Proven experience developing structured program plans, dashboards, and executive reports.
* Highly\-developed communication skills — able to translate technical issues into business impact and vice versa.
* Ability to lead through influence and manage execution across diverse functional teams.
* Experience with Relativity Server, RelativityOne, or other eDiscovery / Legal Data Intelligence platforms.
**Preferred Qualifications**
* Background in large\-scale data center or application migrations.
* Experience working in SaaS companies, legal technology, or unstructured data ecosystems.
* Familiarity with project management and collaboration tools (e.g., Asana, Jira, Smartsheet, Salesforce).
* Experience working in vendor–service provider–end customer models.
**Personal Qualities**
* Excel at orchestrating complex, multi\-dimensional programs while maintaining attention to detail.
* Are equally comfortable leading executive briefings and chasing down tactical deliverables.
* Enjoy working cross\-functionally to solve ambiguous, high\-stakes challenges.
* Are proactive, collaborative, and passionate about delivering customer success through operational excellence.
**Relativity is committed to competitive, fair, and equitable compensation practices.**
 This position is eligible for total compensation which includes a competitive base salary, an annual performance bonus, and long\-term incentives.
 The expected salary range for this role is between following values:
 $115,000 and $173,000
 The final offered salary will be based on several factors, including but not limited to the candidate's depth of experience, skill set, qualifications, and internal pay equity. Hiring at the top end of the range would not be typical, to allow for future meaningful salary growth in this position.
**Suggested Skills**
 Budget Management, Mentorship, Negotiation, Program Management, Project Management, Risk Management, Stakeholder Management, Strategic Planning, Team Leadership, Vendor Management</t>
        </is>
      </c>
    </row>
    <row r="100">
      <c r="A100" t="inlineStr">
        <is>
          <t>li-4363188344</t>
        </is>
      </c>
      <c r="B100" t="inlineStr">
        <is>
          <t>Director, Delivery Leader (IT Solution Delivery)/(Program Manager) - Nationwide Financial</t>
        </is>
      </c>
      <c r="C100" t="inlineStr">
        <is>
          <t>Nationwide</t>
        </is>
      </c>
      <c r="D100" t="inlineStr">
        <is>
          <t>linkedin</t>
        </is>
      </c>
      <c r="E100" t="inlineStr"/>
      <c r="F100" t="inlineStr"/>
      <c r="G100" t="inlineStr">
        <is>
          <t>Columbus, OH</t>
        </is>
      </c>
      <c r="H100" t="inlineStr"/>
      <c r="I100" t="inlineStr">
        <is>
          <t>If you’re passionate about being part of a dynamic organization that enables a Fortune 100 company with nearly $70 billion in annual sales to drive innovation and adopt new technologies that deliver business results, then Nationwide’s Technology team could be the place for you! At Nationwide®, “on your side” goes beyond just words. Our customers are at the center of everything we do and we’re looking for associates who are passionate about delivering extraordinary care.
**At Nationwide Financial, technology delivery is foundational to how we serve customers, partners, and the broader financial ecosystem. We are seeking a seasoned Director, Delivery Leader / Program Manager who can ensure operational excellence today while leading the transformation toward a more modern, product\-centric future.**
**Nationwide Financial is seeking a Director, Delivery Leader/Program Manager to lead technology delivery across critical business\-to\-business ecosystem, data warehousing, Financial Operations and Actuarial capabilities. This role is central to ensuring operational stability today while accelerating modernization for the future.**
**You will oversee IT delivery for essential platforms including payments, securities trading, eB2B integrations, actuarial services, document management, and data warehousing, partnering closely with business and enterprise leaders in a highly regulated environment.**
**As Nationwide evolves from a traditional project‑based model to a product‑centric operating model, this role provides the leadership needed to ensure strong governance, disciplined execution, and effective risk management—while enabling faster, more responsive delivery.**
**If this opportunity aligns with your leadership experience and passion for delivery excellence, we welcome the opportunity to connect with you.**
**This role will work a hybrid schedule coming into the Columbus, Ohio office 2 days per week on Mondays \&amp; Tuesdays.**
**This role does not qualify for employer\-sponsored work authorization. Nationwide does not participate in the Stem OPT Extension program.**
**Job Description Summary**
 If you’re passionate about delivering technology solutions to support a company providing extraordinary care to its customers, then Nationwide Technology is the place for you. Our industry\-leading technology workforce embraces an agile work environment and a collaborative culture to deliver outstanding solutions and results. If that sounds like something you aspire to, we want to hear from you!
 As a Delivery Leader you’ll be responsible for delivering value and outcomes. Delivery leaders are expected to have an end\-to\-end vantage point on delivery, manage dependencies, remove blockers, engage partners, manage financials, maximize vendor relationships, and enable an iterative delivery of value. You will need to keep pace with software delivery and organizational change methods and tools. Delivery leaders should also understand relevant Financial and Agile/Lean/DevOps tools and techniques.
**Job Description**
**Key Responsibilities:**
* Responsible for the End to End management of associates including but not limited to performance management, salary planning, training, development, workforce planning, hiring, and disciplinary actions; and attracts, hires, engages and develops the team through impactful recruitment, coaching and feedback.
* Accountable for the delivery of expected business outcomes, realization of benefits as outlined in the business case, drives incremental value, drives incremental planning, and drives dependency scope definition.
* Responsible for the communication, critical issue, visibility, change management guidance to deliver business outcomes.
* Managers the facilitation of contract negotiations, statement of work development and ensures our vendors are making expected progress.
* Drives the prioritization of work, handles complex issues/risks, governs dependencies.
* Leads all aspects of the delivery of status/health reports to drive value delivery tracking (ex: KPIs), optimizes the flow of value and ensures demand/capacity is managed.
* Manages and consults on complex and/or project/product financials.
* Serves as the top professional/coach to others around delivering business outcomes, benefit realization, agile delivery, and Lean.
* Active profession participant through communities of practice, industry involvement and/or standards organizations.
**May Perform Other Responsibilities As Assigned.**
**Reporting Relationships:** 
 Reports to Executive Delivery Leader or Business Solution Area Executive; responsible for 4\-8 directs and in\-directs.
**Typical Skills And Experiences**
**Education:** 
 Undergraduate studies (bachelor’s degree preferred) in management information systems, engineering, math, computer science, data analytics or comparable experience and education strongly preferred.
**License/Certification/Designation:** 
 Technology certifications or PMI, SAFE, Agile or Lean designations are encouraged.
**Experience:** 
 Ten or more years of experience in technology or related field. Five years demonstrated proficiency in delivering outcomes/projects. Three to five years of management experience is preferred. Awareness of new technologies and/or industry trends.
**Knowledge, Abilities and Skills:** 
 Ability to make decisions and recommendations. Aptitude to influence, establish relationships and set priorities. Excellent verbal and written communication skills to interact with all levels of associates, senior management and/or vendors. Insurance/financial services industry knowledge a plus.
 Other criteria, including leadership skills, competencies and experiences may take precedence.
 Staffing exceptions to the above must be approved by the hiring manager’s leader and HR Business Partner.
**Values:** 
 Regularly and consistently demonstrates Nationwide values.
**Job Conditions**
**Overtime Eligibility:** 
 Exempt (Not Eligible)
**Working Conditions:** 
 Normal office environment.
**ADA:** 
 The above statements cover what are generally believed to be principal and essential functions of this job. Specific circumstances may allow or require some people assigned to the job to perform a somewhat different combination of duties.
 We currently anticipate accepting applications until 02/20/2026\. However, we encourage early submissions, as the posting may close sooner if a strong candidate slate is identified before the deadline.
**Benefits**
 We have an array of benefits to fit your needs, including: medical/dental/vision, life insurance, short and long term disability coverage, paid time off with newly hired associates receiving a minimum of 18 days paid time off each full calendar year pro\-rated quarterly based on hire date, nine paid holidays, 8 hours of Lifetime paid time off, 8 hours of Unity Day paid time off, 401(k) with company match, company\-paid pension plan, business casual attire, and more. To learn more about the benefits we offer, click here.
 Nationwide is an equal opportunity employer. We celebrate diversity and are committed to creating an inclusive culture where everyone feels challenged, appreciated, respected and engaged. Nationwide prohibits discrimination and harassment and affords equal employment opportunities to employees and applicants without regard to any characteristic (or classification) protected by applicable law.
 This position could be filled within any of the lower 48 U.S. states.
 Smoke\-Free Iowa Statement: Nationwide Mutual Insurance Company, its affiliates and subsidiaries comply with the Iowa Smokefree Air Act. Smoking is prohibited in all enclosed areas on or around company premises as well as company issued vehicles. The company offers designated smoking areas in which smoking is permitted at each individual location. The Act prohibits retaliation for reporting complaints or violations. For more information on the Iowa Smokefree Air Act, individuals may contact the Smokefree Air Act Helpline at 888\-944\-2247\.
 For NY residents please review the following state law information: Notice of Employee Rights, Protections, and Obligations LS740 (ny.gov) https://dol.ny.gov/system/files/documents/2022/02/ls740\_1\.pdf
**Note To Employment Agencies**
 We value the partnerships we have built with our preferred vendors. Nationwide does not accept unsolicited resumes from employment agencies. All resumes submitted by employment agencies directly to any Nationwide employee or hiring manager in any form without a signed Nationwide Client Services Agreement on file and search engagement for that position will be deemed unsolicited in nature. No fee will be paid in the event the candidate is subsequently hired as a result of the referral or through other means.
 Nationwide pays on a geographic\-specific salary structure and placement within the actual starting salary range for this position will be determined by a number of factors including the skills, education, training, credentials and experience of the candidate; the scope, complexity and location of the role as well as the cost of labor in the market; and other conditions of employment. If a Sales job, Sales Incentives, based on performance goals are possible in addition to this range. Note on Compensation for Part\-Time Roles: Please be aware that the salary ranges listed below reflect full\-time compensation. Actual compensation may be prorated based on the number of hours worked relative to a full\-time schedule.
 The national salary range for Director, Delivery Leader : $149,000\.00\-$262,000\.00
 The expected starting salary range for Director, Delivery Leader : $149,000\.00 \- $223,000\.00</t>
        </is>
      </c>
    </row>
    <row r="101">
      <c r="A101" t="inlineStr">
        <is>
          <t>li-4371837752</t>
        </is>
      </c>
      <c r="B101" t="inlineStr">
        <is>
          <t>Technical Product Owner, Manager - Tax Transformation</t>
        </is>
      </c>
      <c r="C101" t="inlineStr">
        <is>
          <t>Deloitte</t>
        </is>
      </c>
      <c r="D101" t="inlineStr">
        <is>
          <t>linkedin</t>
        </is>
      </c>
      <c r="E101" t="inlineStr"/>
      <c r="F101" t="inlineStr"/>
      <c r="G101" t="inlineStr">
        <is>
          <t>Morristown, NJ</t>
        </is>
      </c>
      <c r="H101" t="inlineStr"/>
      <c r="I101" t="inlineStr">
        <is>
          <t>If you are a technology visionary with a passion for transforming global tax business with digital technology, consider working with the US Tax Transformation technology team. This is an exciting opportunity to support global execution of Deloitte's tax strategy as we shift from "doing digital" to "being digital" by reimagining how we engage with our clients, deliver our services, operate our business, and create value.
 Recruiting for this role ends on May 31, 2026\.
**Work you'll do**
 As a Deloitte Tax Technical Product Owner, you will be responsible for managing vendor teams in building and delivering platform features according to prioritization. You will track and monitor progress, ensure timely reporting of milestone and dependency status, monitor risks and issues to escalate to leadership, and execute day\-to\-day coordination activities to support the technology transformation.
 Additional responsibilities include:
* Set development team's priorities and adherence to delivery standards.
* Provide leadership coordination and oversight within one delivery team to deliver functionality on behalf of Tax.
* Coordinate with business representatives when details are needed.
* Partner on the design and ensure product meets specifications by conducting demos at Program Increment Sessions.
* Follow standards, guidelines, and metrics aimed at delivering business value quickly and efficiently.
* Proactively identify and mitigate product\-related risks (escalate issues to the Delivery Lead and/or Portfolio Lead as needed).
**The Team**
 Deloitte Tax LLP's Tax Transformation Office (TTO) is responsible for the design, development, and deployment of innovative, enterprise technology, tools, and standard processes to support the delivery of tax services. The TTO team focuses on enhancing Deloitte Tax LLP's ability to deliver comprehensive, value\-added, and efficient tax services to our clients. It is a dynamic team with professionals of varying backgrounds from tax technical, technology development, change management, Six Sigma, and project management. The team consults and executes on a wide range of initiatives involving process and tool development and implementation including training development, engagement management, tool design, and implementation.
**Qualifications**
**Required**
* Ability to perform job responsibilities within a hybrid work model that requires US Tax professionals to co\-locate in person 2 \- 3 days per week.
* Bachelor's degree in Computer Science, Information Technology, Business or other relevant discipline.
* 5\+ years' experience leading technical delivery teams.
* Demonstrated product development experience using different software development methodologies, like Agile and Scaled Agile.
* Proven knowledge of risk management and tracking techniques.
* Ability to travel up to 15%, on average, based on the work you do and the clients and industries/sectors you serve.
* Limited immigration sponsorship may be available.
* One of the following active accreditations obtained:
+ Licensed CPA in state of practice/primary office if eligible to sit for the CPA
+ If not CPA eligible:
- Licensed Attorney
- Enrolled Agent
- Technology Certifications:
* Alteryx Designer\- Advanced Certification
* CBAP® \- Certified Business Analysis Professional
* Certified SAFe® Advanced Scrum Master
* Certified SAFe® Agile Software Engineer
* Certified SAFe® Agilist
* Certified SAFe® Architect
* Certified SAFe® DevOps Practitioner
* Certified SAFe® Lean Portfolio Manager
* Certified SAFe® Practitioner
* Certified SAFe® Product Owner / Product Manager
* Certified SAFe® Scrum Master
* Certified Scrum Product Owner (CSPO)
* Microsoft Certified Solutions Developer (MCSD)
* Program Management Professional (PgMP)
* Project Management Professional (PMP)
* Six Sigma (Green or Black Belt)
**Preferred**
* Previous tax firm or consulting firm experience
* Azure DevOps exposure
* Excellent analytical and problem\-solving skills
* Strong verbal and written communication skills; strong listening, interpersonal, and facilitation skills
* Able to interact effectively with professionals at all levels and communicate recommendations.
* Demonstrated experience working with and influencing as part of a team.
* Motivated, resourceful, and dependable
* Well organized with the ability to multitask and prioritize multiple, ongoing projects
* Able to respond quickly to high\-priority deadlines with little lead\-time and adaptable to direction changes.
 The wage range for this role takes into account the wide range of factors that are considered in making compensation decisions including but not limited to skill sets; experience and training; licensure and certifications; and other business and organizational needs. The disclosed range estimate has not been adjusted for the applicable geographic differential associated with the location at which the position may be filled. At Deloitte, it is not typical for an individual to be hired at or near the top of the range for their role and compensation decisions are dependent on the facts and circumstances of each case. A reasonable estimate of the current range is $111,090 to $235,170
 You may also be eligible to participate in a discretionary annual incentive program, subject to the rules governing the program, whereby an award, if any, depends on various factors, including, without limitation, individual and organizational performance.
 Information for applicants with a need for accommodation: https://www2\.deloitte.com/us/en/pages/careers/articles/join\-deloitte\-assistance\-for\-disabled\-applicants.html</t>
        </is>
      </c>
    </row>
    <row r="102">
      <c r="A102" t="inlineStr">
        <is>
          <t>li-4363972472</t>
        </is>
      </c>
      <c r="B102" t="inlineStr">
        <is>
          <t>Supplier Development Program Manager</t>
        </is>
      </c>
      <c r="C102" t="inlineStr">
        <is>
          <t>Eaton</t>
        </is>
      </c>
      <c r="D102" t="inlineStr">
        <is>
          <t>linkedin</t>
        </is>
      </c>
      <c r="E102" t="inlineStr"/>
      <c r="F102" t="inlineStr"/>
      <c r="G102" t="inlineStr">
        <is>
          <t>Richmond, VA</t>
        </is>
      </c>
      <c r="H102" t="inlineStr"/>
      <c r="I102" t="inlineStr">
        <is>
          <t>Eaton’s Electrical division is currently seeking a Supplier Development Program Manager to join our team in Richmond, VA. Relocation assistance available within the US. The anticipated travel for this role is 50%.
 The expected annual salary range for this role is $97,000 \- $143,000 a year.
 Please note the salary information shown above is a general guideline only. Salaries are based upon candidate skills, experience, and qualifications, as well as market and business considerations.
 As a Supplier Development Program Manager, you will be responsible for the deployment of supplier development and improvement processes and projects across the CPS Division. You will direct the qualification, maintenance, and development of domestic and international suppliers for the Division. You will ensure supplier readiness to support current and future programs and build relationships with suppliers. You will work with the manufacturing sites to understand areas where we are lacking supplier capabilities and performance to meet business needs in collaboration with corporate, divisional and sites supply chain and commodity leaders.
**What You’ll Do**
* Work directly with suppliers where Quality or Delivery performance, or business risk demands robust action plans. Utilize expertise and a wide range of tools to identify and lead improvement actions including Problem Solving, Auditing, Material Management, and Load \&amp; Capacity planning.
* Support initial Supplier Site Assessments (SSA) to evaluate risk with New Suppliers prior to their addition to the Approved Supplier List (ASL).
* Perform capability (Product, Process, Materials Management) assessments and where necessary, Special Process Audits with key suppliers to evaluate the application of advanced quality tools, manufacturing capabilities, material management, and lean maturity. Support the development of subsequent improvement plans and coordinate milestones \&amp; completion of actions against an agreed project charter.
* Assess Production Rate Readiness with suppliers that are undergoing significant industrial transfers to ensure risks are understood and coordinate the timely completion of actions to eliminate supply chain disruption.
* Actively support supply chain cost\-out projects and new product introduction by working closely with suppliers from development to production launch, ensuring compliance with requirements and coordinating on time submission of FAI’s or PPAPs as required.
* Coach suppliers in the deployment of key business processes such as 8D Problem Solving, Advanced Product Quality Planning (APQP), SIOP and Material Management.
* Function as a liaison between suppliers and internal functions/plants (Engineering, Quality, Operations etc.) to clarify requirements, facilitate communication and drive accountability for improvement actions.
* Educate suppliers on Eaton internal processes to achieve optimal alignment with Eaton manufacturing plants.
* Develop, implement, and oversee the administration of special programs to recognize and to ensure the use of suppliers who maintain established standards of quality, reliability, and price.
* Work with Global Procurement Organization (GPO) and ESA Procurement as a division Quality focal point on the development of new and additional suppliers to improve supply chain resiliency, implement multi\-sourcing or resourcing due to supply risk or poor supplier performance
* Assumes lead Quality role in supporting Supplier Development activities and Supplier onboarding
* Responsible for all supplier quality key metrics, maintenance and reporting
* Perform Supplier Capacity Assessments to assure supplier readiness for growth, based on projected demand for division product lines
**Basic (Required) Qualifications**
* Bachelor’s Degree from an accredited institution
* Minimum of five (5\) years experience in Supply Chain, Operations, Engineering, or Quality
* Minimum of one (1\) year of experience with quality systems (ISO 9001:2015 \&amp; 14001:2015\), methods and practices including APQP, FMEA, Control Plan, MSA, and PPAP
* Eaton will not consider applicants for employment immigration sponsorship or support for this position. This means that Eaton will not support any CPT, OPT, or STEM OPT plans, F\-1 to H\-1B, H\-1B cap registration, O\-1, E\-3, TN status, I\-485 job portability, etc
**Preferred Qualifications**
* Lean Manufacturing and/or Six Sigma Greenbelt or Blackbelt certification.
* Bachelor's degree in engineering, supply chain, or related business function
* Project Management Institute (PMI) accreditation (PMP) or equivalent.
* Familiarity with quality management system controls and product development practices
**Position Success Criteria**
* Up to 50% travel, including travel to CPS sites and to various supplier sites as required.
* Collaborate with Engineering and Operations establishing and managing interactions with suppliers to develop and drive project action plans and results.
* A balance between strategic thinking/planning skills as well as decisiveness to achieve results.
* Solid communication and interpersonal skills to effectively interact with all levels of the organization and the ability to foster and maintain strong working relationships with internal and external stakeholders.
* Provide leadership in crisis or rapid response scenarios with Suppliers and Eaton Integrated Project Teams.
* Ability to articulate technical information and status regarding business bottlenecks to Stakeholders.
* Experience and knowledge of the roles in Supply Chain, Program Management and Supplier development.
* Self\-motivated and ability to work independently.
 We are committed to ensuring equal employment opportunities for all job applicants and employees. Employment decisions are based upon job\-related reasons regardless of an applicant's race, color, religion, sex, sexual orientation, gender identity, age, national origin, disability, marital status, genetic information, protected veteran status, or any other status protected by law.
 Eaton believes in second chance employment. Qualified applicants with arrest or conviction history will be considered regardless of their arrest or conviction history, consistent with the Los Angeles County Fair Chance Ordinance, the California Fair Chance Act and other local laws.
 You do not need to disclose your conviction history or participate in a background check until a conditional job offer is made to you. After making a conditional offer and running a background check, if Eaton is concerned about conviction that is directly related to the job, you will be given the chance to explain the circumstances surrounding the conviction, provide mitigating evidence, or challenge the accuracy of the background report.
 To request a disability\-related reasonable accommodation to assist you in your job search, application, or interview process, please call us at 1\-800\-836\-6345 to discuss your specific need. Only accommodation requests will be accepted by this phone number.
 We know that good benefit programs are important to employees and their families. Eaton provides various Health and Welfare benefits as well as Retirement benefits, and several programs that provide for paid and unpaid time away from work. Click here for more detail: Eaton Benefits Overview. Please note that specific programs and options available to an employee may depend on eligibility factors such as geographic location, date of hire, and the applicability of collective bargaining agreements.</t>
        </is>
      </c>
    </row>
    <row r="103">
      <c r="A103" t="inlineStr">
        <is>
          <t>li-4365256334</t>
        </is>
      </c>
      <c r="B103" t="inlineStr">
        <is>
          <t>Program Manager (Value Stream Leader) - Government Programs (Onsite)</t>
        </is>
      </c>
      <c r="C103" t="inlineStr">
        <is>
          <t>Collins Aerospace</t>
        </is>
      </c>
      <c r="D103" t="inlineStr">
        <is>
          <t>linkedin</t>
        </is>
      </c>
      <c r="E103" t="inlineStr"/>
      <c r="F103" t="inlineStr"/>
      <c r="G103" t="inlineStr">
        <is>
          <t>Sonoma, CA</t>
        </is>
      </c>
      <c r="H103" t="inlineStr"/>
      <c r="I103" t="inlineStr">
        <is>
          <t>**Date Posted:**
 2026\-01\-21
**Country:**
 United States of America
**Location:**
 US\-CA\-FAIRFIELD\-3530 \~ 3530 Branscombe Rd \~ BRANSCOMBE
**Position Role Type:**
 Onsite
**U.S. Citizen, U.S. Person, or Immigration Status Requirements:**
 This job requires a U.S. Person. A U.S. Person is a lawful permanent resident as defined in 8 U.S.C. 1101(a)(20\) or who is a protected individual as defined by 8 U.S.C. 1324b(a)(3\). U.S. citizens, U.S. nationals, U.S. permanent residents, or individuals granted refugee or asylee status in the U.S. are considered U.S. persons. For a complete definition of “U.S. Person” go here: https://www.ecfr.gov/current/title\-22/chapter\-I/subchapter\-M/part\-120/subpart\-C/section\-120\.62
**Security Clearance Type:**
 None/Not Required
**Security Clearance Status:**
 Not Required
 Collins Aerospace, an RTX company, is a leader in technologically advanced and intelligent solutions for the global aerospace and defense industry. Collins Aerospace has the capabilities, comprehensive portfolio, and expertise to solve customers’ toughest challenges and to meet the demands of a rapidly evolving global market.
 We have an opportunity to join a Value Stream in the Propulsion business in Fairfield, California. This role reports to the U.S. Government Value Stream Manager and is responsible for multiple small and mid\-sized programs specifically serving military customers.
 Accountable for the full lifecycle of products and services from inception through completion. Includes pursuit and order capture, design and development, produce to deliver, service/support and long\-term strategic business plans. Ensure the Program Management Team (PMT) is effective at managing the contract lifecycle, cost, schedule, performance and on\-time delivery of company programs or subsystems of major programs. Serves as the face of the organization to clients and customers. Has profit \&amp; Loss (P\&amp;L) responsibility for their programs within a business segment or portfolio.
**What You Will Do**
* Responsible for program execution, ensuring adherence to program plans, schedules, and budgets for programs under his/her responsibility
* Reviews and updates milestones, program plans, schedules and budgets for programs to ensure that the organization's objectives are met
* Identifies risks and opportunities, develops risk and opportunities register, develops mitigations and recommendations to achieve customer satisfaction, cost and performance goals
* Participates in the negotiation of contracts and contractual changes, including coordinating preparation of proposals, business plans, proposal work statements, operational budgets, specifications, and financial conditions of contracts to ensure legal compliance and to protect the organization’s interests
* Supports annual strategic planning efforts for the business
* Prepares and presents value\-stream strategy, progress, and results
* Ensures a Continuous Improvement mentality is prevalent in the organization, actively leading and participating in Lean activities to drive quality and efficiency
* Able to travel nationally as needed up to 10%
**Qualifications You Must Have**
* Typically requires a University Degree or equivalent experience and minimum 8 years prior relevant experience or an Advanced Degree in a related field and minimum 5 years of experience
* Previous Customer facing experience as a project/program manager required
* Experience owning and managing multiple aspects of a program/project, i.e. financial, engineering, operations
* Previous Negotiation experience required
**Qualifications We Prefer**
* Technical background, i.e. engineering, quality, etc.
* Experience with lean manufacturing/six sigma is preferred
* Experience with Root Cause Corrective Action is preferred
* Experience with Change management is preferred
* Experience with Manufacturing life cycle is preferred
* Experience interpreting aerospace and U.S. government requirements, specifications and contracts is preferred
* Experience with SAP
* Experience with Microsoft Project
**What We Offer**
* Medical, dental, and vision insurance
* Three weeks of vacation for newly hired employees
* Generous 401(k) plan that includes employer matching funds and separate employer retirement contribution, including a Lifetime Income Strategy option
* Tuition reimbursement program
* Student Loan Repayment Program
* Life insurance and disability coverage
* Optional coverages you can buy pet insurance, home and auto insurance, additional life and accident insurance, critical illness insurance, group legal, ID theft protection
* Birth, adoption, parental leave benefits
* Ovia Health, fertility, and family planning
* Adoption Assistance
* Autism Benefit
* Employee Assistance Plan, including up to 10 free counseling sessions
* Healthy You Incentives, wellness rewards program
* Doctor on Demand, virtual doctor visits
* Bright Horizons, child and elder care services
* Teladoc Medical Experts, second opinion program
* And more!
**Learn More \&amp; Apply Now!**
 Do you want to be a part of something bigger? A team whose impact stretches across the world, and even beyond? At Collins Aerospace, our Mission Systems team helps civilian, military and government customers complete their most complex missions — whatever and wherever they may be. Our customers depend on us for intelligent and secure communications, missionized systems for specialized aircraft and spacecraft and collaborative space solutions. By joining our team, you’ll have your own critical part to play in ensuring our customer succeeds today while anticipating their needs for tomorrow. Are you up for the challenge? Join our mission today.
* Please ensure the role type (defined below) is appropriate for your needs before applying to this role.
**Onsite:** 
 Employees who are working in Onsite roles will work primarily onsite. This includes all production and maintenance employees, as they are essential to the development of our products
 At Collins, the paths we pave together lead to limitless possibility. And the bonds we form – with our customers and with each other \-\- propel us all higher, again and again.
 Apply now and be part of the team that’s redefining aerospace, every day.
***As part of our commitment to maintaining a secure hiring process, candidates may be asked to attend select steps of the interview process in\-person at one of our office locations, regardless of whether the role is designated as on\-site, hybrid or remote.***
 The salary range for this role is 118,300 USD \- 224,900 USD. The salary range provided is a good faith estimate representative of all experience levels. RTX considers several factors when extending an offer, including but not limited to, the role, function and associated responsibilities, a candidate’s work experience, location, education/training, and key skills.
 Hired applicants may be eligible for benefits, including but not limited to, medical, dental, vision, life insurance, short\-term disability, long\-term disability, 401(k) match, flexible spending accounts, flexible work schedules, employee assistance program, Employee Scholar Program, parental leave, paid time off, and holidays. Specific benefits are dependent upon the specific business unit as well as whether or not the position is covered by a collective\-bargaining agreement.
 Hired applicants may be eligible for annual short\-term and/or long\-term incentive compensation programs depending on the level of the position and whether or not it is covered by a collective\-bargaining agreement. Payments under these annual programs are not guaranteed and are dependent upon a variety of factors including, but not limited to, individual performance, business unit performance, and/or the company’s performance.
 This role is a U.S.\-based role. If the successful candidate resides in a U.S. territory, the appropriate pay structure and benefits will apply.
 RTX anticipates the application window closing approximately 40 days from the date the notice was posted. However, factors such as candidate flow and business necessity may require RTX to shorten or extend the application window.
*RTX is an Equal Opportunity Employer. All qualified applicants will receive consideration for employment without regard to race, color, religion, sex, sexual orientation, gender identity, national origin, age, disability or veteran status, or any other applicable state or federal protected class. RTX provides affirmative action in employment for qualified Individuals with a Disability and Protected Veterans in compliance with Section 503 of the Rehabilitation Act and the Vietnam Era Veterans’ Readjustment Assistance Act.*
**Privacy Policy and Terms:**
 Click on this link to read the Policy and Terms</t>
        </is>
      </c>
    </row>
    <row r="104">
      <c r="A104" t="inlineStr">
        <is>
          <t>li-4363227890</t>
        </is>
      </c>
      <c r="B104" t="inlineStr">
        <is>
          <t>Digital Selling Program Manager</t>
        </is>
      </c>
      <c r="C104" t="inlineStr">
        <is>
          <t>Generac</t>
        </is>
      </c>
      <c r="D104" t="inlineStr">
        <is>
          <t>linkedin</t>
        </is>
      </c>
      <c r="E104" t="inlineStr"/>
      <c r="F104" t="inlineStr"/>
      <c r="G104" t="inlineStr">
        <is>
          <t>Pewaukee, WI</t>
        </is>
      </c>
      <c r="H104" t="inlineStr"/>
      <c r="I104" t="inlineStr">
        <is>
          <t>**Job Description Summary**
 The
 **Digital Selling Program Manager** 
 shapes and enables a digitally powered selling model that expands access, improves conversion, and strengthens dealer performance. This role helps turn this vision into reality by designing smarter processes, aligning cross\-functional partners, and driving initiatives from concept to execution. Leveraging data to inform AI/ML and Agentic (LLM) workflows, this role delivers personalized experiences that maximize our captive consumer audience. Collaborating closely with Marketing, Business Operations, IT, and external partners, the Digital Selling Program Manager orchestrates efforts to create a seamless, end\-to\-end selling experience.
**Major Responsibilities**
* Leads execution of digital selling initiatives within Sales Strategy
* Translates strategic priorities into structured programs that drive measurable selling outcomes
* Designs and improves end\-to\-end selling processes
* Maps and refines processes spanning consumer engagement, consultation, dealer handoff, and post\-sale coordination
* Works closely with IT and external vendors to ensure solutions align with selling objectives, process requirements, and real\-world workflows
* Aligns Marketing, Business/Ops, Dealer Enablement, Analytics, and Technology partners to maintain momentum and clarity
* Manages dependencies and execution risks by identifying interdependencies, constraints, and trade\-offs; drives resolution and escalation as needed
* Enable pilots and learning\-based execution by supporting low\-cost pilots and prototypes, defining learning objectives, and helping translate results into scale decisions
* Supports executive communication and decision\-making by preparing clear updates, insights, and recommendations to guide investment and prioritization
**Minimum Job Requirements**
**Education**
 Bachelor’s degree in Business, Marketing, Engineering, Operations, or a related field, or equivalent practical experience
**Work Experience**
* 7\+ years of experience in program management, process improvement, sales operations, go\-to\-market strategy, or related roles
* Proven experience leading complex, cross\-functional initiatives involving Sales, Marketing, Operations, and Technology partners
* Demonstrated ability to design and improve end\-to\-end business or selling processes
* Experience working with digital customer journeys, sales enablement, or partner\-based selling models
* Track record of driving initiatives from concept through execution without direct authority over delivery teams
**Knowledge / Skills / Abilities**
* Experience leading complex, cross\-functional initiatives within sales, go\-to\-market, or commercial strategy
* Strong process design, program management, or continuous improvement background
* Familiarity with digital selling, customer journeys, or partner\-enabled sales models
* Ability to collaborate effectively with technology teams without owning technical delivery
* Comfort navigating ambiguity and aligning diverse stakeholder priorities
* Strong communication, organization, and problem\-solving skills
**Preferred Job Requirements**
**Certification / License**
* Program or project management certifications (e.g., PMP, PgMP, SAFe, Agile, Lean Six Sigma) are preferred but not required
* Certification or training in process improvement, digital transformation, or change management is a plus</t>
        </is>
      </c>
    </row>
    <row r="105">
      <c r="A105" t="inlineStr">
        <is>
          <t>li-4309770525</t>
        </is>
      </c>
      <c r="B105" t="inlineStr">
        <is>
          <t>Acquisition Program Manager - Senior</t>
        </is>
      </c>
      <c r="C105" t="inlineStr">
        <is>
          <t>Modern Technology Solutions, Inc. (MTSI)</t>
        </is>
      </c>
      <c r="D105" t="inlineStr">
        <is>
          <t>linkedin</t>
        </is>
      </c>
      <c r="E105" t="inlineStr"/>
      <c r="F105" t="inlineStr"/>
      <c r="G105" t="inlineStr">
        <is>
          <t>Patterson, OH</t>
        </is>
      </c>
      <c r="H105" t="inlineStr"/>
      <c r="I105" t="inlineStr">
        <is>
          <t>* Minimum 10 years' of experience required
* Manage and direct the daily execution of contract requirements to assure that cost, schedules and performance goals are met
* Lead all meetings and the integrated product team (life cycle)
* Provide interface, communication and coordination with internal and external customers.
* Represent management at program reviews, meetings, seminars, etc.
* Prepare for and participate in contract/subcontract negotiations. While representing Company’s interests, assure that all government regulatory guidance is adhered to.
* Allocate and control contract budgets for labor, material, travel and purchased services. Report program status to senior management monthly.
* Formally identify, assess, monitor and mitigate risk throughout the program life cycle. Obtains management approval prior to making decisions that will cause deterioration of established program, cost and schedule objectives.
* Develop and implement corrective action plans when deviations from budgets and/or schedules are evident. Seek senior management assistance in resolving schedule and budget problems as they arise
* Perform variance analysis of schedule and cost on a formal and informal basis and present them to senior management (i.e. earned value management system)
* Work with/consult with contracts Administration on issues pertaining to contract requirements, changes, and interpretations.
* Assure that conduct of contract requirements is executed in accordance with appropriate regulations and Company policies and procedures (i.e.federal acquisition regulations)
* Provide leadership to program team. Assures communication and cooperation among team members and resolves areas of conflict
* Manage inventory effectively
* Manage Internal Research and Development projects
* Assure a timely closeout of completed programs to ensure that all obligations are satisfied, and program documentation is properly recorded
* Understand and develop leading verses lagging indicators
* Develop and execute program corrective action strategies
* Develop and understand principles of program planning (i.e.: developing a Bill of Materials and Basis of Estimate)
* Understand lean and process improvement principles (i.e.: Lean Six Sigma)
* Understand cash flow management principles
* Support, communicate, reinforce and defend the mission, values and culture of the organization
* Additionally, duties and responsibilities related to contract or acquisition activities may be required
* Knowledge of program management tools and procedures
* Solid leadership and management skills, particularly “influence management” and “conflict resolution”
* Experience throughout the program lifecycle from development through sustainment to include proposal development, requirements decomposition, generation of system and subsystem statements of work and subcontracts, risk management, and continuous improvement efforts including implementation cost reduction and performance improvement efforts
* Experience with earned value cost accounting and reporting; experience with metrics for assessing and reporting program progress, productivity and variance analysis
* Experience in finance, contracting, export regulations, engineering, logistics, manufacturing and supply chain management
* Excellent customer interface skills
* Solid problem\-solving skills
* Excellent presentation skills
* Demonstrated success in managing manpower planning, project reviews, scheduling and budget control
* Successful track record in managing complex aerospace/defense programs as a prime or sub contractor to a domestic or foreign military organization
* Excellent leadership and oral and written communication skills
* Must have a portfolio of programs in which financial objectives (profit, cash flow, revenue, bookings) were achieved
* Program Management certifications preferred (i.e. PMP or DAU level 3\)
* Proficient knowledge of FAR, DFAR, DOORS, RFPs, CDLRs, SOWs, CBAs \&amp; ICDs, Information Assurance, PPPs, DoDI 5000\.02
**Education**
* Bachelor’s degree in engineering or business (if Business, must have at least 3 years of experience working on DoD contracts/programs having a heavy focus on engineering)
**Clearance Requirements**
* Possess an active TS/SCI security clearance
 \#MTSI
 \#Dragons
 \#Buckeye</t>
        </is>
      </c>
    </row>
    <row r="106">
      <c r="A106" t="inlineStr">
        <is>
          <t>li-4371698029</t>
        </is>
      </c>
      <c r="B106" t="inlineStr">
        <is>
          <t>Workforce Development Program Manager III, Reliability &amp; Engineering Maintenance Strategic Workforce Development (SWD) Team, North American RME Strategy Team</t>
        </is>
      </c>
      <c r="C106" t="inlineStr">
        <is>
          <t>myGwork - LGBTQ+ Business Community</t>
        </is>
      </c>
      <c r="D106" t="inlineStr">
        <is>
          <t>linkedin</t>
        </is>
      </c>
      <c r="E106" t="inlineStr"/>
      <c r="F106" t="inlineStr"/>
      <c r="G106" t="inlineStr">
        <is>
          <t>Albuquerque, NM</t>
        </is>
      </c>
      <c r="H106" t="inlineStr"/>
      <c r="I106" t="inlineStr">
        <is>
          <t>**This job is with Amazon, an inclusive employer and a member of myGwork – the largest global platform for the LGBTQ\+ business community. Please do not contact the recruiter directly.**
**Description**
 re you passionate about creating, implementing, and driving the strategy to develop the workforce of the future? Do you want manage programs focused on improving the internal and external talent slate for an essential Amazon support team? The Reliability Maintenance Engineering (RME) Strategic Workforce Development Team uses data, research and internal and external partnerships to craft workforce development solutions focused on building robust talent pipelines to meet RME's current, emerging, and future needs.
 As a Strategic Workforce Development (SWD) Program Manager you will proactively identify mechanisms, process improvements, programs and partnerships which will improve Amazon RME operations and the employment outcomes for current and future Amazonians.
 The SWD Program Manager will lead programs supporting Amazonians globally. This includes identifying key initiatives, developing project roadmaps, engaging vendors, internal and external partners, developing proposals, identifying and scoping data and metric requirements, and managing key stakeholder communications. This role will work directly with multiple internal businesses, technology, finance, operations, vendors, and partner teams.
 Key job responsibilities
 Identifying, developing, executing, and managing project plans
 Influencing key stakeholders throughout the evolution of a project or program
 Stakeholder management and communication
 Documenting and communicating results to senior leaders
 Interpreting data for a non\-technical audience
 Develop strong relationships and have the ability to influence key internal and external stakeholders/partners across diverse roles and levels.
 Partner with multiple stakeholders to translate ambiguous requirements for execution
 A day in the life
 A Day in the Life of a SWD Program Manager
 While you will always strive towards one goal \- delighting customers \- no two days will be the same. Due to the scope and impact of this role, you will continuously find new problems to solve and be required to partner with teams across the globe to deliver innovative workforce development programs within the project timeline and budget.
**About The Team**
 The Reliability \&amp; Engineering Maintenance (RME) Strategic Workforce Development Team attracts, educates, and develops our workforce. We leverage science and technology as the cornerstone to support and maintain a global infrastructure. We champion organizational change when structural complexity inhibits efficient delivery of our strategic goals.
**Basic Qualifications**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
 USA, GA, Pooler \- 115,600\.00 \- 160,000\.00 USD annually
 USA, KY, Erlanger \- 115,600\.00 \- 160,000\.00 USD annually
 USA, LA, Shreveport \- 104,100\.00 \- 155,400\.00 USD annually
 USA, NM, Albuquerque \- 115,600\.00 \- 160,000\.00 USD annually
 USA, TN, Mt. Juliet \- 104,100\.00 \- 155,400\.00 USD annually
 USA, TX, Dallas \- 115,600\.00 \- 160,000\.00 USD annually
 USA, VA, Chesapeake \- 115,600\.00 \- 160,000\.00 USD annually
 USA, WA, DuPont \- 115,600\.00 \- 160,000\.00 USD annually]]\&gt;</t>
        </is>
      </c>
    </row>
    <row r="107">
      <c r="A107" t="inlineStr">
        <is>
          <t>li-4372172161</t>
        </is>
      </c>
      <c r="B107" t="inlineStr">
        <is>
          <t>Product Manager (Remote, US)</t>
        </is>
      </c>
      <c r="C107" t="inlineStr">
        <is>
          <t>Renew Home</t>
        </is>
      </c>
      <c r="D107" t="inlineStr">
        <is>
          <t>linkedin</t>
        </is>
      </c>
      <c r="E107">
        <f>HYPERLINK("https://www.linkedin.com/jobs/view/4372172161", "https://www.linkedin.com/jobs/view/4372172161")</f>
        <v/>
      </c>
      <c r="F107" t="inlineStr"/>
      <c r="G107" t="inlineStr"/>
      <c r="H107" t="inlineStr"/>
      <c r="I107" t="inlineStr">
        <is>
          <t>**Who We Are**
 Renew Home is on a mission to change how we power the world by making it easier for customers to save energy and money at home as part of the largest residential virtual power plant in North America.
 We partner with industry\-leading brands to better manage residential energy for users by prioritizing efficiency, savings, and comfort — and cleaner energy for everyone.
 We are an Equal Opportunity employer striving to create a diverse, equitable, and inclusive work environment where everyone feels that they have a voice that is heard.
 We strongly encourage candidates to check out our website at www.renewhome.com to learn more about the world\-changing work we are doing.
**Role Summary**
 Renew Home is seeking a Product Manager to help execute and deliver high\-impact consumer experiences that surface new ways for users to save, at the right times. In this role, you will focus on building and improving user\-facing products that help people save money, improve comfort, and increase resilience, without requiring them to be energy experts.
 You will support the execution of select Home Opportunities, often working in areas where problem definitions and requirements are still evolving. You'll help bring clarity through hands\-on discovery, lightweight analysis, and close collaboration with cross\-functional partners, translating direction into well\-scoped product work. You'll be expected to move quickly, make thoughtful tradeoffs, and help drive features from concept through delivery and iteration with a strong bias for action.
 You will work closely with engineering, design, analytics, partnerships, operations, and fellow Product Managers, as well as with external partners, including OEM partners, to ship product solutions that meet both partner requirements and end\-consumer expectations. This may include coordinating requirements, supporting integrations, and ensuring partner inputs are reflected accurately in product execution.
 This is a highly executional role, ideal for a Product Manager looking to grow their skills while helping build the foundation of our consumer product and partner\-enabled experiences during a period of rapid expansion.
**What You Will Do**
 Execute a set of priority Home Opportunities
* Take ownership of specific Home Opportunities from the broader roadmap, working closely with product management, design, ops, legal, and external partners
* Drive product discovery, requirements definition, and execution, delivering consumer experiences that help users save in new ways
* Translate partner requirements into clear consumer\-facing product needs and collaborate with engineering and design to deliver high\-quality, intuitive features
* Support scalable patterns and components that accelerate the delivery of future home opportunities
 Cross\-Functional Planning \&amp; Alignment
* Work closely with engineering, design, data, partnerships, and customer\-facing teams to ensure clarity around priorities and dependencies for assigned work
* Help maintain strong cross\-functional alignment as partner demand accelerates
* Communicate priorities, decisions, tradeoffs, and progress effectively to internal stakeholders
**Requirements**
* 2\+ years Product Management experience shipping consumer\-facing experiences (B2C or B2B2C)
* Experience driving cross\-functional execution with engineering, design, analytics, external partners, and operations
* Familiarity with partner\-integrated or partner\-driven product requirements
* Desire to be part of a fast\-moving culture with ambitious goals
* (Preferred) Background in energy services
* (Preferred) Experience building 0 to 1 products or features
* (Preferred) Experience building AI\- or data\-powered features
**Benefits**
**What You'll Get**
* A full\-time position, with a competitive salary based on experience. The base salary for this role is: $140k \- $170k. We use market data and consider your job family, background, skills, experience, and U.S. work location to determine compensation within our established pay range
* Fully remote work environment with home office set\-up allowance
* Real and lived work\-life balance \- Company perks include no pre\-set vacation limits (with a top\-down culture of taking meaningful PTO every year!), parental leave benefits, and a corporate value of working sustainably and putting families first
* Competitive benefits package that includes numerous health and wellness benefits
* 401(k) plan, with employer contributions to the same.
* Opportunity to work with amazing people who are passionate about their mission, thriving in a fully\-remote work environment, and learning and growing every day
**At this time, Renew Home is unable to sponsor or take over sponsorship of employment visas. Candidates must be authorized to work in the United States without current or future immigration from the company, including training plans for foreign students.**
**EQUAL OPPORTUNITY EMPLOYER**
 Individuals seeking employment at Renew Home are considered without regard to race, color, religious creed, sex, gender identification, national origin, citizenship status, age, physical or mental disability, sexual orientation, marital, parental, veteran or military status, unfavorable military discharge, or any other status protected by applicable federal, state or local law.
 We will ensure that individuals with disabilities are provided reasonable accommodation to participate in the job application or interview process, to perform essential job functions, and to receive other benefits and privileges of employment. Please contact us to request accommodation.</t>
        </is>
      </c>
    </row>
    <row r="108">
      <c r="A108" t="inlineStr">
        <is>
          <t>li-4364410318</t>
        </is>
      </c>
      <c r="B108" t="inlineStr">
        <is>
          <t>Product Manager</t>
        </is>
      </c>
      <c r="C108" t="inlineStr">
        <is>
          <t>FanDuel</t>
        </is>
      </c>
      <c r="D108" t="inlineStr">
        <is>
          <t>linkedin</t>
        </is>
      </c>
      <c r="E108">
        <f>HYPERLINK("https://www.linkedin.com/jobs/view/4364410318", "https://www.linkedin.com/jobs/view/4364410318")</f>
        <v/>
      </c>
      <c r="F108" t="inlineStr"/>
      <c r="G108" t="inlineStr">
        <is>
          <t>New York, NY</t>
        </is>
      </c>
      <c r="H108" t="inlineStr"/>
      <c r="I108" t="inlineStr">
        <is>
          <t>**THE POSITION**
 Our roster has an opening with your name on it
 FanDuel is seeking a
 **Product Manager** 
 to support the planning and execution of successful product initiatives within the New Ventures team. This includes implementing innovative, customer\-first solutions that drive engagement and business growth for
 **FanDuel Predicts** 
 , our new prediction markets product. The Product Manager ensures successful product performance through market analysis, a deep understanding of customer needs, and objective data analysis and reporting.
 In this role, you will own key product initiatives within emerging product areas, working closely with cross\-functional teams to build and scale FanDuel's presence in new markets and opportunities.
 As an integral team member, you will collaborate with Engineering, Marketing, Commercial, Operations, and Data Science teams to implement and refine product features aligned with our broader vision. Specifically, you will focus on enabling personalization and data\-driven user experiences, ensuring fans discover markets tailored to their interests and have access to the insights needed for confident participation.
 You will contribute significantly to cross\-functional flywheel initiatives, using data\-driven insights to enhance New Ventures' product offerings and drive business value. This role offers an exciting opportunity to shape and deliver innovative solutions that expand FanDuel's footprint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Implementation: Partner with the Lead PM to support execution of product strategy and objectives. Translate defined product direction into well\-scoped requirements and delivery plans, using customer insights, competitive context, and business needs to inform prioritization. Contribute to defining and articulating product features by identifying user problems and improvement opportunities within an established domain.
* Metrics and Performance Tracking: Track and report on key performance metrics for assigned features or initiatives. Share progress updates, surface risks or underperformance, and support data\-informed recommendations for iteration and improvement. Assist in defining short\- to medium\-term success metrics and contribute to experimentation efforts such as A/B testing with guidance.
* Product and Market Knowledge: Develop and maintain a solid understanding of owned product areas, user journeys, and relevant industry trends. Monitor competitor activity and market signals to inform incremental product improvements and roadmap discussions.
* User Research and Insights: Collaborate with research and design partners to gather user feedback, participate in usability testing, and help translate insights into actionable product enhancements that improve the customer experience.
* Data\-Driven Decision Making: Use analytics tools to monitor feature performance and user behavior. Support the setup and analysis of A/B tests and apply data insights to recommend refinements and optimizations under guidance.
* Feature Development and Execution: Create detailed product requirements documents and user stories. Work closely with engineering and design teams to ensure successful feature delivery, managing scope and technical feasibility throughout the development process. Partner with product owner and engineering manager to drive activities of multiple teams, ensuring effective prioritization, refinement, and delivery.
* Quality Assurance and Issue Resolution: Partner with QA and engineering to ensure features meet quality standards prior to release. Assist in prioritizing bugs and addressing issues, helping maintain product reliability and performance.
* Cross\-functional Collaboration: Collaborate effectively with engineering, design, analytics, and other partners to ensure alignment on requirements and delivery expectations. Communicate clearly and proactively within the team to support smooth execution.
* Stakeholder Communication Provide regular, clear updates to product stakeholders on progress, timelines, and risks for owned initiatives. Contribute to status reporting and documentation to support transparency and alignment.
* Team Contribution: Actively contribute as a team member by sharing learnings, supporting peers, and participating in team rituals. Demonstrate ownership of assigned responsibilities while continuing to develop product management skills and domain expertise.
**THE STATS**
 What we're looking for in our next teammate
* Bachelor’s degree preferred
* Minimum 2\+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 A passion for building products that make complex systems simple and engaging for users
* Background in finance, investing, or market\-based products (e.g., prediction markets, trading apps, or sports markets) and experience working within a heavily regulated industry is a plus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$94,000 \- $117,500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109">
      <c r="A109" t="inlineStr">
        <is>
          <t>li-4372165430</t>
        </is>
      </c>
      <c r="B109" t="inlineStr">
        <is>
          <t>Product Owner</t>
        </is>
      </c>
      <c r="C109" t="inlineStr">
        <is>
          <t>Accellor</t>
        </is>
      </c>
      <c r="D109" t="inlineStr">
        <is>
          <t>linkedin</t>
        </is>
      </c>
      <c r="E109">
        <f>HYPERLINK("https://www.linkedin.com/jobs/view/4372165430", "https://www.linkedin.com/jobs/view/4372165430")</f>
        <v/>
      </c>
      <c r="F109" t="inlineStr"/>
      <c r="G109" t="inlineStr">
        <is>
          <t>New York, NY</t>
        </is>
      </c>
      <c r="H109" t="inlineStr"/>
      <c r="I109" t="inlineStr">
        <is>
          <t>Accellor is an AI\-native services firm purpose\-built for the post\-ChatGPT era. Free from legacy constraints, we focus on delivering measurable business outcomes through advanced AI, data, and engineering capabilities. Our mission is to operationalize AI at scale and unlock sustained enterprise value.
 Our offerings span AI solutions, data services, enterprise applications, and product engineering, tailored to industry\-specific needs across healthcare, life sciences, telecom, retail, financial services, and technology. By leveraging design thinking and technology\-agnostic architectures, we ensure faster time\-to\-value and seamless interoperability.
 With a proven track record of enabling Fortune 100 enterprises and global innovators, Accellor stands as a trusted partner for organizations seeking to harness the full potential of AI. Our vision is clear: to build intelligent, connected ecosystems that deliver measurable outcomes and redefine the future of enterprise transformation.
 We are seeking a Certified Agile Product Owner with deep experience delivering data and analytics initiatives and recent exposure to Agentic AI solutions. This individual will bridge business strategy, data engineering, and AI innovation — driving high\-impact solutions from ideation through delivery.
 This role requires someone who understands how to translate business outcomes into technical roadmaps, especially in environments involving data platforms, AI agents, and advanced analytics ecosystems.
 You will work closely with engineering, AI, marketing, and business stakeholders to prioritize and deliver scalable, value\-driven solutions.
**Responsibilities:**
**Product Ownership \&amp; Agile Leadership**
* Own and manage the product backlog for data, analytics, and AI initiatives
* Define user stories, acceptance criteria, and measurable business outcomes
* Lead sprint planning, backlog grooming, and prioritization sessions
* Collaborate with Scrum Masters and engineering teams to ensure timely delivery
* Balance technical debt, innovation, and business priorities
**Data \&amp; Analytics Product Strategy**
* Drive product strategy for data platforms, BI systems, and analytics workflows
* Partner with data engineering teams to define scalable pipeline and reporting capabilities
* Ensure data governance, quality, and performance standards are incorporated into product plans
* Translate analytics use cases into technical requirements for implementation
**Agentic AI Enablement**
* Define and prioritize AI use cases leveraging Agentic AI systems (multi\-agent workflows, RAG systems, LLM\-powered automation)
* Collaborate with AI engineers to design and deploy AI agents that drive measurable business outcomes
* Define evaluation metrics for AI performance, accuracy, reliability, and cost efficiency
* Ensure responsible AI practices and guardrails are embedded in product requirements
**Stakeholder Engagement**
* Act as the primary liaison between business stakeholders and technical teams
* Communicate product vision, roadmap, and delivery timelines
* Align AI and data initiatives to measurable ROI and operational impact
**Requirements**
* Certified Agile Product Owner (CSPO, SAFe POPM, or equivalent)
* 6\+ years of product management or product ownership experience
* Proven experience delivering data and analytics projects (data pipelines, BI dashboards, data platforms, or cloud\-based analytics solutions)
* Recent hands\-on experience supporting or delivering Agentic AI or LLM\-based solutions
* Strong understanding of Agile/Scrum methodologies
* Experience writing clear technical user stories for data engineering and AI teams
* Familiarity with cloud data ecosystems (AWS, Azure, or GCP)
* Strong analytical mindset with ability to interpret data\-driven insights</t>
        </is>
      </c>
    </row>
    <row r="110">
      <c r="A110" t="inlineStr">
        <is>
          <t>li-4363984096</t>
        </is>
      </c>
      <c r="B110" t="inlineStr">
        <is>
          <t>Product Manager</t>
        </is>
      </c>
      <c r="C110" t="inlineStr">
        <is>
          <t>FanDuel</t>
        </is>
      </c>
      <c r="D110" t="inlineStr">
        <is>
          <t>linkedin</t>
        </is>
      </c>
      <c r="E110">
        <f>HYPERLINK("https://www.linkedin.com/jobs/view/4363984096", "https://www.linkedin.com/jobs/view/4363984096")</f>
        <v/>
      </c>
      <c r="F110" t="inlineStr"/>
      <c r="G110" t="inlineStr">
        <is>
          <t>Atlanta, GA</t>
        </is>
      </c>
      <c r="H110" t="inlineStr"/>
      <c r="I110" t="inlineStr">
        <is>
          <t>**THE POSITION**
 Our roster has an opening with your name on it
 FanDuel is seeking a
 **Product Manager** 
 to support the planning and execution of successful product initiatives within the New Ventures team. This includes implementing innovative, customer\-first solutions that drive engagement and business growth for
 **FanDuel Predicts** 
 , our new prediction markets product. The Product Manager ensures successful product performance through market analysis, a deep understanding of customer needs, and objective data analysis and reporting.
 In this role, you will own key product initiatives within emerging product areas, working closely with cross\-functional teams to build and scale FanDuel's presence in new markets and opportunities.
 As an integral team member, you will collaborate with Engineering, Marketing, Commercial, Operations, and Data Science teams to implement and refine product features aligned with our broader vision. Specifically, you will focus on enabling personalization and data\-driven user experiences, ensuring fans discover markets tailored to their interests and have access to the insights needed for confident participation.
 You will contribute significantly to cross\-functional flywheel initiatives, using data\-driven insights to enhance New Ventures' product offerings and drive business value. This role offers an exciting opportunity to shape and deliver innovative solutions that expand FanDuel's footprint across digital and retail platforms.
 In addition to the specific responsibilities outlined above, employees may be required to perform other such duties as assigned by the Company. This ensures operational flexibility and allows the Company to meet evolving business needs.
**THE GAME PLAN**
 Everyone on our team has a part to play
* Product Strategy Implementation: Partner with the Lead PM to support execution of product strategy and objectives. Translate defined product direction into well\-scoped requirements and delivery plans, using customer insights, competitive context, and business needs to inform prioritization. Contribute to defining and articulating product features by identifying user problems and improvement opportunities within an established domain.
* Metrics and Performance Tracking: Track and report on key performance metrics for assigned features or initiatives. Share progress updates, surface risks or underperformance, and support data\-informed recommendations for iteration and improvement. Assist in defining short\- to medium\-term success metrics and contribute to experimentation efforts such as A/B testing with guidance.
* Product and Market Knowledge: Develop and maintain a solid understanding of owned product areas, user journeys, and relevant industry trends. Monitor competitor activity and market signals to inform incremental product improvements and roadmap discussions.
* User Research and Insights: Collaborate with research and design partners to gather user feedback, participate in usability testing, and help translate insights into actionable product enhancements that improve the customer experience.
* Data\-Driven Decision Making: Use analytics tools to monitor feature performance and user behavior. Support the setup and analysis of A/B tests and apply data insights to recommend refinements and optimizations under guidance.
* Feature Development and Execution: Create detailed product requirements documents and user stories. Work closely with engineering and design teams to ensure successful feature delivery, managing scope and technical feasibility throughout the development process. Partner with product owner and engineering manager to drive activities of multiple teams, ensuring effective prioritization, refinement, and delivery.
* Quality Assurance and Issue Resolution: Partner with QA and engineering to ensure features meet quality standards prior to release. Assist in prioritizing bugs and addressing issues, helping maintain product reliability and performance.
* Cross\-functional Collaboration: Collaborate effectively with engineering, design, analytics, and other partners to ensure alignment on requirements and delivery expectations. Communicate clearly and proactively within the team to support smooth execution.
* Stakeholder Communication Provide regular, clear updates to product stakeholders on progress, timelines, and risks for owned initiatives. Contribute to status reporting and documentation to support transparency and alignment.
* Team Contribution: Actively contribute as a team member by sharing learnings, supporting peers, and participating in team rituals. Demonstrate ownership of assigned responsibilities while continuing to develop product management skills and domain expertise.
**THE STATS**
 What we're looking for in our next teammate
* Bachelor’s degree preferred
* Minimum 2\+ years’ experience as a product manager or similar role required
* Proven track record of delivering successful and innovative products
* Ability to handle multiple simultaneous projects while effectively balancing scope, resourcing, time, and quality
* A strong sense of ownership and accountability for goals and deliverables
* Demonstrated success cross\-functionally influencing teams without formal authority
* Strong quantitative skills
* Excellent critical thinking skills
* Exceptional written and verbal communication skills
* A passion for building products that make complex systems simple and engaging for users
* Background in finance, investing, or market\-based products (e.g., prediction markets, trading apps, or sports markets) and experience working within a heavily regulated industry is a plus
* Don’t check all the boxes? That’s okay! We encourage you to still apply if you feel like you possess an adjacent skillet and are interested in learning more about this position.
**About Fanduel**
 FanDuel Group is the premier mobile gaming company in the United States and Canada. FanDuel Group consists of a portfolio of leading brands across mobile wagering including: America’s \#1 Sportsbook, FanDuel Sportsbook; its leading iGaming platform, FanDuel Casino; the industry’s unquestioned leader in horse racing and advance\-deposit wagering, FanDuel Racing; and its daily fantasy sports product.
 In addition, FanDuel Group operates FanDuel TV, its broadly distributed linear cable television network and FanDuel TV\+, its leading direct\-to\-consumer OTT platform. FanDuel Group has a presence across all 50 states, Canada, and Puerto Rico.
 The company is based in New York with US offices in Los Angeles, Atlanta, and Jersey City, as well as global offices in Canada and Scotland. The company’s affiliates have offices worldwide, including in Ireland, Portugal, Romania, and Australia.
 FanDuel Group is a subsidiary of Flutter Entertainment, the world's largest sports betting and gaming operator with a portfolio of globally recognized brands and traded on the New York Stock Exchange (NYSE: FLUT).
**Player Benefits**
 We treat our team right
 We offer amazing benefits above and beyond the basics. We have an array of health plans to choose from (some as low as $0 per paycheck) that include programs for fertility and family planning, mental health support, and fitness benefits. We offer generous paid time off (PTO \&amp; sick leave), annual bonus and long\-term incentive opportunities (based on performance), 401k with up to a 5% match, commuter benefits, pet insurance, and more \- check out all our benefits here:
 **FanDuel Total Rewards** 
 . \*Benefits differ across location, role, and level.
 FanDuel is an equal opportunities employer and we believe, as one of our principles states, “We are One Team!”. As such, we are committed to equal employment opportunity regardless of race, color, ethnicity, ancestry, religion, creed, sex, national origin, sexual orientation, age, citizenship status, marital status, disability, gender identity, gender expression, veteran status, or any other characteristic protected by state, local or federal law. We believe FanDuel is strongest and best able to compete if all employees feel valued, respected, and included.
 FanDuel is committed to providing reasonable accommodations for qualified individuals with disabilities. If you have a disability and need a workplace accommodation or adjustment during the application and hiring process, including support for the interview or onboarding process, please email Benefits@fanduel.com.
***The applicable salary range for this position is $94,000 \- $117,500 USD which is dependent on a variety of factors including relevant experience, location, business needs and market demand. This role may offer the following benefits: medical, vision, and dental insurance; life insurance; disability insurance; a 401(k) matching program; among other employee benefits. This role may also be eligible for short\-term or long\-term incentive compensation, including, but not limited to, cash bonuses and stock program participation. This role includes paid personal time off and 14 paid company holidays. FanDuel offers paid sick time in accordance with all applicable state and federal laws.***
***It is unlawful in Massachusetts to require or administer a lie detector test as a condition of employment or continued employment. An employer who violates this law shall be subject to criminal penalties and civil liability.***</t>
        </is>
      </c>
    </row>
    <row r="111">
      <c r="A111" t="inlineStr">
        <is>
          <t>li-4372167017</t>
        </is>
      </c>
      <c r="B111" t="inlineStr">
        <is>
          <t>Product Manager - Alternative Lending</t>
        </is>
      </c>
      <c r="C111" t="inlineStr">
        <is>
          <t>Saransh Inc</t>
        </is>
      </c>
      <c r="D111" t="inlineStr">
        <is>
          <t>linkedin</t>
        </is>
      </c>
      <c r="E111">
        <f>HYPERLINK("https://www.linkedin.com/jobs/view/4372167017", "https://www.linkedin.com/jobs/view/4372167017")</f>
        <v/>
      </c>
      <c r="F111" t="inlineStr"/>
      <c r="G111" t="inlineStr">
        <is>
          <t>New York, NY</t>
        </is>
      </c>
      <c r="H111" t="inlineStr"/>
      <c r="I111" t="inlineStr">
        <is>
          <t>**Job Responsibilities**
* Define the vision and strategy for product initiatives and features
* Manage discovery efforts and research to uncover customer solutions and integrate them into the product roadmap
* Owns, maintains, and develops a product backlog that enables development to support the overall strategic roadmap and value proposition
* Prioritizes and sequences across many teams and work streams
* Partner closely with Technology, Design, and Analytics teams to lead product development efforts
* Collaborate with a team of cross\-functional partners to ensure a strong risk and controls environment (e.g., Legal, Risk, Compliance, \&amp; Controls)
* Define features and communicate requirements to engineering in clearly written documentation
* Monitor against goals, identify and scope implementation paths for needed enhancements, and create remediation plans when needed
* Manage executive stakeholder relationships and regularly communicate updates on the product strategy, progress and performance
**Required Qualifications, Capabilities And Skills**
* 3\+ years of experience in product management or a relevant domain area
* Familiar with Fraud, Operations, or Risk for financial products
* Strong knowledge of APIs, engineering practices, and the product development lifecycle using Agile methodologies
* Ability to lead discovery and creation of Requirements and Design
* Ability to think strategically while still being comfortable diving into the details required to ensure successful execution
* Proven success in collaborating with cross\-functional teams, influencing and driving decisions
**Preferred Qualifications, Capabilities And Skills**
* Experience in Financial Services and consumer lending products
* Experience with Lending products and/or servicing these products
* Bachelor’s Degree</t>
        </is>
      </c>
    </row>
    <row r="112">
      <c r="A112" t="inlineStr">
        <is>
          <t>li-4372203199</t>
        </is>
      </c>
      <c r="B112" t="inlineStr">
        <is>
          <t>Product Manager - Fan Experience</t>
        </is>
      </c>
      <c r="C112" t="inlineStr">
        <is>
          <t>AEG</t>
        </is>
      </c>
      <c r="D112" t="inlineStr">
        <is>
          <t>linkedin</t>
        </is>
      </c>
      <c r="E112">
        <f>HYPERLINK("https://www.linkedin.com/jobs/view/4372203199", "https://www.linkedin.com/jobs/view/4372203199")</f>
        <v/>
      </c>
      <c r="F112" t="inlineStr"/>
      <c r="G112" t="inlineStr">
        <is>
          <t>Los Angeles, CA</t>
        </is>
      </c>
      <c r="H112" t="inlineStr"/>
      <c r="I112" t="inlineStr">
        <is>
          <t>AXS connects fans with the artists and teams they love. Each year we sell millions of tickets to thousands of incredible events – from concerts and festivals to sports and theater – at some of the most iconic venues in the world. Since our founding in 2011, we’ve consistently pushed the industry forward and improved experiences for fans, making it easier than ever to discover events, find the perfect seats, and enjoy unforgettable live entertainment, and we continue to lead the evolution of our industry today.
 We’re passionate about improving the fan experience and providing game\-changing solutions for our clients, and we’re always looking for smart, motivated people to help make it happen. Bring your enthusiasm, your big ideas, and your desire to team up with some of the best and brightest in technology and entertainment.
**The Role**
 AXS is looking for a talented and motivated professional to join our Product Management team as a Product Manager. In this role, you will be responsible for managing the entire product life cycle for certain product(s) from planning to execution in support of organizational strategy and objectives. This role will collaborate with cross\-functional teams to ensure the timely and successful delivery of high\-quality products that meet business needs. You will play a critical role in supporting the execution of Consumer product squads \- helping lead sprint ceremonies, manage ticket writing and prioritization, and handle day\-to\-day team and stakeholder requests.
**What You’ll Do?**
* Own the day\-to\-day execution and delivery support for agile squads, including leading sprint ceremonies (standups, planning, grooming, reviews, retros).
* Write and prioritize Jira tickets to maintain a healthy and well\-organized backlog; ensure timely grooming and delivery readiness.
* Manage intake of questions, blockers, and daily operational needs from Engineering, QA, and cross\-functional partners to unblock progress.
* Drive continuous improvement within the squads by designing and implementing systems \&amp; processes, measuring objectives, and driving team cohesion.
* Build and maintain detailed functional specifications, process maps, and user stories to guide product development.
* Gather and synthesize detailed product requirements that align to product roadmaps, for review and approval from stakeholders.
* Support the product development and management cycle for certain product(s).
* Work closely with engineering, design, data analytics, and client success teams to deliver products that align with business goals.
* Define and track product KPIs to support performance reporting, identify blockers, and recommend incremental improvements.
* Implement a test\-and\-learn framework to iterate on product capabilities, from MVP to scalable solutions.
* Stay informed about industry trends and emerging technologies to evolve product offerings continually.
**What Will You Bring?**
* BA/BS Degree (4\-year) (Advanced Degree Preferred) bachelor’s degree or equivalent experience required; degree in Business, Management Information Systems, Computer Science or related field preferred.
* 2\-5 years’ experience in a Product Management/Product Owner Role.
* Strong execution skills, with demonstrated experience managing sprint ceremonies, backlogs, and cross\-functional coordination across engineering and QA.
* Skilled in Jira and backlog management to ensure smooth sprint execution.
* Knowledge of Agile/SDLC delivery methodologies. Agile certifications are a plus.
* Technical knowledge of APIs and REST API based services
* Experience with B2C/B2B2C products and emerging trends.
* Experience working in a complex global technology company.
* Experienced in collaborating with cross\-functional teams, across geographies including executive management, product management, operations, legal, sales, and marketing.
* Skilled in delivering products that scale and meet customer needs.
* Strong organizational skills within a highly demanding environment.
**Bonus Points If You Have**
* Experience in live entertainment, ticketing, or adjacent industries (such as sports, venue management, or hospitality).
**Pay Scale:** 
 $103,386\- $135,000
**Bonus:** 
 This position is eligible for a bonus under the current bonus plan requirements.
**Benefits:** 
 Full\-time: We offer a comprehensive benefits package that includes: medical, dental and vision insurance, paid holidays, vacation and sick time, company paid basic life insurance, voluntary life insurance, parental leave, 401k Plan (with a current employer match of 3%), flexible spending and health savings account options, and wellness offerings.
**Employer does not offer work visa sponsorship for this position.**
**What’s in it for You?**
* Extraordinary People – we’re not kidding!
* Meaningful Mission– Helping revolutionize an industry and deliver better experiences for fans and clients around the world.
* Development and Learning – Opportunities for learning and leveling up through training and education reimbursement.
* Community \&amp; Belonging – A range of Employee Resource Groups (ERGs) that foster connection, inclusion, and professional growth. Access to meaningful volunteer opportunities and community engagement programs to make a positive impact beyond the workplace.
* Play a key role in shaping how millions of fans interact with our platform.
* Work with a collaborative, high\-energy product and engineering team.
* Work with a high\-energy team in an innovative and fast\-paced environment.
**More About AXS**
 AXS, a subsidiary of AEG, sells millions of tickets each year for over 500 premier venues, sports teams, and event organizers across North America, Europe, Asia, Australia and New Zealand. Clients include First Avenue, USGA, Red Rocks Amphitheatre, Crypto.com Arena, Coachella, Stagecoach, The O2, and B.League (Japan).
 Headquartered in Downtown Los Angeles, California, AXS employs more than 500 professionals in multiple locations worldwide. In each location you’ll find a team of dedicated, diverse employees (we’ve dubbed ourselves “Fanatix”) who create groundbreaking products and services in a fun, fast\-paced environment.
 To learn more about our culture and values, visit: https://solutions.axs.com/careers/
**More About AEG**
 For more than 20 years, AEG has played a pivotal role in transforming sports and live entertainment. Annually, we host more than 160 million guests, promote more than 10,000 shows and present more than 22,000 events around the world. We are committed to innovation, artistry, and community, and leverage the power of our 300\+ venues, leading sports franchises, marquee music brands, integrated entertainment districts, premier ticketing platform and global sponsorship activations, to create memorable moments that give the world reason to cheer.
 Our business is interwoven with the human mind and heart, and we strive to build a diverse and inclusive company that reflects the artists, athletes, and fans that we host; reach beyond traditional boundaries to support the communities in which we operate; and minimize our impact on the environment by adopting sustainable practices throughout our business operations.
 We are dedicated to a diverse, inclusive and authentic workplace, so if you’re excited about this role but can't "check every box" in the job description, we encourage you to apply anyway. You may be the right candidate for this or other roles.
 We’re an equal opportunity employer and never discriminate based on gender, age, race, religion, color, national origin, sexual orientation, marital status, veteran status, or disability status.
 AEG reserves the right to change or modify the employee’s job description whether orally or in writing, at any time during the employment relationship. AEG may require an employee to perform duties outside their normal description.
***AEG's policy is to hire the most qualified applicants, and we comply with all applicable federal, state and local employment laws in making hiring and employee decisions. We are an equal opportunity employer and do not discriminate against applicants or employees on the basis of race, color, marital status, disability, religion, age, sex, sexual orientation, national origin, genetic information, veteran status, or any other legally protected status recognized by applicable federal, state or local law.***</t>
        </is>
      </c>
    </row>
    <row r="113">
      <c r="A113" t="inlineStr">
        <is>
          <t>li-4371578094</t>
        </is>
      </c>
      <c r="B113" t="inlineStr">
        <is>
          <t>Product Manager</t>
        </is>
      </c>
      <c r="C113" t="inlineStr">
        <is>
          <t>Welocalize</t>
        </is>
      </c>
      <c r="D113" t="inlineStr">
        <is>
          <t>linkedin</t>
        </is>
      </c>
      <c r="E113">
        <f>HYPERLINK("https://www.linkedin.com/jobs/view/4371578094", "https://www.linkedin.com/jobs/view/4371578094")</f>
        <v/>
      </c>
      <c r="F113" t="inlineStr"/>
      <c r="G113" t="inlineStr"/>
      <c r="H113" t="inlineStr"/>
      <c r="I113" t="inlineStr">
        <is>
          <t>Welo Data works with technology companies to provide datasets that are high\-quality, ethically sourced, relevant, diverse, and scalable to supercharge their AI models. As a Welocalize brand, WeloData leverages over 25 years of experience in partnering with the world’s most innovative companies and brings together a curated global community of over 500,000 AI training and domain experts to offer services that span:
 ANNOTATION \&amp; LABELLING: Transcription, summarization, image and video classification and labeling.
 ENHANCING LLMs: Prompt engineering, SFT, RLHF, red teaming and adversarial model training, model output ranking.
 DATA COLLECTION \&amp; GENERATION: From institutional languages to remote field audio collection.
 RELEVANCE \&amp; INTENT: Culturally nuanced and aware, ranking, relevance, and evaluation to train models for search, ads, and LLM output.
 Want to join our Welo Data team? We bring practical, applied AI expertise to projects. We have both strong academic experience and a deep working knowledge of state\-of\-the\-art AI tools, frameworks, and best practices. Help us elevate our clients' Data at Welo Data.
**About Welo Works
 Welo Works is Welo Data's workforce management platform powering our data annotation services, spanning from sourcing and recruiting workers through to managing their full lifecycle after onboarding. We're building technology that enables our Delivery Services teams to deliver faster without compromising quality, scale sustainably, and serve both clients and raters exceptionally well. 
**About the Role** 
* We're seeking a Product Manager to drive the worker and operations experience after workers are qualified and onboarded to projects.
* As our Delivery Services team scales during a transitionary period in the AI and data annotation space, this role will build the platform foundation that supports sustainable growth. You'll work across Delivery Services (Operations, Quality, Assessments, L\&amp;D, Community Experience), Development and QA, and Finance teams to deliver exceptional client outcomes while creating an engaging platform that respects workers' time.
* We're looking for someone with initiative and ownership who isn't afraid to push back constructively, question the status quo, and drive toward their vision of what "good" looks like—not settling for "good enough."
**What You Will Do** 
* Own product strategy for post\-onboarding worker operations: project lifecycle management, task assignment, payment automation, quality dashboards, roster management, and self\-service capabilities.
* Align roadmap with Delivery Services North Stars: deliver faster without compromising quality, scale sustainably, and serve clients and raters exceptionally well
* Lead discovery sessions and user research with Project Managers, Quality Managers, L\&amp;D/Assessments specialists, Finance teams, and workers/raters; collaborate with Design to create intuitive experiences that engage workers and respect their time.
* Partner with Development (Tech Leads, Engineering Managers, developers) and QA on solution design, involving technical teams early.
* Create clear epics, user stories, and documentation for engineering with defined success metrics; maintain visibility into priorities and progress in Jira and Confluence.
* Navigate distributed teams effectively—Development and QA are in India and Spain; Delivery Services are in Mexico and the US. Strong async communication and creative time zone management are essential
* Own end\-to\-end product development from discovery through UAT, release, and iteration; gather feedback and make informed ship decisions.
* Monitor usage and adoption, gathering feedback to drive continuous improvements.
**What You Bring** 
* **Required**
* 3\-5 years in operations management, program management, technical program management, or business operations—driving process improvements and working with product/technology teams. Examples: Technical Program Managers who owned roadmaps and wrote user stories, or Operations Managers who partnered with engineering to build internal tools
* Strong analytical skills and comfort with data\-driven decisions in ambiguous environments.
* Excellent communication across technical and business audiences
* Cross\-functional experience with engineering, operations, and business teams, ideally across distributed time zones.
* Proficiency with Jira, Confluence, and modern collaboration tools
* Initiative and ownership—proactively identify problems, propose solutions, and drive completion.
* Willingness to push back constructively while maintaining strong relationships.
* High standards and clear perspective on what "good" looks like
* **Preferred**
* Product management experience in operations platforms, workforce management systems, or related domains.
* Background in data annotation, ML operations, gig economy platforms, or services businesses with distributed workforces.
* Experience with payments/invoicing, quality management, or project/task management systems.
* Track record of process improvements driving measurable efficiency gains.
* Strong async communication practices with globally distributed teams.
**Why Join Us** 
* **Direct Impact** 
 : Enable operations teams to scale efficiently while affecting client delivery quality and worker satisfaction.
* **Shape the Future** 
 : Influence processes and have genuine ownership during a transformation period in the AI/data annotation industry.
* **Small, Empowered Team** 
 : Work with Head of Product and two other PMs where your voice matters.
* **Growth Trajectory** 
 : Expand your scope as the platform evolves.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t>
        </is>
      </c>
    </row>
    <row r="114">
      <c r="A114" t="inlineStr">
        <is>
          <t>li-4364143756</t>
        </is>
      </c>
      <c r="B114" t="inlineStr">
        <is>
          <t>Product Manager, Catalog Quality</t>
        </is>
      </c>
      <c r="C114" t="inlineStr">
        <is>
          <t>Uber</t>
        </is>
      </c>
      <c r="D114" t="inlineStr">
        <is>
          <t>linkedin</t>
        </is>
      </c>
      <c r="E114">
        <f>HYPERLINK("https://www.linkedin.com/jobs/view/4364143756", "https://www.linkedin.com/jobs/view/4364143756")</f>
        <v/>
      </c>
      <c r="F114">
        <f>HYPERLINK("https://tnl2.jometer.com/v2/job?jz=5wqzscfe4fea0c7eb02f4c5ace4e1e013c0d8LUAGUCAAAABQ&amp;iis=Job%20Board%20-%20Recruitment%20Marketing&amp;iisn=LinkedIn&amp;urlHash=9aTc", "https://tnl2.jometer.com/v2/job?jz=5wqzscfe4fea0c7eb02f4c5ace4e1e013c0d8LUAGUCAAAABQ&amp;iis=Job%20Board%20-%20Recruitment%20Marketing&amp;iisn=LinkedIn&amp;urlHash=9aTc")</f>
        <v/>
      </c>
      <c r="G114" t="inlineStr">
        <is>
          <t>San Francisco, CA</t>
        </is>
      </c>
      <c r="H114" t="inlineStr"/>
      <c r="I114" t="inlineStr">
        <is>
          <t>**About The Role**
 As Uber Eats expands deeper into grocery, retail, convenience, and packaged goods, the scale and complexity of our product catalog is growing exponentially. The Catalog Quality team ensures our catalog is complete, correct, and consistent so customers can trust what they see, shoppers can reliably pick the right items in stores, and merchants and CPGs can understand and improve their performance.
 As the Product Manager for Product Taxonomy \&amp; Relationships, you will own the strategy and technical foundation for how products are classified, structured, and related to one another in Uber's catalog. This includes defining category taxonomy, variant relationships, and brand hierarchies that reflect real\-world shopping behavior and scale across verticals.
**What The Candidate Will Do**
* Own the strategy and roadmap for core catalog foundations, defining how products are organized, structured, and related in ways that scale across categories, markets, and verticals.
* Establish clear principles for product structure and variation, ensuring products are grouped and differentiated in a way that aligns with real\-world shopping behavior while remaining technically scalable.
* Partner closely with Engineering and Data Science to design and evolve systems that improve catalog structure, consistency, and quality at scale, leveraging automation where appropriate.
* Use data and customer insights to identify gaps and inconsistencies in catalog structure, prioritize investments, and measure impact on customer and business outcomes.
* Design operational workflows to handle ambiguous or high\-judgment cases, balancing automation with targeted human review to maintain quality without sacrificing velocity.
* Collaborate with cross\-functional partners to ensure catalog foundations are predictable, well\-governed, and support a broad set of downstream experiences and teams.
**Basic Qualifications**
* 3\+ years of Product Management experience delivering technically complex platforms or data\-driven products
* Proven ability to translate ambiguous problem spaces into clear strategies and execution plans
* Strong technical intuition and the ability to ask the right questions, evaluate tradeoffs, and make solid decisions in complex, highly technical domains
* Ability to break down complex, ambiguous problem spaces into clear principles, frameworks, and actionable plans
* A rigorous, truth\-seeking mindset and the discipline to dig deep, validate assumptions, and ensure product decisions hold up across all edge cases
* Comfortable working with messy, real\-world operational data and using it to inform how we manage the catalog.
* Clear, structured communicator who can break down complex topics, explain the why, and build conviction across cross\-functional partners. Skilled at storytelling, influencing without authority, and collaborating closely with teams to move complex work forward together.a
**Preferred Qualifications**
* Strong systems thinking and technical intuition, with the ability to evaluate tradeoffs in complex data and platform domains
* Experience owning foundational platform or data model initiatives with broad downstream impact across multiple teams or products
* Background working in commerce, marketplaces, or large\-scale ecosystems, where product structure, consistency, or governance meaningfully affects user experience and business outcomes
* Experience collaborating closely with Engineering and Data Science teams on systems that operate under uncertainty, evolve over time, or require balancing precision, scale, and operational cost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New York, NY\-based roles: The base salary range for this role is USD$161,000 per year \- USD$179,000 per year. For San Francisco, CA\-based roles: The base salary range for this role is USD$161,000 per year \- USD$179,000 per year. For all US locations,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row r="115">
      <c r="A115" t="inlineStr">
        <is>
          <t>li-4372219128</t>
        </is>
      </c>
      <c r="B115" t="inlineStr">
        <is>
          <t>Product Manager</t>
        </is>
      </c>
      <c r="C115" t="inlineStr">
        <is>
          <t>Findigs, Inc.</t>
        </is>
      </c>
      <c r="D115" t="inlineStr">
        <is>
          <t>linkedin</t>
        </is>
      </c>
      <c r="E115">
        <f>HYPERLINK("https://www.linkedin.com/jobs/view/4372219128", "https://www.linkedin.com/jobs/view/4372219128")</f>
        <v/>
      </c>
      <c r="F115">
        <f>HYPERLINK("https://jobs.lever.co/findigs/8b17ecb2-9d0a-4f3b-946c-d2776d38e7b9/apply?lever-source=LinkedIn&amp;urlHash=0X4I", "https://jobs.lever.co/findigs/8b17ecb2-9d0a-4f3b-946c-d2776d38e7b9/apply?lever-source=LinkedIn&amp;urlHash=0X4I")</f>
        <v/>
      </c>
      <c r="G115" t="inlineStr">
        <is>
          <t>New York, NY</t>
        </is>
      </c>
      <c r="H115" t="inlineStr"/>
      <c r="I115" t="inlineStr">
        <is>
          <t>**Who We Are**
 Findigs is on a mission to make renting work for all of us: to support every path, and simplify the way forward. We’re making every aspect of renting fairer, stress\-free, and more convenient by changing the fundamentals of renting.
 Our digital rental application offers a safe and seamless way to apply and get approved for your next home. We specialize in developing software and services for property managers nationwide, empowering them to deliver exceptional service to renters, while evaluating applications with unmatched speed and precision.
**The Team**
 Our Product Team is heavily involved in the strategic planning and business goals of the organization—owning roadmap planning and collaborating with business stakeholders to gather competitive landscape insights, define objectives, and craft compelling value propositions. Working alongside Design and Engineering, we transform these strategic inputs into high\-impact product initiatives that expand our product suite and deliver meaningful value to our customers.
 You’ll join a team that values transparency, accountability, and iteration. Our Product Managers partner deeply with Engineering, Design, and customer\-facing teams to shape the product roadmap and deliver exceptional results for both renters and property managers.
**The Role**
 We’re looking for a Product Manager who is highly collaborative, empathetic, and analytical, with strong technical fluency and a passion for building complex, system\-level products that drive real business impact.
 In this role, you’ll own the systems that power our Decisions and Outcomes team, which is responsible for Findigs’ core revenue product, DecisionAssist, and combines automated screening, ruleset orchestration, fraud detection, and specialist workflows to deliver end\-to\-end decision guidance for rental applications. You’ll partner closely with Engineering, Screening Operations, Data, Design, and GTM teams to drive faster, fairer, and more accurate outcomes for property managers and renters.
 This is an exciting opportunity to grow and evolve the product that fundamentally differentiates Findigs—directly reducing evictions, catching fraud, and making renting faster and fairer. The decisioning space is ripe for innovation, and you’ll shape the product during a critical growth phase.
**Where you will make an impact:**
* Own the Decisions \&amp; Outcomes roadmap end\-to\-end from discovery and scoping through delivery and measurement, across ruleset orchestration, fraud detection, specialist tooling, and decision accuracy
* Drive measurable improvements to decision speed, accuracy, and fraud prevention, directly impacting win rates, customer retention, and revenue growth
* Translate complex technical systems into clear business value narratives, presenting to executives, customers, and cross\-functional partners
* Partner with Data and Engineering to identify and integrate new signals for fraud detection, risk assessment, and decision automation, including exploring ML\-driven signals and dynamic ruleset optimization
* Expand DecisionAssist’s capabilities to serve more complex customer segments, including affordable housing, student housing, and large multifamily
* Facilitate cross\-functional alignment and communication, ensuring Screening Ops, Sales, Market, and Customer Success teams are informed and aligned on upcoming changes to decisioning systems
* Influence company\-level product strategy as an experienced voice in the PM org, connecting decisioning work to broader goals around the renter journey, new segments, and competitive moats
* Mentor and elevate junior PMs, sharing domain expertise in decisioning systems and establishing best practices for discovery, measurement, and cross\-functional collaboration
**We’d love to hear from you if you have:**
* 5\+ years of experience, with 3\+ years in product management owning complex, system\-level products
* Deep understanding of decisioning systems, rules engines, or workflow automation at scale
* Experience owning a revenue\-generating product end\-to\-end, including roadmap, discovery, delivery, and measurement
* Strong technical fluency: comfortable with APIs, data pipelines, SQL, and system architecture trade\-offs
* Proven ability to translate complex technical systems into business value narratives for executives and customers
* Experience with A/B testing, experimentation frameworks, and data\-driven product iteration
* Excellent cross\-functional leadership; you can drive alignment across Engineering, Ops, Design, and GTM with authority
* Strong written and verbal communication; you can present confidently to leadership and customers
* Experience with fraud detection, risk systems, or compliance\-sensitive products
**Nice\-to\-haves:**
* Proptech, Fintech, or Insurtech industry experience
* Experience with screening, underwriting, or identity verification systems
* Familiarity with fair housing regulations or consumer reporting compliance
* SQL proficiency and hands\-on analytics experience (Tableau, PowerBI, Looker, etc.)
* Experience scaling a product through rapid customer growth
**What we offer:**
* Location: We operate on a hybrid schedule (3x times in\-office per week), with in\-office days at our newly renovated NoHo office
* Mission\-Driven Culture: A collaborative, high\-impact workplace where we challenge each other to grow, innovate, and drive meaningful change
* Competitive Compensation: Competitive base salary \+ Pre\-IPO equity
* Generous Time Off: We trust our team to manage their own time and workload. That’s why we offer an Unlimited Paid Time Off (PTO) policy, allowing you to take the time you need to rest and recharge. We also observe all\-company holidays
* Wellness Perks: Health benefits, 401(k) matching up to 4%, monthly gym stipend, and lunch provided every day
**Interviewing with Us**
 We're committed to making our interview process as effective and candidate\-friendly as possible. We use a tool called Brighthire.ai to record our interviews so that our interviewers can focus entirely on the conversation and not get distracted by taking notes. Please note, if you move forward with the interview process, you'll always have the option to opt out of the recording.
 We are an equal opportunity employer and, as such, all applicants will be considered based solely upon merit and directly relevant professional competencies.
 We may use artificial intelligence (AI) tools to support parts of the hiring process, such as reviewing applications, analyzing resumes, or assessing responses. These tools assist our recruitment team but do not replace human judgment. Final hiring decisions are ultimately made by humans. If you would like more information about how your data is processed, please contact us.
**Compensation Disclosure As Required By NYC Pay Transparency Law.**
 Actual compensation packages are based on a wide array of factors unique to each candidate, including but not limited to skill set, years and depth of experience, and the scope of responsibilities in the role. In addition to cash compensation, all full time employees receive an equity compensation package.</t>
        </is>
      </c>
    </row>
    <row r="116">
      <c r="A116" t="inlineStr">
        <is>
          <t>li-4372176070</t>
        </is>
      </c>
      <c r="B116" t="inlineStr">
        <is>
          <t>Product Manager</t>
        </is>
      </c>
      <c r="C116" t="inlineStr">
        <is>
          <t>Ocrolus</t>
        </is>
      </c>
      <c r="D116" t="inlineStr">
        <is>
          <t>linkedin</t>
        </is>
      </c>
      <c r="E116">
        <f>HYPERLINK("https://www.linkedin.com/jobs/view/4372176070", "https://www.linkedin.com/jobs/view/4372176070")</f>
        <v/>
      </c>
      <c r="F116">
        <f>HYPERLINK("https://grnh.se/2ky6m5af4us&amp;urlHash=xNM_", "https://grnh.se/2ky6m5af4us&amp;urlHash=xNM_")</f>
        <v/>
      </c>
      <c r="G116" t="inlineStr">
        <is>
          <t>New York, NY</t>
        </is>
      </c>
      <c r="H116" t="inlineStr"/>
      <c r="I116" t="inlineStr">
        <is>
          <t>Come build at the intersection of AI and fintech. At Ocrolus, we're on a mission to help lenders automate workflows with confidence—streamlining how financial institutions evaluate borrowers and enabling faster, more accurate lending decisions.
 Our AI\-powered data and analytics platform is trusted at scale, processing nearly one million credit applications every month across small business, mortgage, and consumer lending. By integrating state\-of\-the\-art open\- and closed\-source AI models with our human\-in\-the\-loop verification engine, Ocrolus captures data from financial documents with over 99% accuracy. Thanks to our advanced fraud detection and comprehensive cash flow and income analytics, our customers achieve greater efficiency in risk management, and provide expanded access to credit—ultimately creating a more inclusive financial system.
 Trusted by more than 400 customers—including industry leaders like Better Mortgage, Brex, Enova, Nova Credit, PayPal, Plaid, SoFi, and Square—Ocrolus stands at the forefront of AI innovation in fintech. Join us, and help redefine how the world's most innovative lenders do business.
 You are a hands\-on, highly motivated Product Manager who will own Ocrolus's
 **data products and analytics offering within the Small and Medium Business (SMB) lending vertical** 
 . As Product Manager, you will be an expert on building data\-driven insights for SMB lending, and you will work cross\-functionally to create a cohesive, high\-impact product strategy that empowers lenders to underwrite, price, and manage risk more effectively.
 You will partner with engineering and data science teams to translate complex data and research questions—spanning benchmarking, predictive modeling, underwriting metrics, and industry trends—into actionable products and insights. Your work will shape the future of SMB lending and fuel data innovation across Ocrolus.
**What you'll do:**
* Craft and own the SMB lending data \&amp; analytics product roadmap, prioritizing features based on customer value, market need, and data science feasibility.
* Partner with Ocrolus's engineering and data science teams to deliver products that answer core questions for SMB lenders, such as:
+ How industries and geographies are trending in application volumes, cash flow health, and approval performance.
+ Which underwriting metrics are most predictive of outcomes such as approval, default, and renewal.
+ How lenders can benchmark merchant applications for credit across industries and geographies.
+ How to identify high\-quality originators, broker partners, and merchants using data\-driven scoring.
+ How AI and analytics can surface underwriting red flags or recommend focal points in merchant cash flow.
* Write clear product requirements, business cases, and strategy documents to bring these insights to life.
* Represent Ocrolus's SMB data and analytics suite externally to clients, partners, and prospects as a subject matter expert.
* Build KPIs and dashboards to monitor product performance and adoption, and iterate quickly on learnings.
* Educate internal stakeholders and collaborate with GTM teams to ensure seamless delivery and adoption.
* Manage end\-to\-end delivery of new data products, from rapid prototyping to phased rollouts and full launches.
**In addition, you will:**
* Develop a strong understanding of all Ocrolus solutions and integrate SMB lending data capabilities across verticals
* Explore new market opportunities for analytics\-driven products in partnership with lenders, banks, and fintechs.
* Proactively nurture client relationships to ensure insights deliver measurable value.
**What you'll bring:**
* A passion for building data products that empower SMB lenders, with curiosity, analytical thinking, and a deep sense of ownership.
* Minimum of 3 years of strong product management experience.
* Ability to write/query databases using SQL, comfort with working in a hands\-on fashion with a team of data scientists, ability to present and explain visual representations of data
* Experience with SMB lending, credit, or fintech (preferred).
* Excellent ability to collaborate with data science and engineering teams to translate complex analyses into intuitive products.
* Comfort leveraging AI as a tool for product discovery and prototyping and as a core component of the solutions you build. You must partner with data scientists to translate AI\-driven insights into intuitive, high\-value products for SMB lenders.
* Strong client\-facing skills and ability to articulate data insights to technical and non\-technical audiences.
* Track record of driving measurable product adoption and business outcomes.
* Ability to navigate setbacks and iterate quickly toward better solutions.
**Nice\-to\-haves:**
* Background in data science, analytics, or financial modeling.
* Degree in Finance, Economics, Computer Science, or related field; MBA a plus.
**Note:**
 The full\-time salary range for this role is around $150,000 \+ equity \+ benefits. Base pay offered may vary depending on job\-related knowledge, skills, experience, and market location.
 Disclosure as required by N.Y.C. Admin. Code
* 
* 8\-102 and 8\-107(32\) of the full time salary compensation range for this role when being hired into our offices in New York City.
**Life at Ocrolus**
 We're a team of builders, thinkers, and problem solvers who care deeply about our mission — and each other. As a fast\-growing, remote\-first company, we offer an environment where you can grow your skills, take ownership of your work, and make a meaningful impact.
**Our culture is grounded in four core values:**
**Empathy –** 
 Understand and serve with compassion
**Curiosity –** 
 Explore new ideas and question the status quo
**Humility –** 
 Listen, be grounded, and remain open\-minded
**Ownership –** 
 Love what you do, work hard, and deliver excellence
 We believe diverse perspectives drive better outcomes. That's why we're committed to fostering an inclusive workplace where everyone has a seat at the table, regardless of race, gender, gender identity, age, disability, national origin, or any other protected characteristic.
 We look forward to building the future of lending together.</t>
        </is>
      </c>
    </row>
    <row r="117">
      <c r="A117" t="inlineStr">
        <is>
          <t>li-4363287732</t>
        </is>
      </c>
      <c r="B117" t="inlineStr">
        <is>
          <t>Product Manager, Data Platform</t>
        </is>
      </c>
      <c r="C117" t="inlineStr">
        <is>
          <t>Chime</t>
        </is>
      </c>
      <c r="D117" t="inlineStr">
        <is>
          <t>linkedin</t>
        </is>
      </c>
      <c r="E117">
        <f>HYPERLINK("https://www.linkedin.com/jobs/view/4363287732", "https://www.linkedin.com/jobs/view/4363287732")</f>
        <v/>
      </c>
      <c r="F117">
        <f>HYPERLINK("https://boards.greenhouse.io/chime/jobs/8382253002?gh_jid=8382253002&amp;gh_src=35f490fd2&amp;source=LinkedIn&amp;urlHash=20Zs", "https://boards.greenhouse.io/chime/jobs/8382253002?gh_jid=8382253002&amp;gh_src=35f490fd2&amp;source=LinkedIn&amp;urlHash=20Zs")</f>
        <v/>
      </c>
      <c r="G117" t="inlineStr">
        <is>
          <t>San Francisco, CA</t>
        </is>
      </c>
      <c r="H117" t="inlineStr"/>
      <c r="I117" t="inlineStr">
        <is>
          <t>**About The Role**
 We’re hiring a
 **Data Platform Product Manager focused on Data Foundations \&amp; Insights** 
 to help Chime scale how data is built, accessed, and used across the company. In this role, you’ll partner closely with engineering, analytics, and cross\-functional teams to translate complex stakeholder needs into durable, scalable data products. You’ll act as an embedded product partner within XFN squads, owning data foundations that improve time\-to\-insight, self\-serve capabilities, and data trust as Chime continues to grow.
 The base salary offered for this role and level of experience will begin at $207,000\.00 and up to $244,000\.00\. Full\-time employees are also eligible for a bonus, competitive equity package, and benefits. The actual base salary offered may be higher, depending on your location, skills, qualifications, and experience.
 This role is in\-office in San Francisco Monday\-Thursday.
**In This Role, You Can Expect To**
* Own product strategy and execution for data foundations and insights supporting core products
* Partner closely with data engineering and analytics to build scalable, self\-serve data platforms and tooling
* Embed with cross\-functional squads as the data subject\-matter expert, translating stakeholder needs into scalable, reusable data products and data platform solutions
* Improve time\-to\-insight and data cycle time for business, product, and compliance use cases
* Drive stakeholder satisfaction by delivering reliable, well\-documented, and trusted data products
* Communicate effectively with both highly technical and non\-technical partners across the organization
**To Thrive In This Role, You Have**
* Product management experience owning platform, data, or analytics products in a complex organization
* Prior exposure to fintech, financial services, or highly regulated environments (preferred)
* Experience partnering closely with data engineering teams on foundations such as data models, pipelines, or metrics layers
* Comfort operating as an embedded PM within cross\-functional squads Strong ability to translate ambiguous stakeholder questions into scalable product solutions
* Experience supporting analytics, reporting, or insight\-generation use cases for multiple audiences
* Ability to communicate clearly across technical and business stakeholders
**A Little About Us**
 At Chime, we believe that everyone can achieve financial progress. We created Chime—a financial technology company, not a bank\*—on the premise that core banking services should be helpful, easy, and free. Through our user\-friendly tools and intuitive platforms, we empower our members to take control of their finances and work towards their goals. Whether it's starting a savings account, purchasing a first car or home, launching a business, or pursuing higher education, we're proud to have helped millions unlock their financial potential.
 We're a team of problem solvers, dreamers, and builders with one shared obsession: our members. From day one, Chimers have worked tirelessly to out\-hustle and out\-execute competitors to bring our mission to life. Their grit and determination inspire us to work harder every day to deliver the very best experience possible. We each bring an owner's mindset to our work, refusing to be outdone and holding ourselves accountable to meet and exceed the highest bars for our teams, our company, and our members.
 We believe in being bold, dreaming big, and taking risks, while also working together, embracing our diverse perspectives, and giving each other honest feedback. Our culture remains deeply entrepreneurial, encouraging every Chimer to see themselves as stewards of our mission to help everyday Americans unlock their financial progress.
 We know that to achieve our mission, we must earn and keep people's trust—so we hold ourselves to the highest standards of integrity in everything we do. These aren't just words on a wall—our values are embedded in every aspect of our business, serving as a north star that guides us as we work to help millions achieve their financial potential.
 Because if we don't—who will?
* Chime is a financial technology company, not a bank. Banking services provided by The Bancorp Bank, N.A. or Stride Bank, N.A., Members FDIC.
**What We Offer For Our Full\-time, Regular Employees**
* 🏢 Our in\-office work policy is designed to keep you connected \- with four days a week in the office and Fridays from home for those near one of our offices, plus team and company\-wide events depending on location. Whether you’re coming in regularly or are part of our fully remote program, you’ll stay engaged with your work and teammates.\*\*
* 💻 In\-office perks including backup child, elder, and/or pet care, plus a subsidized commuter benefit to support your regular commute\*\*
* 💰 Competitive salary based on experience\*\*
* ✨ 401k match\*\* plus great medical, dental, vision, life, and disability benefits
* 🏝 Generous vacation policy and company\-wide Chime Days, bonus company\-wide paid days off\*\*
* 🫂 1% of your time off to support local community organizations of your choice
* 👟 Annual wellness stipend to use towards eligible wellness related expenses
* 👶 Up to 24 weeks of paid parental leave for birthing parents and 12 weeks of paid parental leave for non\-birthing parents
* 👪 Access to Maven, a family planning tool, with $15k lifetime reimbursement for egg freezing, fertility treatments, adoption, and more.
* 🎉 In\-person and virtual events to connect with your fellow Chimers—think cooking classes, guided meditations, music festivals, mixology classes, paint nights, etc., and delicious snack boxes, too!\*\*
* 💚 A challenging and fulfilling opportunity to join one of the most experienced teams in FinTech and help millions unlock financial progress\*\*
* Perks also available to Chime Interns.
 We know that great work can’t be done without a diverse team and inclusive environment. That’s why we specifically look for individuals of varying strengths, skills, backgrounds, and ideas to join our team. We believe this gives us a competitive advantage to better serve our members and helps us all grow as Chimers and individuals.
 Chime is proud to be an Equal Opportunity Employer. We consider qualified applicants without regard to race, color, ancestry, religion, sex, national origin, sexual orientation, gender identity, age, marital or family status, disability, genetic information, veteran status, or any other legally protected basis under provincial, federal, state, and local laws, regulations, or ordinances. We will also consider qualified applicants with criminal histories in a manner consistent with the requirements of state and local laws, including the San Francisco Fair Chance Ordinance, Cook County Ordinance, NYC Fair Chance Act, and the LA City Fair Chance Ordinance, and consistent with Canadian provincial and federal laws. If you have a disability or special need that requires accommodation during any stage of the application process, please contact: benefits@chime.com.
 To learn more about how Chime collects and uses your personal information during the application process, please see the Chime Applicant Privacy Notice.</t>
        </is>
      </c>
    </row>
    <row r="118">
      <c r="A118" t="inlineStr">
        <is>
          <t>li-4365344179</t>
        </is>
      </c>
      <c r="B118" t="inlineStr">
        <is>
          <t>Founding Product Manager</t>
        </is>
      </c>
      <c r="C118" t="inlineStr">
        <is>
          <t>Actively AI</t>
        </is>
      </c>
      <c r="D118" t="inlineStr">
        <is>
          <t>linkedin</t>
        </is>
      </c>
      <c r="E118">
        <f>HYPERLINK("https://www.linkedin.com/jobs/view/4365344179", "https://www.linkedin.com/jobs/view/4365344179")</f>
        <v/>
      </c>
      <c r="F118" t="inlineStr"/>
      <c r="G118" t="inlineStr">
        <is>
          <t>New York, NY</t>
        </is>
      </c>
      <c r="H118" t="inlineStr"/>
      <c r="I118" t="inlineStr">
        <is>
          <t>**About Actively AI**
 Our thesis is that businesses of the future will be powered by agentic human\-in\-loop\-machines that make every business function 10x more efficient.
 Actively AI is building that superintelligent machine for Enterprise GTM organizations, focused on increasing productivity per rep. We power the day\-to\-day for outbound teams at dozens of companies like Samsara, Ramp, Verkada, and Ironclad.
 Why does this matter?
 **Because revenue is the ultimate fuel for businesses.** 
 The hundreds of millions of dollars we generate for our customers enables them to employ more people, innovate faster, and deliver more value to
 *their* 
 customers.
 In addition to top\-notch customers that love our product, our team is incredibly high caliber \- the co\-founders are former Stanford AI researchers and the engineering team comes from Harvard, CMU, Berkeley, Brex, Scale AI, and Google. We're also backed by top investors, including Bain Capital Ventures, First Round Capital (seed investors in Uber, Square, Roblox, Clearbit), Lachy Groom, and Stanford AI faculty.
 We have a very ambitious product and scaling roadmap, there’s strong market interest in what we are doing, and it’s time to put the foot on the gas. If you get excited by the thought of working really hard on these kinds of problems with a high caliber team, then Actively AI is the right place for you.
**About the Role**
 Nailing the right product shape is incredibly important and something we think a lot about. For the first time, software is now non\-deterministic, has human\-level intelligence, and can get better as you use it. How users teach and interact with agents is probably going to be different than with other software, and is still very much an open question. In our space (and in many others), we believe that the winner will be determined by (1\) choosing the right segment of the market, (2\) building the best underlying intelligence, and (3\) nailing the right product around that intelligence.
 As our
 **Founding Product Manager** 
 , you will own the latter.
 **This is an incredibly important and uniquely high\-ownership role to help shape AI agents in production** 
 for some of the largest companies out there, powering one of the most important functions of their business (making revenue!).
**What You’ll Do**
 You are someone who is incredibly "AI\-pilled" and optimistic about the future of AI, agents, and intelligence and forward thinking in how to bring that to life.
* **Think on all levels:** 
 Zoom out (what is the broad structure of the platform, what are the right abstractions, etc.) and in (how do these abstractions enable this use case for this customer, what breaks, what do we need to change).
* **Build from first principles:** 
 We’re highly thesis\-driven and rigorous. You’ll fit right in if you’re like this too, and we’d love your help on pushing all of us to be crisper on what to build, why, and how to know that it’s working.
* **Dive into human\-agent collaboration \+ help find the 10x:** 
 We’re still in the earliest innings of building AI\-native products, especially where humans and machines collaborate together (not fully “pull”\-based like chat, but also not fully autonomous) to accomplish a shared goal. This is one of the most interesting problems we’re thinking about and critical for us to nail.
* **Drive product strategy \&amp; roadmap:** 
 Work closely with the founders \&amp; engineering team to crystallize our product vision and turn it into an actionable, evolving roadmap that aligns with user needs and our long\-term thesis.
* **Lead discovery \&amp; prototyping:** 
 Talk to users, analyze product usage, synthesize qualitative feedback, and identify product gaps. Prototype rapidly to validate ideas and iterate based on insights.
* **Define success \&amp; measure it:** 
 Set clear product KPIs, track feature performance post\-launch, and use data to decide what to double down on, and when to pivot.
* **Work across the org:** 
 Embed with the product engineering, FDE, and go\-to\-market teams to unblock execution, get quick validation, and push ideas from prototype to launched product.
**Who You Are**
* 3\+ years of PM experience at a product\-driven tech company where owned significant product surface area and saw (\&amp; helped shape) what great looks like
* A track record of shipping high\-impact products, especially in 0 →1 settings
* Deep user empathy; you love building things that make users successful
* Extremely first\-principles, rigorous, and a great communicator
* Obsessed with finding simple, elegant solutions
* You move fast, take initiative, and love turning chaos into clarity
**Nice to Haves**
* Prior experience as a founder or in an early\-stage, high\-growth startup
* Demonstrated interest \&amp; experience in pushing the boundaries with LLMs / AI agents (tell us about something cool you’ve worked on!)
* Familiarity with tools like Linear, Mixpanel, Amplitude, or similar
**Why Join**
 It’s not often that you can get in on the ground floor of a well\-funded startup that’s scaling very fast. That means that instead of following a playbook, you’ll be writing it. Every single day you will be challenged to identify how we can scale and execute on it. You’ll learn what works when you succeed and what doesn’t when you fail. You'll also be in the trenches with an incredibly high caliber, low\-ego group of people that are obsessed with building something great.
**Benefits**
* 🚀 Competitive Early\-Stage Equity
* ⚕ Health, Dental, Vision Coverage
* 💡 Unlimited PTO \+ Recharge Days
* 🍽️ Catered Lunch on Tuesday \&amp; Friday w/ Dinners Everyday!
* 🍿 Fully Stock Kitchen
* 💻 Cutting\-Edge Tech \&amp; Tools
* 🌴 Annual Off\-sites \&amp; Monthly Events
* 🚆 Commuter Benefits
* 🏢 Beautiful Office in NYC
*The base salary range for this full\-time position based in New York is: $170,000 \- $230,000\.*
*Note on Pay Transparency:*
*Actively AI provides an estimate of the compensation for roles that may be hired as required by state regulations. Compensation may vary based on (a) location, as Actively AI factors in specific location when benchmarking compensation for most roles; (b) individual candidate skills and qualifications; and (c) individual candidate experience. Additionally, Actively AI leverages current market data to determine compensation, so posted compensation figures are subject to change as new market data becomes available. The salary, other compensation, and benefits information is accurate as of the date of this posting.* 
*Actively.ai* 
*reserves the right to modify this information at any time, subject to applicable law.*
*Actively AI is committed to equal treatment and opportunity in all aspects of recruitment, selection, and employment without regard to gender, race, religion, national origin, ethnicity, disability, gender identity/expression, sexual orientation, veteran or military status, or any other category protected under the law. Actively AI is an equal opportunity employer; committed to a community of inclusion, and an environment free from discrimination, harassment, and retaliation.*</t>
        </is>
      </c>
    </row>
    <row r="119">
      <c r="A119" t="inlineStr">
        <is>
          <t>li-4370820038</t>
        </is>
      </c>
      <c r="B119" t="inlineStr">
        <is>
          <t>Principal Product Manager, Agentic Commerce</t>
        </is>
      </c>
      <c r="C119" t="inlineStr">
        <is>
          <t>Instacart</t>
        </is>
      </c>
      <c r="D119" t="inlineStr">
        <is>
          <t>linkedin</t>
        </is>
      </c>
      <c r="E119">
        <f>HYPERLINK("https://www.linkedin.com/jobs/view/4370820038", "https://www.linkedin.com/jobs/view/4370820038")</f>
        <v/>
      </c>
      <c r="F119" t="inlineStr"/>
      <c r="G119" t="inlineStr"/>
      <c r="H119" t="inlineStr"/>
      <c r="I119" t="inlineStr">
        <is>
          <t>**We're transforming the grocery industry**
 At Instacart, we invite the world to share love through food because we believe everyone should have access to the food they love and more time to enjoy it together. Where others see a simple need for grocery delivery, we see exciting complexity and endless opportunity to serve the varied needs of our community. We work to deliver an essential service that customers rely on to get their groceries and household goods, while also offering safe and flexible earnings opportunities to Instacart Personal Shoppers.
 Instacart has become a lifeline for millions of people, and we’re building the team to help push our shopping cart forward. If you’re ready to do the best work of your life, come join our table.
**Instacart is a Flex First team**
 There’s no one\-size fits all approach to how we do our best work. Our employees have the flexibility to choose where they do their best work—whether it’s from home, an office, or your favorite coffee shop—while staying connected and building community through regular in\-person events. Learn more about our flexible approach to where we work.
**Overview**
 Instacart’s Agentic Commerce team is building innovative new AI Solutions such as Cart Assistant – an enterprise\-grade, consumer shopping agent purpose\-built for grocery. Cart Assistant will provide hyper\-personalized conversational commerce experiences, helping millions of people discover products, plan what to eat, and shop in easier and more engaging ways than ever before.
 We’re looking for a Principal Product Manager to help bring Cart Assistant to life and make it a product that both consumers and retailers love. This is a fast paced, 0\-\&gt;1, highly visible product role working at the intersection of generative AI, consumer experience, and retailer\-facing B2B e\-commerce products.
 In this role, you will immerse yourself in and deeply understand both consumer and retailer needs, as well as the latest and greatest available agentic technologies. You will partner closely with engineering, machine learning, data science, design and research teams to translate these needs and capabilities into a winning product strategy and a prioritized roadmap. You’ll lead execution, experimentation, and product delivery, working closely with retail partners and senior leadership.
**About The Job**
* Set and own the roadmap, translating consumer and retailer needs into a clear vision, milestones, and launch plans
* Lead product discovery, uncover customer pain points and market opportunities, and partner with engineering and design to deliver solutions
* Drive measurable results including product adoption and engagement outcomes. Establish and maintain metrics, dashboards, and regular business reviews, using data insights to prioritize, de\-risk, and accelerate the roadmap.
* Lead cross\-functional execution with Engineering/ML/DS/Design to execute the roadmap, run rapid experiments, ship iterative improvements, and pivot based on learnings
* Partner with ML, model design, and content design to improve core agent performance and behavior using state\-of\-the\-art methods
* Represent the product to senior leadership and external retail partners, communicating strategy, progress, learnings, and needs with clarity and conviction
* Work with business development, market strategy, and GTM teams to align product and GTM plans, maximizing market impact of launches and product advancements
* Scale Cart Assistant across Instacart surfaces and products, driving top line business impact for Instacart and our retail partners
**About You**
 Minimum Qualifications
* 8\+ years of product management experience
* 5\+ years of experience building and shipping consumer\-facing commerce products end\-to\-end, with 2\+ years building LLM\-powered products in production
* Proven track record launching at least one 0\-to\-1 product to general availability with measurable impact on adoption, conversion, revenue, or GTV
* Technical fluency with AI/ML systems and data flows; ability to partner with engineering and machine learning on dependencies and scope tradeoffs
* Experience defining product OKRs, with significant experience using experimentation to improve products and achieve desired outcomes
* Exceptional communication and presentation skills with senior leadership and external enterprise partners
* Bachelor’s degree in a technical, quantitative, or related field, or equivalent practical experience
**Preferred Qualifications**
* Experience across both consumer products and B2B/enterprise offerings
* Background spanning startup and large company environments
* Domain expertise in ecommerce, retail, grocery, or marketplace dynamics
* Experience building or improving LLM agent systems and products
* Familiarity with experimentation at scale (A/B testing) and with trust, safety, privacy, and compliance considerations for GenAI products.
 Instacart provides highly market\-competitive compensation and benefits in each location where our employees work. This role is remote and the base pay range for a successful candidate is dependent on their permanent work location. Please review our Flex First remote work policy here.
 Offers may vary based on many factors, such as candidate experience and skills required for the role. Additionally, this role is eligible for a new hire equity grant as well as annual refresh grants. Please read more about our benefits offerings here.
 For US based candidates, the base pay ranges for a successful candidate are listed below.
 CA, NY, CT, NJ
 $250,000—$264,000 USD
 WA
 $239,000—$252,500 USD
 OR, DE, ME, MA, MD, NH, RI, VT, DC, PA, VA, CO, TX, IL, HI
 $230,000—$242,500 USD
 All other states
 $209,000—$220,500 USD</t>
        </is>
      </c>
    </row>
    <row r="120">
      <c r="A120" t="inlineStr">
        <is>
          <t>li-4371710447</t>
        </is>
      </c>
      <c r="B120" t="inlineStr">
        <is>
          <t>Senior Product Manager</t>
        </is>
      </c>
      <c r="C120" t="inlineStr">
        <is>
          <t>NCG</t>
        </is>
      </c>
      <c r="D120" t="inlineStr">
        <is>
          <t>linkedin</t>
        </is>
      </c>
      <c r="E120">
        <f>HYPERLINK("https://www.linkedin.com/jobs/view/4371710447", "https://www.linkedin.com/jobs/view/4371710447")</f>
        <v/>
      </c>
      <c r="F120" t="inlineStr"/>
      <c r="G120" t="inlineStr"/>
      <c r="H120" t="inlineStr"/>
      <c r="I120" t="inlineStr">
        <is>
          <t>ONLY USC or GC holders.
 MUST be local to NY.
 We’re hiring a
 **Senior Product Manager** 
 to own the vision, strategy, and execution for our AdTech and MediaTech applications \- the ad serving capabilities, audience and user journey management, data pipeline, AI\-powered automations and optimizations, and more. You will partner daily with the CPO (line manager), CEO, Head of Engineering, and President, acting as the connective tissue between business goals and engineering execution.
 Your mandate is to unlock step‑function scale by anticipating business and consumer needs through data, deep understanding of our customers, and key business KPIs (e.g, LTV, ROAS, etc.), translating these learnings into leverageable platform capabilities. This is a hands\-on, individual‑contributor role (with uncapped room for growth) for a senior product thinker who marries technical depth with commercial intuition and data‑driven economics.
**Responsibilities** 
* **Set Vision \&amp; Strategy:** 
 Define the north star for platform product strategy \- user journey engineering, media management, ad serving, audience segmentation, modeling, analytics, identify, AI\-driven optimization and automation \- and socialize it through crisp narratives.
* **Proactively Identify Scale Levers:** 
 Immerse yourself in data, user journeys, and operator workflows to surface high‑leverage features that multiply throughput, monetization, margin, or velocity.
* **Own the Roadmap** 
 : Prioritize ruthlessly, balancing new capabilities with scalability, reliability, compliance, and tech debt reduction.
* **0→1 \&amp; 1→N Delivery:** 
 Craft strategy documents, product requirements, user stories, and acceptance criteria; shepherd features through design, build, launch, and iteration, measuring ROI obsessively.
* **Economic \&amp; Data Rigour:** 
 Build models, design experiments, and leverage advanced SQL/BI tooling to quantify opportunity size, pricing, unit economics, and success metrics.
* **AI‑First Evangelism** 
 : Stay on top of AI/ML trends (LLMs, predictive modeling, generative UX) and incorporate them into product capabilities, tooling, and team workflows.
* **Deep Partnership with Engineering** 
 : Translate commercial outcomes into technical requirements, manage trade‑offs, and promote high‑quality delivery via agile ceremonies.
* **Stakeholder Alignment** 
 : Inspire and align leadership, growth, monetization, and legal teams; champion platform capabilities internally \&amp; externally.
**Qualifications** 
* **7\+ years** 
 total experience with 3\+ years shipping technical or platform products as a Product Manager.
* Demonstrated success owning complex, high‑throughput systems—ideally in AdTech, MarTech, digital publishing, data infrastructure, or similarly demanding domains.
* Fluency in system design concepts (APIs, microservices, event streaming, databases) and enough depth to earn trust with senior engineers.
* Advanced analytical and economic reasoning— experimentation frameworks, cohort/causal analysis, pricing \&amp; ROI modeling; able to wield data to influence direction.
* Track record of proactively uncovering scale opportunities and translating ambiguous business goals into product strategy and measurable outcomes.
* Experience integrating AI/ML capabilities into product or workflow; enthusiasm for staying ahead of AI breakthroughs.
* Mastery of agile product development, backlog management, and tools like Jira/Linear, Confluence, Figma.
* Exceptional communication—concise writing, compelling storytelling, and confidence presenting to executives and customers alike.
* Start‑up DNA: bias for action, low ego, willingness to roll up sleeves and operate with limited resources. Comfort operating in a high\-pace, always\-on and real\-time business.
**Bonus Points:** 
* Degree in Computer Science, Economics, or a quantitative field.
* Prior experience monetizing consumer traffic via advertising.
* Familiarity with privacy regulations (GDPR, CCPA) and consent frameworks.
* Exposure to real‑time decisioning, reinforcement learning, or ad serving.</t>
        </is>
      </c>
    </row>
    <row r="121">
      <c r="A121" t="inlineStr">
        <is>
          <t>li-4371594013</t>
        </is>
      </c>
      <c r="B121" t="inlineStr">
        <is>
          <t>Technical AI Product Manager
Global/Remote</t>
        </is>
      </c>
      <c r="C121" t="inlineStr">
        <is>
          <t>CryptoCurrency ICO/Airdrop</t>
        </is>
      </c>
      <c r="D121" t="inlineStr">
        <is>
          <t>linkedin</t>
        </is>
      </c>
      <c r="E121">
        <f>HYPERLINK("https://www.linkedin.com/jobs/view/4371594013", "https://www.linkedin.com/jobs/view/4371594013")</f>
        <v/>
      </c>
      <c r="F121">
        <f>HYPERLINK("https://jobs.lever.co/coinmarketcap/b1fbfcbf-4a73-469f-8852-07923448ca77&amp;urlHash=BBKW", "https://jobs.lever.co/coinmarketcap/b1fbfcbf-4a73-469f-8852-07923448ca77&amp;urlHash=BBKW")</f>
        <v/>
      </c>
      <c r="G121" t="inlineStr"/>
      <c r="H121" t="inlineStr"/>
      <c r="I121" t="inlineStr">
        <is>
          <t>**About The Role**
 CoinMarketCap is building AI products to help users discover, understand, and act on crypto information more effectively. We’re hiring a Technical AI Product Manager to join our AI team. This is an individual contributor role in the Product org. You’ll spend most of your time building and iterating: identifying user pain points, prototyping in Python, prompt engineering, context engineering, and improving AI features we’ve already shipped based on real usage and feedback.Once an MVP is validated, you’ll partner with Engineering to productionize and scale it. You are not responsible for long\-term platform scalability or owning the full engineering surface area. You are responsible for producing strong prototypes and handing Engineering a clear, validated direction.
 What you’ll do
**Includes But Not Limited To**
* Identify the biggest user pain points where a crypto AI can materially improve outcomes.
* Turn ambiguous ideas into a clear MVP, with crisp scope, constraints, and success metrics.
* Prototype full AI experiences in Python to validate value and quality before we ship to production.
* Own prompts and context engineering: instruction design, context shaping, guardrails, tool/function calling patterns, and output formatting.
* Build practical evaluation loops: golden sets, scenario coverage, qualitative rubrics, regressions, and acceptance criteria.
* Design the AI user experience: make it clear, trustworthy, and resilient if things go wrong.
* Run fast experiments, learn from real outputs and usage data, and iterate quickly.
* Partner with Engineering to ship: provide handoff specs, edge cases, evaluation results, and support debugging and iteration post\-launch.
* Work on whatever surface is the highest leverage.
 What we’re looking for
* Strong product judgment and the ability to make good calls under ambiguity.
* Hands\-on Python prototyping ability: you move fast, write clean code, and can translate ideas into working prototypes.
* Practical LLM experience \+ intuition: you understand prompt iteration, context design, and have a strong intuition for how to build useful products on top of LLMsA strong evaluation mindset: you can define quality, test for failure modes, and prevent regressions without heavy process.
* High\-agency execution: you can go from “vague problem” → “shipped learning” with minimal supervision.
* Excellent communication skills (verbal and written): convey complex messages clearly and simply, and driving conviction across stakeholders.
 Nice to have
* Shipped user\-facing AI features (chat, agents, copilots, summarization, search/Q\&amp;A, personalization).
* 0 to 1 experience in fast\-moving environments and owning ambiguous problems end\-to\-end.
* Experience building tool\-using and agent\-like workflows.
* Experience and interest in cryptocurrency.
 We have a strong preference for candidates who can point to things they’ve built (prototypes, side projects, or shipped features) and explain how they navigated ambiguity to reach a useful outcome. To stand out, include examples of these in your application.
 Apply for this job</t>
        </is>
      </c>
    </row>
    <row r="122">
      <c r="A122" t="inlineStr">
        <is>
          <t>li-4371187532</t>
        </is>
      </c>
      <c r="B122" t="inlineStr">
        <is>
          <t>Senior Product Manager – Enterprise SaaS</t>
        </is>
      </c>
      <c r="C122" t="inlineStr">
        <is>
          <t>Grokstream LLC</t>
        </is>
      </c>
      <c r="D122" t="inlineStr">
        <is>
          <t>linkedin</t>
        </is>
      </c>
      <c r="E122">
        <f>HYPERLINK("https://www.linkedin.com/jobs/view/4371187532", "https://www.linkedin.com/jobs/view/4371187532")</f>
        <v/>
      </c>
      <c r="F122" t="inlineStr"/>
      <c r="G122" t="inlineStr"/>
      <c r="H122" t="inlineStr"/>
      <c r="I122" t="inlineStr">
        <is>
          <t>**The Opportunity: Build the Path from Predictive to Agentic IT Operations** 
 Grok is building the next generation of predictive and agentic AI for enterprise IT operations.
 We’re hiring a hands\-on Senior Product Manager with strong enterprise SaaS fundamentals and technical depth.
 Modern IT environments are noisy, complex, and brittle. Legacy observability, ITSM, and first\-generation AIOps tools surface alerts and automate fragments of work, but they do not reason across domains, learn from outcomes, or guide action with confidence. Grok was built differently from day one. Our platform fuses predictive, causal, and generative intelligence with enterprise memory to understand what is happening, why it is happening, what will happen next, and how teams should respond.
 We are looking for a disciplined, execution\-oriented Senior Product Manager to help scale this vision into products customers trust and adopt. You do not need to be an AI expert on day one. What matters most is strong enterprise SaaS product fundamentals, ownership mindset, and the ability to translate complex systems into simple, governed workflows that operators actually use.
 This role is ideal for a strong “full stack” PM who wants to grow deeply into AI and agentic systems while owning meaningful product surface area. This is a senior individual contributor role in a high\-ownership, early\-stage environment.
**What You Will Do** 
**1\. Customer Discovery \&amp; Product Strategy** 
* Develop deep empathy for enterprise IT operations, including Incident, Problem, and Change Management workflows.
* Conduct hands\-on discovery with operators, SREs, and problem managers to understand alert fatigue, war rooms, manual triage, and operational bottlenecks.
* Translate customer pain points into clear product strategy and roadmap priorities that move teams from reactive operations toward predictive and agentic workflows.
* Identify and define high\-value on\-ramp use cases such as intelligent ticketing, predictive detection, drift remediation, and guided response.
* Evaluate competitive alternatives across observability, ITSM, and adjacent tools, and help sharpen Grok’s differentiation around time\-to\-value, learning depth, and operational simplicity.
**2\. Product Definition \&amp; Operator Experience** 
* Own the end to end experience for human in the loop and supervised autonomy workflows, defining how recommendations are presented, validated, executed, and learned from.
* Design simple, trustworthy operator experiences for complex AI capabilities, including confidence\-scored predictions, causal explanations, and guided actions.
* Create low fidelity wireframes and workflows to communicate intent clearly to engineering, design, and stakeholders.
* Partner closely with field teams, customers, and partners to validate requirements and ensure workflows reflect real operational behavior.
**3\. Execution \&amp; Engineering Partnership** 
* Own backlog prioritization, requirements definition, and end\-to\-end delivery from concept through enterprise SaaS release.
* Manage the full product lifecycle pipeline, including discovery, scoping, release planning, field enablement, and customer expectation setting.
* Write clear, rigorous product specifications, epics, and stories in Jira that are consumable by engineering and aligned to business outcomes.
* Partner tightly with UI, engineering and data science teams to balance velocity, quality, and long term platform integrity.
* Drive integration strategy across observability, ITSM, and automation ecosystems (e.g., Datadog, Dynatrace, Splunk, ServiceNow, Jira, Ansible).
**4\. Go to Market \&amp; Commercial Alignment** 
* Help articulate and prove customer value through measurable outcomes such as noise reduction, prediction accuracy, and MTTR reduction.
* Partner with sales, sales engineering, and marketing to shape demos, narratives, and case studies grounded in real operational workflows.
* Ensure product decisions align with commercial priorities, customer adoption, and long term platform differentiation.
**What We’re Looking For** 
**Required** 
* 4–7 years of experience in B2B SaaS Product Management, owning products from concept through launch and iteration.
* Strong fundamentals in enterprise software product management: discovery, prioritization, execution, and stakeholder alignment.
* Strong technical fluency. You can engage engineers in architecture discussions, understand APIs, data models, and system tradeoffs, and operate comfortably “in the trenches” with engineering teams.
* Operational fluency in IT concepts such as incidents, alerts, false positives, outages, and service impact, or the ability to ramp quickly.
* A true “full stack” PM mindset: able to collaborate deeply with engineering, design workflows visually, and support customer and sales conversations.
* Ability to earn credibility with engineering teams through clear thinking, technical depth, and rigorous product definition.
* Comfortable operating as a senior individual contributor in a hands\-on, early\-stage environment.
* Execution oriented, organized, and accountable. You ship.
**Preferred (Nice to Have)** 
* Experience with AIOps, observability, ITSM, or automation platforms.
* Exposure to tools such as ServiceNow, PagerDuty, BigPanda, Moogsoft, or similar.
* Familiarity with automation concepts such as runbooks, scripts, or orchestration.
* Curiosity and learning mindset around AI, causal reasoning, and agentic systems.
* Technical background and/or degree in Computer Science, Engineering, or a related field strongly preferred.
**How We Work** 
* Remote first, US based team with strong written and async collaboration.
* Early stage environment with real ownership, fast feedback loops, and minimal bureaucracy.
* Clear focus on fundamentals, learning velocity, and outcomes over hype.
**Why Grok** 
* A Real AI Platform: Grok is not a rules engine or a thin LLM wrapper. Our cognitive architecture continuously learns from telemetry, tickets, actions, and outcomes.
* Agentic Journey: You will help shape the evolution from predictive insight to governed, agentic execution across multiple horizons.
* Direct Mentorship: Work closely with the CPO, founders and leadership team on product strategy, execution, and AI fluency.
* Meaningful Ownership: Competitive cash compensation aligned to stage, plus participation in a performance based equity plan.
 If you are a strong enterprise SaaS PM who wants to build foundational AI products the right way, learn fast, and own meaningful impact, we would love to talk.</t>
        </is>
      </c>
    </row>
    <row r="123">
      <c r="A123" t="inlineStr">
        <is>
          <t>li-4372158913</t>
        </is>
      </c>
      <c r="B123" t="inlineStr">
        <is>
          <t>Senior Product Manager - Consumer</t>
        </is>
      </c>
      <c r="C123" t="inlineStr">
        <is>
          <t>StyleSeat</t>
        </is>
      </c>
      <c r="D123" t="inlineStr">
        <is>
          <t>linkedin</t>
        </is>
      </c>
      <c r="E123">
        <f>HYPERLINK("https://www.linkedin.com/jobs/view/4372158913", "https://www.linkedin.com/jobs/view/4372158913")</f>
        <v/>
      </c>
      <c r="F123" t="inlineStr"/>
      <c r="G123" t="inlineStr">
        <is>
          <t>San Francisco, CA</t>
        </is>
      </c>
      <c r="H123" t="inlineStr"/>
      <c r="I123" t="inlineStr">
        <is>
          <t>**About the role**
 StyleSeat helps people discover and book beauty and wellness services with confidence. As a Senior Product Manager on the Consumer team, you'll shape how clients explore the marketplace, find the right Pros, and decide what to book. Your focus will be on discovery and personalization, owning key surfaces across search, browse, and recommendations to help clients find what they want faster and feel confident in their choices.
 This role is highly cross functional and insight driven. You'll partner closely with design, engineering, data, and marketing to understand consumer intent, translate behavioral signals into smarter experiences, and deliver personalized journeys that improve engagement, booking conversion, and long\-term retention. Your work will directly impact marketplace health by connecting the right clients with the right Pros at the right time.
**What you'll do**
* **Own the product strategy** 
 \- Build and drive a clear strategy for the Consumer experience that increases engagement, trust, and marketplace liquidity. Translate business goals into focused product bets with measurable outcomes.
* **Be the Consumer expert** 
 \- Develop a deep understanding of how Clients discover services, make booking decisions, and build ongoing beauty routines. Identify and prioritize the most important problems to solve using research, data, and behavioral insights.
* **Deliver meaningful marketplace impact** 
 \- Make smart, confident tradeoffs based on opportunity size, confidence, and time to impact. Balance improvements to core booking flows with bigger bets that improve discovery, retention, and lifetime value.
* **Own discovery surfaces end to end** 
 \- Define and evolve search, browse, and recommendation experiences, including the inputs, signals, and feedback loops that improve relevance, trust, and conversion over time.
* **Build great products** 
 \- Partner closely with design to create intuitive, modern, delightful consumer experiences. Ship high\-quality solutions that reduce friction, increase confidence, and make StyleSeat the go\-to destination for beauty and wellness.
* **Use AI to power smarter consumer experiences:** 
 Partner with engineering and data to define and ship AI\-powered features such as personalization, recommendations, search relevance, or lifecycle intelligence. Use consumer signals to continuously improve discovery quality and booking outcomes.
* **Work iteratively** 
 \- Drive lean, insight\-led development. Continuously test assumptions, learn from customer behavior, and refine solutions to deliver consistent value.
* **Lead with clarity** 
 \- Communicate vision, strategy, and decisions with transparency. Align cross\-functional partners around priorities, tradeoffs, and expected impact.
**Year 1 expectations**
* Become the internal expert on our Clients and the Consumer product, advising teams on consumer behavior, needs, and opportunities.
* Launch 3\+ net new or significantly improved discovery or personalization experiences that drive measurable improvements in engagement, booking conversion, or retention.
* Identify a high\-potential opportunity area within discovery or personalization, supported by customer insight and data, with a clear rationale for prioritization.
* Build a focused, insight\-backed 6 month roadmap with clear tradeoffs and expected outcomes.
**Desired traits**
* **Customer\-obsessed and curious:** 
 You care deeply about consumers, how they make decisions, and what builds trust and loyalty. Curiosity drives your thinking.
* **Strategic and ambitious:** 
 You seek out meaningful opportunities, prioritize ruthlessly, and understand how consumer experiences drive marketplace health and business outcomes.
* **Marketplace\-minded:** 
 You naturally consider both sides of the marketplace and understand how consumer decisions impact Pro success, supply quality, and liquidity.
* **Collaborative and transparent:** 
 You bring partners in early, communicate openly, and make decisions informed by diverse perspectives.
* **Insight\-driven and analytical:** 
 You use data and qualitative insights to shape decisions, validate assumptions, and measure impact. You're comfortable navigating ambiguity.
* **Strong product judgment:** 
 You know when to rely on data, when to lean into qualitative insight, and when to make a clear call in the face of ambiguity.
**Who you are**
 We welcome candidates from a range of product backgrounds. The strongest candidates will bring:
* 5\+ years of product management experience, including:
+ 3\+ years building consumer\-facing or two\-sided (B2B2C) marketplace products
* A track record of identifying high\-value opportunities and delivering products with measurable impact
* Experience driving adoption and ongoing engagement for established consumer products
* Experience building or integrating AI\-powered features such as personalization, recommendations, discovery, or lifecycle optimization
* Strong proficiency with lean, user\-centric, and insight\-driven product development
* Ability to break strategy into clear experiments and testable hypotheses
* Excellent communication and cross\-functional influence skills
* An owner mindset and ability to thrive in a fast\-moving, collaborative, remote environment
**Salary range**
 Our job titles may span more than one career level. The career level we are targeting for this role has a base pay between $152,700 and $180,900\. The actual base pay is dependent upon many factors, such as: training, transferable skills, work experience, business needs and market demands. Base pay ranges are subject to change and may be modified in the future.
**Who we are**
 StyleSeat is the premier business platform for SMBs in the beauty and wellness industry to run and grow their business; and destination for consumers to discover, book and pay. To date, StyleSeat has powered more than 200 million appointments totaling over $12 billion in revenue for small businesses. StyleSeat is a platform and marketplace designed to support and promote the beauty and personal care community.
 Today, StyleSeat connects consumers with top\-rated beauty professionals in their area for a variety of services, including hair styling, barbering, massage, waxing, and nail care, among others. Our platform ensures that Pros maximize their schedules and earnings by minimizing gaps and cancellations, effectively attracting and retaining clientele.
**StyleSeat culture \&amp; values**
 At StyleSeat, our team is committed to fostering a positive and inclusive work environment. We respect and value the unique perspectives, experiences, and skills of our team members and work to create opportunities for all to grow and succeed.
* **Diversity** 
 \- We celebrate and welcome diversity in backgrounds, experiences, and perspectives. We believe in the importance of creating an inclusive work environment where everyone can thrive.
* **Curiosity** 
 \- We are committed to fostering a culture of learning and growth. We ask questions, challenge assumptions, and explore new ideas.
* **Community** 
 \- We are committed to making a positive impact on each, even when win\-win\-win scenarios are not always clear or possible in every decision. We strive to find solutions that benefit the community as a whole and drive our shared success.
* **Transparency** 
 \- We are committed to open, honest, and clear communication. We hold ourselves accountable for maintaining the trust of our customers and team.
* **Entrepreneurship** 
 \- We are self\-driven big\-picture thinkers \- we move fast and pivot when necessary to achieve our goals.
 Applicant Note:
 StyleSeat is a fully remote, distributed workforce, however, we only have business entities established in the below list of states and, thus are unable to consider candidates who live in states not on this list for the time being. \*\*
 *Applicants must be authorized to work for ANY employer in the U.S. We are unable to sponsor or take over sponsorship of an employment visa at this time.*
* Arizona
* Alabama
* California
* Colorado
* Florida
* Georgia
* Illinois
* Indiana
* Massachusetts
* Maryland
* Michigan
* Nebraska
* New York
* New Jersey
* Ohio
* Oregon
* Pennsylvania
* Virginia</t>
        </is>
      </c>
    </row>
    <row r="124">
      <c r="A124" t="inlineStr">
        <is>
          <t>li-4363984668</t>
        </is>
      </c>
      <c r="B124" t="inlineStr">
        <is>
          <t>Product Manager, Money</t>
        </is>
      </c>
      <c r="C124" t="inlineStr">
        <is>
          <t>Robinhood</t>
        </is>
      </c>
      <c r="D124" t="inlineStr">
        <is>
          <t>linkedin</t>
        </is>
      </c>
      <c r="E124">
        <f>HYPERLINK("https://www.linkedin.com/jobs/view/4363984668", "https://www.linkedin.com/jobs/view/4363984668")</f>
        <v/>
      </c>
      <c r="F124" t="inlineStr"/>
      <c r="G124" t="inlineStr">
        <is>
          <t>New York, NY</t>
        </is>
      </c>
      <c r="H124" t="inlineStr"/>
      <c r="I124" t="inlineStr">
        <is>
          <t>Join us in building the future of finance.
 Our mission is to democratize finance for all. An estimated $124 trillion of assets will be inherited by younger generations in the next two decades. The largest transfer of wealth in human history. If you’re ready to be at the epicenter of this historic cultural and financial shift, keep reading.
**About the team \+ role**
 Robinhood’s Money team is building the next generation of banking and spending products for all Americans. Our team members drive never\-before\-seen products and features from concept to launch to hyperscale. As a Product Manager, you will be at the core of shaping the future of our banking product and enable us to unlock next\-generation banking products and supercharge customer operations, ultimately helping drive best\-in\-class customer experience.
**This role is based in our Menlo Park, CA, New York, NY, and Washington, DC offices, with in\-person attendance expected at least 3 days per week.**
 At Robinhood, we believe in the power of in\-person work to accelerate progress, spark innovation, and strengthen community. Our office experience is intentional, energizing, and designed to fully support high\-performing teams.
**What You’ll Do**
* Lead a team of engineers, designers, researchers, data scientists, and operators to better understand customers and their most pressing needs
* Establishing a product vision and shared set of priorities across the team and the company, which meet the most important needs of our customers
* Collaborate with cross functional stakeholders such as legal, compliance, operations, finance, and customer success to ensure products are built the right way
* Drive execution from concept through launch, including defining success metrics and iterating based on results
**What You Bring**
* Bachelor’s, Master's, or equivalent experience
* At least 5 years of direct product management experience building high\-quality products; 7\+ years preferred
* Superb product and business sense
* Excellent analytical and communication skills
* A strong sense of urgency and speed, with the ability to manage multiple priorities in a fast\-moving environment
* High standards and a strong work ethic \- you always bring your best and expect your colleagues to do the same
* Delight in bringing innovation and impact to customers, particularly in complex and dynamic environments
* Experience in fintech products is a plus, but not required
**What We Offer**
* Market competitive and pay equity\-focused compensation structure
* 100% paid health insurance for employees with 90% coverage for dependents
* Annual lifestyle wallet for personal wellness, learning and development, and more!
* Lifetime maximum benefit for family forming and fertility benefits
* Dedicated mental health support for employees and eligible dependents
* Generous time away including company holidays, paid time off, sick time, parental leave, and more!
* Lively office environment with catered meals, fully stocked kitchens, and geo\-specific commuter benefits
**In addition to the base pay range listed below, this role is also eligible for bonus opportunities \+ equity \+ benefits.**
 Base pay for the successful applicant will depend on a variety of job\-related factors, which may include education, training, experience, location, business needs, or market demands. The expected base pay range for this role is based on the location where the work will be performed and is aligned to one of 3 compensation zones. For other locations not listed, compensation can be discussed with your recruiter during the interview process.
**Base Pay Range**
 Zone 1 (Menlo Park, CA; New York, NY; Bellevue, WA; Washington, DC)
 $191,000—$225,000 USD
 Zone 2 (Denver, CO; Westlake, TX; Chicago, IL)
 $168,000—$198,000 USD
 Zone 3 (Lake Mary, FL; Clearwater, FL; Gainesville, FL)
 $150,000—$176,000 USD
 Click here to learn more about our Total Rewards, which vary by region and entity.
 If our mission energizes you and you’re ready to build the future of finance, we look forward to seeing your application.
 Robinhood provides equal opportunity for all applicants, offers reasonable accommodations upon request, and complies with applicable equal employment and privacy laws. Inclusion is built into how we hire and work—welcoming different backgrounds, perspectives, and experiences so everyone can do their best. Please review the Privacy Policy for your country of application.</t>
        </is>
      </c>
    </row>
    <row r="125">
      <c r="A125" t="inlineStr">
        <is>
          <t>li-4363239304</t>
        </is>
      </c>
      <c r="B125" t="inlineStr">
        <is>
          <t>Product Owner - REMOTE</t>
        </is>
      </c>
      <c r="C125" t="inlineStr">
        <is>
          <t>OnTrac</t>
        </is>
      </c>
      <c r="D125" t="inlineStr">
        <is>
          <t>linkedin</t>
        </is>
      </c>
      <c r="E125">
        <f>HYPERLINK("https://www.linkedin.com/jobs/view/4363239304", "https://www.linkedin.com/jobs/view/4363239304")</f>
        <v/>
      </c>
      <c r="F125" t="inlineStr"/>
      <c r="G125" t="inlineStr">
        <is>
          <t>Washington, DC</t>
        </is>
      </c>
      <c r="H125" t="inlineStr"/>
      <c r="I125" t="inlineStr">
        <is>
          <t>**OnTrac** 
 is hiring a
 **Product Owner** 
**!**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This is a fully remote position, with a preference for candidates based in Cleveland, OH; Washington, D.C.; Atlanta, GA; Phoenix, AZ; or Louisville, KY.
**Salary:** 
 $84,000 to 105,000 / year depending on experience and qualifications
**Employment Logistics**
 The Product Owner partners with Product Management and cross‑functional teams to translate business needs and stakeholder priorities into a clear, actionable product backlog. Working in a fast‑paced Agile environment, this role helps ensure teams build the right features in the right order, balancing business value, user needs, and technical considerations. This position offers strong opportunity for growth and advancement within the organization.
**Unpacking The Benefits**
 We offer a comprehensive benefits package designed to support your health, financial security, and life outside of work.
* Medical, Dental, and Vision insurance; HSA and FSA options
* Life and Disability coverage (basic and voluntary)
* Voluntary Accident, Critical Illness, Identity \&amp; Fraud Protection, Auto \&amp; Home, and Pet Insurance
* Competitive benefits and 401(k) with company match
* Referral Bonus Program \- Up to $500 per referral!
* Paid Time Off including Holiday pay
* Employee Assistance Program \&amp; a Safe and clean work environment
**The Must\-Haves**
* Bachelor’s degree and experience working in an Agile environment, preferably as a Product Owner or in a related role
* Familiarity with Agile tools such as Azure DevOps \&amp; Knowledge in UI/UX
* Experience in Logistics preferred
* Willingness to travel up to 10%
**Your Mission In Motion**
* Partner on product direction: Collaborate with the Product Manager to understand and execute against the broader product vision and roadmap.
* Translate strategy into action: Break down high‑level product strategy into clear, well‑defined backlog items.
* Own backlog quality and priority: Refine, prioritize, and manage the product backlog to maximize team output and customer value.
* Define clear requirements: Write high‑quality user stories with well‑defined acceptance criteria that support effective delivery.
* Collaborate cross‑functionally: Work closely with engineering, QA, design, and other partners to ensure shared understanding and alignment.
* Represent the user: Maintain a strong understanding of user personas, workflows, and needs to guide product decisions.
**Paving Your Way To Your Success**
* You think in terms of value, ensuring work aligns with business goals, user needs, and technical realities.
* You bring structure to complexity, translating high‑level ideas into clear, actionable, and well‑prioritized requirements.
* You communicate clearly and collaboratively, building strong relationships with cross‑functional teams and stakeholders.
* You thrive in an Agile environment, adapting priorities and decisions as information evolves.
* You stay curious and customer‑focused, continuously deepening your understanding of user workflows and experience.
**If you are excited to be part of our team and grow with our OnTrac family, we invite you to apply!**
**OnTrac is proud to be an Equal Opportunity Employer**
 OnTrac is an equal\-opportunity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row>
    <row r="126">
      <c r="A126" t="inlineStr">
        <is>
          <t>li-4372210213</t>
        </is>
      </c>
      <c r="B126" t="inlineStr">
        <is>
          <t>Product Owner (REMOTE)</t>
        </is>
      </c>
      <c r="C126" t="inlineStr">
        <is>
          <t>Lensa</t>
        </is>
      </c>
      <c r="D126" t="inlineStr">
        <is>
          <t>linkedin</t>
        </is>
      </c>
      <c r="E126">
        <f>HYPERLINK("https://www.linkedin.com/jobs/view/4372210213", "https://www.linkedin.com/jobs/view/4372210213")</f>
        <v/>
      </c>
      <c r="F126" t="inlineStr"/>
      <c r="G126" t="inlineStr">
        <is>
          <t>Chantilly, VA</t>
        </is>
      </c>
      <c r="H126" t="inlineStr"/>
      <c r="I126"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Koniag Government Services. Clicking "Apply Now" or "Read more" on Lensa redirects you to the job board/employer site. Any information collected there is subject to their terms and privacy notice.
 Koniag Technology Solutions, a Koniag Government Services company, is seeking a Product Owner to support KTS and our government customer. This position requires the candidate to be able to obtain a Public Trust. This position is remote. This position is for a Future New Business Opportunity.
 We offer competitive compensation and an extraordinary benefits package including health, dental and vision insurance, 401K with company matching, flexible spending accounts, paid holidays, three weeks paid time off, and more.
 Koniag Technology Solutions, a Koniag Government Services company, is seeking an experienced Product Owner to join a development team supporting both established projects and building applications from the ground up. The ideal candidate is an experienced leader and team player that is passionate about technology and committed to lifelong learning, possessing the ability to apply their technical knowledge, skills, and experience to solve complex/real\-world problems.
**Responsibilities**
 The successful candidate will be performing Product Owner duties to support the defining project scope and objectives for complex custom software development and COTS integration in an enterprise class web application environment. Principal responsibilities will include but are not limited to:
**In Collaboration With The Government Product Owner (when Applicable)**
* Builds, edits and maintains the team backlog
* Breaks down solution themes and epics into understandable stories, defects, and enablers
* Prioritizes backlog items based on user value, time and other team dependencies
* Reviews and reprioritizes the backlog as part of the prep work for Iteration Planning
* Coordinates dependencies with other Product Owner Liaisons
* Provides story detail and priorities during Iteration Planning
* Has responsibility of accepting the final iteration plan
* Coordinates with Scrum Master, Dev Team, Product Manager Liaison, Government Product Manager, Government Product Owner (when applicable)
* Coordinates with Architecture team to vet architectural requests
* Ensures receipt of stories/work/tasks from team regarding adherence to non\-functional requirements for their application(s)
* Provides Just\-In\-Time story elaboration
* Applies Behavior\-Driven Development
* Coordinates with Government Product Owner's to accept stories as done
* Provides Acceptance Criteria that assures quality and user expectations
* Understands enabler work and assists with the sequencing of that work
* Coordinates with the team regarding capacity allocation
* Participates in team demo and retrospectives
* Orchestrates the Systems Demo for value stream stakeholders
* Works across teams to define and implement improvement stories based on Inspect and Adapt events
* Ensures that teams demonstrate the most critical aspects of the solution to the stakeholders
**Education And Experience**
* Bachelor's degree \- Computer Science or Technical Journalism preferred
* At least 7 years' experience supporting software/hardware development efforts
* 10\+ years of relevant work experience in lieu of a degree would be acceptable, especially if the experience is multi\-functional (i.e., operations and development)
**Required Skills And Competencies**
 The successful candidate will have experience in the following:
* Strong technical writing skills, with the ability to concisely describe business requirements
* Ability to use a variety of software for creating UML diagrams and mockups as well as written documents for communicating (examples include Atlassian suite, Visio, ARIS, Word, Excel, and PowerPoint)
* Documentation of business requirements. Examples of documentation include business requirement specifications (BSR), context diagrams, use cases, and user stories
* Understanding of Web\-based enterprise software, .Net Framework, C\#, javascript, AJAX, and databases
* Working knowledge of database systems
* Understanding of user interfaces and most common approaches found in GUIs
* Presentation of requirements findings and mockups for review with sponsors and end users
* Ability to understand formulas used in financial calculations and to describe relevant workflows
**Desired Skills**
* Experience working with a wide range of personnel, including business sponsors, product owners, government project managers, development teams, and end users at all levels of the organization
* Working experience with requirement tools (i.e., Jira/Confluence)
* Familiarity with formalized requirements management frameworks (including requirements traceability) such as IEEE, ITIL, CMMI.
* Solid understanding of Agile development methodologies
* Experience using tracking and versioning software such as Codebeamer and Subversion.
* Experience in writing business requirements used to create enterprise class web\-based software.
* Familiarity with data modeling concepts
* Familiarity with integrating COTS and custom software as part of an enterprise software solution (Experience with SAS, SAP, or Pega preferred)
* Ability to research document repositories and existing code.
* Willingness to assist with in development testing
**Security Requirement**
* Ability to obtain a public trust
**Our Equal Employment Opportunity Policy**
 The company is an equal opportunity employer. The company shall not discriminate against any employee or applicant because of race, color, religion, creed, ethnicity, sex, sexual orientation, gender or gender identity (except where gender is a bona fide occupational qualification), national origin or ancestry, age, disability, citizenship, military/veteran status, marital status, genetic information or any other characteristic protected by applicable federal, state, or local law. We are committed to equal employment opportunity in all decisions related to employment, promotion, wages, benefits, and all other privileges, terms, and conditions of employment.
 The company is dedicated to seeking all qualified applicants. If you require an accommodation to navigate or apply for a position on our website, please get in touch with Heaven Wood via e\-mail at accommodations@koniag\-gs.com or by calling 703\-488\-9377 to request accommodations.
*Koniag Government Services (KGS) is an Alaska Native Owned corporation supporting the values and traditions of our native communities through an agile employee and corporate culture that delivers Enterprise Solutions, Professional Services and Operational Management to Federal Government Agencies. As a wholly owned subsidiary of Koniag, we apply our proven commercial solutions to a deep knowledge of Defense and Civilian missions to provide forward leaning technical, professional, and operational solutions. KGS enables successful mission outcomes for our customers through solution\-oriented business partnerships and a commitment to exceptional service delivery. We ensure long\-term success with a continuous improvement approach while balancing the collective interests of our customers, employees, and native communities. For more information, please visit* 
*www.koniag\-gs.com* 
*.*
***Equal Opportunity Employer/Veterans/Disabled. Shareholder Preference in accordance with Public Law 88\-352***
**Job Details**
**Job Family** 
**Proposal Positions**
**Pay Type** 
**Salary**
 If you have questions about this posting, please contact support@lensa.com</t>
        </is>
      </c>
    </row>
    <row r="127">
      <c r="A127" t="inlineStr">
        <is>
          <t>li-4364430062</t>
        </is>
      </c>
      <c r="B127" t="inlineStr">
        <is>
          <t>Product Owner - REMOTE</t>
        </is>
      </c>
      <c r="C127" t="inlineStr">
        <is>
          <t>OnTrac</t>
        </is>
      </c>
      <c r="D127" t="inlineStr">
        <is>
          <t>linkedin</t>
        </is>
      </c>
      <c r="E127">
        <f>HYPERLINK("https://www.linkedin.com/jobs/view/4364430062", "https://www.linkedin.com/jobs/view/4364430062")</f>
        <v/>
      </c>
      <c r="F127">
        <f>HYPERLINK("https://jobs.dayforcehcm.com/en-US/ontrac/CANDIDATEPORTAL/jobs/62072?src=LinkedIn&amp;urlHash=rr4v", "https://jobs.dayforcehcm.com/en-US/ontrac/CANDIDATEPORTAL/jobs/62072?src=LinkedIn&amp;urlHash=rr4v")</f>
        <v/>
      </c>
      <c r="G127" t="inlineStr">
        <is>
          <t>Phoenix, AZ</t>
        </is>
      </c>
      <c r="H127" t="inlineStr"/>
      <c r="I127" t="inlineStr">
        <is>
          <t>**OnTrac** 
 is hiring a
 **Product Owner** 
**!**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This is a fully remote position, with a preference for candidates based in Cleveland, OH; Washington, D.C.; Atlanta, GA; Phoenix, AZ; or Louisville, KY.
**Salary:** 
 $84,000 to 105,000 / year depending on experience and qualifications
**Employment Logistics**
 The Product Owner partners with Product Management and cross‑functional teams to translate business needs and stakeholder priorities into a clear, actionable product backlog. Working in a fast‑paced Agile environment, this role helps ensure teams build the right features in the right order, balancing business value, user needs, and technical considerations. This position offers strong opportunity for growth and advancement within the organization.
**Unpacking The Benefits**
 We offer a comprehensive benefits package designed to support your health, financial security, and life outside of work.
* Medical, Dental, and Vision insurance; HSA and FSA options
* Life and Disability coverage (basic and voluntary)
* Voluntary Accident, Critical Illness, Identity \&amp; Fraud Protection, Auto \&amp; Home, and Pet Insurance
* Competitive benefits and 401(k) with company match
* Referral Bonus Program \- Up to $500 per referral!
* Paid Time Off including Holiday pay
* Employee Assistance Program \&amp; a Safe and clean work environment
**The Must\-Haves**
* Bachelor’s degree and experience working in an Agile environment, preferably as a Product Owner or in a related role
* Familiarity with Agile tools such as Azure DevOps \&amp; Knowledge in UI/UX
* Experience in Logistics preferred
* Willingness to travel up to 10%
**Your Mission In Motion**
* Partner on product direction: Collaborate with the Product Manager to understand and execute against the broader product vision and roadmap.
* Translate strategy into action: Break down high‑level product strategy into clear, well‑defined backlog items.
* Own backlog quality and priority: Refine, prioritize, and manage the product backlog to maximize team output and customer value.
* Define clear requirements: Write high‑quality user stories with well‑defined acceptance criteria that support effective delivery.
* Collaborate cross‑functionally: Work closely with engineering, QA, design, and other partners to ensure shared understanding and alignment.
* Represent the user: Maintain a strong understanding of user personas, workflows, and needs to guide product decisions.
**Paving Your Way To Your Success**
* You think in terms of value, ensuring work aligns with business goals, user needs, and technical realities.
* You bring structure to complexity, translating high‑level ideas into clear, actionable, and well‑prioritized requirements.
* You communicate clearly and collaboratively, building strong relationships with cross‑functional teams and stakeholders.
* You thrive in an Agile environment, adapting priorities and decisions as information evolves.
* You stay curious and customer‑focused, continuously deepening your understanding of user workflows and experience.
**If you are excited to be part of our team and grow with our OnTrac family, we invite you to apply!**
**OnTrac is proud to be an Equal Opportunity Employer**
 OnTrac is an equal\-opportunity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row>
    <row r="128">
      <c r="A128" t="inlineStr">
        <is>
          <t>li-4371708110</t>
        </is>
      </c>
      <c r="B128" t="inlineStr">
        <is>
          <t>Product Manager, Money Platform - NYC</t>
        </is>
      </c>
      <c r="C128" t="inlineStr">
        <is>
          <t>Otter</t>
        </is>
      </c>
      <c r="D128" t="inlineStr">
        <is>
          <t>linkedin</t>
        </is>
      </c>
      <c r="E128">
        <f>HYPERLINK("https://www.linkedin.com/jobs/view/4371708110", "https://www.linkedin.com/jobs/view/4371708110")</f>
        <v/>
      </c>
      <c r="F128" t="inlineStr"/>
      <c r="G128" t="inlineStr">
        <is>
          <t>New York, NY</t>
        </is>
      </c>
      <c r="H128" t="inlineStr"/>
      <c r="I128" t="inlineStr">
        <is>
          <t>**Who We Are**
 Otter is building the digital infrastructure for better food. Restaurants today face a world where off\-premise demand is growing faster than the tools built to support it. We help operators simplify complexity, grow their business, and deliver great experiences to every guest – wherever they are.
 Our platform empowers food businesses of all sizes, from local heroes to regional chains and global enterprises. With Otter, restaurants can focus on what they do best: serving delicious food to their customers. And as they thrive, we’re helping make better food more accessible, reliable, and affordable for everyone.
**What You’ll Do**
 As Product Manager for the Money Platform team, you’ll own the financial "source of truth" for Otter. You will build the infrastructure that handles every dollar from the moment a diner pays until it hits an operator’s bank account. You will:
* Architect money movement: Lead the strategy for our core payment and payout rails, ensuring high reliability across complex, multi\-entity transactions and global processor integrations
* Scale the revenue engine: Own the Billing and Invoicing platforms, building a flexible "Product Catalog" and automated billing flows that ensure we collect payments while maintaining transparency for our partners
* Automate financial integrity: Build the "connective tissue" between our product and accounting, developing automated Financial Reconciliation and 1099 Tax tools that eliminate manual ops and ensure high accuracy
* Modernize processor onboarding: Design seamless onboarding workflows for new payment processors, reducing the friction for operators to start accepting payments and accelerating their time\-to\-value
* Defend the platform: Lead Fraud and Risk initiatives, deploying smart detection layers that protect Otter’s bottom line without introducing friction for legitimate customers
* Partner with "Money" Stakeholders: Act as the technical bridge between Engineering, Finance, and Customer Success to build "Embedded Finance" features that turn payments from a utility into a competitive advantage.
**What We’re Looking For**
* 5\+ years of product management experience, with a deep focus on Fintech, Payments, or complex Billing/ERP systems
* Deep technical fluency in payment APIs, ledger systems, reconciliation logic, and the nuances of global payment processing
* Operational mindset: You don’t just build features; you build systems that reduce manual overhead and scale through automation
* Proven scale: Experience shipping platform services that support thousands of merchants and handle high\-volume transaction data without breaking
* Data \&amp; logic driven: High proficiency in SQL and a strong grasp of ledger\-based accounting logic; you’re comfortable diving into database schemas to troubleshoot a reconciliation gap
* Exceptional stakeholder management skills; you can translate technical architectural needs to the CFO and financial requirements to the Engineering team with equal ease
**Why join us**
* Growing market: You’ll be focused on an $80 billion market that’s projected to reach at least $500 billion by 2030 in the US alone.
* Industry transformation: You’ll be part of a team redefining how restaurants run both online and offline.
* Impact at scale: What you build will directly power thousands of restaurants and millions of diners.
* Collaborative environment: You’ll work closely with talented colleagues across teams, with the support and guidance to grow your career.
**What Else You Need To Know**
 This role is based in our NYC office. We believe the best ideas and fastest progress happen when we’re together, so this is an in\-office role five days a week.
 The base salary range for this role is
 **$195,000 \- 246,000 per year.**
 Actual compensation will be determined on an individual basis and may vary depending on experience, skills, and qualifications.
 Base salary is just one part of your total rewards package. You may also be eligible for equity awards and an annual performance\-based bonus.
**Benefits Summary (USA Full\-Time Exempt Employees):**
* Medical, dental, and vision insurance (multiple plans, incl. HSA options).
* Company\-paid life and disability insurance (short\- and long\-term).
* Voluntary insurance: accident, critical illness, hospital indemnity.
* Optional supplemental life insurance for self, spouse, and children.
* Pet insurance discount.
* 401(k).
* Time Off policies:
+ Discretionary vacation days
+ 8 paid holidays per year
+ Paid sick time
+ Paid Bereavement leave
+ Paid Parental Leave
+ Health Savings Account (HSA)
+ Flexible Spending Accounts (Healthcare, Dependent Care, Commuter)
**Benefits Are Subject To Change At The Company's Discretion.**
 CSS accepts applications on an ongoing basis.
**Ready to join us as we serve those who serve others?**</t>
        </is>
      </c>
    </row>
    <row r="129">
      <c r="A129" t="inlineStr">
        <is>
          <t>li-4364122984</t>
        </is>
      </c>
      <c r="B129" t="inlineStr">
        <is>
          <t>Product Owner - Machine Learning</t>
        </is>
      </c>
      <c r="C129" t="inlineStr">
        <is>
          <t>ChatGPT Jobs</t>
        </is>
      </c>
      <c r="D129" t="inlineStr">
        <is>
          <t>linkedin</t>
        </is>
      </c>
      <c r="E129">
        <f>HYPERLINK("https://www.linkedin.com/jobs/view/4364122984", "https://www.linkedin.com/jobs/view/4364122984")</f>
        <v/>
      </c>
      <c r="F129">
        <f>HYPERLINK("https://chatgpt-jobs.com/job/product-owner-machine-learning-mitek-systems-3692&amp;urlHash=vL_f", "https://chatgpt-jobs.com/job/product-owner-machine-learning-mitek-systems-3692&amp;urlHash=vL_f")</f>
        <v/>
      </c>
      <c r="G129" t="inlineStr">
        <is>
          <t>Charleston, WV</t>
        </is>
      </c>
      <c r="H129" t="inlineStr"/>
      <c r="I129" t="inlineStr">
        <is>
          <t>**Job Description**
 Product Owner \- Machine Learning
**Mitek Systems** 
 \- Charleston, WV
* Remote
 Full\-time, Posted 12 hours ago
**Job Description**
**Mitek** 
 is a global leader in digital \&amp; biometric identity authentication, fraud prevention, and mobile deposit solutions.
 We are seeking a Product Owner to drive execution of machine learning based capabilities across biometric authentication and document verification. This is a hands\-on delivery role, not a strategy ownership position.
**What You Will Do (Essential Responsibilities)**
* ML Feature and Capability Ownership
+ Own and manage the backlog for ML\-driven biometric and document verification capabilities.
+ Translate fraud, identity, and customer requirements into clear and actionable ML work items.
+ Partner closely with ML engineers and data scientists to refine problem statements into feasible deliverables.
+ Define acceptance criteria that reflect real world performance, not just offline model metrics.
* Embedded ML Team Collaboration
+ Serve as the primary product owner for ML and data science teams.
+ Participate actively in model design discussions, prioritization, and tradeoff analysis.
+ Challenge scope, timelines, and modeling approaches when misaligned with business or risk objectives.
+ Propose alternate ideas across data strategy, modeling approaches, workflow design, or deployment patterns.
* Production Readiness and Lifecycle Support
+ Support model lifecycle activities including training, evaluation, deployment, and retraining.
+ Ensure monitoring, drift detection, and feedback loops are incorporated into delivery plans.
+ Help define rollout, experimentation, and rollback guardrails.
* Data and Labeling Execution
+ Partner with agent operations and data teams on labeling strategy and data quality.
+ Help define labeling schemas and workflows to support effective model training.
+ Identify risks related to label noise, bias, or insufficient coverage across geographies and document types.
* Fraud and Adversarial Awareness
+ Incorporate fraud patterns and adversarial thinking into backlog prioritization.
+ Ensure features and models are resilient to evolving attack vectors such as spoofs, deepfakes, and injection attacks.
+ Support layered and defense in depth approaches rather than single model dependency.
* Cross Functional Coordination
+ Work closely with engineering, fraud, compliance, legal, and customer teams.
+ Support internal and external conversations where ML behavior or performance needs explanation.
+ Translate technical constraints into clear delivery expectations for non technical stakeholders.
**What You Will Need (Required Knowledge, Skills \&amp; Abilities)**
* Experience
+ 3\-5 years of experience in product ownership, product management, or equivalent delivery focused roles.
+ Demonstrated experience supporting ML based products in production.
+ Direct experience working with data science and ML engineering teams.
* Domain and Technical Fluency
+ Strong working knowledge of computer vision and ML fundamentals.
+ Experience with biometric technologies such as face matching, liveness detection, and spoof prevention.
+ Experience with document verification, document classification, or document fraud detection.
+ Hands\-on experience building ML based products in the biometric and document identity space is highly valuable.
+ Ability to evaluate tradeoffs between different modeling and data approaches without being a data scientist.
* Execution and Judgment
+ Comfortable pushing back on ML teams when solutions are over engineered, misaligned, or not production ready.
+ Able to propose alternate approaches grounded in data availability, fraud realities, and delivery constraints.
+ Strong attention to detail and a bias toward shipping reliable and measurable capabilities.
* Communication Skills
+ Able to clearly articulate ML concepts, risks, and tradeoffs to non technical stakeholders.
+ Comfortable supporting customer facing or internal discussions around model behavior and limitations.
+ Able to document requirements and acceptance criteria with precision.
**What Would Be Nice (Preferred Experience)**
* Hands on experience shipping biometric or document based ML solutions into production.
* Experience in fraud, identity, or regulated environments such as financial services or fintech.
* Familiarity with model monitoring, drift management, and feedback loops.
* Experience working with global document types and jurisdictional variation.
**What We Offer**
* Work with a global leader in Digital Identity and Fraud prevention.
* Build products that power secure, seamless digital experiences.
* High\-impact role in a fast\-growing market.
* Excellent working atmosphere and great culture.
* 100% remote\-friendly (with optional work from our San Diego, CA office).
* Work with a diverse global team passionate about technology and impact.
* Continuous learning and growth opportunities.
 We take pride in enabling career growth in an environment of innovation and teamwork.
**Benefit offerings** 
 – may vary based on geographic location
* Wellness: Universal, supplemental, and private healthcare plan choices based on country specifics
* Financial future: retirement/pension plan contributions, MTK stock plan participation
* Income protection: life event \&amp; disability coverage
* Paid time off: generous annual leave, company holidays, volunteer time off
* Learning: e\-learning license, tuition reimbursement, hackathons
* Home office setup allowance
* Additional/optional benefits: pet insurance, identity theft protection, legal assistance</t>
        </is>
      </c>
    </row>
    <row r="130">
      <c r="A130" t="inlineStr">
        <is>
          <t>li-4372207240</t>
        </is>
      </c>
      <c r="B130" t="inlineStr">
        <is>
          <t>REMOTE- Innovation Product Manager</t>
        </is>
      </c>
      <c r="C130" t="inlineStr">
        <is>
          <t>Lensa</t>
        </is>
      </c>
      <c r="D130" t="inlineStr">
        <is>
          <t>linkedin</t>
        </is>
      </c>
      <c r="E130">
        <f>HYPERLINK("https://www.linkedin.com/jobs/view/4372207240", "https://www.linkedin.com/jobs/view/4372207240")</f>
        <v/>
      </c>
      <c r="F130" t="inlineStr"/>
      <c r="G130" t="inlineStr">
        <is>
          <t>Coral Gables, FL</t>
        </is>
      </c>
      <c r="H130" t="inlineStr"/>
      <c r="I130"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Insight Global. Clicking "Apply Now" or "Read more" on Lensa redirects you to the job board/employer site. Any information collected there is subject to their terms and privacy notice.
**Job Description**
 An employer is looking for an Innovation Product Manager to sit remotely. Your primary responsibility will be to oversee the portfolio of products/ projects within the client's innovation lab. These consist of new campaigns/ ideas the team brings in through their intake pipeline and evaluate each to determine if they are desirable to pursue. You will manage and create the solution pipeline, track all opportunities and lead new campaigns/ pursuits. You will help create product roadmaps/ strategy around new pursuits and pass off to the solutions team so they can take the necessary next steps to engineer. You will play a pivotal part in spearheading the vetting process for new intakes, evaluate runbooks and identify areas for process improvement. Additional tasks will include evaluating emerging tools/ technologies, lead voting efforts with executives on new ventures, and act as the main point of contact/ advocate for the innovation lab enterprise wide.
 We are a company committed to creating diverse and inclusive environments where people can bring their full, authentic selves to work every day. We are an equal opportunity/affirmative action employer that believes everyone matters. Qualified candidates will receive consideration for employment regardless of their race, color, ethnicity, religion, sex (including pregnancy), sexual orientation, gender identity and expression, marital status, national origin, ancestry, genetic factors, age, disability, protected veteran status, military or uniformed service member status, or any other status or characteristic protected by applicable laws, regulations, and ordinances. If you need assistance and/or a reasonable accommodation due to a disability during the application or recruiting process, please send a request to HR@insightglobal.com.To learn more about how we collect, keep, and process your private information, please review Insight Global's Workforce Privacy Policy: https://insightglobal.com/workforce\-privacy\-policy/.
**Skills And Requirements**
 5\+ years experience in product management
 Well versed in evaluating new solutions, prototypes, technologies, etc.
 Strong background in Microsoft tools/ technologies
 Experience in Kanban grooming and building product roadmaps
 Azure Devops experience
 Strong process documentation skills
 Expertise in executive stakeholder management and presentations Experience in enterprise architecture
 Power Platform experience
 Experience in logistics/ supply chain industry
 If you have questions about this posting, please contact support@lensa.com</t>
        </is>
      </c>
    </row>
    <row r="131">
      <c r="A131" t="inlineStr">
        <is>
          <t>li-4371580841</t>
        </is>
      </c>
      <c r="B131" t="inlineStr">
        <is>
          <t>Product Manager</t>
        </is>
      </c>
      <c r="C131" t="inlineStr">
        <is>
          <t>Create Your Eden</t>
        </is>
      </c>
      <c r="D131" t="inlineStr">
        <is>
          <t>linkedin</t>
        </is>
      </c>
      <c r="E131">
        <f>HYPERLINK("https://www.linkedin.com/jobs/view/4371580841", "https://www.linkedin.com/jobs/view/4371580841")</f>
        <v/>
      </c>
      <c r="F131">
        <f>HYPERLINK("https://forms.gle/6J4KC6nfdUhpvBKt9&amp;urlHash=YwPl", "https://forms.gle/6J4KC6nfdUhpvBKt9&amp;urlHash=YwPl")</f>
        <v/>
      </c>
      <c r="G131" t="inlineStr"/>
      <c r="H131" t="inlineStr"/>
      <c r="I131" t="inlineStr">
        <is>
          <t>**Company Description** 
 Create Your Eden LLC is a faith\-centered wellness company dedicated to helping women heal, grow, and thrive spiritually, emotionally, and physically. Through diverse initiatives such as our books, digital content, community experiences, and the upcoming Edenify App, we empower women to cultivate lives of peace, purpose, and alignment with faith. Our organization is purpose\-driven, and we are currently in the process of building and launching our MVP. We are searching for dedicated individuals to join our dynamic, fast\-paced team and contribute to our mission.
**Role Description** 
 This is a full\-time on\-site role for a Project Manager located in the Greater Seattle Area. The role involves overseeing various initiatives, including managing workflows, organizing project timelines, ensuring successful delivery of milestones, and communicating effectively with team members. Responsibilities also include collaborating with cross\-functional teams, identifying project risks, and proposing actionable solutions to achieve desired outcomes. The Project Manager will play a vital role in maintaining alignment with the company’s purpose\-driven mission.
**Qualifications** 
* Project Management and Organization skills with the ability to oversee multiple projects, manage deadlines, and delegate tasks effectively
* Strong Communication and Team Collaboration abilities, demonstrating leadership and effective interpersonal skills
* Strategic Planning and Problem\-Solving skills to identify risks and develop solutions for seamless project execution
* Experience with Digital Tools and Platforms, including project management software and tracking tools
* Passionate about wellness, personal development, and the company mission of nurturing spiritual, emotional, and physical health
* A background in startups, faith\-based organizations, or wellness industries is a plus
* Bachelor’s degree in Business, Project Management, or a related field, or equivalent experience</t>
        </is>
      </c>
    </row>
    <row r="132">
      <c r="A132" t="inlineStr">
        <is>
          <t>li-4364401320</t>
        </is>
      </c>
      <c r="B132" t="inlineStr">
        <is>
          <t>Product Owner - REMOTE</t>
        </is>
      </c>
      <c r="C132" t="inlineStr">
        <is>
          <t>OnTrac</t>
        </is>
      </c>
      <c r="D132" t="inlineStr">
        <is>
          <t>linkedin</t>
        </is>
      </c>
      <c r="E132">
        <f>HYPERLINK("https://www.linkedin.com/jobs/view/4364401320", "https://www.linkedin.com/jobs/view/4364401320")</f>
        <v/>
      </c>
      <c r="F132">
        <f>HYPERLINK("https://jobs.dayforcehcm.com/en-US/ontrac/CANDIDATEPORTAL/jobs/62072?src=LinkedIn&amp;urlHash=rr4v", "https://jobs.dayforcehcm.com/en-US/ontrac/CANDIDATEPORTAL/jobs/62072?src=LinkedIn&amp;urlHash=rr4v")</f>
        <v/>
      </c>
      <c r="G132" t="inlineStr">
        <is>
          <t>Cleveland, OH</t>
        </is>
      </c>
      <c r="H132" t="inlineStr"/>
      <c r="I132" t="inlineStr">
        <is>
          <t>**OnTrac** 
 is hiring a
 **Product Owner** 
**!**
 Are you eager to join a dynamic and expanding company where you can both learn and make a meaningful impact? If you possess a strong sense of empathy, enjoy assisting others, thrive in a fast\-paced environment, and excel at problem\-solving, we encourage you to apply today to connect with a recruiter!
 Founded in 1986,
 **OnTrac** 
 has evolved into the leading provider of same\-day and next\-day delivery services in the U.S. for premier e\-commerce and product\-supply businesses, including five of the largest retailers in the U.S.
**Location:** 
 This is a fully remote position, with a preference for candidates based in Cleveland, OH; Washington, D.C.; Atlanta, GA; Phoenix, AZ; or Louisville, KY.
**Salary:** 
 $84,000 to 105,000 / year depending on experience and qualifications
**Employment Logistics**
 The Product Owner partners with Product Management and cross‑functional teams to translate business needs and stakeholder priorities into a clear, actionable product backlog. Working in a fast‑paced Agile environment, this role helps ensure teams build the right features in the right order, balancing business value, user needs, and technical considerations. This position offers strong opportunity for growth and advancement within the organization.
**Unpacking The Benefits**
 We offer a comprehensive benefits package designed to support your health, financial security, and life outside of work.
* Medical, Dental, and Vision insurance; HSA and FSA options
* Life and Disability coverage (basic and voluntary)
* Voluntary Accident, Critical Illness, Identity \&amp; Fraud Protection, Auto \&amp; Home, and Pet Insurance
* Competitive benefits and 401(k) with company match
* Referral Bonus Program \- Up to $500 per referral!
* Paid Time Off including Holiday pay
* Employee Assistance Program \&amp; a Safe and clean work environment
**The Must\-Haves**
* Bachelor’s degree and experience working in an Agile environment, preferably as a Product Owner or in a related role
* Familiarity with Agile tools such as Azure DevOps \&amp; Knowledge in UI/UX
* Experience in Logistics preferred
* Willingness to travel up to 10%
**Your Mission In Motion**
* Partner on product direction: Collaborate with the Product Manager to understand and execute against the broader product vision and roadmap.
* Translate strategy into action: Break down high‑level product strategy into clear, well‑defined backlog items.
* Own backlog quality and priority: Refine, prioritize, and manage the product backlog to maximize team output and customer value.
* Define clear requirements: Write high‑quality user stories with well‑defined acceptance criteria that support effective delivery.
* Collaborate cross‑functionally: Work closely with engineering, QA, design, and other partners to ensure shared understanding and alignment.
* Represent the user: Maintain a strong understanding of user personas, workflows, and needs to guide product decisions.
**Paving Your Way To Your Success**
* You think in terms of value, ensuring work aligns with business goals, user needs, and technical realities.
* You bring structure to complexity, translating high‑level ideas into clear, actionable, and well‑prioritized requirements.
* You communicate clearly and collaboratively, building strong relationships with cross‑functional teams and stakeholders.
* You thrive in an Agile environment, adapting priorities and decisions as information evolves.
* You stay curious and customer‑focused, continuously deepening your understanding of user workflows and experience.
**If you are excited to be part of our team and grow with our OnTrac family, we invite you to apply!**
**OnTrac is proud to be an Equal Opportunity Employer**
 OnTrac is an equal\-opportunity employer. We value diversity and welcome applications from individuals of all backgrounds, abilities, and experiences. We do not discriminate based on race, color, religion, sex, sexual orientation, gender identity, national origin, disability, or age. Join us in our commitment to creating a diverse and inclusive workplace. If you are excited to be part of our team and contribute to our talent acquisition efforts, we invite you to apply.
*Lasership, Inc. dba OnTrac Final Mile with its affiliates, including OnTrac Logistics, Inc. (collectively, "OnTrac" or the "Company") is an equal opportunity employer.*</t>
        </is>
      </c>
    </row>
    <row r="133">
      <c r="A133" t="inlineStr">
        <is>
          <t>li-4371574852</t>
        </is>
      </c>
      <c r="B133" t="inlineStr">
        <is>
          <t>Product Owner</t>
        </is>
      </c>
      <c r="C133" t="inlineStr">
        <is>
          <t>Eliassen Group</t>
        </is>
      </c>
      <c r="D133" t="inlineStr">
        <is>
          <t>linkedin</t>
        </is>
      </c>
      <c r="E133">
        <f>HYPERLINK("https://www.linkedin.com/jobs/view/4371574852", "https://www.linkedin.com/jobs/view/4371574852")</f>
        <v/>
      </c>
      <c r="F133" t="inlineStr"/>
      <c r="G133" t="inlineStr">
        <is>
          <t>Denver, CO</t>
        </is>
      </c>
      <c r="H133" t="inlineStr"/>
      <c r="I133" t="inlineStr">
        <is>
          <t>One of my clients in the Denver area is looking for a Product Owner to add to their team! The Product Owner will focus on supporting and enhancing web and mobile products. The Product Owner will have a strong background in product ownership, particularly with customer\-facing applications. The Product Owner will excel at gathering requirements, journey mapping, and refining user stories.
 The Product owner will engage with stakeholders to understand customer needs and ensure alignment with business objectives. The Product Owner will refine user stories and work closely with development teams to bring features to market. The Product Owner will be passionate about driving product success and thrive in a collaborative, fast\-paced environment.
*Due to client requirements, applicants must be willing and able to work on a w2 basis. For our w2 consultants, we offer a great benefits package that includes Medical, Dental, and Vision benefits, 401k with company matching, and life insurance.* 
*Rate: $60\-$65 / hr w2* 
**Responsibilities** 
* Primarily experienced as a Product Owner, rather than a Product Manager.
* Strong understanding of customer needs and stakeholder engagement.
* Comfortable with the discovery process and bringing features to market
**Qualifications:** 
* Proven experience as a Product Owner, with a focus on web and mobile products.
* Experience supporting customer\-facing applications.
* Proficiency with collaboration tools such as JIRA, Confluence, and Luci
*Skills, experience, and other compensable factors will be considered when determining pay rate. The pay range provided in this posting reflects a W2 hourly rate; other employment options may be available that may result in pay outside of the provided range.* 
*W2 employees of Eliassen Group who are regularly scheduled to work 30 or more hours per week are eligible for the following benefits: medical (choice of 3 plans), dental, vision, pre\-tax accounts, other voluntary benefits including life and disability insurance, 401(k) with match, and sick time if required by law in the worked\-in state/locality.*</t>
        </is>
      </c>
    </row>
    <row r="134">
      <c r="A134" t="inlineStr">
        <is>
          <t>li-4372206248</t>
        </is>
      </c>
      <c r="B134" t="inlineStr">
        <is>
          <t>Sr. Product Manager, Optimization</t>
        </is>
      </c>
      <c r="C134" t="inlineStr">
        <is>
          <t>Lensa</t>
        </is>
      </c>
      <c r="D134" t="inlineStr">
        <is>
          <t>linkedin</t>
        </is>
      </c>
      <c r="E134">
        <f>HYPERLINK("https://www.linkedin.com/jobs/view/4372206248", "https://www.linkedin.com/jobs/view/4372206248")</f>
        <v/>
      </c>
      <c r="F134" t="inlineStr"/>
      <c r="G134" t="inlineStr">
        <is>
          <t>New York, NY</t>
        </is>
      </c>
      <c r="H134" t="inlineStr"/>
      <c r="I13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Comcast. Clicking "Apply Now" or "Read more" on Lensa redirects you to the job board/employer site. Any information collected there is subject to their terms and privacy notice.
 FreeWheel, a Comcast company, provides comprehensive ad platforms for publishers, advertisers, and media buyers. Powered by premium video content, robust data, and advanced technology, we’re making it easier for buyers and sellers to transact across all screens, data types, and sales channels. As a global company, we have offices in nine countries and can insert advertisements around the world.
**Job Summary**
 FreeWheel is hiring a Senior Product Manager focused on the development of optimization \&amp; machine learning applications within FreeWheel’s Buyer Cloud product. This role will focus on expanding our suite of Machine Learning\-powered products, including bidding optimization, supply efficiency via prediction, inventory forecasting, and much more, within our Demand Side Platform (DSP) product.
**Job Description**
**Core Responsibilities**
* Define and execute the product vision and strategy for all aspects of our product related to Machine Learning and Optimization
* Collaborate closely with our Engineering team to guide products to launch and beyond
* Evaluate competing priorities, solutions and guide the team on ideal implementation
* Serve as the voice of the customer in the development of our products, bringing key industry expertise to build innovative solutions
* Participate in engineering planning and standup meetings, ensuring successful and timely delivery of new features
* Partner with our Product Commercialization and Revenue teams on go\-to\-market efforts, presenting and training on our solutions, and establishing expertise on our competitive offering
* Integrate and collaborate with our larger Product team, navigating interdependencies and building cross\-functional applications
* Potential for travel depending on business needs
**Requirements**
* 4\+ years of product management or equivalent experience, with a history of delivering complex, data\-oriented solutions; digital advertising experience a plus
* Degree in computer science, data science, statistics, or equivalent experience
* Knowledge of fundamentals of Data Science, Analytics, Machine Learning and Statistics, with hands\-on experience strongly preferred
* Experience developing and maintaining enterprise products, throughout the entire product life cycle
* A passion for customers and the ability to acutely evaluate and weigh competing solutions and requests to deliver best\-in\-class products
* Excellent communication skills, both verbal and written, and a strong attention to detail
* Entrepreneurial spirit, with a desire to wear many hats and tackle many challenges
**Employees At All Levels Are Expected To**
* Understand our Operating Principles; make them the guidelines for how you do your job.
* Own the customer experience \- think and act in ways that put our customers first, give them seamless digital options at every touchpoint, and make them promoters of our products and services.
* Know your stuff \- be enthusiastic learners, users and advocates of our game\-changing technology, products and services, especially our digital tools and experiences.
* Win as a team \- make big things happen by working together and being open to new ideas.
* Be an active part of the Net Promoter System \- a way of working that brings more employee and customer feedback into the company \- by joining huddles, making call backs and helping us elevate opportunities to do better for our customers.
* Drive results and growth.
* Support a culture of inclusion in how you work and lead.
* Do what's right for each other, our customers, investors and our communities.
**Disclaimer**
* This information has been designed to indicate the general nature and level of work performed by employees in this role. It is not designed to contain or be interpreted as a comprehensive inventory of all duties, responsibilities and qualifications.
 Comcast is an equal opportunity workplace. We will consider all qualified applicants for employment without regard to race, color, religion, age, sex, sexual orientation, gender identity, national origin, disability, veteran status, genetic information, or any other basis protected by applicable law.
**Skills**
 Machine Learning (ML); Product Management; Advertising Technologies; Product Strategies
**Salary**
 Primary Location Pay Range: $147,741\.60 \- $221,612\.40
 Comcast intends to offer the selected candidate base pay within this range, dependent on job\-related, non\-discriminatory factors such as experience. The application window is 30 days from the date job is posted, unless the number of applicants requires it to close sooner or later.
 Base pay is one part of the Total Rewards that Comcast provides to compensate and recognize employees for their work. Most sales positions are eligible for a Commission under the terms of an applicable plan, while most non\-sales positions are eligible for a Bonus. Additionally, Comcast provides best\-in\-class Benefits to eligible employees. We believe that benefits should connect you to the support you need when it matters most, and should help you care for those who matter most. That?s why we provide an array of options, expert guidance and always\-on tools, that are personalized to meet the needs of your reality ? to help support you physically, financially and emotionally through the big milestones and in your everyday life. Please visit the compensation and benefits summary (https://jobs.comcast.com/benefits) on our careers site for more details.
**Education**
 Bachelor's Degree
 While possessing the stated degree is preferred, Comcast also may consider applicants who hold some combination of coursework and experience, or who have extensive related professional experience.
**Relevant Work Experience**
 5\-7 Years
**Job Family Group:** 
 Strategic Planning \&amp; Development
 If you have questions about this posting, please contact support@lensa.com</t>
        </is>
      </c>
    </row>
    <row r="135">
      <c r="A135" t="inlineStr">
        <is>
          <t>li-4371088099</t>
        </is>
      </c>
      <c r="B135" t="inlineStr">
        <is>
          <t>Product Owner</t>
        </is>
      </c>
      <c r="C135" t="inlineStr">
        <is>
          <t>Vertex Solutions Inc.</t>
        </is>
      </c>
      <c r="D135" t="inlineStr">
        <is>
          <t>linkedin</t>
        </is>
      </c>
      <c r="E135">
        <f>HYPERLINK("https://www.linkedin.com/jobs/view/4371088099", "https://www.linkedin.com/jobs/view/4371088099")</f>
        <v/>
      </c>
      <c r="F135" t="inlineStr"/>
      <c r="G135" t="inlineStr"/>
      <c r="H135" t="inlineStr"/>
      <c r="I135" t="inlineStr">
        <is>
          <t>Product Owner \- Insurance Policy Administration Platform
 Hybrid, 3 days in the office in Farmington CT or NYC or Iselin, NJ
 Full time
**Job Summary** 
 The Product Owner’s mission is to work with stakeholders to create and evolve the digital products. In addition to core product ownership responsibilities, this role will lead to product discovery and rationalization efforts, closely study insurance products within the Policy Administration System, and architect for reusable product templates. The Product Owner will establish and maintain the source of truth for insurance products—including rates, rules, forms, and reference data—ensuring consistency and scalability across platforms. Working closely with business, end users, and functional groups (e.g., Design, Development, Infrastructure), the Product Owner will identify opportunities to improve efficiency, drive innovation, and solve business problems to support the growth of the business. They will work with their cross\-functional Product team to implement solutions that bring value.
**Job Requirements:** 
* Strong knowledge of core functions of an insurance Company and applicable concepts.
* Ability to effectively communicate and influence using analyses at various levels, including senior leadership.
* Experience building successful business partnerships.
* Effective communicator and exceptional listener with experience persuading/negotiating trade\-offs of scope and timelines.
* Strong analytical, critical thinking, and problem\-solving skills with the ability to effectively resolve complex situations and issues.
* Solid project management skills with the ability to manage multiple priorities effectively and lead teams.
* Proactively conduct user research, customer interviews and lean experiments
* Ability to advise and manage expectations of stakeholders, earning trust and building durable relationships.
* Ability to make critical business decisions effectively within the scope of authority.
* Ability to work collaboratively with a team member from different business units.
* The ability to manage through ambiguous and challenging problems creatively and effectively leads to change.
 Education \&amp; Training:
* Bachelor's Degree in a relevant discipline or product development experience.
* Typically, a minimum of 5 years of related work experience.
* Domain knowledge of insurance and/or reinsurance is required.
*Vertex Solutions Inc. is an Equal Opportunity Employer and does not discriminate on the basis of race, color, creed, national origin, ancestry, religion, age, citizenship, sex, marital or veteran status, disability or handicap, sexual orientation or any other basis prohibited by applicable law.*</t>
        </is>
      </c>
    </row>
    <row r="136">
      <c r="A136" t="inlineStr">
        <is>
          <t>li-4370861113</t>
        </is>
      </c>
      <c r="B136" t="inlineStr">
        <is>
          <t>Workday Product Manager</t>
        </is>
      </c>
      <c r="C136" t="inlineStr">
        <is>
          <t>Leeds Professional Resources</t>
        </is>
      </c>
      <c r="D136" t="inlineStr">
        <is>
          <t>linkedin</t>
        </is>
      </c>
      <c r="E136">
        <f>HYPERLINK("https://www.linkedin.com/jobs/view/4370861113", "https://www.linkedin.com/jobs/view/4370861113")</f>
        <v/>
      </c>
      <c r="F136" t="inlineStr"/>
      <c r="G136" t="inlineStr">
        <is>
          <t>Miami, FL</t>
        </is>
      </c>
      <c r="H136" t="inlineStr"/>
      <c r="I136" t="inlineStr">
        <is>
          <t>**Job Summary:** 
 We are seeking a skilled Workday HRIS System Manager to lead the configuration, optimization, and ongoing administration of our Workday Human Capital Management (HCM) platform. This role serves as a key bridge between HR, IT, and business stakeholders to align Workday capabilities with organizational needs, drive system enhancements, and ensure data accuracy, security, and compliance in a dynamic environment.
**Key Responsibilities:** 
* Configure and maintain Workday modules, including Core HCM, Compensation, Talent, Absence, and Recruiting.
* Oversee system updates, testing, and deployment of new features and functionality.
* Analyze and optimize HR business processes to leverage Workday capabilities effectively.
* Gather requirements from HR and cross\-functional teams to deliver scalable Workday solutions.
* Manage integrations with internal and third\-party systems (e.g., payroll, benefits, finance).
* Ensure data integrity, security, and compliance across all HRIS processes.
* Provide training, documentation, and end\-user support for HR team members.
* Lead Workday\-related projects, including module implementations, enhancements, and process automation.
* Develop custom dashboards, reports, and automation tools to deliver strategic insights.
* Enhance employee and manager self\-service capabilities.
* Maintain internal databases, tables, and custom reports to meet management and staff needs.
* Partner with internal audit to strengthen order\-to\-cash and treasury/risk controls for SOX compliance.
**Qualifications:** 
* Bachelor’s degree in Computer Science, Human Resources, or equivalent combination of education and experience.
* 5\+ years of hands\-on Workday experience.
* Proven success supporting HRIS projects, including implementations and integrations.
* Strong functional knowledge of HCM, Compensation, Benefits, Recruiting, Talent, and Performance modules.
* Experience configuring Workday business processes and deploying multiple HCM modules preferred.
* 2–3 years of project management experience.
* Excellent analytical, problem\-solving, and communication skills.
* Proficiency in Microsoft Office (especially Excel and PowerPoint) and ability to learn new systems quickly.
* Workday certifications (preferred but not required).</t>
        </is>
      </c>
    </row>
    <row r="137">
      <c r="A137" t="inlineStr">
        <is>
          <t>li-4372214618</t>
        </is>
      </c>
      <c r="B137" t="inlineStr">
        <is>
          <t>Product Owner</t>
        </is>
      </c>
      <c r="C137" t="inlineStr">
        <is>
          <t>NetImpact Strategies Inc.</t>
        </is>
      </c>
      <c r="D137" t="inlineStr">
        <is>
          <t>linkedin</t>
        </is>
      </c>
      <c r="E137">
        <f>HYPERLINK("https://www.linkedin.com/jobs/view/4372214618", "https://www.linkedin.com/jobs/view/4372214618")</f>
        <v/>
      </c>
      <c r="F137" t="inlineStr"/>
      <c r="G137" t="inlineStr"/>
      <c r="H137" t="inlineStr"/>
      <c r="I137" t="inlineStr">
        <is>
          <t>**Job Description**
 NetImpact Strategies is seeking a Product Owner to join our talented Federal delivery team. This role will manage product vision, backlog prioritization, and stakeholder alignment within an Agile delivery model. The candidate will translate business requirements into actionable user stories and ensure delivered capabilities provide measurable mission value.
**Key Responsibilities**
* Define and manage product backlog
* Translate requirements into user stories
* Prioritize features based on mission impact
* Validate deliverables
* Coordinate with technical teams
**Qualifications**
**Required Qualifications**
* Bachelor’s degree
* 7\+ years of product or program experience
* Experience with Jira or Azure DevOps
* Understanding of Agile and DevSecOps delivery models
**Preferred Certifications**
* CSPO
* SAFe POPM
**About Us**
 Perks of working at NetImpact Strategies
* Your health comes first – we offer comprehensive medical, dental, \&amp; vision insurance that starts the first of the month after you join the team
* Invest in your future – 401(k) Plan – Immediately vested employer contributions; no matching required
* Work hard, play hard – we offer a generous Paid Time Off (PTO) policy and observe ALL ten (10\) federal holidays
* Pawsitively pawesome – Pet Insurance (because our little critters are part of our families, too!)
* Invest in your education – Tuition reimbursement, internal training programs, \&amp; company\-sponsored industry certifications
* Be part of a dynamic and collaborative work environment recently ranked by The Washington Post as a Top Work Place in 2019, 2020, \&amp; 2022!
* Have fun and celebrate and give back – Team building activities, community volunteering, quarterly HQ days, \&amp; an offsite annual awards banquet
**About Us**
 NetImpact Strategies Inc. (NetImpact) has been a Trusted Advisor driving impact through digital transformation for the Federal Government for over a decade. We solve complex problems with innovation and agility to create meaningful, transformative, and enduring change. As Trusted Advisors, NetImpact professionals partner with customer agencies to deliver solutions that empower them to not only meet their missions but also realize their strategic vision through agile, outcome\-focused solutions addressing both strategic and tactical requirements. We design and implement comprehensive, tailored solutions that are both mindful of the client's culture and organizational dynamics. NetImpact’s core values and commitment to a customer and results\-oriented delivery approach has propelled our growth and enabled us to deliver impactful value across Strategic Consulting, Process Automation, Cloud, DevSecOps, Data and Analytics, and Cyber Security for the Federal Government.
**ACCESSIBILITY NOTE**
 NetImpact Strategies is committed to complying with all applicable provisions of the Americans with Disabilities Act, as amended (“ADA”), and applicable state and local laws. It is NetImpact’s policy not to discriminate against any qualified person or applicant with regard to any terms or conditions of employment on the basis of such individual’s disability. Consistent with this policy of non\-discrimination, NetImpact will provide reasonable accommodations to an individual with a disability, as defined in the ADA or applicable law, who has made NetImpact aware of his/her disability, unless doing so would cause undue hardship to NetImpact. If you are an applicant and need reasonable accommodation when applying for job opportunities within NetImpact, or request reasonable accommodation to utilize NetImpact’s online employment application, please contact careers@netimpactstrategies.com .
**EQUAL OPPORTUNITY EMPLOYER**
 NetImpact is committed to the development of a creative, diverse, and inclusive work environment. In order to provide equal employment and advancement opportunities to all individuals, employment decisions at NetImpact will be based on merit, qualifications, and abilities. NetImpact does not discriminate against any person because of race, color, creed, religion, sex (including gender identity, sexual orientation, and pregnancy), marital status, national origin, disability, age, veteran status, genetic information or any other characteristic protected by federal, state, and local laws (referred to as "protected status").</t>
        </is>
      </c>
    </row>
    <row r="138">
      <c r="A138" t="inlineStr">
        <is>
          <t>li-4372205228</t>
        </is>
      </c>
      <c r="B138" t="inlineStr">
        <is>
          <t>Principal Product Owner - SMART MFG &amp; AI</t>
        </is>
      </c>
      <c r="C138" t="inlineStr">
        <is>
          <t>Lensa</t>
        </is>
      </c>
      <c r="D138" t="inlineStr">
        <is>
          <t>linkedin</t>
        </is>
      </c>
      <c r="E138">
        <f>HYPERLINK("https://www.linkedin.com/jobs/view/4372205228", "https://www.linkedin.com/jobs/view/4372205228")</f>
        <v/>
      </c>
      <c r="F138">
        <f>HYPERLINK("https://lensa.com/cgw/c7312c927c834cb19dd8025dd71e1531tjo1?jpsi=directemployers&amp;publisher_preference=easier_apply&amp;utm_campaign=Advertising%2C%20Marketing%2C%20Promotions%2C%20Public%20Relations%2C%20and%20Sales%20Managers&amp;utm_medium=slot&amp;utm_source=linkedin&amp;utm_term=jse&amp;urlHash=OtdH", "https://lensa.com/cgw/c7312c927c834cb19dd8025dd71e1531tjo1?jpsi=directemployers&amp;publisher_preference=easier_apply&amp;utm_campaign=Advertising%2C%20Marketing%2C%20Promotions%2C%20Public%20Relations%2C%20and%20Sales%20Managers&amp;utm_medium=slot&amp;utm_source=linkedin&amp;utm_term=jse&amp;urlHash=OtdH")</f>
        <v/>
      </c>
      <c r="G138" t="inlineStr">
        <is>
          <t>Boise, ID</t>
        </is>
      </c>
      <c r="H138" t="inlineStr"/>
      <c r="I138"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Micron Technology. Clicking "Apply Now" or "Read more" on Lensa redirects you to the job board/employer site. Any information collected there is subject to their terms and privacy notice.
**Our vision is to transform how the world uses information to enrich life for** 
***all***
**.**
 Micron Technology is a world leader in innovating memory and storage solutions that accelerate the transformation of information into intelligence, inspiring the world to learn, communicate and advance faster than ever.
 Micron operates in a highly competitive industry where innovation depends on hardworking people turning data into actionable intelligence. Within this landscape, the
 **Smart Manufacturing \&amp; Artificial Intelligence (SMAI) Innovation, Engineering \&amp; Technology (IET)** 
 team drives enterprise‑wide transformation through AI, machine learning, and automation.
 As a
 **Principal Product Owner** 
 in the SMAI IET organization, you will lead strategic, multidisciplinary initiatives that shape the future of smart manufacturing at Micron. You will partner with global teams across engineering, operations, IT, and data science to define, deliver, and scale AI‑driven solutions that improve efficiency, quality, and operational excellence across our worldwide manufacturing network.
**Responsibilities**
* Define and own the product vision and roadmap, ensuring alignment with Micron’s manufacturing strategy and business objectives.
* Lead cross‑functional global teams (engineering, data science, IT, operations) to deliver integrated AI/ML‑enabled smart manufacturing products.
* Elicit, analyze, and prioritize requirements from end users, SMEs, and collaborators; develop arguments and propose high‑ROI initiatives.
* Translate business problems into clear technical requirements for data science, software engineering, and IT teams—and articulate technical concepts back to business collaborators.
* Drive agile execution, including backlog management, sprint planning, reviews, and retrospectives to ensure predictable delivery and continuous improvement.
* Oversee deployment and lifecycle management of data science and automation solutions, ensuring enterprise‑grade reliability, data integrity, and global scalability.
* Define and track product success metrics (benchmarks, return on investment, adoption, efficiency impact).
* Communicate effectively across all levels, presenting to both technical audiences and senior leadership.
* Identify new opportunities for innovation by monitoring industry trends, emerging technologies, and internal user needs.
**Minimum Qualifications**
* Master’s degree in Computer Science, Industrial Engineering, Information Technology, or a related field.
* 5\+ years of experience in smart manufacturing, process engineering, or similar areas, including leading successful Industry 4\.0 and digital transformation initiatives.
* 3\+ years of hands‑on experience in data science or analytics, with strong knowledge of ETL, SQL, data warehousing, and modern data platforms (e.g., Snowflake).
* Proven ability to lead cross‑functional, global project teams with strong stakeholder management skills.
* Excellent analytical, problem‑solving, organizational, written, verbal, and presentation skills.
**Preferred Qualifications**
* Self‑motivated with strong ownership, attention to detail, and commitment to data accuracy and solution quality.
* Ability to operate independently while managing multiple projects in a fast‑paced environment.
* Highly adaptable, with a proven ability to navigate changing priorities.
* Passionate about innovation, automation, and continuous improvement in manufacturing.
* Experience working in large‑scale semiconductor, automotive, or other high‑complexity manufacturing environments.
 As a world leader in the semiconductor industry, Micron is dedicated to your personal wellbeing and professional growth. Micron benefits are designed to help you stay well, provide peace of mind and help you prepare for the future. We offer a choice of medical, dental and vision plans in all locations enabling team members to select the plans that best meet their family healthcare needs and budget. Micron also provides benefit programs that help protect your income if you are unable to work due to illness or injury, and paid family leave. Additionally, Micron benefits include a robust paid time\-off program and paid holidays. For additional information regarding the Benefit programs available, please see the Benefits Guide posted on micron.com/careers/benefits .
 Micron is proud to be an equal opportunity workplace and is an affirmative action employer. All qualified applicants will receive consideration for employment without regard to race, color, religion, sex, sexual orientation, age, national origin, citizenship status, disability, protected veteran status, gender identity or any other factor protected by applicable federal, state, or local laws.
 To learn about your
 **right to work click here. (http://www.justice.gov/crt/worker\-information)**
 To learn more about Micron, please visit
 **micron.com/careers**
 For US Sites Only: To request assistance with the application process and/or for reasonable accommodations, please contact Micron’s People Organization at hrsupport\_na@micron.com or 1\-800\-336\-8918 (select option \#3\)
 Micron Prohibits the use of child labor and complies with all applicable laws, rules, regulations, and other international and industry labor standards.
 Micron does not charge candidates any recruitment fees or unlawfully collect any other payment from candidates as consideration for their employment with Micron.
 AI alert
 **:** 
 Candidates are encouraged to use AI tools to enhance their resume and/or application materials. However, all information provided must be accurate and reflect the candidate's true skills and experiences. Misuse of AI to fabricate or misrepresent qualifications will result in immediate disqualification.
 Fraud alert: Micron advises job seekers to be cautious of unsolicited job offers and to verify the authenticity of any communication claiming to be from Micron by checking the official Micron careers website in the About Micron Technology, Inc.
 If you have questions about this posting, please contact support@lensa.com</t>
        </is>
      </c>
    </row>
    <row r="139">
      <c r="A139" t="inlineStr">
        <is>
          <t>li-4372174965</t>
        </is>
      </c>
      <c r="B139" t="inlineStr">
        <is>
          <t>VP, Product &amp; Technology AI Solutions Product Manager</t>
        </is>
      </c>
      <c r="C139" t="inlineStr">
        <is>
          <t>LPL Financial</t>
        </is>
      </c>
      <c r="D139" t="inlineStr">
        <is>
          <t>linkedin</t>
        </is>
      </c>
      <c r="E139">
        <f>HYPERLINK("https://www.linkedin.com/jobs/view/4372174965", "https://www.linkedin.com/jobs/view/4372174965")</f>
        <v/>
      </c>
      <c r="F139">
        <f>HYPERLINK("https://lplfinancial.wd1.myworkdayjobs.com/External/job/Fort-MillCharlotte/VP\u002d\u002dProduct\u002d\u002d-Technology-AI-Solutions-Product-Manager_R-048647?source=rd_linkedin_jobposting&amp;utm_source=linkedin.com&amp;utm_medium=job_posting&amp;utm_campaign=Annual_Media&amp;utm_content=social_media&amp;utm_term=331367885&amp;ss=paid&amp;urlHash=2ED-", "https://lplfinancial.wd1.myworkdayjobs.com/External/job/Fort-MillCharlotte/VP\u002d\u002dProduct\u002d\u002d-Technology-AI-Solutions-Product-Manager_R-048647?source=rd_linkedin_jobposting&amp;utm_source=linkedin.com&amp;utm_medium=job_posting&amp;utm_campaign=Annual_Media&amp;utm_content=social_media&amp;utm_term=331367885&amp;ss=paid&amp;urlHash=2ED-")</f>
        <v/>
      </c>
      <c r="G139" t="inlineStr">
        <is>
          <t>Fort Mill, SC</t>
        </is>
      </c>
      <c r="H139" t="inlineStr"/>
      <c r="I139" t="inlineStr">
        <is>
          <t>**What if you could** 
 build a career where ambition meets innovation? At LPL Financial, we empower professionals to shape their success while helping clients pursue their financial goals with confidence. What if you could have access to cutting\-edge resources, a collaborative environment, and the freedom to make an impact? If you're ready to take the next step, discover what’s possible with LPL Financial.
**Job Overview:**
 The
 **Vice President, Product and Tech AI Solutions Product Manager** 
 will lead the modernization of LPL’s Product Development Lifecycle (PDLC) and Software Development Lifecycle (SDLC) through practical AI\-enabled workflows with humans in control.
 Reporting to the Senior Vice President of AI Business Solutions, this product leader will deliver a clear roadmap and adoption plan across product management, engineering, DevOps, architecture, quality engineering, security, and governance. The role focuses on accelerating value velocity by empowering product managers, reducing late\-cycle churn, shortening review queues, improving developer experience, and increasing release stability.
 This leader will partner closely with the Technology teams that build and operate platforms and tools and will be accountable for measurable improvements in cycle time, rework, review turnaround time, production stability, and incident prevention.
 This is a hybrid role that requires the candidate to be onsite in either our Fort Mill SC, NYC, or Austin TX hub at least 3 days a week.
**Responsibilities:**
* Modernization Roadmap: Own a roadmap that improves speed, quality, and predictability across discovery, build, test, release, and learning. Translate priorities into sequenced pilots, lightweight standards, and tooling requirements that engineering teams can implement and run.
* AI\-Assisted Workflows With Human Review: Introduce AI where it removes drafting and synthesis work, then require human review and edits before outputs become decisions or artifacts. Examples include turning discovery notes into a first PRD draft, proposing acceptance criteria from a user journey, drafting architecture decision templates, summarizing a service’s behavior from code and runbooks, drafting unit tests that engineers validate, and drafting release notes that an accountable owner approves.
* Requirements and Artifact Quality: Standardize a small set of lightweight artifacts and quality checks that reduce late\-cycle churn. Focus on common causes of rework: unclear problem statements, missing edge cases, missing data handling constraints, and acceptance criteria that cannot be tested.
* Decision and Review Throughput: Partner with architecture, security, and compliance teams to reduce time spent in review queues. Improve review speed by tightening inputs, capturing context up front, and using consistent templates.
* Developer Experience Improvements: Partner with DevOps and platform teams to reduce friction in the build and release process. Focus on faster local setup, fewer manual steps to ensure safe shipping, clearer service ownership, and documentation engineers can trust during an outage.
* Release Readiness and Change Control: Improve how teams prepare releases so work is not left to the end. Align with DevOps, QE, and governance partners on what must be true before a release is approved, and ensure teams can produce that evidence as they build.
* Code and System Documentation: Improve code and system understanding by keeping service documentation current and tied to repositories and runtime behavior.
* Measurement and Instrumentation: Partner with Technology and Business Reporting and Analytics to establish baselines and targets for lead time, cycle time, review turnaround, defect escape, change failure rate, production incident rate, mean time to restore, rework, and onboarding time.
* Pilot to Scale: Run fast\-cycle pilots that show results within weeks. Define success criteria up front, publish results, scale successful patterns through engineering partners, and shut down pilots that add work without improving delivery.
* Tooling and Vendor Alignment: Define requirements for tooling based on workflow needs, auditability, access controls, and integration with existing platforms. Partner with procurement and risk teams to evaluate vendors and prevent shadow tooling or data handling issues.
* Cross\-Functional Operating Rhythm: Establish a regular cadence with product, engineering, DevOps, security, compliance, and risk leaders to surface what is slowing delivery, make decisions, and track adoption.
 What are we looking for?
* Product Management Excellence: Proven ability to define product vision, build roadmaps, prioritize backlogs, and drive adoption for internal products and workflows.
* Delivery Systems Expertise: Deep understanding of PDLC and SDLC failure modes in real organizations, including how unclear intent, slow reviews, and weak artifacts create churn.
* Developer Experience and Reliability: Ability to prioritize improvements that reduce toil, improve release confidence, and prevent recurring incidents.
* AI Workflow Design: Experience introducing AI drafting and analysis while maintaining human ownership, review, and auditability.
* Measurement Discipline: Comfort establishing baselines, running pilots with clear criteria, and measuring impact across speed, quality, and stability.
* Technical Fluency: Ability to work effectively with engineering on integration patterns, access controls, observability, and automation without acting as the engineering owner.
* Governance Partnership: Ability to work with security, compliance, and risk teams in a regulated environment and improve review speed through better inputs and clearer evidence.
* Change Leadership: Track record driving adoption across teams through training, communications, and continuous feedback.
* Communication: Clear communication that surfaces tradeoffs, progress, risks, and decisions.
**Requirements:**
* Bachelor’s degree in Business, Engineering, Computer Science, Information Systems, or a related field. Advanced degree is a plus
* 8 or more years of experience in product management, engineering, delivery, or adjacent roles, with a track record improving delivery outcomes in complex organizations
* 5 or more years leading cross\-functional initiatives that changed how teams build and ship software
* Experience introducing workflow tooling or standards that reduced cycle time, reduced rework, improved release confidence, or improved reliability
* Proven experience operating in regulated environments with security, compliance, and audit expectations
**Preferences:**
* Financial services experience, especially in highly regulated technology and operations environments
* Experience with developer productivity tooling, DevOps practices, quality engineering, and release management
* Experience applying AI to delivery workflows, including requirements drafting, code understanding, test drafting, release documentation, or incident learning.
* Experience partnering with platform engineering, SRE, and enterprise architecture teams.
**Pay Range:**
 $135,960\-$226,600/year
 Actual base salary varies based on factors, including but not limited to, relevant skill, prior experience, education, base salary of internal peers, demonstrated performance, and geographic location. Additionally, LPL Total Rewards package is highly competitive, designed to support your success at work, at home, and at play – such as 401K matching, health benefits, employee stock options, paid time off, volunteer time off, and more. Your recruiter will be happy to discuss all that LPL has to offer!
**Company Overview:**
 LPL Financial Holdings Inc. (Nasdaq: LPLA) is among the fastest growing wealth management firms in the U.S. As a leader in the financial advisor\-mediated marketplace(6\) , LPL supports over 32,000 financial advisors and the wealth management practices of approximately 1,100 financial institutions, servicing and custodying approximately $2\.3 trillion in brokerage and advisory assets on behalf of approximately 8 million Americans. The firm provides a wide range of advisor affiliation models, investment solutions, fintech tools and practice management services, ensuring that advisors and institutions have the flexibility to choose the business model, services, and technology resources they need to run thriving businesses. For further information about LPL, please visit www.lpl.com.
 At LPL, independence means that advisors and institution leaders have the freedom they deserve to choose the business model, services, and technology resources that allow them to run a thriving business. They have the flexibility to do business their way. And they have the freedom to manage their client relationships, because they know their clients best. Simply put, we take care of our advisors and institutions, so they can take care of their clients.
 For further information about LPL, please visit www.lpl.com.
**Join LPL Financial: Where Your Potential Meets Opportunity**
 At LPL Financial, we believe that everyone deserves objective financial guidance. As the nation’s leading independent broker\-dealer, we offer an integrated platform of cutting\-edge technology, brokerage, and investment advisor services.
**Why LPL?**
* Innovative Environment: We foster creativity and growth, providing a supportive and responsive leadership team. Learn more about our leadership team here!
* Limitless Career Potential: Your career at LPL has no limits, only amazing potential. Learn more about our careers here!
* Unified Mission: We are one team on one mission—taking care of our advisors so they can take care of their clients. Learn more about our mission and values here!
* Impactful Work: Our size is just right for you to make a real impact. Learn more here!
* Commitment to Equality: We support workplace equality and embrace diverse perspectives and backgrounds. Learn more here!
* Community Focus: We care for our communities and encourage our employees to do the same. Learn more here!
* Benefits and Total Rewards: Our Total Rewards package goes beyond just compensation and insurance. It includes a mix of traditional and unique benefits, perks, and resources designed to enhance your life both at work and at home. Learn more here!
 Join the LPL team and help us make a difference by turning life’s aspirations into financial realities. Please log in or create an account to apply to this position. Principals only. EOE.
**Information on Interviews:**
 LPL will only communicate with a job applicant directly from an
 **@lplfinancial.com** 
 email address and will never conduct an interview online or in a chatroom forum. During an interview, LPL will not request any form of payment from the applicant, or information regarding an applicant’s bank or credit card. Should you have any questions regarding the application process, please contact LPL’s Human Resources Solutions Center at (855\) 575\-6947\.
 EAC12\.9\.25</t>
        </is>
      </c>
    </row>
    <row r="140">
      <c r="A140" t="inlineStr">
        <is>
          <t>li-4365620876</t>
        </is>
      </c>
      <c r="B140" t="inlineStr">
        <is>
          <t>Product Manager</t>
        </is>
      </c>
      <c r="C140" t="inlineStr">
        <is>
          <t>Respondology</t>
        </is>
      </c>
      <c r="D140" t="inlineStr">
        <is>
          <t>linkedin</t>
        </is>
      </c>
      <c r="E140">
        <f>HYPERLINK("https://www.linkedin.com/jobs/view/4365620876", "https://www.linkedin.com/jobs/view/4365620876")</f>
        <v/>
      </c>
      <c r="F140" t="inlineStr"/>
      <c r="G140" t="inlineStr">
        <is>
          <t>Boulder, CO</t>
        </is>
      </c>
      <c r="H140" t="inlineStr"/>
      <c r="I140" t="inlineStr">
        <is>
          <t>Respondology is the AI\-powered social engagement platform that modernizes how social marketers moderate, listen to, and respond to comments at scale.
 The world’s top brands rely on Respondology to transform comment sections into community, commerce, and competitive intelligence. Fast to deploy and easy to use, our customers engage with over 2 billion collective followers every month.
 Respondology is seeking a Product Manager to own and evolve our products. This role is for someone who wants real product ownership, meaningful customer impact, and the opportunity to shape how organizations understand and act on social conversation data. You will play a central role in translating customer needs, business priorities, and product strategy into clear, high\-impact product improvements.
 We are looking for an innovative product thinker who is equal parts idea generator and builder. The Product Manager should be fluent in social media ecosystems, translating AI capabilities into real customer value, and turning insights into shipped products. You thrive in fast\-moving, collaborative environments, enjoy prototyping and validating ideas early, and take pride in owning products from concept through delivery.
 If you naturally ask “What if?”, balance long\-term vision with near\-term execution, and want to help shape both the product and product culture at Respondology, this role is built for you!
**The Ideal Candidate**
* Social\-native and deeply familiar with the world of social media marketing, including organic, paid, and creator ecosystems
* AI\-native with hands\-on experience building or evolving AI\-powered products, and a practical understanding of how to translate AI capabilities into real customer value
* A strong entrepreneurial spirit, ability to innovate and true passion for Respondology’s mission
* A track record of launching successful products and features
* A builder mentality with the ability to quickly translate ideas into wireframes, mockups, and prototypes to communicate and validate solutions
* Has a deep understanding of user needs and behavior, and can translate those into actionable product requirements
* Ability to prioritize and scope product requests balancing long term vision and short\-term pain points
* Highly motivated and resourceful, able to navigate complex issues independently
* Extremely strong communication and organizational skills, with the ability to keep complex initiatives clear, structured, and moving forward
**A Day In The Life**
* Translate customer needs, business priorities, and product strategy into clear, actionable product improvements
* Partner closely with Engineering, Design, Data, Product Marketing, Customer Success, and Leadership to define goals, success metrics, and delivery plans
* Engage directly with customers and internal teams to inform product decisions and validate direction
* Ideate and communicate product concepts through wireframes, workflows, and prototypes using Figma
* Own and maintain the product roadmap, aligning priorities and timelines with business goals
* Write clear product requirements and acceptance criteria to guide engineering execution
* Track project progress, manage dependencies, and ensure delivery using tools such as Notion
* Review in\-progress work and provide timely product feedback
* Communicate product direction, changes, decisions, and performance to internal stakeholders
* Contribute to building strong product practices, processes, and culture
**Here's What You Need To Get Our Attention**
* 3\-4 years of proven B2B SaaS product management experience with ownership of real product features or product areas
* A track record of shipping product improvements from concept through delivery
* Strong product judgment and the ability to prioritize effectively in ambiguous environments
* Experience translating customer, business, and technical inputs into clear product direction
* Excellent written and verbal communication skills
* Bachelor’s in Product Management, Business, UX/UI design, Engineering or related degree \- or equivalent work experience: If you have a four\-year degree, that's great; we care more about your past experience and ability to do the job, so please apply even if you don't have a degree
**Here's What Will Make Us Call You, For Sure**
* Experience launching a 0–1 product or major product capability through to commercial availability and customer adoption
* Previous experience in software designed for marketers in the social, moderation or analytics space.
* Proven ability to use modern AI tools to accelerate product development, including building and iterating on functional prototypes with AI\-assisted coding tools such as Claude Code, OpenAI Codex, or similar
 Location:
 Location is flexible for this position. Our office is based in Boulder, CO and employees located within driving distance come into the office 2 days per week. We are also open to 100% remote candidates in the US.
 And if we haven't convinced you yet, here is why you'll want to be part of our team:
* We have top\-notch product \&amp; engineering culture with team members who have your back!
* Our product is making the world a better place—you will make an impact.
* Everyone is an owner—equity is included for all employees.
* 100% remote or you may come into our beautiful offices if you’re near Boulder, CO—dogs welcome (our in\-house happy hours are always fun).
* Twice yearly off\-sites to enjoy time together as a team.
* Flex PTO plan, generous holidays and off\-week between Christmas and New Years.
* Multiple healthcare options, including plans with FSA and HSA
* Matching traditional and Roth 401k—immediately vested
* Family and paternity leave
* Life Insurance
 COME AS YOU ARE: your gender, your gods, your sex life, your skin color or your big shot uncle don't make a difference here. Respondology is a progressive and open\-minded meritocracy. If you're smart and good at what you do, come as you are.</t>
        </is>
      </c>
    </row>
    <row r="141">
      <c r="A141" t="inlineStr">
        <is>
          <t>li-4372215400</t>
        </is>
      </c>
      <c r="B141" t="inlineStr">
        <is>
          <t>Customer Service Product Manager</t>
        </is>
      </c>
      <c r="C141" t="inlineStr">
        <is>
          <t>Uphold</t>
        </is>
      </c>
      <c r="D141" t="inlineStr">
        <is>
          <t>linkedin</t>
        </is>
      </c>
      <c r="E141">
        <f>HYPERLINK("https://www.linkedin.com/jobs/view/4372215400", "https://www.linkedin.com/jobs/view/4372215400")</f>
        <v/>
      </c>
      <c r="F141" t="inlineStr"/>
      <c r="G141" t="inlineStr">
        <is>
          <t>New York, NY</t>
        </is>
      </c>
      <c r="H141" t="inlineStr"/>
      <c r="I141" t="inlineStr">
        <is>
          <t>**About Uphold**
 Uphold is a leading fintech platform enabling users to transact in multiple asset classes—from traditional currencies to cryptocurrencies and commodities—on a single, unified interface. We’re building the infrastructure for the future of finance with a focus on compliance, security, and user experience.
 The Role
 We’re looking for a junior\-level Customer Service Product Manager to own the complete customer service experience at Uphold. You’ll be the strategic owner of all customer\-facing interactions and support tools, responsible for delivering efficient, responsive, and delightful support experiences at scale.
 In this role, you’ll bridge the gap between our customers’ needs and internal operations by managing the full suite of customer service touchpoints and tooling. You’ll work cross\-functionally with Customer Service, Engineering, and Operations teams to streamline workflows, reduce response times, and leverage automation and AI to enhance our support capabilities.
 Key Responsibilities
* Own the Customer Service Product Portfolio: Manage all customer\-facing support channels including chat, voice, in\-app , and support ticket system (Zendesk), ensuring seamless integration and user\-friendly experiences
* Drive Efficiency \&amp; Automation: Identify opportunities to reduce response times, eliminate manual processes, and implement automation and AI solutions that empower the Customer Service team to work more effectively
* Develop Product Strategy: Create and execute a roadmap for customer service experiences that aligns with company goals and customer expectations
* Stakeholder Management: Work closely with Customer Service leadership, Engineering teams, and other internal stakeholders to understand pain points, gather requirements, and prioritize initiatives
* Data\-Driven Decision Making: Analyze customer service metrics (resolution time, CSAT, ticket volume, response times) to identify trends and opportunities for improvement
* Integration \&amp; Tool Management: Oversee the integration of customer service tools with internal systems and platforms, ensuring smooth data flow and operational efficiency
* Process Optimization: Lead initiatives to redesign customer service workflows, implement best practices, and scale support operations efficiently
* Cross\-functional Collaboration: Partner with Product, Engineering, Design, and Operations to deliver solutions that improve both customer experience and operational efficiency
* Engineering Team Leadership: Inspire an engineering team by setting clear goals, removing blockers, and driving delivery
* Priority Setting \&amp; Planning: Define priorities, balance technical and product trade\-offs, and maintain an execution\-focused roadmap with Engineering
* Backlog \&amp; Delivery Management: Write clear user stories (acceptance criteria, requirements, dependencies), manage the backlog, and run with the tech lead delivery rituals (grooming, planning, reviews)
* Execution Accountability: Track progress, manage scope, and ensure high\-quality releases through testing, rollout planning, and post\-launch follow\-up
**About You**
 Experience \&amp; Skills:
* 2\-4 years of product management experience, with a focus on operations, support, or customer\-facing products
* Proven track record managing complex, multi\-stakeholder projects in SaaS or fintech environments
* Strong understanding of customer service operations, support tools, and CRM systems (Zendesk experience a plus)
* Experience with automation tools, workflow optimization, and AI/ML applications (e.g., chatbots, intelligent routing)
* Excellent communication and stakeholder management skills
* Data\-driven mindset with proficiency in analyzing metrics and translating insights into action
* Ability to balance quick wins with long\-term strategic initiatives
* Strong problem\-solving skills and comfort navigating ambiguity
* Expertise using generative AI and LLMs to increase productivity (including creating live applications)
**Ideal Candidate**
* Has worked in fast\-paced fintech or regulated environments
* Understands API integrations and technical architecture (deep technical background not required but valued)
* Has launched or improved customer service/support products
* Demonstrates a customer\-first mindset with empathy for support operations
* Thrives in collaborative, cross\-functional environments
 Why Join Us
* Impact: Own a critical customer\-facing function at a growing fintech platform serving millions of users globally
* Growth: Work on challenging, highly visible initiatives that directly impact company success and customer satisfaction
* Team: Collaborate with talented product, engineering, and operations teams in a supportive environment
* Learning: Expand your expertise in fintech, compliance\-driven industries, and scaling operations
* Flexibility: Hybrid work arrangement with our New York office, providing flexibility while maintaining team connectivity</t>
        </is>
      </c>
    </row>
    <row r="142">
      <c r="A142" t="inlineStr">
        <is>
          <t>li-4371702763</t>
        </is>
      </c>
      <c r="B142" t="inlineStr">
        <is>
          <t>Product Manager, Web</t>
        </is>
      </c>
      <c r="C142" t="inlineStr">
        <is>
          <t>Cantina Labs</t>
        </is>
      </c>
      <c r="D142" t="inlineStr">
        <is>
          <t>linkedin</t>
        </is>
      </c>
      <c r="E142">
        <f>HYPERLINK("https://www.linkedin.com/jobs/view/4371702763", "https://www.linkedin.com/jobs/view/4371702763")</f>
        <v/>
      </c>
      <c r="F142">
        <f>HYPERLINK("https://jobs.ashbyhq.com/cantina/e980bd36-e724-4970-bd5c-27ac5d873aed?src=LinkedIn&amp;urlHash=gyjQ", "https://jobs.ashbyhq.com/cantina/e980bd36-e724-4970-bd5c-27ac5d873aed?src=LinkedIn&amp;urlHash=gyjQ")</f>
        <v/>
      </c>
      <c r="G142" t="inlineStr">
        <is>
          <t>San Francisco, CA</t>
        </is>
      </c>
      <c r="H142" t="inlineStr"/>
      <c r="I142" t="inlineStr">
        <is>
          <t>**About Cantina**
 Cantina Labs is a social AI company, developing a suite of advanced real\-time models that push the boundaries of expression, personality, and realism. We bring characters to life, transforming how people tell stories, connect, and create. We build and power ecosystems. Cantina, our flagship social AI platform, is just the beginning.
 If you're excited about the potential AI has to shape human creativity and social interactions, join us in building the future!
**About The Role**
 As an early member of Cantina's product team, you'll have ownership over a large, growing surface area that's at the very beginning of its growth trajectory. You'll be able to establish processes and coordinate with a global team of engineers and designers. Your role will partner day\-to\-day with engineering, design, marketing, leadership, and analytics teams. You'll be able to define the success of Cantina's web product, manage a roadmap, and contribute to a burgeoning product culture.
**What You'll Do**
* Lead day\-to\-day prioritization, roadmap, and execution for Cantina’s web product
* Partner with the Cantina executive team to build a best in class, AI first video editing experience on the web
* Run sprint planning, backlog grooming, and Jira prioritization for an eight person, internationally based web team
* Work closely with engineering, design, and data to iterate on the web experience and grow its user base
* Talk to creators and users directly to gather feedback and insights for iterative product improvements
* Define and iterate on video creation and editing workflows, including trimming, effects, filters, publishing, and sharing.
* Stay in close collaboration with Client teams to maintain a feature complete web product
* Ensure the web video product is intuitive, performant, and meets the expectations of a skilled creator base
**What You'll Bring**
* 3\-5\+ years in product management, ideally with 1\+ years of experience video creation tools, video editing, or video platform products. Bonus for web based video editors
* Experience using Jira, running sprint planning, and managing a roadmap for 9\+ engineers
* Strong understanding of consumer video products and workflows (CapCut, Instagram Reels, iMovie, TikTok, or similar)
* Ability to make complex concepts accessible with clear communication
* Strong collaborator who can work across engineering, design, data, and leadership teams
* Excellent written and verbal communication skills
**Compensation**
 The anticipated annual base salary range for this role is between $120,000\-$180,000\. When determining compensation, a number of factors will be considered, including skills, experience, job scope, location, and competitive compensation market data.
**Benefits**
* Competitive salary and generous company equity
* Medical, dental, and vision insurance – 99\.99% of premiums covered by Cantina
* 42 days of paid time off, including:
+ 15 PTO days
+ 10 sick days
+ 15 company holidays
+ 2 floating holidays
* Generous parental leave \&amp; fertility support
* 401(k) retirement savings plan
* Lifestyle spending account – $500/month to use however you’d like
* Complimentary lunch and snacks for in\-office employees
* One Medical membership, and more!</t>
        </is>
      </c>
    </row>
    <row r="143">
      <c r="A143" t="inlineStr">
        <is>
          <t>li-4365330891</t>
        </is>
      </c>
      <c r="B143" t="inlineStr">
        <is>
          <t>Sr. Product Manager</t>
        </is>
      </c>
      <c r="C143" t="inlineStr">
        <is>
          <t>HealthStream</t>
        </is>
      </c>
      <c r="D143" t="inlineStr">
        <is>
          <t>linkedin</t>
        </is>
      </c>
      <c r="E143">
        <f>HYPERLINK("https://www.linkedin.com/jobs/view/4365330891", "https://www.linkedin.com/jobs/view/4365330891")</f>
        <v/>
      </c>
      <c r="F143" t="inlineStr"/>
      <c r="G143" t="inlineStr">
        <is>
          <t>Nashville, TN</t>
        </is>
      </c>
      <c r="H143" t="inlineStr"/>
      <c r="I143" t="inlineStr">
        <is>
          <t>**Company Overview**
 HealthStream is the leader in healthcare workforce solutions. We help organizations work better by helping their people work smarter.
 HealthStream provides the leading learning, clinical development, credentialing, and scheduling applications delivered on healthcare’s \#1 platform. We streamline everyday tasks while improving performance, engagement, and safety – fostering a workplace where people flourish, and care thrives.
 Why Join Us
 At HealthStream, you’ll have the opportunity to make a meaningful impact on the future of healthcare by collaborating with a team of talented professionals dedicated to innovation and excellence. We offer competitive compensation, comprehensive benefits, and a supportive work environment where creativity and collaboration thrive.
 Our shared vision is to enhance the quality of healthcare by empowering the people who deliver care – a commitment we have upheld for over 30 years through providing innovative solutions and driving constant growth. Join us in revolutionizing the healthcare industry and shaping the future of patient care. As a HealthStreamer, you will be at the forefront of healthcare technology innovation, making a recurring impact on the industry.
 We’re proud of our values\-forward culture that offers our people:
* Mission\-oriented work
* Diverse and inclusive culture
* Competitive Compensation \&amp; Bonuses
* Comprehensive Insurance Plans
* Mental and Physical Health Support
* Work\-from\-home flexibility
* Fitness Center Reimbursements
* Streaming Good time off for volunteering
* Wellness workshops
* Buddy Program for new HealthStreamers
* Collaborative work environment
* Career growth opportunities
* Continuous learning opportunities
* Inspiring workspaces to collaborate and connect with other HealthStreamers
* Free employee parking at our Resource Centers in Nashville and San Diego
 At HealthStream, our thriving culture encourages collaboration and values contributions, allowing our team members to continuously solve big problems and grow. We offer flexibility and paid time off to support work\-life integration for all employees, including a hybrid work environment and Streaming Good volunteer day. For team members in commutable distance, HealthStream has Resource Centers in Nashville, TN and San Diego, CA. Our resource centers provide an inspiring workspace to collaborate and recharge as well as company\-sponsored onsite social events for development, connection, and celebration.
 We are committed to driving innovation in healthcare and ensuring that patients receive competent care from qualified professionals. As a HealthStream team member, you will help bring this vision to life. If you want to work for a company committed to its values and vision, HealthStream is the place for you!
 HealthStream is an equal opportunity employer. HealthStream prohibits employment practices that discriminate against individual employees or groups of employees on the basis of age, color, disability, national origin, race, religion, sex, sexual orientation, pregnancy, veteran or military status, genetic information or any other category deemed protected by state and/or federal law.
 Position Information
 Position Overview
 The Sr. Product Manager is part of a team responsible for a specific product family and reports to the product management leader. The Sr. Product Manager supports and grows products throughout their life cycle, working in a matrix environment across multiple internal departments, interfacing with customers, researching and identifying options to improve the product(s). This role works across multiple internal departments to define and implement the product family’s vision and roadmap, assuring measurable attainment of revenue and customer satisfaction goals, and aligning all activities with HealthStream’s organizational strategy and goals.
 This position may have direct reports.
 Key Responsibilities
*You will be responsible for adhering to all HealthStream security policies, procedures, and assigned training.*
* Create confidence, clarity, and customer connection for all product stakeholders.
* Create and manage strategy for one or more products within the context of the overall product family and organizational priorities. Grow sales and revenues for assigned products. Conduct research to fully understand the competitive environment, market share and financial performance and report internally on this analysis. Lead a shared understanding of target customers, markets, buyer and user personas. Serve as the face of the product across the company, directing organization\-wide initiatives and leading the product launch process. Assure accurate and complete understanding of products through routine internal training and other forms of internal and external communication. Identify, resolve, and monitor customer and product issues with the assistance of client services support.
* Assist in the development and execution of sales plans. Produce well\-researched and well\-founded product pricing and appropriate incentive/discounts. Prioritize the production of marketing materials and sales\-supporting activities. Identify marketing opportunities such as professional conferences and other events that provide access to potential customers.
* Champion the customer experience and product vision, plan and execute the product roadmap. Use data effectively to drive a comprehensive understanding of the customer, product and process. Publish product artifacts on key features or topics to ensure clarity and organizational alignment on direction. Lead one or more development teams through the grooming and sprint planning process, establishing clear priorities and requirements. Develop an integrated plan for development, sales and client success teams to ensure that all aspects of the product experience are world class. Foster a learning culture through active customer discovery, proof\-of\-concepts and continuous improvement.
* Research and evaluate potential new partnerships and other external opportunities. Make recommendations for future new partnerships and manage product enhancements with existing partners. Conduct negotiations with partners to finalize business relationships and contracting, with the support of Product Management leadership and internal legal counsel. Manage the ongoing relationships with existing partners, including gaining a deep understanding of their business and enhancing the business and technical relationships with existing partners.
* Drive greater ecosystem value by creating offerings that are integrated across HealthStream product lines.
**Qualifications**
 Requirements
* Bachelor’s degree in related field preferred
* 5 or more years in a product management or related role
* Software development lifecycle, Software as a Service experience strongly preferred
* Experience with continuing education management software or similar strongly preferred
* Experience with services, APIs and AI strongly preferred
**Qualifications**
* Excellent written, verbal, and presentation skills
* Successfully uses technical applications for business purposes (Salesforce, Microsoft)
* Ownership mentality, willing to lead through ambiguity and own performance.
* Curiosity, a desire to hear opinions and ideas that challenge your own.
* Plans and executes own activities with generally\-defined goals and minimal supervision
* Manages activities for multiple concurrent and complex projects with the appropriate prioritization and focus
* Works within a multi\-disciplinary and cross\-functional team with respect towards others and focused on successfully meeting team goals
* Appropriately influences cross\-functional team members without formal authority or management control
* Establishes high level of trust and credibility internally, with business partners, and with customers
**Compensation**
* The salary range for this position is $101,100 \- $131,430\. Salary will be determined on the candidate’s level of experience and qualifications. Compensation will be commensurate with skills, relevant experience, and performance in similar roles.
**Benefits**
 HealthStream offers a comprehensive benefits package to eligible employees, including:
* Medical, Dental and Vision insurance
* Paid Time Off
* Parental Leave
* 401k and Roth
* Flexible Spending Account
* Health Savings Account
* Life Insurance
* Short\- and Long\-Term Disability
* Medical Bridge Insurance
* Critical Illness Insurance
* Accident Insurance
* Identity Protection
* Legal Protection
* Pet Insurance
* Employee Assistance Program
* Fitness Reimbursement
 Are you passionate about enhancing healthcare outcomes and empowering healthcare professionals? Join the HealthStream team and become a HealthStreamer! Together, we can make a difference in the world of healthcare.</t>
        </is>
      </c>
    </row>
    <row r="144">
      <c r="A144" t="inlineStr">
        <is>
          <t>li-4372195713</t>
        </is>
      </c>
      <c r="B144" t="inlineStr">
        <is>
          <t>Global Product Manager</t>
        </is>
      </c>
      <c r="C144" t="inlineStr">
        <is>
          <t>Lensa</t>
        </is>
      </c>
      <c r="D144" t="inlineStr">
        <is>
          <t>linkedin</t>
        </is>
      </c>
      <c r="E144">
        <f>HYPERLINK("https://www.linkedin.com/jobs/view/4372195713", "https://www.linkedin.com/jobs/view/4372195713")</f>
        <v/>
      </c>
      <c r="F144">
        <f>HYPERLINK("https://lensa.com/cgw/9e960721cf7c4c0592ad9390a5b64a69tjo1?jpsi=directemployers&amp;publisher_preference=easier_apply&amp;utm_campaign=Other%20Management%20Occupations&amp;utm_medium=slot&amp;utm_source=linkedin&amp;utm_term=jse&amp;urlHash=hRrO", "https://lensa.com/cgw/9e960721cf7c4c0592ad9390a5b64a69tjo1?jpsi=directemployers&amp;publisher_preference=easier_apply&amp;utm_campaign=Other%20Management%20Occupations&amp;utm_medium=slot&amp;utm_source=linkedin&amp;utm_term=jse&amp;urlHash=hRrO")</f>
        <v/>
      </c>
      <c r="G144" t="inlineStr">
        <is>
          <t>Brea, CA</t>
        </is>
      </c>
      <c r="H144" t="inlineStr"/>
      <c r="I144"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Envista Holdings Corporation. Clicking "Apply Now" or "Read more" on Lensa redirects you to the job board/employer site. Any information collected there is subject to their terms and privacy notice.
**Job Description**
**Position Summary:** 
 The
 **Global Product Manager** 
 is responsible for the complete product lifecycle management of assigned product categories globally. This includes highly detail\-oriented day\-to\-day management of on\-market products within the category as well as new product funnel development, execution through launch, and product obsolescence.
**Essential Duties And Responsibilities**
* Delivers product revenue and margin for category portfolio, leveraging market dynamics, customer insights, product differentiation, and marketing strategies.
* Manage effective relationships and lines of communication with key stakeholders, including suppliers, customer service, operations, and commercial teams to support business objectives.
* Works closely with key stakeholders when analyzing the market, competition, clinical, and customer needs to identify customer challenges and develop category strategy and product roadmap to meet customer needs and deliver on business objectives.
* Creates and implements go\-to\-market strategies and programs to drive the successful launch of new products, including product training.
* Develops positioning and value propositions for all products within assigned category and collaborates with Marketing on messaging.
* Develops all product claims and for maintaining product claims matrices.
* Manages product lifecycle for the Kerr product portfolio, including identification and execution of product obsolescence, globally or regionally.
* Serves as product / market expert related to product positioning, competition, product performance and market trends.
* Maintains a strong understanding of global market dynamics and competitive environment and impact on business unit results.
* Accountable for pricing strategy and update execution for assigned categories.
* Attends, understands, and actively participates in Daily Management meetings to stay abreast of Key Performance Indicators (KPIs) and top priorities.
* Champions and participates in continuous improvement activities under the Envista Business System (EBS) to contribute to a high\-performing team.
* Travels up to 20% travel domestically and internationally via ground and/or air.
**Incidental Duties:** 
 The above statements describe the general nature and level of work being performed in this job. They are not intended to be an exhaustive list of all duties, and indeed additional responsibilities may be assigned, as required, by management.
**Job Requirements**
* Bachelor's degree in marketing, business, or related field required.
* 4\+ years of global product management experience in medical devices or any regulated corporate environment; with demonstrated success in all aspects of product management (ideation, VOC, business case, product development, FDA registrations, commercialization, and pricing).
* Must reside within a commutable distance to Brea, CA. This is not a remote opportunity.
* Ability to travel up to 25% domestically \&amp; globally
**Preferred Skills**
* Graduate degree or MBA preferred
* Detail\-oriented and the ability to solve practical problems and deal with a variety of concrete variables in situations where only limited standardization exists required.
* Experience working through distribution as well as a direct model highly preferred.
* Ability to think critically and in tactical and strategic dimensions simultaneously required.
* Skills, knowledge, and aptitude to engage, influence, and direct all functions involved in the project required.
* Solid organizational skills and ability to handle multiple tasks/projects simultaneously required.
* Strong financial acumen and ability to articulate a business case required.
* Ability to adapt to changing priorities in a fast\-paced environment required.
* Strong data analytics skills and intermediate Microsoft Office Suite skills including Word, Excel, and Outlook required.
* Proficient in using project management tools to develop schedules, allocate resources, and establish program budgets required.
* Strong verbal and written communication skills in English required.
* Exceptional presentation skills required.
**Physical Demands:** 
 Reasonable accommodations may be made to enable individuals with disabilities to perform essential functions.
* Constantly sits.
* Frequently uses hands and fingers.
* Occasionally walks and stands.
* Rarely bends and stoops.
* Occasionally reaches up/down with arms.
 IND123
**Target Market Salary Range**
 Actual compensation packages take into account a wide range of factors that are unique to each candidate, including but not limited to geographic location; skill sets; relevant education and certifications; depth of experience; performance; and other business and organizational needs. The disclosed reasonable estimate has not been adjusted for the applicable geographic differential associated with the location at which the position may be filled. At Envista, it is not typical for an individual to be hired at or near the top of the range for their role and compensation decisions are dependent on the facts and circumstances of each case. The total compensation package for this position may also include an annual performance bonus, medical/dental/vision benefits, 401K match, and/or other applicable compensation plans.
 $102,000 \- $153,100
**Operating Company**
 Orascoptic
 Envista and all Envista Companies are equal opportunity employers that evaluate qualified applicants without regard to race, color, national origin, religion, sex, age, marital status, disability, veteran status, sexual orientation, gender identity, or other characteristics protected by law. The “EEO is the Law” poster is available at: http://www.dol.gov/ofccp/regs/ compliance/posters/pdf/eeopost.pdf.
 Envista and its family of companies (Envista) will not accept unsolicited resumes from any source other than directly from a candidate. Envista will consider unsolicited referrals and/or resumes submitted by vendors such as search firms, staffing agencies, professional recruiters, fee\-based referral services and recruiting agencies (Agency) to have been referred by the Agency free of charge and Envista will not pay a fee for any placement resulting from the receipt such unsolicited resumes. An Agency must obtain advance written approval from Envista's internal Talent Acquisition or Human Resources team to submit resumes, and then only in conjunction with a valid fully\-executed contract approved by the Global Talent Acquisition leader and in response to a specific job opening. Envista will not pay a fee to any Agency that does not have such agreement and written approval in place.
 Envista is a global family of more than 30 trusted dental brands, united by a shared purpose: to partner with professionals to improve lives. Envista helps its customers deliver the best possible patient care through industry\-leading dental consumables, solutions, technology, and services. Our comprehensive portfolio, including dental implants and treatment options, orthodontics, and digital imaging technologies, covers an estimated 90% of dentists' clinical needs for diagnosing, treating, and preventing dental conditions as well as improving the aesthetics of the human smile. Envista companies, including DEXIS, Kerr, Nobel Biocare and Ormco, partner with dental professionals to help them deliver the best possible patient care.
 Envista became an independent company in 2019\. We brought with us the proven Envista Business System (EBS) methodology, an experienced leadership team, and a strong culture grounded in continuous improvement, commitment to innovation, and deep customer focus to meet the end\-to\-end needs of dental professionals worldwide. Envista is now one of the largest global dental products companies, with significant market positions in some of the most attractive segments of the dental products industry. For more information, please visit www.envistaco.com .
 If you have questions about this posting, please contact support@lensa.com</t>
        </is>
      </c>
    </row>
    <row r="145">
      <c r="A145" t="inlineStr">
        <is>
          <t>li-4372192854</t>
        </is>
      </c>
      <c r="B145" t="inlineStr">
        <is>
          <t>Mobile App Product Manager, Vehicle Security</t>
        </is>
      </c>
      <c r="C145" t="inlineStr">
        <is>
          <t>Ford Motor Company</t>
        </is>
      </c>
      <c r="D145" t="inlineStr">
        <is>
          <t>linkedin</t>
        </is>
      </c>
      <c r="E145">
        <f>HYPERLINK("https://www.linkedin.com/jobs/view/4372192854", "https://www.linkedin.com/jobs/view/4372192854")</f>
        <v/>
      </c>
      <c r="F145" t="inlineStr"/>
      <c r="G145" t="inlineStr"/>
      <c r="H145" t="inlineStr"/>
      <c r="I145" t="inlineStr">
        <is>
          <t>**Job Description**
 We are the movers of the world and the makers of the future. We get up every day, roll up our sleeves and build a better world \-\- together. At Ford, we’re all a part of something bigger than ourselves. Are you ready to change the way the world moves?
 Launched in 2023, Integrated Services creates and markets new customer experiences by integrating hardware, software and services across Ford Blue, Model e and Ford Pro. These products and services allow Ford's retail and commercial customers to customize their vehicles like never before with OTA (over\-the\-air)\-driven experiences that grow better over time. Ford is developing leadership at the forefront of connected, digital platforms that will revolutionize every aspect of how vehicles function, the way people interact with them, and the value those vehicles provide.
**In this position...**
 Ford is developing leadership at the forefront of connected, digital platforms that will revolutionize every aspect of how vehicles function, the way people interact with them, and the value those vehicles provide. Integrated Services creates and markets new customer products and experiences by integrating hardware, software, and services across Ford Blue, Model e, Ford Pro and Lincoln. Within Integrated Services, our Digital Product Team leads the charge on creating innovative software for our customers. Through listening to customers, research, and a deep understanding of the market, this team leads the future on how Ford can differentiate its vehicles and create experiences customers love.
 We are looking for passionate product professionals who will continue to help us redefine the future of mobility. As a Digital Product Manager at Ford, you will work cross\-functionally to ensure the products we build will meet and elevate our customer's experience.
***This position is posted as ‘remote’ unless the selected candidates live within 50 Miles of Dearborn, MI. If so, then it requires a hybrid onsite schedule, with 4 days a week in office.***
**Responsibilities**
**What you'll do...**
* Through listening to customer data and feedback, you will work to define new digital products to enhance the customer experience.
* Work with a team to define product artifacts (PRDs, PRFAQs, Strategy Documents) for digital products
* Manage product lifecycle, prioritize product backlog, collaborate with design and engineering teams, gather and analyze market and customer data.
* Maintain a balance between business viability, user desirability and technical feasibility while delivering software products with a team.
* Work hands\-on with the development team to prioritize, plan, and deliver software that creates excellent user experiences.
* Conduct product experiments, user interviews and other validation techniques to gather customer and product insights.
* Analyze data to make sure it is guiding us to make the best decisions for our customers.
* Improving the existing Ford Security package with features such as vehicle theft alerts, vehicle start inhibiting, vehicle theft monitoring, and security cameras.
**Qualifications**
**You'll have...**
* Bachelor's degree required
* 3\+ years as a product manager of digital products
* Experience with consumer\-facing aspects of vehicle theft prevention, video surveillance, and remote vehicle controls.
* Strong leadership and communication skills to manage stakeholders across the organization
* Experience successfully leading collaborative efforts among engineering, design, and business teams to achieve shared objectives.
* A deep passion for your customers, their needs, and for building/shipping products to meet these needs
* Demonstrated effectiveness in complex organizations
* Solid analytical skills
* Familiarity with Agile Software Methodologies (Scrum, extreme Programming, Kanban)
* Curiosity around new technologies and a strong desire for continued learning
* Proficiency with Figma´s prototyping features and managing backlogs in Jira
* Proficiency in Microsoft Office Suite
* This position is posted as ‘remote’ unless the selected candidates live within 50 Miles of Dearborn, MI. If so, then it requires a hybrid onsite schedule, with 4 days a week in office.
**Even better, you may have...**
* Bachelor’s Degree in Computer Science, Engineering, or Business
* 3\+ years as a product manager for a mobile app, with successful product launches in the past
* 4\+ years full time professional experience
* Proven professional experience working with vehicle or home security products and a strong understanding of their functionality
* Embedded software expertise
 You may not check every box, or your experience may look a little different from what we've outlined, but if you think you can bring value to Ford Motor Company, we encourage you to apply!
 As an established global company, we offer the benefit of choice. You can choose what your Ford future will look like: will your story span the globe, or keep you close to home? Will your career be a deep dive into what you love, or a series of new teams and new skills? Will you be a leader, a changemaker, a technical expert, a culture builder…or all of the above? No matter what you choose, we offer a work life that works for you, including:
* Immediate medical, dental, vision and prescription drug coverage
* Flexible family care days, paid parental leave, new parent ramp\-up programs, subsidized back\-up childcare and more
* Family building benefits including adoption and surrogacy expense reimbursement, fertility treatments, and more
* Vehicle discount program for employees and family members and management leases
* Tuition assistance
* Established and active employee resource groups
* Paid time off for individual and team community service
* A generous schedule of paid holidays, including the week between Christmas and New Year’s Day
* Paid time off and the option to purchase additional vacation time.
 For more information on salary and benefits, click here: https://fordcareers.co/GSRSP1
 This position is a range of salary grades 7\-8\.
 Visa sponsorship is not available for this position.
 Candidates for positions with Ford Motor Company must be legally authorized to work in the United States. Verification of employment eligibility will be required at the time of hire.
 We are an Equal Opportunity Employer. All qualified applicants will receive consideration for employment without regard to race, religion, color, age, sex, national origin, sexual orientation, gender identity, disability status or protected veteran status. In the United States, if you need a reasonable accommodation for the online application process due to a disability, please call 1\-888\-336\-0660\.
**This position is hybrid (onsite four days per week) for candidates who are in commuting distance to a Ford hub location or remote for non\-local candidates.**</t>
        </is>
      </c>
    </row>
    <row r="146">
      <c r="A146" t="inlineStr">
        <is>
          <t>li-4363946711</t>
        </is>
      </c>
      <c r="B146" t="inlineStr">
        <is>
          <t>Product Manager</t>
        </is>
      </c>
      <c r="C146" t="inlineStr">
        <is>
          <t>Abbott</t>
        </is>
      </c>
      <c r="D146" t="inlineStr">
        <is>
          <t>linkedin</t>
        </is>
      </c>
      <c r="E146">
        <f>HYPERLINK("https://www.linkedin.com/jobs/view/4363946711", "https://www.linkedin.com/jobs/view/4363946711")</f>
        <v/>
      </c>
      <c r="F146" t="inlineStr"/>
      <c r="G146" t="inlineStr">
        <is>
          <t>Lake Forest, IL</t>
        </is>
      </c>
      <c r="H146" t="inlineStr"/>
      <c r="I146"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**Product Manager**
**Working at Abbott**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As the
 **Product Manager** 
 in our
 **Lake Forest, IL** 
 location, you will lead the strategic development and launch preparation of products and services within the Workplace Services business in
 **Abbott Rapid and Molecular Diagnostics Toxicology Division** 
 . You will oversee product/service design and development and go\-to\-market readiness to ensure each new product or service is positioned for success. By analyzing market trends, customer behavior, regulatory requirements, and competitive activity, you will identify opportunities to inform the innovation roadmap and to guide product development to address evolving customer needs. In this role, you will collaborate with cross\-functional teams including R\&amp;D, Operations, IT, PMO, Quality, Regulatory, Channel Marketing, and Sales to prepare products for market launch. You will lead product development planning efforts, monitor sales performance, and adapt strategies to optimize results. Your ability to evaluate product performance and customer feedback in order to drive insights into action will drive continuous improvement and innovation.
**What You’ll Work On**
* Oversee product development and design, conduct market research as needed, define price strategies, launch new products, and monitor sales performance to effectively market new products/services.
* Evaluate market trends, customer behavior and competitor activity to identify product/service opportunities for the innovation plan.
* Lead the cross functional timeline management for product development and product launch readiness.
* Prepare products for commercialization by working with cross\-functional teams (e.g., Operations, IT, R\&amp;D, PMO, Quality, Regulatory, Channel Marketing, Commercial).
* Adapt plans to improve the sales performance of product/services : Monitor sales volume, revenues and costs against forecasts to inform opportunities for optimization.
* Lead launch planning and commercialization of products, ensuring alignment across cross\-functional team and full product readiness for optimal launch success.
* Collaborate with internal technical resources to synthesize requirements for the development or enhancement of products and services and their supporting technology / software enhancement.
**Required Qualifications**
* Bachelors degree
* Minimum two years Commercial experience, minimum five\-year total business experience.
**Preferred Qualifications**
* MBA or Masters degree a plus.
* Work experience in Occupational Health Services is a plus but not required.
* Experience in B2B marketing.
* 6 – 8 years of experience in product management and/or product development preferred
* Experience managing products through the full lifecycle, from concept to launch and beyond, while anticipating future needs and challenges.
* Strong business acumen and analytical skills, with a deep understanding of customer needs and the ability to represent the customer in design and development discussions.
* Excellent written and verbal communication skills, with the ability to influence and collaborate across teams and levels.
* Ability to work in multiple initiatives with short and overlapping deadlines.
* Strong interpersonal skills and ability to work with a diverse team.
* Self\-motivated and self\-starter, with initiative to deliver results.
* Experience developing service\-oriented products in the healthcare industry.
* Strong understanding of software and technology, including the user experience (UI/UX).
* Prior experience translating technology service solutions into revenue generating products.
* Experience managing a budget.
**Apply Now**
**Learn more about our health and wellness benefits, which provide the security to help you and your family live full lives :** 
 https ://abbottbenefits.com/
 Follow your career aspirations to Abbott for diverse opportunities with a company that can help you build your future and live your best life. Abbott is an Equal Opportunity Employer, committed to employee diversity.
 Connect with us at abbott.com, on LinkedIn at https ://www.linkedin.com/company/abbott\-/, and on Facebook at https ://www.facebook.com/AbbottCareers
 The base pay for this position is $99,300\.00 – $198,700\.00\. In specific locations, the pay range may vary from the range posted.</t>
        </is>
      </c>
    </row>
    <row r="147">
      <c r="A147" t="inlineStr">
        <is>
          <t>li-4372205268</t>
        </is>
      </c>
      <c r="B147" t="inlineStr">
        <is>
          <t>Principal Product Manager - Strategy</t>
        </is>
      </c>
      <c r="C147" t="inlineStr">
        <is>
          <t>Lensa</t>
        </is>
      </c>
      <c r="D147" t="inlineStr">
        <is>
          <t>linkedin</t>
        </is>
      </c>
      <c r="E147">
        <f>HYPERLINK("https://www.linkedin.com/jobs/view/4372205268", "https://www.linkedin.com/jobs/view/4372205268")</f>
        <v/>
      </c>
      <c r="F147" t="inlineStr"/>
      <c r="G147" t="inlineStr">
        <is>
          <t>Annapolis, MD</t>
        </is>
      </c>
      <c r="H147" t="inlineStr"/>
      <c r="I147"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Oracle. Clicking "Apply Now" or "Read more" on Lensa redirects you to the job board/employer site. Any information collected there is subject to their terms and privacy notice.
**Job Description**
 The team at OCI is constructed with an entrepreneurial drive that promotes an energetic and creative environment. We are unencumbered and will need your contribution to continue to support our world class engineering center with the focus on excellence.
 The ideal candidate should be self\-motivated with a proven and deeply technical track record within the cloud industry. A demonstrated capacity to approach business, products, and technical challenges with a strategic mindset is essential. We seek individuals who seamlessly navigate the intersection of technology and business. This role demands high technical proficiency, customer focus, requiring broad competence across various technologies and the ability to work with technology leaders
**Responsibilities**
 Key responsibilities include:
* Provide strategic guidance, lead and drive rapid customer and partner adoption of multicloud platforms by working directly with customers, account teams, and engineering teams.
* Collaborate closely with sales and product teams to drive successful client engagements for products across OCI.
* Stay at the forefront of technological advancements, guiding the adoption of cutting\-edge solutions.
* Present solutions to customers and partners at multiple levels, from engineers up to CxO while explaining transformational concepts to executive decision makers and influencing their technology strategy.
* Drive lighthouse wins while developing and executing scalable adoption programs and identifying repeatable solutions to solve customers' challenges and help the broader field organization.
* Develop a passion for educating, training, and enabling cloud solutions experts for a challenging set of customers and circumstances.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$115,400 to $251,600 per annum. May be eligible for bonus, equity, and compensation deferral.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IC5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
 If you have questions about this posting, please contact support@lensa.com</t>
        </is>
      </c>
    </row>
    <row r="148">
      <c r="A148" t="inlineStr">
        <is>
          <t>li-4326750491</t>
        </is>
      </c>
      <c r="B148" t="inlineStr">
        <is>
          <t>Senior Product Manager</t>
        </is>
      </c>
      <c r="C148" t="inlineStr">
        <is>
          <t>BuildOps</t>
        </is>
      </c>
      <c r="D148" t="inlineStr">
        <is>
          <t>linkedin</t>
        </is>
      </c>
      <c r="E148">
        <f>HYPERLINK("https://www.linkedin.com/jobs/view/4326750491", "https://www.linkedin.com/jobs/view/4326750491")</f>
        <v/>
      </c>
      <c r="F148" t="inlineStr"/>
      <c r="G148" t="inlineStr"/>
      <c r="H148" t="inlineStr"/>
      <c r="I148" t="inlineStr">
        <is>
          <t>**About The Job**
 At BuildOps, we’re building a groundbreaking software solution, purpose\-built to support today’s commercial contractors. From helping our customers manage their service department all the way to project management, we’re breaking the mold and building a team that invests in our mission statement. We love driven, self\-motivated folks experienced in tech start\-ups and thrive in fast\-paced environments. Could you be our next hire?
 This candidate will join a well\-funded, fast\-growing technology startup with the unique opportunity to help build out a critical function for the company.
 As a Product Manager, you will have the opportunity to build industry leading solutions for the commercial subcontracting industry including field service, maintenance management. You will learn about our customers \- their people, organization structures, processes, and what they need from their operations platform. You will work closely with other Product Managers to understand common needs and patterns to create innovative solutions and workflows that solve for multiple use cases across personas. You will be expected to meet KPIs metrics that are customer driven.
**What You'll Do:**
* Drive the product vision and roadmap for your domain, working closely with a team of engineers, designers, QA, and data engineers for execution
* Engage with customers of various types and sizes to understand their needs and validate solutions
* Challenge traditional approaches and conceptualize cutting edge solutions with AI and ML
* Work closely with other Product Managers, Customer Success, and Sales team members to understand priorities and align the roadmap with business objectives
* Communicate priorities and feature releases company wide for visibility. Work directly with early adopter customers for Beta Testing and feedback, and work closely with the Customer Success team for wider rollouts
* Own CSAT and feature adoption KPIs, as well as KPIs that measure efficiency gained for our customers
**What We Look For:**
* 5\+ years of product management experience, ideally B2B SaaS.
* Strong technical skills \- engineering, SQL, analytics.
* Strong communication skills \- collaborating with GTM and EPD teams; and directly with customers.
* Strong customer research skill \- working closely with customers to elicit their needs
* Strong product management skills \- demonstrated ability to ship 0 to 1; and scale.
* Familiarity with contractor workflows \- incl. Project management and Maintenance agreements.
* Strong understanding of agile development methodologies and experience working in an agile environment.
* Mission driven individuals, who are motivated by complex challenges.
**Bonus:**
* You have experience in and around the speciality contractor or construction world
* You have experience with products that manage equipment, equipment maintenance
* Knowledge of Accounting concepts and systems
* Familiarity with Salesforce, JIRA, Slack, Confluence
**Compensation:**
* $135,000 \- $180,000 base \+ annual bonus
**What we offer:**
* Generous equity grant, become an owner in our company!
* Macbook computer provided
* A comprehensive benefits package
* Flexible PTO and hybrid work schedules
* Work from home stipend
* Hubs in Los Angeles, San Francisco, Toronto, and Raleigh with hybrid work schedules and lunch provided for in\-office days
* Company events like BBQs and team\-building activities, both in\-person and virtual
* Fast\-paced, collaborative, and dynamic work environment
* Opportunities for growth and career advancement
* Chance to work with cutting\-edge technology and innovative solutions
* The chance to get in on the ground floor and build something truly groundbreaking for ourselves and our amazing customers
**About BuildOps**
 Join BuildOps, the largest commercial trade platform in the country, as we transform the multi\-billion dollar commercial contracting industry!
 We’re not just talking incremental improvements—we’re talking a full\-scale revolution, empowering the hardworking heroes who build and maintain the infrastructure that keeps our world running. See why contractors choose Buildops here.
 This is your chance to be part of a rocketship. We’re fresh off a $1 billion valuation and a $127M Series C funding round (part of over $275M raised to date) led by industry\-leading investors like Meritech Capital, BOND, and SE Ventures, backed by Schneider Electric (Reuters, TechCrunch, LA Business Journal) . Our latest investors join our team of industry heavyweights like Next47, former Twitter CEO Dick Costolo, former Salesforce President Gavin Patterson, and Boost Mobile CEO Stephen Stokols. Their investment is fueling our aggressive growth and our commitment to equipping contractors with AI\-driven tools to conquer chaos, boost efficiency, skyrocket profitability, and ultimately, deliver exceptional service.
 At BuildOps, we’re changing the game and doing the best work of our careers. You’ll be a key player in a company that’s truly making a difference for the backbone of our economy. If you’re ready to tackle big challenges, work with a passionate team, and build something extraordinary, BuildOps is the place for you. 🚀</t>
        </is>
      </c>
    </row>
    <row r="149">
      <c r="A149" t="inlineStr">
        <is>
          <t>li-4372210280</t>
        </is>
      </c>
      <c r="B149" t="inlineStr">
        <is>
          <t>Sr. Technical Product Manager (Remote)</t>
        </is>
      </c>
      <c r="C149" t="inlineStr">
        <is>
          <t>Lensa</t>
        </is>
      </c>
      <c r="D149" t="inlineStr">
        <is>
          <t>linkedin</t>
        </is>
      </c>
      <c r="E149">
        <f>HYPERLINK("https://www.linkedin.com/jobs/view/4372210280", "https://www.linkedin.com/jobs/view/4372210280")</f>
        <v/>
      </c>
      <c r="F149">
        <f>HYPERLINK("https://lensa.com/cgw/2ba8ee6386ed46438db8fcaab069af35tjo1?jpsi=directemployers&amp;publisher_preference=easier_apply&amp;utm_campaign=Operations%20Specialties%20Managers&amp;utm_medium=slot&amp;utm_source=linkedin&amp;utm_term=jse&amp;urlHash=rNvf", "https://lensa.com/cgw/2ba8ee6386ed46438db8fcaab069af35tjo1?jpsi=directemployers&amp;publisher_preference=easier_apply&amp;utm_campaign=Operations%20Specialties%20Managers&amp;utm_medium=slot&amp;utm_source=linkedin&amp;utm_term=jse&amp;urlHash=rNvf")</f>
        <v/>
      </c>
      <c r="G149" t="inlineStr">
        <is>
          <t>Indianapolis, IN</t>
        </is>
      </c>
      <c r="H149" t="inlineStr"/>
      <c r="I149"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GovCIO. Clicking "Apply Now" or "Read more" on Lensa redirects you to the job board/employer site. Any information collected there is subject to their terms and privacy notice.
**Overview**
 The Technical Product Manager is responsible for overseeing the full software development lifecycle for assigned products, in support of the VA Office of Connected Care.
 This position will a fully remote position located within the United States.
**Responsibilities**
* Manage the full software development process lifecycle for assigned product(s)
* Facilitate strategy and prioritization discussions
* Transform high\-level vision into detailed action plans
* Build and maintain the product roadmap, ensuring prioritization aligns with customer needs, technical feasibility and stakeholder input.
* Collaborate with engineering, design, data, QA and operations teams to ensure product quality and delivery.
* Lead and/or support sprint planning, backlog refinement, sprint review and retrospective sessions in partnership with the development team(s).
* Ensure continuous communication across cross\-functional teams to remove blockers, track progress, and maintain alignment.
* Partner with data teams to analyze product usage, optimize user experience, and define KPIs
* Use Scrum Master experience or knowledge to foster agile best practices, improve team velocity and drive execution discipline.
* Consult and coordinate with experts and cross\-disciplinary teams to conduct discovery and establish clear requirements that meet user needs
* Manage multiple projects, to include planning, risk management and mitigation, training and communication, regular status reporting, and associated documentation
* Lead and participate in dynamic meetings with cross\-functional teams, orchestrating discussions and ensuring clear objectives are met
* Conceptualize, analyze, and advise clients on solution options to achieve their objectives
* Work closely with strategic delivery partners, subcontractors, and vendors
* Coordinate efforts across numerous teams through frequent and effective communication
**Qualifications**
**Requ** 
**ired Skills and Experience**
* Bachelor's with 8\+ years (or commensurate experience)
* You have at least 7 years of experience applying product and/or or project management principles in a healthcare and/or technical environment.
* You’ll be responsible for managing a product, or a suite of products from requirements gathering through the testing and production release cycle.
* You have helped build products or complex feature sets from the ground up, organizing efforts to incrementally deliver on product direction and goals.
* You have excellent presentation skills to include building slide decks and effective communication with executive leadership.
* You are strong in Agile Project Management methodologies and procedures.
* You are proficient in use of Microsoft Excel, Microsoft PowerPoint, and Agile Tools such as Jira.
* You have a bachelor’s degree, and preferably also a master’s and/or applicable certifications (PMP, ITIL, SAFe Agile).
**Clearance Required:** 
 Ability to obtain and maintain a Suitability/Public Trust clearance
**Preferred Skills And Experience**
* You can articulate the difference between product and project management and provide concrete examples of both.
* You possess strong emotional intelligence, enabling you to tailor your communication style and convey technical concepts across interdisciplinary teams.
* Prior experience working with or delivering solutions on the Appian platform.
**Company Overview**
 GovCIO is a team of transformers\-\-people who are passionate about transforming government IT. Every day, we make a positive impact by delivering innovative IT services and solutions that improve how government agencies operate and serve our citizens.
 But we can't do it alone. We need great people to help us do great things \- for our customers, our culture, and our ability to attract other great people. We are changing the face of government IT and building a workforce that fuels this mission. Are you ready to be a transformer?
**What You Can Expect**
**Interview \&amp; Hiring Process**
 If you are selected to move forward through the process, here’s what you can expect:
* During the Interview Process
* Virtual video interview conducted via video with the hiring manager and/or team
* Camera must be on
* A valid photo ID must be presented during each interview
* During the Hiring Process
* Enhanced Biometrics ID verification screening
* Background check, to include:
* Criminal history (past 7 years)
* Verification of your highest level of education
* Verification of your employment history (past 7 years), based on information provided in your application
**Employee Perks**
**Benefits**
 At GovCIO, we consistently hear that meaningful work and a collaborative team environment are two of the top reasons our employees enjoy working here. In addition, our employees have access to a range of perks and benefits to support their personal and professional well\-being, beyond the standard company offered health benefits, including:
* Employee Assistance Program (EAP)
* Corporate Discounts
* Learning \&amp; Development platform, to include certification preparation content
* Training, Education and Certification Assistance\*
* Referral Bonus Program
* Internal Mobility Program
* Pet Insurance
* Flexible Work Environment
* Available to full\-time employees
 Our employees’ unique talents and contributions are the driving force behind our success in supporting our customers, which ultimately fuels the success of our company. Join us and be a part of a culture that invests in its people and prioritizes continuous enhancement of the employee experience.
**We are an Equal Opportunity Employer.** 
 All qualified applicants will receive consideration for employment without regard to race, color, religion, sex, gender, gender identity or expression, sexual orientation, national origin, disability, or status as a protected veteran. EOE, including disability/vets.
**Posted Pay Range**
 The posted pay range, if referenced, reflects the range expected for this position at the commencement of employment, however, base pay offered may vary depending on multiple individualized factors, including market location, job\-related knowledge, skills, education, experience, and internal equity. The total compensation package for this position may also include other compensation elements, to be discussed during the hiring process. If hired, employee will be in an “at\-will position” and the GovCIO reserves the right to modify base salary (as well as any other discretionary payment or compensation program) at any time, including for reasons related to individual performance, GovCIO or individual department/team performance, and market factors.
**Posted Salary Range**
 USD $150,000\.00 \- USD $160,000\.00 /Yr.
 Submit a referral to this job (https://careers\-govcio.icims.com/jobs/7096/sr.\-technical\-product\-manager\-%28remote%29/job?mode\=apply\&amp;apply\=yes\&amp;in\_iframe\=1\&amp;hashed\=\-1834385473\)
**Location** 
*US\-Remote*
**ID** 
*2025\-7096*
**Category** 
*Project/Program Management*
**Position Type** 
*Full\-Time*
 If you have questions about this posting, please contact support@lensa.com</t>
        </is>
      </c>
    </row>
    <row r="150">
      <c r="A150" t="inlineStr">
        <is>
          <t>li-4358050242</t>
        </is>
      </c>
      <c r="B150" t="inlineStr">
        <is>
          <t>Product Manager 2026 ELH</t>
        </is>
      </c>
      <c r="C150" t="inlineStr">
        <is>
          <t>IBM</t>
        </is>
      </c>
      <c r="D150" t="inlineStr">
        <is>
          <t>linkedin</t>
        </is>
      </c>
      <c r="E150">
        <f>HYPERLINK("https://www.linkedin.com/jobs/view/4358050242", "https://www.linkedin.com/jobs/view/4358050242")</f>
        <v/>
      </c>
      <c r="F150">
        <f>HYPERLINK("https://ibmglobal.avature.net/en_US/careers/JobDetail?jobId=91272&amp;src=SN_LinkedIn&amp;urlHash=uU9D", "https://ibmglobal.avature.net/en_US/careers/JobDetail?jobId=91272&amp;src=SN_LinkedIn&amp;urlHash=uU9D")</f>
        <v/>
      </c>
      <c r="G150" t="inlineStr">
        <is>
          <t>New York, United States</t>
        </is>
      </c>
      <c r="H150" t="inlineStr"/>
      <c r="I150" t="inlineStr">
        <is>
          <t>**Introduction**
 A career in IBM Software means you’ll be part of a team that transforms
 our customer’s challenges into solutions.
 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We are seeking a skilled back\-end developer to join our IBM Software team. As part of
 our team, you will be responsible for developing and maintaining high\-quality software
 products, working with a variety of technologies and programming languages.
 IBM’s product and technology landscape includes Research, Software, and
 Infrastructure. Entering this domain positions you at the heart of IBM, where growth
 and innovation thrive.
**Your Role And Responsibilities**
 We are seeking Product Managers to help shape AI\-enabled and data\-driven products
 that solve complex business challenges. In this role, you will guide product strategy,
 collaborate across engineering, design, data science, and go\-to\-market teams, and ensure
 that we deliver secure, scalable, intuitive experiences. You will use insights, analytics,
 and user needs to define priorities and drive meaningful product outcomes.
**What You’ll Do**
* Define product strategy aligned with user needs and business goals.
* Translate technical concepts—such as ML models, APIs, and data pipelines—into
 clear product requirements.
* Prioritize the backlog using data\-informed frameworks and support roadmap
 execution.
* Collaborate with cross\-functional teams to deliver high\-quality features.
* Incorporate responsible AI principles such as transparency, fairness, and compliance.
* Monitor product performance using analytics and user feedback.
* Communicate product vision and progress to stakeholders.
* Advocate for user experience and usability in AI\-driven interfaces.
**Preferred Education**
 Bachelor's Degree
**Required Technical And Professional Expertise**
* Strong fundamentals in product strategy, roadmap planning, and backlog management.
* Understanding of AI, ML, or data lifecycle concepts.
* Experience with Agile practices such as sprint planning and iterative delivery.
* Ability to analyze data, use product analytics tools, and interpret metrics.
* Clear communication and storytelling skills.
* Ability to collaborate across diverse teams and manage dependencies.
**Preferred Technical And Professional Experience**
* Experience with enterprise or AI\-powered products.
* Familiarity with responsible AI frameworks.
* Experience working with global teams.</t>
        </is>
      </c>
    </row>
    <row r="151">
      <c r="A151" t="inlineStr">
        <is>
          <t>li-4350752136</t>
        </is>
      </c>
      <c r="B151" t="inlineStr">
        <is>
          <t>Product Manager</t>
        </is>
      </c>
      <c r="C151" t="inlineStr">
        <is>
          <t>IBM</t>
        </is>
      </c>
      <c r="D151" t="inlineStr">
        <is>
          <t>linkedin</t>
        </is>
      </c>
      <c r="E151">
        <f>HYPERLINK("https://www.linkedin.com/jobs/view/4350752136", "https://www.linkedin.com/jobs/view/4350752136")</f>
        <v/>
      </c>
      <c r="F151">
        <f>HYPERLINK("https://ibmglobal.avature.net/en_US/careers/JobDetail?jobId=81981&amp;src=SN_LinkedIn&amp;urlHash=F7ZT", "https://ibmglobal.avature.net/en_US/careers/JobDetail?jobId=81981&amp;src=SN_LinkedIn&amp;urlHash=F7ZT")</f>
        <v/>
      </c>
      <c r="G151" t="inlineStr">
        <is>
          <t>San Jose, CA</t>
        </is>
      </c>
      <c r="H151" t="inlineStr"/>
      <c r="I151"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Vault is HashiCorp’s multi\-cloud security platform. Its open source community has tens of thousands of active, engaged users. Vault's strength lies in its ability to manage secrets and secure access, with PKI being a key component for issuing, signing, and revoking X.509 certificates. This role is dedicated to expanding and maturing Vault's cryptographic and PKI capabilities, including advanced features like certificate management, key rotation, crypto agility, and support for emerging cryptographic standards, especially those related to Post Quantum Cryptography. This role sits at the convergence of deep technical security, product strategy, and engagement with security practitioners. You will work with Vault users, security teams, and cloud partners to understand their needs and advance Vault's Crypto and PKI product line.
**Responsibilities**
* Craft the product story by understanding the security landscape, user needs in certificate and key management, crypto agility requirements, and HashiCorp principles.
* Write detailed product strategy documents focused on cryptographic features, PKI, and the roadmap for PQC transition and support to set the context for the product roadmap.
* Prioritize the product roadmap by taking feedback from security practitioners, engineering, marketing, and the HashiCorp vision regarding Vault's crypto/PKI capabilities.
* Conduct user research and write Product Requirement Documents (PRDs) to distill the research into requirements for engineering to deliver.
* Communicate product status to all partners. Keep sales and marketing updated on feature releases and keep engineering informed on feature requests.
* Help with sales and marketing collateral to educate on the product story and features (Website copy, whitepapers, sales decks, FAQs, etc).
**Preferred Education**
 Master's Degree
**Required Technical And Professional Expertise**
* 3\+ years of product management experience with developer or security products.
* 1\+ years of experience with cryptographic technologies, PKI, certificate management, and key management systems (KMS) or hardware security modules (HSM).
* Strong user and market research skills, particularly within the cloud and enterprise security space.
* Ability to organize multiple stakeholders towards a common goal.
* Analytical with the ability to prioritize and make tradeoffs.
**Preferred Technical And Professional Experience**
* Strong technical understanding of cryptographic primitives, algorithms, key derivation functions, and zero\-trust security models.
* Direct knowledge of or experience planning for Post\-Quantum Cryptography (PQC) standards and migration strategies is highly desirable.</t>
        </is>
      </c>
    </row>
    <row r="152">
      <c r="A152" t="inlineStr">
        <is>
          <t>li-4355050987</t>
        </is>
      </c>
      <c r="B152" t="inlineStr">
        <is>
          <t>Staff Product Manager, Business</t>
        </is>
      </c>
      <c r="C152" t="inlineStr">
        <is>
          <t>Linktree</t>
        </is>
      </c>
      <c r="D152" t="inlineStr">
        <is>
          <t>linkedin</t>
        </is>
      </c>
      <c r="E152">
        <f>HYPERLINK("https://www.linkedin.com/jobs/view/4355050987", "https://www.linkedin.com/jobs/view/4355050987")</f>
        <v/>
      </c>
      <c r="F152" t="inlineStr"/>
      <c r="G152" t="inlineStr"/>
      <c r="H152" t="inlineStr"/>
      <c r="I152" t="inlineStr">
        <is>
          <t>**The Role**
 We’re looking for a Staff Product Manager to define and build the next evolution of Linktree’s Business Suite — the tools that help agencies, brands, and creator\-focused teams manage multiple profiles, discover talent, and run creator programs at scale.
 This is a
 **true zero\-to\-one role** 
 : you’ll shape the strategy for Workspaces (multi\-profile management) while also influencing the broader Business Suite, which will ultimately bring together workflows like creator discovery, campaign tools, and team\-based access management. Your work will enable talent agencies, influencer marketing teams, and fast\-growing brands to run their creator operations through Linktree — without bespoke enterprise support or sales\-heavy motions.
 You’ll partner closely with Engineering, Design, and Creator Partnerships to define the product vision, run hands\-on discovery, and translate customer pain points into clear, scalable solutions. This is an ideal role for a PM who moves quickly, thrives in ambiguous spaces, and is energized by solving net\-new customer problems.
**What You’ll Own**
**Product Vision \&amp; Strategy**
* Define the North Star for Linktree’s Business Suite — starting with Workspaces and evolving into a cohesive suite that supports agencies and brand teams.
* Prioritize the highest\-impact workflows across multi\-profile management, creator discovery, campaign coordination, and team collaboration.
* Focus on scalable solutions that serve a broad range of business users, without relying on custom builds or heavy enterprise support.
**Customer Discovery \&amp; Insight Development**
* Lead hands\-on discovery with talent agencies, influencer marketers, brand partnerships teams, and creator\-focused organizations.
* Run qualitative research independently — from outreach to interviews — and synthesize insights into actionable product direction.
* Identify patterns across diverse customer segments to define solutions that work broadly, rather than for one\-off enterprise deals.
**Product Execution**
* Translate ambiguous user needs into clear problem definitions, strong narratives, and testable product hypotheses.
* Work with Design and Research to validate early concepts and iterate quickly on flows that support agency and brand workflows.
* Partner with Engineering on system requirements such as identity, permissions, profile access, and multi\-user management (platform experience is helpful, but not the core requirement).
* Define success metrics across activation, adoption, retention, and customer satisfaction — then drive continuous improvement.
**Cross\-Functional Collaboration**
* Collaborate with Creator Partnerships, Sales, Support, and Marketing to ensure cohesive rollout and customer understanding.
* Serve as a product ambassador, confidently pitching concepts to customers and internal teams.
* Help shape a product\-led and marketing\-led growth motion for a new category of business\-facing tools at Linktree.
**Who We’re Looking For**
**Must\-Haves**
* 7\+ years of Product Management experience, ideally across business tools, creator/influencer platforms, or B2B2C products.
* Proven zero\-to\-one builder — you’ve shipped net\-new products, not just features, and can define structure where none exists.
* Strong customer research skills — you’re comfortable driving your own discovery, talking to customers weekly, and turning qualitative insights into product decisions.
* Ability to confidently pitch product concepts, tell a compelling story, and bring stakeholders along.
* Comfortable working in fast\-paced, ambiguous environments where autonomy, scrappiness, and ownership are essential.
* Experience working with teams who serve creators, agencies, influencers, or brand marketers (direct or adjacent).
**Nice\-to\-Haves**
* Familiarity with platform concepts like identity, permissions, multi\-user access, and multi\-account systems — helpful but not the core of the role.
* Experience with creator economy, influencer marketing tools, or advertising/brand partnership ecosystems.
* Background working on a business manager–style product (e.g., Meta Business Manager, TikTok Business Center, Pinterest Business tools, etc.).
*Linktree is committed to providing a fair and competitive compensation package including cash, equity, and benefits. The base salary offered for this role is targeted at $215,000\-$230,000 for roles based in San Francisco and Los Angeles. Final offers depend on multiple factors including location, experience, expertise, and role scope, and may vary from the range listed.*
 P.S. If you don’t tick every box in this listing, please don’t rule yourself out. We take pride in inclusion and hiring incredible human beings with great potential over ticking boxes – so if this role resonates with you, hit that apply button!
**Our Story**
 We’re on a mission to empower anyone to curate, grow, and monetize their digital universe. We created the “link in bio” category — and we’re just getting started. From creators, artists, and entrepreneurs to global brands, we’re redefining how people connect with their communities, showcase their content and promote products — all in one link.
 Today, a community of 70\+ million use Linktree, including icons like Adidas, TikTok, the UN Environmental Program, The NFL, Manchester United, World Central Kitchen, Sabrina Carpenter, Olivia Rodrigo, and Selena Gomez. With 48,000 new accounts created every day, Linktree is the fastest\-growing leader in our space.
 We’ve teamed up with some of the world’s biggest platforms including TikTok, Snap, YouTube, GoFundMe, Spotify, Google, Stripe, Reddit, Laylo, and Kajabi, to unify Linkers’ digital spaces, and we partner with retail brands Amazon, Lululemon, Nike, Target, Sephora, Lululemon, and more to share products they love.
 We’re a tight\-knit, passionate team building best\-in\-class tools that make online presence simple, powerful, and yours. If you're excited by the idea of shaping a new category, setting the standard, and making space for everyone to be seen and succeed, we’d love to meet you.
**Where And How We Work**
 We're a global, diverse team spread across continents with offices in London, Los Angeles, Melbourne, and San Francisco. We work together flexibly and you can choose the setup that works best for you: fully remote or a hybrid mix of office and home.
 We offer autonomy in how you structure your days and weeks. While we’re mindful of time zones and occasionally collaborate outside the typical 9–5, we lean into async work to keep things flowing. Our culture is family\-friendly and Zoom\-casual where kids, pets, and delivery drivers are welcome.
**How We’ll Help You Thrive**
 Our approach to benefits considers the whole person and the unique contributions they bring to Linktree. We want the experience at Linktree to be one that enables people to truly thrive so we can Go Further Together (one of our values). Some ways we support you:
* An annual wellbeing allowance to use on things like (but not limited to) fitness memberships, development courses, childcare, travel, charitable donations, pet insurance, home office set\-up \- the choice is yours!
* 100% coverage (and 80% for your dependents) of your monthly premiums for medical, dental, vision, disability and life insurance for US\-based employees.
* Employer contribution towards your retirement.
* Generous time off for vacation, holidays, parental leave, volunteer time, and other categories.
* Employee stock option program \- we want each and every employee to share in the company’s success.
 At Linktree, we believe in promoting a culture that celebrates unique backgrounds, talents, and experiences, and we’re proud to be an equal opportunity workplace. We are creating an inclusive workplace where every individual feels valued, respected, and has equal opportunities to thrive. We aim to foster a diverse and inclusive environment where all team members have a sense of belonging. Linktree welcomes all people regardless of sex, gender identity, race, ethnicity, disability, pregnancy, age, or other lived experience. If you require accommodations to fully participate in our opportunities, please don't hesitate to reach us at talent@linktr.ee – your needs are important to us.</t>
        </is>
      </c>
    </row>
    <row r="153">
      <c r="A153" t="inlineStr">
        <is>
          <t>li-4348702402</t>
        </is>
      </c>
      <c r="B153" t="inlineStr">
        <is>
          <t>Product Manager - IBM Storage</t>
        </is>
      </c>
      <c r="C153" t="inlineStr">
        <is>
          <t>IBM</t>
        </is>
      </c>
      <c r="D153" t="inlineStr">
        <is>
          <t>linkedin</t>
        </is>
      </c>
      <c r="E153">
        <f>HYPERLINK("https://www.linkedin.com/jobs/view/4348702402", "https://www.linkedin.com/jobs/view/4348702402")</f>
        <v/>
      </c>
      <c r="F153">
        <f>HYPERLINK("https://ibmglobal.avature.net/en_US/careers/JobDetail?jobId=73742&amp;src=SN_LinkedIn&amp;urlHash=UpzI", "https://ibmglobal.avature.net/en_US/careers/JobDetail?jobId=73742&amp;src=SN_LinkedIn&amp;urlHash=UpzI")</f>
        <v/>
      </c>
      <c r="G153" t="inlineStr">
        <is>
          <t>Research Park, CA</t>
        </is>
      </c>
      <c r="H153" t="inlineStr"/>
      <c r="I153" t="inlineStr">
        <is>
          <t>**Introduction**
 IBM Infrastructure is a catalyst that makes the world work better because our clients demand it. Heterogeneous environments, the explosion of data, digital automation, and cybersecurity threats require hybrid cloud infrastructure that only IBM can provide.
 Your ability to be creative, a forward\-thinker and to focus on innovation that matters is all supported by our growth\-minded culture as we continue to drive career development across our teams. Collaboration is key to IBM Infrastructure success, as we bring together different business units and teams that balance their priorities in a way that best serves our client's needs.
 IBM's product and technology landscape includes Research, Software, and Infrastructure. Entering this domain positions you at the heart of IBM, where growth and innovation thrive.
**Your Role And Responsibilities**
 What You’ll Do
* Conduct market, customer, and competitive research to identify opportunities and inform product strategy.
* Collaborate with Engineering, Sales, Marketing, and Finance to define and deliver product capabilities.
* Translate customer needs and technical capabilities into clear product requirements and user stories.
* Participate in product planning, roadmap development, and go\-to\-market activities.
* Support product launches and monitor performance metrics to drive continuous improvement.
* Engage with customers and stakeholders to gather feedback and validate product direction.
**About You**
* Recently graduated with a Bachelor’s or Master’s degree in Business, Computer Science, Engineering, or a related field.
* Strong communicator with excellent written and verbal skills.
* Analytical thinker with the ability to interpret data and derive actionable insights.
* Self\-motivated, resourceful, and comfortable working in fast\-paced, multidisciplinary environments.
* Able to make decisions with incomplete information and follow through on execution.
* Collaborative team player who thrives in cross\-functional settings.
**Preferred Education**
 Bachelor's Degree
**Required Technical And Professional Expertise**
* Bachelor’s or Master’s degree in Business, Computer Science, Engineering, or related field.
* Strong analytical and problem\-solving skills.
* Excellent communication and presentation abilities.
* Experience working in teams, including during internships or academic projects.
* Proficiency in Microsoft Office tools (Excel, PowerPoint, Word).
* Familiarity with AI tools and productivity platforms.
**Preferred Technical And Professional Experience**
* Knowledge of hardware and software development concepts.
* Passion and desire to make the best products in the industry hands\-down.</t>
        </is>
      </c>
    </row>
    <row r="154">
      <c r="A154" t="inlineStr">
        <is>
          <t>li-4356481745</t>
        </is>
      </c>
      <c r="B154" t="inlineStr">
        <is>
          <t>Product Manager</t>
        </is>
      </c>
      <c r="C154" t="inlineStr">
        <is>
          <t>IBM</t>
        </is>
      </c>
      <c r="D154" t="inlineStr">
        <is>
          <t>linkedin</t>
        </is>
      </c>
      <c r="E154">
        <f>HYPERLINK("https://www.linkedin.com/jobs/view/4356481745", "https://www.linkedin.com/jobs/view/4356481745")</f>
        <v/>
      </c>
      <c r="F154">
        <f>HYPERLINK("https://ibmglobal.avature.net/en_US/careers/JobDetail?jobId=87883&amp;src=SN_LinkedIn&amp;urlHash=9csu", "https://ibmglobal.avature.net/en_US/careers/JobDetail?jobId=87883&amp;src=SN_LinkedIn&amp;urlHash=9csu")</f>
        <v/>
      </c>
      <c r="G154" t="inlineStr">
        <is>
          <t>San Jose, CA</t>
        </is>
      </c>
      <c r="H154" t="inlineStr"/>
      <c r="I154"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Working in Software means joining a team fueled by curiosity and collaboration. You’ll work with diverse technologies, partners, and industries to design, develop, and deliver solutions that power digital transformation. With a culture that values innovation, growth, and continuous learning, IBM Software places you at the heart of IBM’s product and technology landscape. Here, you’ll have the tools and opportunities to advance your career while creating software that changes the world.
**Your Role And Responsibilities**
 This role is for someone who has prior experience in the cybersecurity space with expertise in secrets management, static/dynamic secrets, PKI, compliance, threat monitoring, and is familiar with enterprise SDLC and loves to interact with large customers and their complex use cases \&amp; requirements.
**Your Responsibilities**
* Perform market and competitive analysis, develop insights and contribute to the overall product vision \&amp; strategy
* Prioritize the product roadmap by taking feedback from customer, field teams, community practitioners and other internal \&amp; external stakeholders
* Author detailed Product Requirement Documents (PRDs) to distill user/market research into requirements for engineering to deliver
* Collaborate with engineering, design, PMM, and other internal stakeholders to execute on high customer impact product initiatives
* Keep field teams (SEs, account managers, SMEs etc) and Marketing updated on feature releases and keep Engineering informed on feature requests
* Help with Sales and Marketing enablement to educate on the product story and features (website copy, whitepapers, sales decks, FAQs, etc)
* Assist field teams with customer conversations, roadmap presentations, demos etc
**Preferred Education**
 Bachelor's Degree
**Required Technical And Professional Expertise**
* 5\+ years of product management experience with a enterprise security product
* Exceptional verbal and written communication skills
* Ability to organize multiple stakeholders towards a common goal
* Analytical with the ability to prioritize and make tradeoffs
* Strong technical acumen, with a solid understanding of privileged access, IAM, cloud and the security space in general
* Proven approach to delivering products with an eye toward End\-User Experience
**Preferred Technical And Professional Experience**
* Defining the product roadmap and strategy
* Writing product requirements documents (PRDs)
* Deep collaboration with Engineering teams
* Leading sales engineer and support education sessions
* Enabling the community and partner contributions
* Conduct customer interviews
* Perform market research
* Backlog management</t>
        </is>
      </c>
    </row>
    <row r="155">
      <c r="A155" t="inlineStr">
        <is>
          <t>li-4371433745</t>
        </is>
      </c>
      <c r="B155" t="inlineStr">
        <is>
          <t>Digital Product Manager</t>
        </is>
      </c>
      <c r="C155" t="inlineStr">
        <is>
          <t>Boston Scientific</t>
        </is>
      </c>
      <c r="D155" t="inlineStr">
        <is>
          <t>linkedin</t>
        </is>
      </c>
      <c r="E155">
        <f>HYPERLINK("https://www.linkedin.com/jobs/view/4371433745", "https://www.linkedin.com/jobs/view/4371433745")</f>
        <v/>
      </c>
      <c r="F155" t="inlineStr"/>
      <c r="G155" t="inlineStr">
        <is>
          <t>Maple Grove, MN</t>
        </is>
      </c>
      <c r="H155" t="inlineStr"/>
      <c r="I155" t="inlineStr">
        <is>
          <t>**Additional Location(s):** 
 US\-MN\-Arden Hills
**Diversity \- Innovation \- Caring \- Global Collaboration \- Winning Spirit \- High Performance**
 At Boston Scientific, we’ll give you the opportunity to harness all that’s within you by working in teams of diverse and high\-performing employees, tackling some of the most important health industry challenges. With access to the latest tools, information and training, we’ll help you in advancing your skills and career. Here, you’ll be supported in progressing – whatever your ambitions.
**About The Role**
 The Digital Product Manager within Commercial IT is responsible for driving the deployment of the PACE (Pricing and Contracting Evolution) digital product in partnership with the Interventional Cardiology business unit aligning with divisional strategy. This person will bring their excitement, experience and customer focus to a dynamic and cross functional team. Owns the vision and definition of the product; represents the voice of the user/asset and stakeholders; creates, maintains and prioritizes the backlog providing the Digital Sprint Team with the information they need on what needs to be built and in what order. Collaborates with COE experts and facilitates execution with business stakeholders to align value and drive innovation for digital commerce initiatives.
**Work Mode**
 At Boston Scientific, we value collaboration and synergy. This role follows a hybrid work model, requiring employees to be in our Maple Grove, MN (or) Arden hills, MN office at least three days per week.
**Your Responsibilities Will Include**
*Vision \&amp; Strategy:*
* In alignment with the Global Product Owner, develop and execute a strategic vision for this digital solution across the Vascular Therapies and Interventional Oncology \&amp; Embolization business units, including defining and prioritizing product capabilities, features, and enhancements to drive business growth and customer satisfaction.
* Collaborate with stakeholders within the division to ensure PACE aligns with business strategy and requirements.
* Partner with divisional leadership to establish product business value, messaging, and adoption strategies.
* Partner with the global product manager to align an IT Divisional Strategy related to global technical feasibility, architecture and harmonization
* Support and inform strategic plans to improve operations and drive business growth.
**Stakeholder \&amp; Team Collaboration**
* Serve as a liaison between business stakeholders and the Global Product Owner \&amp; Agile Development Team.
* Build and maintain strong relationships with business stakeholders, helping to discuss requirements and prioritize solutions.
* Facilitate structured communication across divisional sponsors and committees
* Mentor and coach team members, providing guidance on agile product delivery.
* Support changing management by assisting PACE manager (business) with training materials and job aids.
* Manage cross\-team dependencies within divisional delivery process (upstream, CAI, downstream) \&amp; engage appropriate cross\-functional teams for feature rollout, so business and customers have appropriate documentation, presentations, or other artifacts.
**Planning \&amp; Delivery Oversight**
* Lead and manage the agile product team, ensuring timely delivery and stakeholder satisfaction.
* Partner with the Global IT Product Manager to develop comprehensive project plans, including schedules, milestones, deliverables, budgets, and resource allocation.
* Prioritize features, enhancements, and deliverables requested by the division based on business value and competing timelines.
* Oversee implementation of features ensuring measurable impact.
* Monitor program and sprint progress, resolve blockers, and escalate issues as needed.
* Lead cross\-functional teams to ensure workstreams meet requirements and project goals.
**Change Management**
* Partners with the business on change management activities, including training, adoption support, and identifying change champions.
* Championing a customer\-first approach, gathering feedback and insights to inform product decisions, leverage product designers to provide recommendations for the best customer experience, and maximize customer satisfaction.
* Drive lessons learned and record process improvements for future initiatives.
* Partner with PACE Manager (business) to drive adoption of solutions and measure impact through KPIs, ROI, and business outcomes.
**Performance \&amp; Reporting**
* Develop and maintain KPIs and both qualitative and quantitative data from customers, business partners and SMEs, and business and system operational data. Partner with data analyst to build and refine dashboards showing KPIs with targets, and metrics that demonstrate feature value.
* Create and share structured status reports, dashboards, and project plan updates.
* Report on the divisional program status up to Global team at various governance meetings
* Deliver strategic presentations, including executive\-level decks, to communicate progress and outcomes.
* Raise potential risks to stakeholders and define resolution plans
**Agile Team Management**
* Facilitate release planning, sprint demos, and daily standups with Agile development team
* Drive end to end product execution for divisional product team, from discovery to delivery, ensuring compliance and operational readiness
* Partner with IT BA on discovery, detailed requirements gathering, and estimation process
* Own, refine, and maintain the product backlog in Jira (including prioritization of features and user stories).
* Decompose product vision into features and user stories, ensuring clarity and alignment with goals.
* Define sprint goals, oversee backlog refinement, and accept completed user stories.
* Maintain and continuously upgrade knowledge of Digital Health and consumer wellness technologies, external competitive landscape, regulations, clinical settings, clinical workflows, DH product interconnectivity and system integrations, disease states; capable of learning rapidly to fill any knowledge gaps.
**Required Qualifications**
* Bachelor's degree in computer science or related discipline
* Proven experience as a Product Manager delivering digital solutions.
* Deep understanding of order to cash business processes.
* Extensive experience working on both website and mobile application implementations.
* In\-depth knowledge of digital trends.
* Data driven decision makers understand the relationship between key operational metrics and business drivers in the context of the organization's industry and how closely related teams integrate with others to accomplish their objectives and drive efficiencies.
* Strong leadership and decision\-making abilities with a history of making challenging tradeoffs in establishing product priorities that have required sophisticated analyses and challenging negotiations
* Experience working in a regulated industry.
* Strong communication skills to convey complex technical concepts to non\-technical stakeholders.
* Mastery in agile development practices including leading ceremonies and mentoring team members.
* Experience with project management tools and methodologies.
**Preferred Qualifications**
* Experience in the medical device or life sciences industry and familiarity with HIPPA, Covered Entity, Privacy and Security Requirements
* Understanding best practices with medical device products through the full lifecycle, including familiarity of the processes for launching a physical medical device.
* Broad supply chain business process knowledge
* Expertise in Data Analysis, including use of visualization tools, such as Tableau to measure and track progress to KPIs
* Experience with cloud platforms (e.g., AWS, Azure) for deploying AI solutions.
* Familiarity with ethical considerations and best practices in AI development.
* Experience with SAP Commerce Cloud (Hybris), SAP ECC/S4, Salesforce.com
* Utilize influencing techniques when interacting with stakeholders.
**Requisition ID: 624453**
**Minimum Salary: $
 ******93600********
**Maximum Salary: $
 ******177800********
 The anticipated compensation listed above and the value of core and optional employee benefits offered by Boston Scientific (BSC) – see www.bscbenefitsconnect.com—will vary based on actual location of the position and other pertinent factors considered in determining actual compensation for the role. Compensation will be commensurate with demonstrable level of experience and training, pertinent education including licensure and certifications, among other relevant business or organizational needs.
 **At BSC, it is not typical for an individual to be hired near the bottom or top of the anticipated salary range listed above.**
 Compensation for
 **non\-exempt (hourly), non\-sales roles** 
 may also include variable compensation from time to time (e.g., any overtime and shift differential) and annual bonus target (subject to plan eligibility and other requirements).
 Compensation for
 **exempt, non\-sales roles** 
 may also include variable compensation, i.e., annual bonus target and long\-term incentives (subject to plan eligibility and other requirements).
**For MA positions:** 
 It is unlawful to require or administer a lie detector test for employment. Violators are subject to criminal penalties and civil liability.
 As a leader in medical science for more than 40 years, we are committed to solving the challenges that matter most – united by a deep caring for human life. Our mission to advance science for life is about transforming lives through innovative medical solutions that improve patient lives, create value for our customers, and support our employees and the communities in which we operate. Now more than ever, we have a responsibility to apply those values to everything we do – as a global business and as a global corporate citizen.
 So, choosing a career with Boston Scientific (NYSE: BSX) isn’t just business, it’s personal. And if you’re a natural problem\-solver with the imagination, determination, and spirit to make a meaningful difference to people worldwide, we encourage you to apply and look forward to connecting with you!
 At Boston Scientific, we recognize that nurturing a diverse and inclusive workplace helps us be more innovative and it is important in our work of advancing science for life and improving patient health. That is why we stand for inclusion, equality, and opportunity for all. By embracing the richness of our unique backgrounds and perspectives, we create a better, more rewarding place for our employees to work and reflect the patients, customers, and communities we serve.
 Boston Scientific Corporation has been and will continue to be an equal opportunity employer. To ensure full implementation of its equal employment policy, the Company will continue to take steps to assure that recruitment, hiring, assignment, promotion, compensation, and all other personnel decisions are made and administered without regard to race, religion, color, national origin, citizenship, sex, sexual orientation, gender identity, gender expression, veteran status, age, mental or physical disability, genetic information or any other protected class.
 Please be advised that certain US based positions, including without limitation field sales and service positions that call on hospitals and/or health care centers, require acceptable proof of COVID\-19 vaccination status. Candidates will be notified during the interview and selection process if the role(s) for which they have applied require proof of vaccination as a condition of employment. Boston Scientific continues to evaluate its policies and protocols regarding the COVID\-19 vaccine and will comply with all applicable state and federal law and healthcare credentialing requirements. As employees of the Company, you will be expected to meet the ongoing requirements for your roles, including any new requirements, should the Company’s policies or protocols change with regard to COVID\-19 vaccination.</t>
        </is>
      </c>
    </row>
    <row r="156">
      <c r="A156" t="inlineStr">
        <is>
          <t>li-4362197941</t>
        </is>
      </c>
      <c r="B156" t="inlineStr">
        <is>
          <t>Head of Product, Offroad (Group Product Manager II)</t>
        </is>
      </c>
      <c r="C156" t="inlineStr">
        <is>
          <t>onXmaps, Inc.</t>
        </is>
      </c>
      <c r="D156" t="inlineStr">
        <is>
          <t>linkedin</t>
        </is>
      </c>
      <c r="E156">
        <f>HYPERLINK("https://www.linkedin.com/jobs/view/4362197941", "https://www.linkedin.com/jobs/view/4362197941")</f>
        <v/>
      </c>
      <c r="F156">
        <f>HYPERLINK("https://job-boards.greenhouse.io/onxmaps/jobs/4644117006&amp;urlHash=loOE", "https://job-boards.greenhouse.io/onxmaps/jobs/4644117006&amp;urlHash=loOE")</f>
        <v/>
      </c>
      <c r="G156" t="inlineStr">
        <is>
          <t>Missoula, MT</t>
        </is>
      </c>
      <c r="H156" t="inlineStr"/>
      <c r="I156" t="inlineStr">
        <is>
          <t>**ABOUT OnX**
 As a pioneer in digital outdoor navigation with a suite of apps, onX was founded in Montana, which in turn has inspired our mission to awaken the adventurer inside everyone. With more than 400 employees located around the country working in largely remote / hybrid roles, we have created regional “Basecamps” to help remote employees find connection and inspiration with other onXers. We bring our outdoor passion to work every day, coupling it with industry\-leading technology to craft dynamic outdoor experiences.
 Through multiple years of growth, we haven’t lost our entrepreneurial ethos at onX. We offer a fast\-paced, growing, tech\-forward environment where ownership, accountability, and passion for winning as a team are essential. We value diversity and believe it leads to different perspectives and inspires both new adventures and new growth. As a team, we’re hungry to improve, value innovation, and believe great ideas come from any direction.
**Important Alert** 
 : Please note, onXmaps will never ask for credit card or SSN details during the initial application process. For your digital safety, apply only through our legitimate website at onXmaps.com or directly via our LinkedIn page.
**What You Will Do**
 onX is seeking a seasoned product leader to own the product strategy and execution for onX Offroad, our fastest scaling business. This leader should thrive in high\-tempo environments and bring experience across multiple stages of the business and product lifecycle, with a strength in navigating the critical transition from initial product\-market fit to scale. At our current stage, success in this role requires comfort with calculated risks and the ability to move aggressively and decisively.
 You will set the long\-term product vision while operating hands\-on in a complex, multi\-segment ecosystem where every activity, vehicle type, and geography represents a distinct customer need. In close partnership with engineering, user experience (UX) design, and business leadership, you will define product direction, packaging, and strategic focus areas, bringing structure to ambiguity, making thoughtful tradeoffs, and moving decisively as the business grows.
 This is a highly visible, strategic role requiring strong product judgment, technical fluency, and business acumen. You will pair strategic thinking with hands\-on execution, leverage data to guide decisions, and champion our customers, with direct accountability for driving engagement, retention, and revenue across the Offroad business while reinforcing our “built for offroaders, by offroaders” ethos. This role will report to the General Manager, Offroad.
***Note:***
*To align with market norms, this role is externally titled Head of Product, Offroad. Internally, it maps to our Group Product Manager I/II level and title.*
 As an onX Head of Product \- Offroad, your essential job duties and responsibilities will look like:
* Own the strategic customer problem portfolio, guiding the evolution of onX Offroad’s product and business models.
* In partnership with the General Manager to define product packaging and tiering, informed by market segmentation, user behavior, and revenue opportunities.
* Lead a product and engineering team focused on strategic opportunity identification, business growth, and tiered value delivery.
* Collaborate cross\-functionally with Engineering, User Experience (UX) Design, QA, Business Intelligence, Finance, Sales, and Customer Experience to translate strategy into scalable, customer\-centric solutions.
* Model the business impact of pricing, packaging, and feature placement decisions.
* Partner with the General Manager, BI, and Finance to model the business impact of packaging, pricing, and feature placement decisions.
* Shape the product metrics framework to ensure clear visibility into usage, conversion, retention, and ARPU.
* Establish a data\-driven product culture that connects customer behavior to business outcomes.
* Contribute to long\-range planning and product strategy at the business unit leadership level.
* Lead through influence by providing context and clarity to drive alignment.
**What You’ll Bring**
* Ten (10\) or more years of progressive product management experience leading software products or platforms, including large\-scale, cross\-functional teams or multi\-line product portfolios in B2C environments
* Bachelor’s degree or equivalent practical experience
* Deep understanding of consumer\-facing software ecosystems across mobile, web, and connected platforms
* Proven ability to lead cross\-functional teams and drive outcomes through influence in complex, matrixed environments
* Experience defining and using product success metrics to drive business decisions, including familiarity with user segmentation, cohort modeling, and growth levers
* Experience across multiple business/product stages, including shaping or scaling new products or business functions
* Experience in partnerships and integrations with 3rd parties as part of delivering product experiences
* A balance of product expertise in both core product experience and growth levers
* Demonstrated ability to leverage emerging technologies, particularly AI and machine learning, to inform product vision, user experience, and operational efficiency
* Strong communicator who can translate complexity into clarity; aligning executives, cross\-functional teams, and technical partners around shared outcomes
* Demonstrated ability to bring clarity to ambiguous, multi\-stakeholder initiatives; balancing analytical rigor with a bias for action
* Demonstrated ability to tie product efforts to business outcomes
* A shared passion for and ability to demonstrate onX’s Company Values
* Permanent US work authorization is a condition of employment with onX
* Ability to travel monthly for multiple days to a corporate office or other onX strategic location, such as a Basecamp
 ADDED BONUSES
 Though not required, we would be thrilled to consider candidates with any of the following:
* Hands\-on leadership delivering mobile\-first product experiences
* Passion and expertise in Offroading or Overlanding
* Master’s degree in a business or technical field
* Experience building or leading products for communities with strong identity, legacy, and regional diversity
* Proven ability to align product strategy with business and monetization goals — including pricing, packaging, and tiering considerations
 WHERE YOU CAN WORK
 onX has created a thriving distributed workforce community across several US locations. This position can be performed from an onX corporate office, “Basecamp,” or “Connection Hub”.
* Corporate Offices: onX was founded in Montana with offices in Missoula and Bozeman. If you prefer to work in an office at least part of the time, this is a great option.
* Basecamps: onX’s Basecamps are established virtual workforce communities where a sizable number of distributed team members group for work, volunteering, socializing, and adventure.
+ Our current Basecamps are located within a 90\-mile radius of the following: Austin, TX; Denver, CO; Kalispell, MT; Minneapolis, MN; Portland, OR; Salt Lake City, UT; and Seattle, WA.
* Connection Hubs: onX’s Connection Hub locations are smaller, emerging communities of distributed team members.
+ Our current Connection Hubs are located within a 60\-mile radius of the following: Boise, ID; Charleston, SC; Charlotte, NC; Dallas/Fort Worth, TX; Phoenix, AZ; Richmond, VA; Spokane, WA; and Vermont.
**How You’ll Be Compensated**
 onX is committed to compensating all employees fairly and equitably for their contributions. For this position, applicants can expect to make between $143,000 to $201,000 upon hire. The pay range will vary based on experience, skills, certifications, and education among other factors as required in the job description. In addition, full\-time onX employees are eligible for a grant of common share options with a vesting schedule and a potential annual bonus of 10% based on company performance.
**What We’re Offering You**
* Competitive salaries, annual bonuses, equity, and opportunities for growth
* Comprehensive health benefits including a no\-monthly\-cost medical plan
* Parental leave plan of 5 or 13 weeks fully paid
* 401k matching at 100% for the first 3% you save and 50% from 3\-5%
* Company\-wide outdoor adventures and amazing outdoor industry perks
* Annual “Get Out, Get Active” funds to fuel your active lifestyle in and outside of the gym
* Flexible time away package that includes PTO, STO, VTO, quiet weeks, and holidays
**Performance Essentials**
 In this role, success is driven by cognitive abilities such as concentration and problem\-solving, essential for our computer\-centric tasks. onX will explore reasonable accommodations to ensure that individuals with diverse abilities can fully engage in and contribute to the essential physical and mental functions of the job. If you need assistance or accommodation, please contact us at PC@onxmaps.com.
**Position open until filled.**
**At onX, we believe that unique perspectives make us stronger.** 
 By bringing together people with different experiences, ideas, and viewpoints, we fuel innovation and move closer to our mission of awakening the adventurer in everyone. We are proud to be an equal opportunity employer and are committed to fairness not only in hiring, but also in development, compensation, and promotion. Our goal is to build an inclusive community where every team member can show up authentically and thrive. Together, we win as one team. Come join us!
 onX does not sell any Personal Information, but we may transfer employment related records to our service providers or third parties that provide business services to onX or as required by law. For more information, see our Privacy Policy.
 As part of our interview process, your conversation may be recorded for documentation purposes to allow interviewers to focus fully on the discussion. Recordings are confidential and accessible only to authorized personnel. Please note, onX respects all applicable laws regarding recording consent, and you will have an opportunity to opt\-out if preferred.</t>
        </is>
      </c>
    </row>
    <row r="157">
      <c r="A157" t="inlineStr">
        <is>
          <t>li-4362606752</t>
        </is>
      </c>
      <c r="B157" t="inlineStr">
        <is>
          <t>Group Product Manager, Adyen Uplift</t>
        </is>
      </c>
      <c r="C157" t="inlineStr">
        <is>
          <t>Adyen</t>
        </is>
      </c>
      <c r="D157" t="inlineStr">
        <is>
          <t>linkedin</t>
        </is>
      </c>
      <c r="E157">
        <f>HYPERLINK("https://www.linkedin.com/jobs/view/4362606752", "https://www.linkedin.com/jobs/view/4362606752")</f>
        <v/>
      </c>
      <c r="F157">
        <f>HYPERLINK("https://job-boards.greenhouse.io/adyen/jobs/7340570?gh_src=36f976a71&amp;urlHash=3eLR", "https://job-boards.greenhouse.io/adyen/jobs/7340570?gh_src=36f976a71&amp;urlHash=3eLR")</f>
        <v/>
      </c>
      <c r="G157" t="inlineStr">
        <is>
          <t>Chicago, IL</t>
        </is>
      </c>
      <c r="H157" t="inlineStr"/>
      <c r="I157" t="inlineStr">
        <is>
          <t>**This is Adyen**
 Adyen provides payments, data, and financial products in a single solution for customers like Meta, Uber, H\&amp;M, and Microsoft \- making us the financial technology platform of choice. At Adyen, everything we do is engineered for ambition.
 For our teams, we create an environment with opportunities for our people to succeed, backed by the culture and support to ensure they are enabled to truly own their careers. We are motivated individuals who tackle unique technical challenges at scale and solve them as a team. Together, we deliver innovative and ethical solutions that help businesses achieve their ambitions faster.
**Group Product Manager, Adyen Uplift**
 In building the most customer\-focused financial technology platform, Adyen is leveraging Artificial Intelligence / Machine Learning to optimize how we generate and demonstrate value for our global enterprise customers. Adyen Uplift is our AI\-powered product suite balancing conversion increase with cost savings and fraud reduction, from Checkout to settlement.
 We are looking for a Group Product Manager to build and lead a team of highly impactful product managers across Uplift, ranging from our Checkout products broadly, the Uplift modules Optimize and Personalize specifically, as well as the Uplift Experience (UI) in our customer area.
**What You Will Do**
* You will build and lead a team of product managers focused on product development for Adyen Uplift, both on your specific areas and with a strong focus on cross\-module synergies across the full Adyen Uplift scope;
* You will be responsible for formulating, challenging, leading and executing on a strategic vision for customer value demonstration, success measurement and payment funnel optimization across customers’ most important KPIs;
* You will work across Engineering, Data Science, Analytics, UX, Product teams and closely collaborate with commercial teams such as Sales/AMs, Product Marketing and Pricing.
**Who You Are**
* You have launched and evolved multiple successful products at scale across every stage of the product lifecycle (12\+ years in product management);
* You have autonomously delivered impact by leading and leveraging a portfolio of product managers across product areas;
* You are effective in finding, growing, leading and retaining talent in product management (3\+ years of management experience);
* You have proven to formulate and translate customer\-centric strategy into tangible value and know how to balance short\-term delivery with short and long term impact in mind;
* You succeed in creating a multiplier effect, in connecting with other leaders on opportunities and scaling impactful ways of working;
* You can guide a cross\-functional (stakeholder) team with the right questions to answer, turn those answers into business value, and leverage analytics to drive product decisions;
* You know how to navigate technical challenges and understand the opportunities and limitations of technical/data decisions;
* You are skilled at operating in a diverse, ever\-growing, global company where your teams need to collaborate and integrate with other teams across many disciplines.
* You are a quick learner and take a ‘launch fast and iterate’ approach to tackling problems;
* You love to act as a mentor and help guide talent to make optimal decisions;
* You take pride in putting your team first, you value team and company success over ego;
* You have experience in one or more of the following areas\- Big Data / Machine Learning / Artificial Intelligence AND Payments / e\-commerce.
**Our Diversity, Equity and Inclusion commitments**
 Our unique approach is a product of our diverse perspectives. This diversity of backgrounds and cultures is essential in helping us maintain our momentum. Our business and technical challenges are unique, and we need as many different voices as possible to join us in solving them \- voices like yours. No matter who you are or where you’re from, we welcome you to be your true self at Adyen.
 Studies show that women and members of underrepresented communities apply for jobs only if they meet 100% of the qualifications. Does this sound like you? If so, Adyen encourages you to reconsider and apply. We look forward to your application!
**What’s next?**
 Ensuring a smooth and enjoyable candidate experience is critical for us. We aim to get back to you regarding your application within 5 business days. Our interview process tends to take about 4 weeks to complete, but may fluctuate depending on the role. Learn more about our hiring process here. Don’t be afraid to let us know if you need more flexibility.
*The annual base salary range for this role is $235,000 \- $317,000; to learn more about our compensation philosophy, please click here.*
*This role is based out of our Chicago office. We are an office\-first company and value in\-person collaboration; we do not offer remote\-only roles.*
*This is a full time position and does require working the occasional holiday and/or weekend to ensure business continuity.*</t>
        </is>
      </c>
    </row>
    <row r="158">
      <c r="A158" t="inlineStr">
        <is>
          <t>li-4348583581</t>
        </is>
      </c>
      <c r="B158" t="inlineStr">
        <is>
          <t>Entry Level Product Manager 2026</t>
        </is>
      </c>
      <c r="C158" t="inlineStr">
        <is>
          <t>IBM</t>
        </is>
      </c>
      <c r="D158" t="inlineStr">
        <is>
          <t>linkedin</t>
        </is>
      </c>
      <c r="E158">
        <f>HYPERLINK("https://www.linkedin.com/jobs/view/4348583581", "https://www.linkedin.com/jobs/view/4348583581")</f>
        <v/>
      </c>
      <c r="F158" t="inlineStr"/>
      <c r="G158" t="inlineStr">
        <is>
          <t>Lowell, MA</t>
        </is>
      </c>
      <c r="H158" t="inlineStr"/>
      <c r="I158"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Are you a seasoned Product Manager with a proven track record of successful product ownership and growth? Colleagues regard you as someone who navigates customer outcomes, business impacts, and functional tradeoffs with unparalleled skill. Your communication style leaves team members feeling respected, heard, and understood. Now, imagine channeling your expertise to shape the technology of tomorrow—a force that powers the world around us and yields an impact to be proud of.As a cross\-portfolio Product Manager for IBM, you will play a vital role in assisting with projects spanning the entire cloud portfolio. Your focus will be on product management process agility and optimization. You will collaborate with product owners and cross\-functional teams. You will help curate insights from customers that flow into the Idea hub and engage the right product teams to progress them. You will innovate ways to help drive efficiency in our product management processes. This is an exciting opportunity to learn
 the ropes of product management in a fast\-growing market, and to contribute to the success of our products.
**What You'll Do**
* Collaborate with the broader IBM product organization to help support the portfolio and business.
* Become an expert in IBM’s product management methodologies, design thinking and new product introduction. Support product teams in defining product requirements, user stories, and specifications.
* Collaborate with cross\-functional teams (engineering, design, marketing, and sales) to ensure timely product delivery
* Analyze competitors, market trends and customer feedback to identify new product opportunities
**Preferred Education**
 Bachelor's Degree
**Required Technical And Professional Expertise**
* Bachelor’s Degree in IT/Computer Science/Engineering
* Experience in Product Management or equivalent practical experience building or deploying
 products in a Cloud based software organization
* Experience in implementing agile practices and design thinking
* Strong written communication and presentation skills
* Problem solving and Business Analysis skills
* Ability to work 3 days a week from the office.
**Preferred Technical And Professional Experience**
* Track record of high\-quality, self\-directed, timely execution,
* Attention to detail.
* Technical expertise and ability to communicate, work \&amp; build trust with stakeholders
* Experience with Cloud \&amp; technology</t>
        </is>
      </c>
    </row>
    <row r="159">
      <c r="A159" t="inlineStr">
        <is>
          <t>li-4358090263</t>
        </is>
      </c>
      <c r="B159" t="inlineStr">
        <is>
          <t>Product Manager Co-op Fall 2026</t>
        </is>
      </c>
      <c r="C159" t="inlineStr">
        <is>
          <t>IBM</t>
        </is>
      </c>
      <c r="D159" t="inlineStr">
        <is>
          <t>linkedin</t>
        </is>
      </c>
      <c r="E159">
        <f>HYPERLINK("https://www.linkedin.com/jobs/view/4358090263", "https://www.linkedin.com/jobs/view/4358090263")</f>
        <v/>
      </c>
      <c r="F159" t="inlineStr"/>
      <c r="G159" t="inlineStr">
        <is>
          <t>Austin, TX</t>
        </is>
      </c>
      <c r="H159" t="inlineStr"/>
      <c r="I159" t="inlineStr">
        <is>
          <t>**Introduction**
 A career in IBM Software means you’ll be part of a team that transforms our customer’s challenges into solutions.
 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We are seeking a skilled back\-end developer to join our IBM Software team. As part of our team, you will be responsible for developing and maintaining high\-quality software products, working with a variety of technologies and programming languages.
 IBM’s product and technology landscape includes Research, Software, and Infrastructure. Entering this domain positions you at the heart of IBM, where growth and innovation thrive.
**Your Role And Responsibilities**
 We’re looking for Product Manager Interns to help build AI‑enabled and data‑driven software products across our teams in Austin, Durham, and Lowell. As an intern, you will work closely with engineering, design, and data science partners to support product strategy, define user needs, and deliver features that provide real value. This role offers hands‑on exposure to the product lifecycle while developing skills in research, experimentation, prioritization, and stakeholder collaboration.
**What You’ll Do**
* Support product strategy, roadmap planning, and prioritization.
* Translate technical concepts—such as APIs, ML models, and data flows—into clear user stories.
* Collaborate with cross‑functional teams to build and refine features.
* Use analytics and user feedback to assess product performance.
* Apply responsible and ethical AI practices.
* Participate in Agile ceremonies, research activities, and design reviews.
* Communicate updates and findings to stakeholders.
**Preferred Education**
 Bachelor's Degree
**Required Technical And Professional Expertise**
* To be eligible, candidates must be currently enrolled in a Bachelor’s, Master’s, MBA, or PhD program, with an expected graduation date between December 2026 and May 2029\.
* Understanding of product management principles and user‑centered thinking.
* Familiarity with AI/ML concepts or data workflows through coursework or projects.
* Experience with Agile practices and collaborative work environments.
* Ability to analyze data and communicate insights clearly.
* Strong communication, organization, and problem‑solving skills.
**Preferred Technical And Professional Experience**
* Exposure to product analytics or data visualization tools.
* Coursework or projects related to AI, data, or software engineering.
* Familiarity with responsible AI or ethics frameworks.</t>
        </is>
      </c>
    </row>
    <row r="160">
      <c r="A160" t="inlineStr">
        <is>
          <t>li-4339454577</t>
        </is>
      </c>
      <c r="B160" t="inlineStr">
        <is>
          <t>Principal Product Manager - Technical</t>
        </is>
      </c>
      <c r="C160" t="inlineStr">
        <is>
          <t>IDC</t>
        </is>
      </c>
      <c r="D160" t="inlineStr">
        <is>
          <t>linkedin</t>
        </is>
      </c>
      <c r="E160">
        <f>HYPERLINK("https://www.linkedin.com/jobs/view/4339454577", "https://www.linkedin.com/jobs/view/4339454577")</f>
        <v/>
      </c>
      <c r="F160" t="inlineStr"/>
      <c r="G160" t="inlineStr"/>
      <c r="H160" t="inlineStr"/>
      <c r="I160" t="inlineStr">
        <is>
          <t>**About The Role \&amp; Team**
 IDC is building the next generation of intelligent, AI\-powered platforms that transform how technology decisions get made. This confidential initiative re\-imagines the way decision\-makers discover and interact with trusted research and data—and will be foundational to IDC’s future.
 We are looking for a remote
 **Principal Product Manager – Technical** 
 (PM\-T) to lead the product strategy, architecture, and execution for a core pillar of this new platform. You will operate as the single\-threaded owner for a critical domain, working across engineering, AI/ML, research, and design to deliver a seamless and scalable product experience.
 This role is a rare opportunity to define the strategy for a zero\-to\-one system—shaping how content is modeled, how user intents are recognized, and how insights flow across the IDC ecosystem. The right candidate will bring deep technical fluency, customer obsession, and a track record of delivering high\-impact platform products in fast\-paced environments.
**What You’ll Do**
* Own the product vision, long\-term strategy, and roadmap for a foundational capability within IDC’s next\-gen discovery platform.
* Define the data models, technical architecture, and platform interfaces that power intelligent, context\-aware product experiences.
* Partner with engineering to design and deliver scalable APIs, system components, and observability layers that enable extensibility and reuse.
* Collaborate with AI/ML teams to integrate capabilities such as semantic search, LLM\-powered assistants, personalization, and classification systems.
* Write PRFAQs and technical narratives that align senior leadership, drive clarity across functions, and accelerate high\-judgment decisions.
* Engage directly with CIOs, analysts, and vendor partners to validate pain points and iterate toward product\-market fit.
* Define success metrics, build telemetry strategies, and use experimentation to drive continuous learning and iteration.
* Serve as the single\-threaded owner for your domain, mentoring others and raising the quality bar across the organization.
**W hat You Bring**
* 7\+ years of product management experience, with 4\+ years in a technical or platform product role.
* Bachelor’s degree in Computer Science, Engineering, or equivalent technical experience.
* Proven track record of shipping 0→2 products or scaling platform capabilities in ambiguous, high\-accountability environments.
* Deep technical fluency—you can meaningfully shape architecture, API design, and system trade\-offs with engineering teams.
* Exceptional written and verbal communication skills; able to influence VP\- and SVP\-level stakeholders.
* Demonstrated ability to lead cross\-functional initiatives that span engineering, data science, design, and research.
* Strong business and customer orientation; experience driving adoption, engagement, and measurable business outcomes.
**Preferred Qualifications**
* Experience building or scaling AI/ML\-powered products, especially involving search, retrieval\-augmented generation (RAG), or entity extraction.
* End\-to\-end digital fulfillment experience and digital product\-like growth systems experience, a plus.
* Familiarity with knowledge graph design, semantic modeling, or enterprise data platforms.
* Background working with structured research, metadata systems, or content syndication at scale.
* Experience with enterprise SaaS, developer platforms, or B2B intelligence solutions.
* Ability to operate autonomously, manage ambiguity, and influence outcomes in a matrixed organization.
**Why This Role Stands Out**
 At IDC, your work helps shape how the world understands technology and where it goes next. You collaborate with curious, high\-caliber colleagues who value rigor, integrity, and shared success. As the premier global provider of trusted technology intelligence, IDC equips business and technology leaders with the evidence they need to make confident decisions. Our insights inform strategy, investment, and innovation across industries and regions.
 Recognized by IIAR as Analyst Firm of the Year for five consecutive years, IDC sets the standard for credibility and impact. With more than 1,000 analysts worldwide and a truly global perspective, we combine deep expertise with practical relevance. Here, your ideas matter, your voice is heard, and your contributions provide the insights leaders rely on every day. It is meaningful work, backed by a culture that supports growth, collaboration, and long\-term career development with a globally respected brand.
**What We Offer**
* 15 vacation days (prorated based on start date)
* 12 company\-paid holidays
* 6 paid sick days (prorated based on start date; may vary by state)
* Medical, dental, and vision coverage
* 2 floating holidays (prorated based on start date)
* 1 volunteer day
* 401(k) company match (IDC matches 3% on the first 6% of employee contributions)
* Company\-paid short\-term disability
* Company\-paid parental leave
**Compensation Transparency**
 At IDC, we are committed to fair and equitable pay practices. Employees are compensated equitably for their work, aligned with their skills and experience. Salary and incentive structures are determined through a rigorous process that considers experience, education, certifications, role\-specific requirements, internal equity, and verified U.S. market data from an independent third\-party partner.
**The expected total annual compensation, depending on location and experience, is between $190,000–$220,000, inclusive of base salary and variable compensation.**
**Equal Opportunity Employer**
 IDC is committed to providing equal employment opportunities for all qualified persons . Employment eligibility verification required. We participate in E\-Verify.</t>
        </is>
      </c>
    </row>
    <row r="161">
      <c r="A161" t="inlineStr">
        <is>
          <t>li-4365400057</t>
        </is>
      </c>
      <c r="B161" t="inlineStr">
        <is>
          <t>Staff Product Manager - AI Migrations</t>
        </is>
      </c>
      <c r="C161" t="inlineStr">
        <is>
          <t>Snowflake</t>
        </is>
      </c>
      <c r="D161" t="inlineStr">
        <is>
          <t>linkedin</t>
        </is>
      </c>
      <c r="E161">
        <f>HYPERLINK("https://www.linkedin.com/jobs/view/4365400057", "https://www.linkedin.com/jobs/view/4365400057")</f>
        <v/>
      </c>
      <c r="F161" t="inlineStr"/>
      <c r="G161" t="inlineStr">
        <is>
          <t>Bellevue, WA</t>
        </is>
      </c>
      <c r="H161" t="inlineStr"/>
      <c r="I161" t="inlineStr">
        <is>
          <t>Snowflake is about empowering enterprises to achieve their full potential — and people too. With a culture that’s all in on impact, innovation, and collaboration, Snowflake is the sweet spot for building big, moving fast, and taking technology — and careers — to the next level.
 Snowflake redefined the data landscape over a decade ago by building a Data Cloud with industry\-leading performance and price for data at any scale and for multiple workloads: data engineering, data analytics, and AI/ML.
 At Snowflake, our biggest opportunity is also our customers' biggest challenge: migration. For every enterprise ready to harness the power of the AI Data Cloud, there lies a complex web of legacy systems that can take years and millions of dollars to untangle. The Migrations team is tasked with a mission of strategic importance: to turn this multi\-year roadblock into a streamlined, intelligent, and automated experience. We believe Generative AI is the key. We are building products that don't just move data, but understand and rewrite the logic of entire data applications.
 We're seeking a visionary Product Manager to own this charter, define the future of cloud migration, and build the GenAI\-powered engine that will onboard the next wave of Snowflake customers. Your work will directly impact Snowflake's growth and change the way an entire industry approaches digital transformation.
**Key Responsibilities**
 As a
 **Staff** 
**Product Manager on the Migrations Team** 
 at Snowflake, you will be instrumental in developing AI\-powered tools that enable customers and partners to transition their complex data ecosystems from legacy platforms to the Snowflake AI Data Cloud. Your responsibilities will include:
* Deeply Understand Customer Data Migration Needs: Conduct detailed research and analysis to understand customer requirements, pain points, and use cases specifically related to migrating diverse data types, ensuring data integrity, performance, and completeness during and after migration. This includes understanding challenges like post\-migration validation.
* Contribute to Product Strategy \&amp; Roadmap: Contribute to the strategy and roadmap for data migration capabilities, ensuring alignment with the overall migration product vision and customer needs. For example, defining features and processes that ensure the accuracy, completeness, and consistency of migrated data, including defining validation rules, diagnostic mechanisms, and reporting capabilities. We leverage agentic AI throughout our migrations product, and require each of our PMs to understand and deliver AI capabilities effectively.
* Define Product Requirements: Translate customer needs and strategic direction into clear, concise, and detailed product requirements, user stories, and acceptance criteria for data migration features. This involves close collaboration with engineering, design, and our Professional Service teams.
* Support Product Development \&amp; Prioritization: Work day\-to\-day with engineering teams to guide the development of data migration and validation features, clarify requirements, answer questions, and assist in prioritizing tasks within your feature areas to ensure timely delivery and quality.
* Understand Ecosystem for Data: Learn and understand how data migration and validation features fit into the broader ecosystem migration (ETL pipelines, database code, consuming applications), recognizing dependencies and ensuring our offerings support a holistic migration process.
* Analyze Feature Performance: Monitor and analyze usage data, customer feedback, and success metrics specifically for data migration and validation features to identify areas for improvement, inform future iterations, and demonstrate the value delivered.
**OUR IDEAL STAFF PRODUCT MANAGER WILL HAVE:**
* Extensive experience (10\+ years) building and delivering enterprise products
* Strong familiarity with data ecosystems (databases, analytics, data engineering, ETL)
* Experience building and delivering tools or platforms for data engineers or developers
* Proven experience delivering GenAI products, particularly those involving AI\-powered code translation, developer co\-pilots, or complex semantic validation
**WHY JOIN OUR MIGRATIONS TEAM AT SNOWFLAKE?**
 Joining the Migrations product team at Snowflake offers an exceptional opportunity to be at the
 **forefront of data and application modernization** 
 , directly impacting customer success by enabling the strategic leveraging of the
 **Snowflake AI Data Cloud** 
 . You'll tackle complex, high\-value challenges, building essential products and APIs that simplify intricate data ecosystem migrations—from ETL pipelines to applications—for our customers and partners. Your contributions will directly accelerate the adoption of Snowflake, driving significant value and cementing our customers' investment in a modern, AI\-ready future.
 Snowflake is growing fast, and we’re scaling our team to help enable and accelerate our growth. We are looking for people who share our values, challenge ordinary thinking, and push the pace of innovation while building a future for themselves and Snowflake.
 How do you want to make your impact?
 For jobs located in the United States, please visit the job posting on the Snowflake Careers Site for salary and benefits information: careers.snowflake.com
 The following represents the expected range of compensation for this role:
* The estimated base salary range for this role is $236,000 \- $339,200\.
* Additionally, this role is eligible to participate in Snowflake’s bonus and equity plan.
 The successful candidate’s starting salary will be determined based on permissible, non\-discriminatory factors such as skills, experience, and geographic location. This role is also eligible for a competitive benefits package that includes: medical, dental, vision, life, and disability insurance; 401(k) retirement plan; flexible spending \&amp; health savings account; at least 12 paid holidays; paid time off; parental leave; employee assistance program; and other company benefits.
 To comply with pay transparency requirements and other statutes, you can notify us if you believe that a job posting is not compliant by completing this form.</t>
        </is>
      </c>
    </row>
    <row r="162">
      <c r="A162" t="inlineStr">
        <is>
          <t>li-4372192778</t>
        </is>
      </c>
      <c r="B162" t="inlineStr">
        <is>
          <t>Sr. Product Manager, Fire TV</t>
        </is>
      </c>
      <c r="C162" t="inlineStr">
        <is>
          <t>Lensa</t>
        </is>
      </c>
      <c r="D162" t="inlineStr">
        <is>
          <t>linkedin</t>
        </is>
      </c>
      <c r="E162">
        <f>HYPERLINK("https://www.linkedin.com/jobs/view/4372192778", "https://www.linkedin.com/jobs/view/4372192778")</f>
        <v/>
      </c>
      <c r="F162" t="inlineStr"/>
      <c r="G162" t="inlineStr">
        <is>
          <t>Seattle, WA</t>
        </is>
      </c>
      <c r="H162" t="inlineStr"/>
      <c r="I162"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Amazon. Clicking "Apply Now" or "Read more" on Lensa redirects you to the job board/employer site. Any information collected there is subject to their terms and privacy notice.
**Description**
 Fire TV is the world's most popular streaming media player, delighting tens of millions of customers every day. We aim to make Fire TV the most loved connected TV experience, globally.
 Building a Fire TV business we love means growing monthly active users, increasing the time they spend with Fire TV, and monetizing that engagement through Ads, Subscriptions, and Prime Video. To do that, our UI must surface relevant, contextual content \- at scale \- across all our marketplaces.
 We are looking for Sr. Product Manager who thrives on building scalable systems, has deep expertise in content optimization, and can orchestrate complex technical solutions across multiple stakeholders to create breakthrough customer experiences. This is a highly visible and cross\-functional role that requires strong analytical acumen, strategic thinking, and the ability to influence senior leaders across Product, Marketing, Business Development, Advertising and Business Intelligence teams.
 In this role, you will develop the vision, strategy and business requirements for campaign automation, personalization and data integration across all placements in the UI. Working backwards from delivering a 1:1 content experience to customers, you'll design systems that enable seamless discovery and engagement while maximizing value for customers, providers, advertisers, and Amazon's entertainment services, including Prime Video, Luna/Prime Gaming, Amazon Music, and beyond.
 Key job responsibilities
* Own Content Automation Vision: Lead strategy and roadmap for Fire TV's content automation initiatives, including defining success metrics and designing implementation phases with Program Managers.
* Enable UI Optimization: Build and optimize content delivery systems and tooling to deliver seamless content experiences across the ecosystem.
* Cross\-Functional Leadership: Partner with global marketing, advertising, product management, engineering, and business intelligence teams to create a cohesive and scaled automation solution.
* Shape Technical Architecture: Work closely with Product and BI teams to ensure robust data management, attribution capabilities, and performance optimization.
* Build Scalable Systems: Design and implement automated workflows for content sourcing, campaign creation, and performance optimization across all streaming categories.
* Work Backwards from the Customer: Define and advocate for a customer centric vision that delivers personalized 1:1 content experiences on Fire TV.
* Drive Data\-Driven Decisions: Own measurement frameworks, developing attribution capabilities and dashboards that enable effective measurement and content optimization across the key streaming categories in the UI.
* Scale Global Operations: Establish scalable automation systems and processes to support expansion across all marketplaces.
**About The Team**
 Basic Qualifications
* 7\+ years of product or program management, product marketing, business development or technology experience
* Experience owning/driving roadmap strategy and definition
* Experience with end to end product delivery
* Experience as a product manager or owner
**Preferred Qualifications**
* Experience in influencing senior leadership through data driven insights
* Master's degree or equivalent
* Experience building measures and metrics, and developing reporting solutions
* Strong technical background with understanding of data architecture and automation systems.
* International market experience.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Our compensation reflects the cost of labor across several US geographic markets. The base pay for this position ranges from $124,500/year in our lowest geographic market up to $206,000/year in our highest geographic market. Pay is based on a number of factors including market location and may vary depending on job\-related knowledge, skills, and experience. Amazon is a total compensation company. Dependent on the position offered, equity, sign\-on payments, and other forms of compensation may be provided as part of a total compensation package, in addition to a full range of medical, financial, and/or other benefits. For more information, please visit https://www.aboutamazon.com/workplace/employee\-benefits . This position will remain posted until filled. Applicants should apply via our internal or external career site.
 If you have questions about this posting, please contact support@lensa.com</t>
        </is>
      </c>
    </row>
    <row r="163">
      <c r="A163" t="inlineStr">
        <is>
          <t>li-4372181774</t>
        </is>
      </c>
      <c r="B163" t="inlineStr">
        <is>
          <t>Scientific Product Manager (Chicago)</t>
        </is>
      </c>
      <c r="C163" t="inlineStr">
        <is>
          <t>VectorBuilder</t>
        </is>
      </c>
      <c r="D163" t="inlineStr">
        <is>
          <t>linkedin</t>
        </is>
      </c>
      <c r="E163">
        <f>HYPERLINK("https://www.linkedin.com/jobs/view/4372181774", "https://www.linkedin.com/jobs/view/4372181774")</f>
        <v/>
      </c>
      <c r="F163" t="inlineStr"/>
      <c r="G163" t="inlineStr">
        <is>
          <t>Chicago, IL</t>
        </is>
      </c>
      <c r="H163" t="inlineStr"/>
      <c r="I163" t="inlineStr">
        <is>
          <t>**Overview**
 VectorBuilder is a rapidly growing biotechnology company that has established itself as a global leader in a range of life science products and services, including vector cloning, virus packaging, library construction, stable cell line generation, and GMP manufacturing of clinical\-grade plasmid DNA and viruses. VectorBuilder's revolutionary online vector design platform has become highly popular with researchers around the world for its rich functionalities and highly intuitive user interface.
 At VectorBuilder, we are always looking to strengthen our organization by adding the best available talent to our growing team. We are seeking a driven Scientific Product Manager for our Chicago office, to participate in the development of world\-class services and products to expand our portfolio.
**Responsibilities**
* Coordinate with marketing, sales, technical support, and R\&amp;D staff to launch and maintain products and services.
* Generate high\-quality, scientifically accurate content, including blog posts, articles, whitepapers, case studies, and product descriptions.
* Provide training to sales and marketing staff on product capabilities and conduct scientific market research.
* Translate complex scientific concepts into accessible and engaging content for both expert and non\-expert audiences.
* Use data insights to direct content creation and product development that aligns with VectorBuilder’s target audience and marketing goals.
* Provide consultation support in marketing activities, including collateral creation, SEO, and Google Ads; prior knowledge in these areas not required, but familiarity is a plus.
* Related duties as needed.
**Qualifications**
* PhD (preferred) in the field of molecular biology, genetics, cell biology, or closely related research area, or Master’s degree with extensive research experience in biology
* Minimum of 3 years of experience writing scientific manuscripts or other content in life sciences, preferably with relevance to immunology.
* Drive and passion for translational research in biotech.
* Exceptional scientific writing and communication skills.
* Strong organizational and project management skills.
 This is a full\-time office\-based opportunity. Candidates must be able to work in person during regular business hours for this role.
 To apply, please send your CV/resume and cover letter to careers@vectorbuilder.com.</t>
        </is>
      </c>
    </row>
    <row r="164">
      <c r="A164" t="inlineStr">
        <is>
          <t>li-4372202923</t>
        </is>
      </c>
      <c r="B164" t="inlineStr">
        <is>
          <t>Senior Product Manager, Technical, Smart Glasses (Enterprise)</t>
        </is>
      </c>
      <c r="C164" t="inlineStr">
        <is>
          <t>Amazon</t>
        </is>
      </c>
      <c r="D164" t="inlineStr">
        <is>
          <t>linkedin</t>
        </is>
      </c>
      <c r="E164">
        <f>HYPERLINK("https://www.linkedin.com/jobs/view/4372202923", "https://www.linkedin.com/jobs/view/4372202923")</f>
        <v/>
      </c>
      <c r="F164" t="inlineStr"/>
      <c r="G164" t="inlineStr">
        <is>
          <t>Sunnyvale, CA</t>
        </is>
      </c>
      <c r="H164" t="inlineStr"/>
      <c r="I164" t="inlineStr">
        <is>
          <t>**Description**
 Imagine being part of a team building the future of Smart Glasses. Amazon’s Smart Delivery Glasses are just the beginning. Amazon is focused on bringing AI, technology, and design into a form that is familiar to millions of people in a way that has never been done before. If you are excited about pushing the envelope and developing brand new experiences that empower users to do more as they engage with the physical world, we would love to meet you.
 Amazon is looking for a Senior Product Manager (Technical) to join the Smart Glasses team working to build new best\-in\-class enterprise wearable products. We are a customer\-obsessed team working on big bets in an innovative environment. As a Senior Product Manager (Technical) on the Smart Glasses team, you will own and lead the definition, development, and launch of future versions of smart glasses for enterprise applications. Since this role is inherently cross\-functional and highly visible to senior leadership, you will work closely and communicate effectively with engineering/science, design, product, operations, and executive teams to drive successful outcomes across our roadmap.
 A successful candidate will have a proven track\-record of developing and shipping consumer products and features that deliver exceptional customer experiences. They are adept at both strategy and execution, and are strong communicators (written and verbal). They are customer obsessed, data\-driven, and embody a sense of urgency. They work collaboratively in a cross\-functional, fast\-paced environment, and are adept at synthesizing a variety of customer needs, technologies, and capabilities into products and experiences that customers love. They are also open to learning and working on various aspects of the product, from hardware to software to field deployment, as the need arises.
 Key job responsibilities
* Lead the development and execution for future versions of enterprise smart glasses and wearables.
* Develop crisp working backwards documents (PR\-FAQs) and detailed product requirements that can be used to create product specifications and architecture.
* Lead initiatives throughout various stages of the product lifecycle \- from ideation to development to launch \- while working cross\-functionally across product, engineering, design, program, operations, and business teams with a hands\-on, execution\-focused mindset to deliver the product to market.
* Own enterprise\-specific product requirements including device management, fleet deployment strategies, field serviceability, and operational integration with existing enterprise systems and workflows.
* Partner with operations teams to define deployment strategies, training programs, and support infrastructure for large\-scale enterprise rollouts.
* Define and drive the product roadmap based on team vision and strategy. Understand customer needs and identify opportunities to create or improve products and features. Champion and gain buy\-in for the strategy and roadmap by influencing and effectively communicating with internal stakeholders and senior management.
* Proactively identify and resolve issues that may impair the team’s ability to meet strategic, financial, operational, and technical goals.
* Drive executive\-level decision making and manage prioritization/trade\-offs throughout the product lifecycle.
* Stay closely connected to the latest developments in the smart glasses and wearable technology categories, anticipating future trends and opportunities to drive innovation.
**Basic Qualifications**
* 5\+ years of technical product or program management experience
* Bachelor's degree
* Experience with end to end product delivery
* Experience owning/driving roadmap strategy and definition
* Experience with feature delivery and tradeoffs of a product
* Experience contributing to engineering discussions around technology decisions and strategy related to a product
* Experience in representing and advocating for a variety of critical customers and stakeholders during executive\-level prioritization and planning
**Preferred Qualifications**
* MBA
* Experience deploying hardware and software products to enterprise customers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Sunnyvale \- 173,900\.00 \- 235,200\.00 USD annually
**Company** 
 \- Amazon.com Services LLC
 Job ID: A3180000</t>
        </is>
      </c>
    </row>
    <row r="165">
      <c r="A165" t="inlineStr">
        <is>
          <t>li-4358840245</t>
        </is>
      </c>
      <c r="B165" t="inlineStr">
        <is>
          <t>Product Manager 2026 ELH</t>
        </is>
      </c>
      <c r="C165" t="inlineStr">
        <is>
          <t>IBM</t>
        </is>
      </c>
      <c r="D165" t="inlineStr">
        <is>
          <t>linkedin</t>
        </is>
      </c>
      <c r="E165">
        <f>HYPERLINK("https://www.linkedin.com/jobs/view/4358840245", "https://www.linkedin.com/jobs/view/4358840245")</f>
        <v/>
      </c>
      <c r="F165" t="inlineStr"/>
      <c r="G165" t="inlineStr">
        <is>
          <t>Lowell, MA</t>
        </is>
      </c>
      <c r="H165" t="inlineStr"/>
      <c r="I165" t="inlineStr">
        <is>
          <t>**Introduction**
 A career in IBM Software means you’ll be part of a team that transforms
 our customer’s challenges into solutions.
 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We are seeking a skilled back\-end developer to join our IBM Software team. As part of
 our team, you will be responsible for developing and maintaining high\-quality software
 products, working with a variety of technologies and programming languages.
 IBM’s product and technology landscape includes Research, Software, and
 Infrastructure. Entering this domain positions you at the heart of IBM, where growth
 and innovation thrive.
**Your Role And Responsibilities**
 We are seeking Product Managers to help shape AI\-enabled and data\-driven products
 that solve complex business challenges. In this role, you will guide product strategy,
 collaborate across engineering, design, data science, and go\-to\-market teams, and ensure
 that we deliver secure, scalable, intuitive experiences. You will use insights, analytics,
 and user needs to define priorities and drive meaningful product outcomes.
**What You’ll Do**
* Define product strategy aligned with user needs and business goals.
* Translate technical concepts—such as ML models, APIs, and data pipelines—into
 clear product requirements.
* Prioritize the backlog using data\-informed frameworks and support roadmap
 execution.
* Collaborate with cross\-functional teams to deliver high\-quality features.
* Incorporate responsible AI principles such as transparency, fairness, and compliance.
* Monitor product performance using analytics and user feedback.
* Communicate product vision and progress to stakeholders.
* Advocate for user experience and usability in AI\-driven interfaces.
**Preferred Education**
 Bachelor's Degree
**Required Technical And Professional Expertise**
* Strong fundamentals in product strategy, roadmap planning, and backlog management.
* Understanding of AI, ML, or data lifecycle concepts.
* Experience with Agile practices such as sprint planning and iterative delivery.
* Ability to analyze data, use product analytics tools, and interpret metrics.
* Clear communication and storytelling skills.
* Ability to collaborate across diverse teams and manage dependencies.
**Preferred Technical And Professional Experience**
* Experience with enterprise or AI\-powered products.
* Familiarity with responsible AI frameworks.
* Experience working with global teams.</t>
        </is>
      </c>
    </row>
    <row r="166">
      <c r="A166" t="inlineStr">
        <is>
          <t>li-4371598719</t>
        </is>
      </c>
      <c r="B166" t="inlineStr">
        <is>
          <t>Senior Product Manager(Remote) - Work timings: 12 noon IST 9.30 PM IST.</t>
        </is>
      </c>
      <c r="C166" t="inlineStr">
        <is>
          <t>Jobs via Dice</t>
        </is>
      </c>
      <c r="D166" t="inlineStr">
        <is>
          <t>linkedin</t>
        </is>
      </c>
      <c r="E166">
        <f>HYPERLINK("https://www.linkedin.com/jobs/view/4371598719", "https://www.linkedin.com/jobs/view/4371598719")</f>
        <v/>
      </c>
      <c r="F166" t="inlineStr"/>
      <c r="G166" t="inlineStr"/>
      <c r="H166" t="inlineStr"/>
      <c r="I166" t="inlineStr">
        <is>
          <t>Dice is the leading career destination for tech experts at every stage of their careers. Our client, Lightning Minds Inc., is seeking the following. Apply via Dice today!
**Job Title:** 
 Senior Product Manager Media Studio
**About SMC:**
 SMC empowers brands and agencies with audience creation, media activation, and identity solutions. The Media Studio portfolio includes products such as CUE, SET, and ID Graph, driving innovation in advertising, data intelligence, and identity resolution.
**Role Overview:**
 We are seeking a Senior Product Manager to support the Media Studio portfolio. You will collaborate with product leadership, engineering, design, and cross\-functional teams to deliver impactful initiatives in a fast\-paced environment.
**Key Responsibilities:**
* Support product operations, backlog management, and sprint planning.
* Gather and document requirements (user stories, workflows, acceptance criteria).
* Conduct user research, competitive analysis, and data reviews.
* Assist with QA, product demos, presentations, and release documentation.
* Track post\-launch metrics and identify optimization opportunities.
* Collaborate with Customer Success, Marketing, and Support to capture feedback.
**Qualifications:**
* 1 2 years in Product Management, Product Analyst, or related role.
* Strong interest in digital media, ad tech, or data\-driven products.
* Excellent communication, organizational, and analytical skills.
* Familiarity with agile processes, JIRA/Confluence, Excel/Sheets (SQL a plus).
* Preferred: Exposure to media/ad platforms, identity solutions, or data products.
**Why Join Us:**
* Work closely with senior product leaders.
* Gain end\-to\-end product management experience.
* Be part of a collaborative, innovative team in a growing media/data company.
* Exposure to cutting\-edge technologies in media and identity resolution.</t>
        </is>
      </c>
    </row>
    <row r="167">
      <c r="A167" t="inlineStr">
        <is>
          <t>li-4353113904</t>
        </is>
      </c>
      <c r="B167" t="inlineStr">
        <is>
          <t>Product Manager – Workday</t>
        </is>
      </c>
      <c r="C167" t="inlineStr">
        <is>
          <t>IBM</t>
        </is>
      </c>
      <c r="D167" t="inlineStr">
        <is>
          <t>linkedin</t>
        </is>
      </c>
      <c r="E167">
        <f>HYPERLINK("https://www.linkedin.com/jobs/view/4353113904", "https://www.linkedin.com/jobs/view/4353113904")</f>
        <v/>
      </c>
      <c r="F167" t="inlineStr"/>
      <c r="G167" t="inlineStr">
        <is>
          <t>Austin, TX</t>
        </is>
      </c>
      <c r="H167" t="inlineStr"/>
      <c r="I167" t="inlineStr">
        <is>
          <t>**Introduction**
 You will be joining a team that sits at the center or innovation where Workday isn’t just a back\-office tool but a strategic platform that fuels how we scale and operate globally. You will also grow your technical and leadership skill by driving high visibility projects, shaping enterprise\-wide systems strategy, and working with a team that values experimentation, inclusion and continues learning.
**Your Role And Responsibilities**
 The Red Hat Workforce Technology Solutions team is looking for a Principal Technical Product Manager – Workday. In this role, you will lead the evolution of our Workday platform to power how we attract, develop, and enable our global workforce. You’ll partner with teams across HR, Payroll, and IT to translate business goals into scalable, data\-driven solutions that improve how employees experience our systems every day. You’ll drive the strategy and roadmap for Workday and related integrations, ensuring our systems support rapid growth and operational excellence. This is an opportunity to shape how technology enables people, influence enterprise\-wide transformation, and make a visible impact in a fast\-moving tech environment.
**What You Will Do**
* Define and own the vision, strategy, and roadmap for Workday across all modules, aligning system capabilities with business priorities.
* Collaborate cross\-functionally with HR, Payroll, and IT, to gather feedback, identify opportunities, and prioritize high\-impact initiatives.
* Lead Workday product delivery, guiding configuration, integration, testing, and release cycles using Agile principles.
* Influence and align stakeholders at all levels—partnering with leadership to ensure system strategy supports enterprise growth goals.
* Evaluate new Workday features, integrations, and trends to recommend forward\-looking enhancements.
**Preferred Education**
 Bachelor's Degree
**Required Technical And Professional Expertise**
* Extensive hands‑on experience configuring Workday, including integrations and reporting, with the ability to translate business needs into effective system solutions.
* Deep understanding of Agile product management practices, including backlog ownership, prioritization, and iterative delivery.
* Demonstrated capability to align product direction with organizational strategy, ensuring technical delivery drives measurable business value.
* Exceptional communication and stakeholder‑management skills, with the ability to influence decisions and build alignment across both technical and non‑technical teams.
* Strong analytical and problem‑solving approach, with a continuous‑improvement mindset and a passion for optimizing processes and systems.</t>
        </is>
      </c>
    </row>
    <row r="168">
      <c r="A168" t="inlineStr">
        <is>
          <t>li-4371055687</t>
        </is>
      </c>
      <c r="B168" t="inlineStr">
        <is>
          <t>Senior Advisory Product Manager, US Wealth - New York, NY</t>
        </is>
      </c>
      <c r="C168" t="inlineStr">
        <is>
          <t>TD</t>
        </is>
      </c>
      <c r="D168" t="inlineStr">
        <is>
          <t>linkedin</t>
        </is>
      </c>
      <c r="E168">
        <f>HYPERLINK("https://www.linkedin.com/jobs/view/4371055687", "https://www.linkedin.com/jobs/view/4371055687")</f>
        <v/>
      </c>
      <c r="F168">
        <f>HYPERLINK("https://td.wd3.myworkdayjobs.com/fr-CA/TD_Bank_Careers/job/New-York-New-York/Senior-Product-Manager\u002d\u002dUS-Wealth\u002d\u002d-New-York\u002d\u002dNY_R_1472473?source=LinkedIn&amp;urlHash=8Cje", "https://td.wd3.myworkdayjobs.com/fr-CA/TD_Bank_Careers/job/New-York-New-York/Senior-Product-Manager\u002d\u002dUS-Wealth\u002d\u002d-New-York\u002d\u002dNY_R_1472473?source=LinkedIn&amp;urlHash=8Cje")</f>
        <v/>
      </c>
      <c r="G168" t="inlineStr">
        <is>
          <t>New York, NY</t>
        </is>
      </c>
      <c r="H168" t="inlineStr"/>
      <c r="I168" t="inlineStr">
        <is>
          <t>**Work Location:**
 New York, New York, États\-Unis d'Amérique
**Hours**
 40
**Pay Details**
 $124,280 \- $186,160 USD
 TD is committed to providing fair and equitable compensation opportunities to all colleagues. Growth opportunities and skill development are defining features of the colleague experience at TD. Our compensation policies and practices have been designed to allow colleagues to progress through the salary range over time as they progress in their role. The base pay actually offered may vary based upon the candidate's skills and experience, job\-related knowledge, geographic location, and other specific business and organizational needs.
 As a candidate, you are encouraged to ask compensation related questions and have an open dialogue with your recruiter who can provide you more specific details for this role.
**Line Of Business**
 Gestion de patrimoine TD
**Job Description**
 The Senior Product Manager, US Wealth oversees the end\-to\-end management of assigned products, services and programs including features, benefits and characteristics that meet customer needs and are priced to meet the firms profit and loss objectives. The Product Manager manages a particular product or function supporting in the achievement of a business strategy. This role acts as a source for innovation led through customer insights and creating a better customer experience with a particular product. The role is accountable for business results and product sales, working with distribution teams to ensure revenue and volume targets are met.
 The
 **Senior Advisory Product Manager** 
 is accountable for the development and execution for both strategic and tactical initiatives related to the ongoing development and support of the Advisory Investment platform and solutions. The Senior Advisory Product Manager will oversee and be responsible for the risk and quality management of all TD's managed programs as well as the investments available in each program.
**Depth \&amp; Scope**
* Subject Matter Expert with substantial knowledge/expertise in Wealth Management product offerings and platform design
* Responsible for day\-to\-day product management and product development with mass or niche product/segment suite and moderate/high level of complexity with range of complex attributes
* Responsible for platform risk management, creating and updating policies, procedures, and product documentation as needed due to internal changes or regulatory updates and ensuring compliance with all policies and procedures.
* Supports management with business analysis for all projects or enhancements
* Liaises with vendors to coordinate platform change management and solution enhancement
* Collaborates with cross\-functional teams across disciplines such as operations, technology, design, marketing, legal, compliance, risk, and relevant departments
* Provides subject matter expertise for internal and external audits and regulatory exams
* Manages 3rd Party platform vendors and partners to ensure risk and quality management of platforms and offering
* Handles daily product management and product development responsibilities to make assigned products and programs robust and easier for the Advisors to utilize
* Provides holistic solutions that brings together the firm's product shelf to meet the needs of clients
* Translates data into actionable insights and recommendations that can improve the products features, functionality, usability, pricing, and value proposition
* Performs financial analysis and revenue management
* Gathers, analyzes, and interprets trends with data to answer critical business and product questions
* Recommends and drives action to improve revenue and/or expense management
* Champions the development of the annual business plan and monthly/quarterly forecast process
* Supports and resolves sales team day to day questions and issues
* Supports training efforts on new system/solution rollout
* Works closely with marketing teams to develop and/or refine value propositions and competitive positioning for key solutions
* Delivers financial results for the product/product suite via operation of all available levers: pricing, margin, volume etc., creates and delivers business cases to achieve strategic business results (acquisition, retention, customer experience, engagement and market share)
**Education \&amp; Experience**
* Undergraduate degree or product management certificate, and/or
* 7\+ years relevant experience
* Previous Product experience typically required
* Advanced knowledge of and ability to conduct product research, product analysis and development, forecasting, pricing, competitive intelligence
* Knowledge of current and emerging competitor and market trends
* Ability to lead, plan, implement and evaluate program/project activities to ensure completion of product initiatives
* Ability to forecast and contribute to strategic direction of the product management function and provide advice to senior leadership
* Ability to communicate effectively in both oral and written form
* Ability to work collaboratively and build relationships across teams and functions
* Ability to work successfully as a member of a team and independently
* Ability to exercise sound judgement in making decisions
* Ability to analyze, organize and prioritize work while meeting multiple deadlines
* Skill in preparing and managing budgets and P\&amp;L
* Knowledge of and/or skill in using analytical software tools, data analysis methods and reporting techniques
* Skill in using computer applications including MS Office
* Ability to handle confidential information with discretion
* Licensing (Role Dependent): Series 7, 63 and 65 (or 66\), Life \&amp; Health or willingness to get licensed to support various product lines
**Preferred Qualifications**
* Understanding Advisory platforms and Advisory products \&amp; programs in a competitive landscape to position TD in the most competitive way within TDs risk appetite.
* Subject matter expertise in Advisory offering with depth in developing and maintaining managed programs including but not limited to UMA, SMA, and Rep as PM.
* Responsible for day\-to\-day product management and product development responsibilities, making Advisory Programs robust and easy for Advisory to utilize.
**OCC Language**
* This position is with a FINRA member, broker and/or dealer and is subject to the requirements of FINRA and Securities Laws. May (or may not) be a registered position under FINRA.
* Must be eligible for employment under standards established by FINRA. Subject to the investigation and verification requirements of FINRA Rule 3110(e), including: the Firm's obligation to investigate the good character, business reputation, qualifications and experience of an applicant for registration before applying to register the applicant with FINRA and filing the applicant's Form U4 with the CRD, and before representing on the applicant's Form U4 that it has conducted this investigation and verified the accuracy and completeness of the information contained in the applicant's Form U4; and the Firm's obligation to verify the accuracy and completeness of the information contained on the applicant’s Form U4, no later than 30 calendar days after the Form U4 is filed with FINRA.
* Satisfactory results on a criminal background check, credit report check, civil litigation search, and regulatory agency or self\-regulatory organization enforcement action search, and statements/certification from job applicant regarding administrative, civil, and/or criminal findings by any government agency/authority or self\-regulatory organization, are required by federal law for this position.
**Physical Requirements**
 Never: 0%; Occasional: 1\-33%; Frequent: 34\-66%; Continuous: 67\-100%
* Domestic Travel – Occasional
* International Travel – Never
* Performing sedentary work – Continuous
* Performing multiple tasks – Continuous
* Operating standard office equipment \- Continuous
* Responding quickly to sounds – Occasional
* Sitting – Continuous
* Standing – Occasional
* Walking – Occasional
* Moving safely in confined spaces – Occasional
* Lifting/Carrying (under 25 lbs.) – Occasional
* Lifting/Carrying (over 25 lbs.) – Never
* Squatting – Occasional
* Bending – Occasional
* Kneeling – Never
* Crawling – Never
* Climbing – Never
* Reaching overhead – Never
* Reaching forward – Occasional
* Pushing – Never
* Pulling – Never
* Twisting – Never
* Concentrating for long periods of time – Continuous
* Applying common sense to deal with problems involving standardized situations – Continuous
* Reading, writing and comprehending instructions – Continuous
* Adding, subtracting, multiplying and dividing – Continuous
 The above statements are intended to describe the general nature and level of work being performed by people assigned to this job. They are not intended to be an exhaustive list of all responsibilities, duties and skills required. The listed or specified responsibilities \&amp; duties are considered essential functions for ADA purposes.
**Who We Are**
 TD is one of the world's leading global financial institutions and is the fifth largest bank in North America by branches/stores. Every day, we strive to make every interaction, product, and experience remarkably human and refreshingly simple for over 27 million households and businesses in Canada, the United States and around the world. More than 95,000 TD colleagues bring their skills, talent, and creativity to foster deeper relationships, ensure disciplined execution, and build a simpler, faster banking experience. TD is deeply committed to being a leader in client experience, that is why we believe that all colleagues, no matter where they work, are client facing. Together, we are reimagining what banking can be for our clients, colleagues and communities.
**Our Total Rewards Package**
 Our Total Rewards package reflects the investments we make in our colleagues to help them and their families achieve their financial, physical and mental well\-being goals. Total Rewards at TD includes base salary and variable compensation/incentive awards (e.g., eligibility for cash and/or equity incentive awards, generally through participation in an incentive plan) and several other key plans such as health and well\-being benefits, savings and retirement programs, paid time off (including Vacation PTO, Flex PTO, and Holiday PTO), banking benefits and discounts, career development, and reward and recognition. Learn more
**Additional Information**
 We’re delighted that you’re considering building a career with TD. Through regular development conversations, training programs, and a competitive benefits plan, we’re committed to providing the support our colleagues need to thrive both at work and at home.
**Colleague Development**
 If you’re interested in a specific career path or are looking to build certain skills, we want to help you succeed. You’ll have regular career, development, and performance conversations with your manager, as well as access to an online learning platform and a variety of mentoring programs to help you unlock future opportunities.
 If you’re passionate about helping clients and building deep, lasting relationships, TD offers diverse career paths where you can grow your expertise and make a meaningful impact.
 We're committed to your success and foster a respectful workplace where diverse perspectives are valued, everyone has fair opportunities to grow, and you can unlock your full potential to achieve your career goals. Here at TD, we hire and develop the best.
**Training \&amp; Onboarding**
 We will provide training and onboarding sessions to ensure that you’ve got everything you need to succeed in your new role.
**Interview Process**
 We’ll reach out to candidates of interest to schedule an interview. We do our best to communicate outcomes to all applicants by email or phone call.
**Accommodation**
 TD Bank is an equal opportunity employer. All qualified applicants will receive consideration for employment without regard to race, color, religion, sex, sexual orientation, gender identity, national origin, age, disability, status as a protected veteran or any other characteristic protected under applicable federal, state, or local law.
 If you are an applicant with a disability and need accommodations to complete the application process, please email TD Bank US Workplace Accommodations Program at USWAPTDO@td.com. Include your full name, best way to reach you and the accommodation needed to assist you with the applicant process.</t>
        </is>
      </c>
    </row>
    <row r="169">
      <c r="A169" t="inlineStr">
        <is>
          <t>li-4358820215</t>
        </is>
      </c>
      <c r="B169" t="inlineStr">
        <is>
          <t>Product Manager 2026 ELH</t>
        </is>
      </c>
      <c r="C169" t="inlineStr">
        <is>
          <t>IBM</t>
        </is>
      </c>
      <c r="D169" t="inlineStr">
        <is>
          <t>linkedin</t>
        </is>
      </c>
      <c r="E169">
        <f>HYPERLINK("https://www.linkedin.com/jobs/view/4358820215", "https://www.linkedin.com/jobs/view/4358820215")</f>
        <v/>
      </c>
      <c r="F169" t="inlineStr"/>
      <c r="G169" t="inlineStr">
        <is>
          <t>Poughkeepsie, AR</t>
        </is>
      </c>
      <c r="H169" t="inlineStr"/>
      <c r="I169" t="inlineStr">
        <is>
          <t>**Introduction**
 A career in IBM Software means you’ll be part of a team that transforms
 our customer’s challenges into solutions.
 Seeking new possibilities and always staying curious, we are a team dedicated to
 creating the world’s leading AI\-powered, cloud\-native software solutions for our
 customers. Our renowned legacy creates endless global opportunities for our IBMers, so
 the door is always open for those who want to grow their career.
 We are seeking a skilled back\-end developer to join our IBM Software team. As part of
 our team, you will be responsible for developing and maintaining high\-quality software
 products, working with a variety of technologies and programming languages.
 IBM’s product and technology landscape includes Research, Software, and
 Infrastructure. Entering this domain positions you at the heart of IBM, where growth
 and innovation thrive.
**Your Role And Responsibilities**
 We are seeking Product Managers to help shape AI\-enabled and data\-driven products
 that solve complex business challenges. In this role, you will guide product strategy,
 collaborate across engineering, design, data science, and go\-to\-market teams, and ensure
 that we deliver secure, scalable, intuitive experiences. You will use insights, analytics,
 and user needs to define priorities and drive meaningful product outcomes.
**What You’ll Do**
* Define product strategy aligned with user needs and business goals.
* Translate technical concepts—such as ML models, APIs, and data pipelines—into
 clear product requirements.
* Prioritize the backlog using data\-informed frameworks and support roadmap
 execution.
* Collaborate with cross\-functional teams to deliver high\-quality features.
* Incorporate responsible AI principles such as transparency, fairness, and compliance.
* Monitor product performance using analytics and user feedback.
* Communicate product vision and progress to stakeholders.
* Advocate for user experience and usability in AI\-driven interfaces.
**Preferred Education**
 Bachelor's Degree
**Required Technical And Professional Expertise**
* Strong fundamentals in product strategy, roadmap planning, and backlog management.
* Understanding of AI, ML, or data lifecycle concepts.
* Experience with Agile practices such as sprint planning and iterative delivery.
* Ability to analyze data, use product analytics tools, and interpret metrics.
* Clear communication and storytelling skills.
* Ability to collaborate across diverse teams and manage dependencies.
**Preferred Technical And Professional Experience**
* Experience with enterprise or AI\-powered products.
* Familiarity with responsible AI frameworks.
* Experience working with global teams.</t>
        </is>
      </c>
    </row>
    <row r="170">
      <c r="A170" t="inlineStr">
        <is>
          <t>li-4348603340</t>
        </is>
      </c>
      <c r="B170" t="inlineStr">
        <is>
          <t>Entry Level Product Manager - Global Asset Recovery Services</t>
        </is>
      </c>
      <c r="C170" t="inlineStr">
        <is>
          <t>IBM</t>
        </is>
      </c>
      <c r="D170" t="inlineStr">
        <is>
          <t>linkedin</t>
        </is>
      </c>
      <c r="E170">
        <f>HYPERLINK("https://www.linkedin.com/jobs/view/4348603340", "https://www.linkedin.com/jobs/view/4348603340")</f>
        <v/>
      </c>
      <c r="F170" t="inlineStr"/>
      <c r="G170" t="inlineStr">
        <is>
          <t>Poughkeepsie, AR</t>
        </is>
      </c>
      <c r="H170" t="inlineStr"/>
      <c r="I170" t="inlineStr">
        <is>
          <t>**Introduction**
 At IBM, work is more than a job \- it's a calling. Are you ready to lead in this new era of technology and solve some of the world's most challenging problems? The IBM Cost Optimization team is seeking a talented individual that can help manage an opportunity to partner across teams in finance, supply chain, product management, development and engineering. Do you have a passion for collaborating across organizations and finding innovative ways to improve process? If so, then please read on.
 You will join a passionate team of high skilled experts that are fun\-spirited, collaborative and highly ingenious in finding win/win opportunities for the business. This is an opportunity to work collaboratively with a diverse group of experts across various disciplines to drive process improvements among Systems.
**Your Role And Responsibilities**
 Do you aspire to be a Product Manager with responsibiltities for product ownership and growth? Colleagues regard you as someone who navigates stakeholder outcomes, business impacts, and functional tradeoffs with unparalleled skill. Your communication style leaves team members feeling respected, heard, and understood. Now, imagine channeling your expertise to shape the technology of tomorrow—a force that powers the world around us and yields an impact to be proud of. As a cross\-portfolio Product Management Intern for IBM, you will play a vital role in assisting with projects spanning the entire portfolio. Your focus will be on product management process agility and optimization. You will collaborate with product owners and cross\-functional teams. You will help curate insights from customers and engage the right product teams to progress them. You will innovate ways to help drive efficiency in our product management processes. This is an exciting opportunity to learn the ropes of product management in a fast\-growing market, and to contribute to the success of our products.
 Collaborate with the broader IBM product organization to help support the portfolio and business.
 Become an expert in IBM’s product management methodologies, design thinking and product introduction. Support product teams in defining product requirements, user stories, and specifications.
 Collaborate with cross\-functional teams (engineering, operations, supply chain, marketing, and sales) to ensure timely product delivery..
 Analyze competitors, market trends and customer feedback to identify new product opportunities.
**Preferred Education**
 Bachelor's Degree
**Required Technical And Professional Expertise**
 Bachelor’s Degree in IT/Computer Science/Engineering
 Prior (project or internship) experience in Product Management or equivalent practical experience building or deploying products
 Experience in implementing agile practices and design thinking
 Strong written communication and presentation skills
 Problem solving and Business Analysis skills
 Growth minded, trusted, team focused, courageous, resourceful, and outcome focused.
**Preferred Technical And Professional Experience**
 Track Record of high\-quality, self\-directed, timely execution, attention to detail.
 Technical expertise and ability to communicate, work \&amp; build trust with stakeholders.
 Experience with Cloud, Technology, administration and logistics</t>
        </is>
      </c>
    </row>
    <row r="171">
      <c r="A171" t="inlineStr">
        <is>
          <t>li-4372193975</t>
        </is>
      </c>
      <c r="B171" t="inlineStr">
        <is>
          <t>Enterprise Category/Product Manager</t>
        </is>
      </c>
      <c r="C171" t="inlineStr">
        <is>
          <t>Raise</t>
        </is>
      </c>
      <c r="D171" t="inlineStr">
        <is>
          <t>linkedin</t>
        </is>
      </c>
      <c r="E171">
        <f>HYPERLINK("https://www.linkedin.com/jobs/view/4372193975", "https://www.linkedin.com/jobs/view/4372193975")</f>
        <v/>
      </c>
      <c r="F171">
        <f>HYPERLINK("https://apply.raise.jobs/?id=244217&amp;s=Job+Posting+-+Linkedin+Free&amp;urlHash=rB8s", "https://apply.raise.jobs/?id=244217&amp;s=Job+Posting+-+Linkedin+Free&amp;urlHash=rB8s")</f>
        <v/>
      </c>
      <c r="G171" t="inlineStr">
        <is>
          <t>Westlake Village, CA</t>
        </is>
      </c>
      <c r="H171" t="inlineStr"/>
      <c r="I171" t="inlineStr">
        <is>
          <t>Job Title: Enterprise Category/Product Manager
 Location: Hybrid or remote flexibility for the right candidate, 1st month full time in West Lake village and then Hybrid, 1 week in a month to west lake village, then depending on client visits
 Reports To: Senior Director of Marketing
 Salary \- $120K\-$145K Base
 We at Raise are hiring for one of our key clients in the Food and Beverage industry. After establishing themselves as an industry leader, our client’s team is expanding to meet rising demand. It’s a great chance to take on new projects, new teams, and make your mark on a growing business. If you’ve got the right mix of skills and industry experience, this could be the perfect role for you.
 Our client takes pride in their people. When you join their team, you’ll find a workplace that facilitates challenge, achievement, and growth.
**Position Summary For Product Manager**
 The Category Manager is responsible for driving category growth and performance across both retail and foodservice channels. This role focuses on strategic category leadership, cross\-functional collaboration, and insight\-based decision making to optimize product mix, pricing, assortment, and promotional strategies. Reporting to the Sr. Director Marketing, the Category Manager plays a key role in shaping the company’s competitive position, delivering value to customers, and influencing long\-term enterprise priorities across evolving product categories.
**Key Responsibilities**
* Category Strategy \&amp; Growth
* Lead the development of enterprise category strategies that align with business objectives and market trends.
* Identify growth opportunities through innovation, assortment optimization (adds, deletes, re\-launches), pricing strategy, and demand planning.
* Customer \&amp; Market Insights
* Analyze syndicated data, customer POS, shipment data, and industry trends to drive decisions.
* Monitor competitor activity, shopper behavior, and channel dynamics across retail and foodservice.
* Cross\-Functional Collaboration
* Partner with Sales, Marketing, RevOps (Finance) and R\&amp;D to align category plans with executional capabilities.
* Serve as the category expert in customer\-facing conversations and internal planning sessions.
* Assortment, Pricing \&amp; Promotion
* Recommend portfolio assortment strategies by channel, customer, and format.
* Support pricing architecture, trade strategy, and promotional planning to drive category performance and margin.
* Enterprise Support
* Provide regular reporting and performance dashboards on category KPIs.
* Adapt priorities based on changing category focus areas or market shifts.
**Qualifications**
* Bachelor’s degree in marketing, Business, Economics, or related field.
* 5\+ years of category management, trade marketing, or strategy experience in the food industry.
* Proficiency with syndicated data tools (IRI/Circana, Nielsen, SPINS) and shopper/customer insights platforms.
* Strong analytical skills with the ability to translate data into clear business recommendations.
* Excellent communication and collaboration skills across cross\-functional teams.
**Preferred Attributes**
* Deep knowledge of both retail and foodservice channel dynamics.
* Strategic mindset with operational execution ability.
* Experience influencing at both corporate and customer\-facing levels.
 Other related duties, as assigned.
* This role is based in Westlake Village, CA, with flexibility for hybrid or remote work arrangements for the right candidate. Periodic travel (approximately 10–20%) is required to attend key customer meetings, internal planning sessions, and industry events.
 Looking for meaningful work? We can help.
 Raise is an established hiring firm with over 65 years of experience. We believe strongly in making the world a better place through work, which is why we’re a certified B Corporation and donate 10% of our profits to charity.
 We strive to build teams that reflect the diversity of the communities we work in. We encourage all qualified applicants to apply, including people from traditionally underrepresented groups such as women, visible minorities, Indigenous peoples, people identifying as LGBTQ2SI, veterans, and people with visible/nonvisible disabilities.
 We have a dedicated webpage for accommodations where you can learn more about what we offer, and request accommodation: https://raise.jobs/accommodations/
 In order to submit candidates for roles, our clients will sometimes require personal information to confirm the identity of applicants and their legal status to work. Raise will never ask you for personal or banking information unless you have been selected for a job. If you are ever unsure about the legitimacy of this or another job posting by Raise (or have any other questions), please contact us at \+1 800\-567\-9675 or hello@raiserecruiting.com
 \#IMSMB</t>
        </is>
      </c>
    </row>
    <row r="172">
      <c r="A172" t="inlineStr">
        <is>
          <t>li-4348556921</t>
        </is>
      </c>
      <c r="B172" t="inlineStr">
        <is>
          <t>Entry Level Product Manager 2026</t>
        </is>
      </c>
      <c r="C172" t="inlineStr">
        <is>
          <t>IBM</t>
        </is>
      </c>
      <c r="D172" t="inlineStr">
        <is>
          <t>linkedin</t>
        </is>
      </c>
      <c r="E172">
        <f>HYPERLINK("https://www.linkedin.com/jobs/view/4348556921", "https://www.linkedin.com/jobs/view/4348556921")</f>
        <v/>
      </c>
      <c r="F172" t="inlineStr"/>
      <c r="G172" t="inlineStr">
        <is>
          <t>Tucson, AZ</t>
        </is>
      </c>
      <c r="H172" t="inlineStr"/>
      <c r="I172" t="inlineStr">
        <is>
          <t>**Introduction**
 At IBM, work is more than a job \- it's a calling: To build. To design. To code. To consult. To think along with clients and sell. To make markets. To invent. To collaborate. Not just to do something better, but to attempt things you've never thought possible. Are you ready to lead in this new era of technology and solve some of the world's most challenging problems? If so, lets talk.
**Your Role And Responsibilities**
 Are you a seasoned Product Manager with a proven track record of successful product ownership and growth? Colleagues regard you as someone who navigates customer outcomes, business impacts, and functional tradeoffs with unparalleled skill. Your communication style leaves team members feeling respected, heard, and understood. Now, imagine channeling your expertise to shape the technology of tomorrow—a force that powers the world around us and yields an impact to be proud of.As a cross\-portfolio Product Manager for IBM, you will play a vital role in assisting with projects spanning the entire cloud portfolio. Your focus will be on product management process agility and optimization. You will collaborate with product owners and cross\-functional teams. You will help curate insights from customers that flow into the Idea hub and engage the right product teams to progress them. You will innovate ways to help drive efficiency in our product management processes. This is an exciting opportunity to learn
 the ropes of product management in a fast\-growing market, and to contribute to the success of our products.
**What You'll Do**
* Collaborate with the broader IBM product organization to help support the portfolio and business.
* Become an expert in IBM’s product management methodologies, design thinking and new product introduction. Support product teams in defining product requirements, user stories, and specifications.
* Collaborate with cross\-functional teams (engineering, design, marketing, and sales) to ensure timely product delivery
* Analyze competitors, market trends and customer feedback to identify new product opportunities
**Preferred Education**
 Bachelor's Degree
**Required Technical And Professional Expertise**
* Bachelor’s Degree in IT/Computer Science/Engineering
* Experience in Product Management or equivalent practical experience building or deploying
 products in a Cloud based software organization
* Experience in implementing agile practices and design thinking
* Strong written communication and presentation skills
* Problem solving and Business Analysis skills
* Ability to work 3 days a week from the office.
**Preferred Technical And Professional Experience**
* Track record of high\-quality, self\-directed, timely execution,
* Attention to detail.
* Technical expertise and ability to communicate, work \&amp; build trust with stakeholders
* Experience with Cloud \&amp; technology</t>
        </is>
      </c>
    </row>
    <row r="173">
      <c r="A173" t="inlineStr">
        <is>
          <t>li-4352675544</t>
        </is>
      </c>
      <c r="B173" t="inlineStr">
        <is>
          <t>Entry Level Product Manager 2026</t>
        </is>
      </c>
      <c r="C173" t="inlineStr">
        <is>
          <t>IBM</t>
        </is>
      </c>
      <c r="D173" t="inlineStr">
        <is>
          <t>linkedin</t>
        </is>
      </c>
      <c r="E173">
        <f>HYPERLINK("https://www.linkedin.com/jobs/view/4352675544", "https://www.linkedin.com/jobs/view/4352675544")</f>
        <v/>
      </c>
      <c r="F173">
        <f>HYPERLINK("https://ibmglobal.avature.net/en_US/careers/JobDetail?jobId=73854&amp;src=SN_LinkedIn&amp;urlHash=Czt4", "https://ibmglobal.avature.net/en_US/careers/JobDetail?jobId=73854&amp;src=SN_LinkedIn&amp;urlHash=Czt4")</f>
        <v/>
      </c>
      <c r="G173" t="inlineStr">
        <is>
          <t>Durham, NC</t>
        </is>
      </c>
      <c r="H173" t="inlineStr"/>
      <c r="I173" t="inlineStr">
        <is>
          <t>**Introduction**
 Ready to re\-imagine the management role? At IBM, as an Offering Manager, you are responsible for the full lifecycle of an offering: from validating need to determining the business model and defining the solution requirements. Going beyond the traditional focus of timetables and budgets, you use your keen insights into what customers want in their own business plan \- and work across disciplines to build the best solutions to a problem. If being the CEO of your offering excites you, consider an offering management career at IBM
**Your Role And Responsibilities**
 IBM Product Managers deliver business results by bringing high\-quality products to market by defining the strategy and execution plans while continuously innovating to achieve market leadership. Product Managers are experts at market and business analysis, product definition, product roadmap, pricing, ecosystem, channel strategy, strategic planning, competitive analysis, innovation, and leading cross\-functional teams. They manage the product lifecycle from inception through growth, maturity, and end of life stages and define partnership and ecosystem strategy for product execution. Product Managers maximize internal and external relationships interfacing with design, product marketing, ecosystem partners, analysts, engineering, sales, and services teams to deliver a successful product with defined routes to market. They are experts in the field and are recognized as a credible voice in the market.
 We look for emerging leaders who are entrepreneurial, adaptable, analytical, creative problem solvers, persuasive, empathetic and tenacious. We also look for those who have been exposed to, and are well versed in, technology concepts.
 Our Product Managers operate in a demanding role at the epicenter of multidisciplinary teams which include design, engineering, sales, marketing, finance and legal. Our clients rank among the world's largest, most influential companies and governments, and our product teams serve their needs under constantly changing priorities. We are passionate about using technology to solve these problems.
**Responsibilities**
* Support Senior Product Managers in the day\-to\-day and strategic management of a product
* Help define and execute product strategy
* Support sales and marketing initiatives to drive revenue growth
* Collaborate with cross\-functional teams to develop and execute a comprehensive product roadmap
* Track product performance and metrics
* Stay up\-to\-date on industry trends and best practices
**Preferred Education**
 Bachelor's Degree
**Required Technical And Professional Expertise**
* Familiarity with cloud computing and cloud services
* Exposure to product lifecycles, roadmaps, release cadence and support
* Exposure to customer\-driven usability and hypothesis\-driven experimentation
* Demonstrated ability to communicate verbally and in writing
**Preferred Technical And Professional Experience**
 Bachelor’s Degree in IT/Computer Science/Engineering
 Passion and desire to make the best products in the industry hands\-down
 Engaged Team player</t>
        </is>
      </c>
    </row>
    <row r="174">
      <c r="A174" t="inlineStr">
        <is>
          <t>li-4362189055</t>
        </is>
      </c>
      <c r="B174" t="inlineStr">
        <is>
          <t>Senior Product Manager</t>
        </is>
      </c>
      <c r="C174" t="inlineStr">
        <is>
          <t>Five Star Bank</t>
        </is>
      </c>
      <c r="D174" t="inlineStr">
        <is>
          <t>linkedin</t>
        </is>
      </c>
      <c r="E174">
        <f>HYPERLINK("https://www.linkedin.com/jobs/view/4362189055", "https://www.linkedin.com/jobs/view/4362189055")</f>
        <v/>
      </c>
      <c r="F174" t="inlineStr"/>
      <c r="G174" t="inlineStr">
        <is>
          <t>Buffalo, NY</t>
        </is>
      </c>
      <c r="H174" t="inlineStr"/>
      <c r="I174" t="inlineStr">
        <is>
          <t>**Purpose:** 
 The Senior Product Manager of Consumer Deposits is responsible for the development, design, pricing and management of our Consumer Deposit product set. This includes reporting and insights related to activity, pricing, profitability, customer growth and product mix within their portfolio of focus. Additionally, the Senior Product Manager will provide continued evaluation and recommendation of new product features/functionality and process enhancements to help us meet customer needs, enterprise goals and remain competitive.
 The Senior Product Manager partners with key stakeholders including line of business leadership, Finance, Marketing, Risk, Operations, Technology and others on the concept, build and delivery of new products, as well as changes to existing products – all in support of a positive customer experience, sound product governance and successful outcomes. This includes engaging with our governance bodies, such as New Product Approval and ALCO, and adhering to all processes and procedures related to change management.
 This role supervises the Deposit Product Analyst and directs their workflow to deliver the appropriate reporting, analysis and insights to manage the product portfolio. The Senior Product Manager will also work closely with the rest of the Product team and provide counsel and support as needed to teammates with other product portfolios.
**Essential Functions:**
* Product Strategy: Maintain a roadmap for the product portfolio that aligns with enterprise objectives. This includes understanding market trends, customer needs, and the competitive landscape. Able to articulate how our products fit into the broader strategy of the bank and address specific client segments.
* Product Development and Management: Responsible for overseeing the development and enhancement of Consumer Deposit products. This involves working closely with Operations, Technology, Line of Business and Compliance to ensure that the products are user\-friendly and can be successfully deployed within our environment.
* Analysis and Insights: Conduct market research and gather customer feedback to understand the needs and pain points of clients. Develop KPIs and perform user research to inform decisions about product development, marketing, and positioning.
* Regulatory Compliance: Work with stakeholder to ensure that product design complies with relevant laws and regulations. Adhere to change management processes, including following all required steps and obtaining all necessary approvals. This includes staying updated on changes in the banking regulatory environment and working with legal and compliance teams to navigate these complexities. This also includes taking a leading role in facilitating agreements and disclosures related to product launches and changes.
* Financial Management: Help manage the budget for product development and assist with forecasting and analyzing the financial performance of the product portfolio. Ensure that the products are profitable and contribute positively to the bank's bottom line.
* Cross\-functional Collaboration: The role requires collaboration with various departments within the bank such as marketing, compliance, risk management, operations, and business leaders. The Senior Product Manager needs to ensure that all teams are aligned with the product strategy and have the necessary tools and information to effectively sell and support the products. Demonstrate the standards and principles of the Five Star Bank experience in every interaction with internal and external customers, associates, and stakeholders. Incorporate the high\-performance behaviors of teamwork, leading by example, and service in every facet of work.
* Sales, Marketing and Communication Support: Provide support to Marketing, Sales and Communications to ensure effective outreach, promotion and change communications for product launches or changes. This could involve training sales teams, procedures, user guides, fact sheets, FAQ’s, sales documents, agreements, and customer election forms.
* Customer Experience and Service: Ensure that the product offers a high\-quality customer experience. This includes keeping abreast of the customer service touch points related to the product, addressing any issues or feedback, and continuously seeking ways to enhance customer satisfaction.
* Product Lifecycle Management: Responsible for managing the entire lifecycle of each product, from inception to retirement. This includes making decisions about when to update, enhance, or discontinue products.
* SME: Serves as a product subject matter expert for our Consumer Deposit product set.
**Job Related Qualifications:**
**Required:**
* Education: Bachelor’s Degree in Business Administration, Finance, Marketing or related field
* Prior Experience: 7\+ years Product Management, or a combination of Consumer Banking experience in Banker, Marketing, or Customer Experience functions.
* Licenses or Accreditation: N/A
* OR\-
**Preferred:**
* Education: Master’s Degree
* Prior Experience: 10\+ years’ experience in Consumer Banking Product Management, including roles supporting deposit products, managing vendor relationships, and developing product pricing strategy.
* Licenses or Accreditation: N/A
**Competencies:**
* Product Competency: Embraces the role of a product manager in a multi\-stakeholder ecosystem with a demonstrable understanding of product, pricing, placement, and promotion. Has demonstrated understanding of Consumer Deposit products and services, including digital banking features and technologies.
* Analytical ability to interpret data and present it in a meaningful and easily understood form. Work extensively with spreadsheets to analyze financial data, predict future costs, revenue and profitability with support from internal finance team.
* Excellent written and verbal communication skills. Able to tailor communication to unique audiences at all levels of the organization, as well as with external vendors.
* Excellent project management and collaboration skills. Ability to support projects from end\-to\-end and understand how to support and lead the following: solution discovery, business requirement construction, technology specifications support, project launch, internal approval management, testing, communication, delivery, and post\-project review.
* Excellent organizational skills with ability to manage multiple priorities and meet established deadlines.
* Fluent in standard Microsoft Office tools, in particular Excel.
* Coaching and team\-building skills, or experience managing direct reports.
* Risk\-minded, possessing a firm understanding of risk, compliance, and audit functions to support the identification, assessment, mitigation, and control management of identified risks.
* Team player with a desire to advance the organization’s vision for meeting cultural and community objectives.
**Physical Requirements:**
* Able to regularly sit for prolonged periods of time.
* Able to regularly stand for prolonged periods of time.
* Able to travel:
+ occasionally
* Extensive computer usage is required.
* Ability to work:
* Evenings
+ Occasionally
* Weekends
+ Occasionally
**Benefits:**
* Medical, Dental, and Vision Insurance
* Health Savings Account
* Flexible Spending Account(s)
* Company Paid Life Insurance, Long\-Term Disability, and Short\-Term Disability
* Voluntary Offerings: Life, Critical Illness/Specified Disease, Accident, Hospital Indemnity, Legal Insurance \&amp; Personal Accident
* Tuition Reimbursement
* Employee Referral Program
* Wellness Reimbursement Program
* Star Volunteer Program
* Employee Banking and Financial Perks
* Flexible Hybrid Work Schedule
* Paid Time Off (PTO)
* Company Paid Holidays
 This job description is not exhaustive. The Senior Product Manager may be required to perform other duties as assigned.
 The expected rate of pay for this position is shown above. Compensation offers are based on a wide range of factors including relevant skills, training, experience, education and, where applicable, licenses or certifications obtained. Market and organizational factors are also considered. In addition to your base rate of pay and a competitive benefits package, successful candidates may be eligible to receive cash or equity\-based incentives based on the role and performance.</t>
        </is>
      </c>
    </row>
    <row r="175">
      <c r="A175" t="inlineStr">
        <is>
          <t>li-4354176722</t>
        </is>
      </c>
      <c r="B175" t="inlineStr">
        <is>
          <t>Program Manager – Device &amp; Product Programs</t>
        </is>
      </c>
      <c r="C175" t="inlineStr">
        <is>
          <t>IntePros</t>
        </is>
      </c>
      <c r="D175" t="inlineStr">
        <is>
          <t>linkedin</t>
        </is>
      </c>
      <c r="E175">
        <f>HYPERLINK("https://www.linkedin.com/jobs/view/4354176722", "https://www.linkedin.com/jobs/view/4354176722")</f>
        <v/>
      </c>
      <c r="F175" t="inlineStr"/>
      <c r="G175" t="inlineStr">
        <is>
          <t>Seattle, WA</t>
        </is>
      </c>
      <c r="H175" t="inlineStr"/>
      <c r="I175" t="inlineStr">
        <is>
          <t>****Role Overview****
 We are seeking an experienced Program Manager to support a fast\-paced, global devices and services organization focused on confidential, pre\-release products and features. This role is responsible for coordinating and completing cross\-functional programs end\-to\-end, ensuring projects are delivered on time, aligned with stakeholder expectations, and executed with a high degree of ownership and discretion.
 The ideal candidate thrives in ambiguous, complex environments, can quickly build trust across teams, and is comfortable driving multiple workstreams forward simultaneously while maintaining confidentiality.
****Key Responsibilities****
****Program \&amp; Project Management****
* Coordinate and oversee all aspects of assigned projects and programs from initiation through completion
* Establish timelines, set deadlines, assign responsibilities, and ensure deliverables stay on track
* Monitor progress and proactively identify risks, blockers, and dependencies
* Drive execution across multiple concurrent initiatives and unexpected workflows
****Stakeholder Leadership \&amp; Communication****
* Lead meetings across cross\-functional teams to align priorities and drive decisions
* Prepare and present clear status reports and updates to leadership
* Partner with global stakeholders across multiple functions and time zones
* Build trust quickly and maintain strong working relationships
****Operations \&amp; Reporting****
* Track and summarize program performance using data and reporting tools
* Use Excel and other tools to analyze progress, manage deliverables, and support decision\-making
* Maintain strict confidentiality for sensitive product initiatives
****Top Required Skills****
* Program Management Experience – Proven ability to lead projects/programs from start to finish
* Intermediate Data \&amp; Excel Skills – Comfortable tracking metrics, analyzing data, and reporting progress
* Meeting \&amp; Stakeholder Facilitation – Ability to run meetings and manage complex, cross\-functional environments
****Nice to Have****
* Experience creating surveys or conducting data analysis
* Strong problem\-solving mindset and willingness to improve existing processes
* Quick learner who can ramp fast and independently add value
* Team\-oriented with a proactive, solutions\-focused approach
****Experience \&amp; Qualifications****
* 4–7\+ years of program or project management experience
* Bachelor’s degree required
* Experience working in fast\-moving, confidential, or highly cross\-functional environments preferred</t>
        </is>
      </c>
    </row>
    <row r="176">
      <c r="A176" t="inlineStr">
        <is>
          <t>li-4372210802</t>
        </is>
      </c>
      <c r="B176" t="inlineStr">
        <is>
          <t>Principal Product Manager Technical - External Services, AWS Datasync</t>
        </is>
      </c>
      <c r="C176" t="inlineStr">
        <is>
          <t>Amazon Web Services (AWS)</t>
        </is>
      </c>
      <c r="D176" t="inlineStr">
        <is>
          <t>linkedin</t>
        </is>
      </c>
      <c r="E176">
        <f>HYPERLINK("https://www.linkedin.com/jobs/view/4372210802", "https://www.linkedin.com/jobs/view/4372210802")</f>
        <v/>
      </c>
      <c r="F176" t="inlineStr"/>
      <c r="G176" t="inlineStr">
        <is>
          <t>Seattle, WA</t>
        </is>
      </c>
      <c r="H176" t="inlineStr"/>
      <c r="I176" t="inlineStr">
        <is>
          <t>**Description**
 The EBS, AWS Backup, and Edge Data Services (AWS Transfer Family, AWS DataSync, SGW) team is looking for an experienced Principal Product Manager based in the Seattle or Santa Clara area to lead product and feature definition for AWS DataSync.
 In this position, you will define product requirements, go\-to\-market strategy, and tirelessly champion the needs of our customers. This role will require coordination across many internal and external teams and will be visible at the highest levels of the company. You’ll work with our customers, partners, and operational stakeholders to prioritize roadmap features, and lead the definition of new capabilities through expertly crafted PR/FAQs.
 The successful candidate must have exceptional problem solving skills, strong business judgment, and demonstrated experience leading cross\-functional teams. We are looking for a proven ability to execute both strategically and tactically, and someone who is excited to take on new, ambiguous projects that are industry defining. This position requires a strong technical background, and the candidate should be customer\-focused with a passion for AI/ML and cloud technology.
 Key job responsibilities
 \-\-\-Product Strategy \&amp; Vision\-\-\-
* Define and execute product roadmap for DataSync's growth across on\-premises, AWS, and cross\-cloud data transfer use cases
* Drive business model transformation from project\-based migration to recurring workflow integration
* Lead DataSync expansion strategy across all storage types (S3, EFS, FSx, cross\-cloud)
 \-\-\-Business Performance \&amp; Metrics\-\-\-
* Own revenue targets and be responsible for reporting those in weekly and monthly business reviews.
* Set pricing and drive profitability
 \-\-\-Working Backwards \&amp; GTM\-\-\-
* Define products by working backwards from the needs of different customer segments / jobs\-to\-be\-done
* Drive adoption in recurring use cases: AI/ML training pipelines, life sciences genomics workflows, media production
* Address customer pain points around migration pricing friction, performance scaling, and workflow integration
 DataSync is involved in most of AWS's high\-profile AI/ML customers' workloads, so you will interact closely with EC2, S3, and our critical account teams on large deals/workloads.
 A day in the life
 A PM's day is never the same! You're usually working on a few projects at a time, interviewing customers to figure out the most important problems our products should solve, working with engineers, solutions architects, UX designers, etc. to come up with the right solution to those problems, delivering those solutions to customers, and working with partners in sales and marketing to make sure we've got clear GTM and positioning. You might be doing a re:invent talk, working on a pricing proposal, writing a PR/FAQ, or traveling to another country to interview customers \- it all depends on where you are in the development lifecycle and what is most important at the moment.
**About The Team**
 The DataSync team is part of the larger Amazon Elastic Block Store (EBS), AWS Backup, and Edge Data Services (AWS DataSync, AWS Transfer Family, B2Bi, \&amp; Storage Gateway) organization. We are a tightly\-knit product management team who try to help each other out and learn from each others' experiences. Being part of a larger product management organization means that you can move around easily as opportunities arise, and get plenty of mentoring and coaching.
 One of the keys to AWS’s success is its product management culture. Developing product managers is our leaders' passion. We believe that the best innovation comes from collaboration between PMs, engineers, UX designers, and solution architects, among others, incorporating diverse perspectives.
**Basic Qualifications**
* 7\+ years of working as a Technical Product Manager experience
* Bachelor's degree or above
**Preferred Qualifications**
* Experience delivering large\-scale SaaS, PaaS or LaaS products where you are responsible for the full product lifecycle, from concept through GTM (go to market)
* Experience in a technical field (software development, network development, IT, other related)
* Experience with AWS or cloud technologies
* full\-time MBA program in business, data science, public administration, finance, engineering, human resources or related field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Santa Clara \- 208,300\.00 \- 281,800\.00 USD annually
 USA, WA, Seattle \- 181,100\.00 \- 245,000\.00 USD annually
**Company** 
 \- Amazon Development Center U.S., Inc.
 Job ID: A3179898</t>
        </is>
      </c>
    </row>
    <row r="177">
      <c r="A177" t="inlineStr">
        <is>
          <t>li-4371584911</t>
        </is>
      </c>
      <c r="B177" t="inlineStr">
        <is>
          <t>Product Manager with Payments Platform /Proprietary Wallets / Settlement &amp; Reconciliation</t>
        </is>
      </c>
      <c r="C177" t="inlineStr">
        <is>
          <t>Jobs via Dice</t>
        </is>
      </c>
      <c r="D177" t="inlineStr">
        <is>
          <t>linkedin</t>
        </is>
      </c>
      <c r="E177">
        <f>HYPERLINK("https://www.linkedin.com/jobs/view/4371584911", "https://www.linkedin.com/jobs/view/4371584911")</f>
        <v/>
      </c>
      <c r="F177" t="inlineStr"/>
      <c r="G177" t="inlineStr">
        <is>
          <t>New York, NY</t>
        </is>
      </c>
      <c r="H177" t="inlineStr"/>
      <c r="I177" t="inlineStr">
        <is>
          <t>Dice is the leading career destination for tech experts at every stage of their careers. Our client, Pioneer Corporate Services Inc, is seeking the following. Apply via Dice today!
**Senior Associate \- Product Manager \- Payments Platform**
**Location: NYC, NY**
**Exp: 10 years**
**Job Description**
 Are you passionate about bringing innovative payment products to market through hands\-on execution? Join PWLI team and make a direct impact by launching products that relentlessly focus on emerging customer and merchant problems while ensuring products are launched on time and operate reliably at scale.
 As a Senior Associate, Product Management within the Payments team, you will play a pivotal role in delivering high\-quality payment solutions by guiding cross\-functional teams through the full product lifecycle. You will conceptualize the next generation of payment platforms, drive innovative thinking, and build seamless customer journeys that are the foundation of Chase digital payment experiences. We are looking for product owners who lead with product thinking and aren t afraid to dive into technical detail, who can take responsibility for driving development, monitoring performance and scaling to millions of customers while fostering a culture of innovation, learning and collaboration.
 As a Senior Associate on payments team with advanced technical capabilities, you leverage your product management skills to innovate on translating business opportunities into products adopted by customers at scale. Payments team within PWLI is responsible for delivering seamless payment experience across Chase digital commerce experiences.
**Job Responsibilities**
* Collaborate with Product, Technology, Design and Analytics partners to develop and deliver product and platform strategies from 0\-1
* Own and manage the product delivery lifecycle from ideation to production.
* Define product goals, with clear requirements and KPIs that can be converted into user stories and process flows for the engineering development team and other stakeholders
* Work closely with developers and testers to ensure the team correctly translates requirements into working technical designs, test plans and scripts to serve customer needs
* Conduct pre\-release reviews which could include regression testing and quality assurance to certify the release as production ready
* Manage product backlog creation and grooming, support agile product delivery, launch and go to market for product, production support, issue \&amp; defect resolution and prioritization
* Monitor performance against goals, identify and scope implementation paths for needed enhancements, and create remediation plans when needed
* Collaborate with a team of cross\-functional partners to ensure a strong risk and controls environment (e.g., Risk, Controls, Legal, Compliance)
**Required Qualifications, Capabilities, And Skills**
* 10\+ years of experience in financial services and/or product management
* Experience enabling change within large, highly matrixed organizations and managing stakeholders across multiple functions, especially engineering, architecture, design and other product peers
* Passion for understanding customer needs and demonstrated ability to build scalable platforms
* Ability to think strategically while maintaining relentless attention to the details required to ensure successful execution
* Outstanding verbal and written communication
* Strong knowledge of APIs, engineering practices, and the product development lifecycle using Agile methodologies
* Proven track record of managing risk and controls
* Bachelors or Masters in Computer Science, Engineering, Business Administration or comparable field of study
**Preferred qualifications, capabilities, and skills:**
* Strong preference for experience in online payments including but not limited to digital wallets, payment processing, money movement, and adjacent products.
* Candidates with Fintech background or payment platform experience shall be preferred</t>
        </is>
      </c>
    </row>
    <row r="178">
      <c r="A178" t="inlineStr">
        <is>
          <t>li-4371899316</t>
        </is>
      </c>
      <c r="B178" t="inlineStr">
        <is>
          <t>Associate Director, Product Owner - Patient Intervention</t>
        </is>
      </c>
      <c r="C178" t="inlineStr">
        <is>
          <t>Sanofi</t>
        </is>
      </c>
      <c r="D178" t="inlineStr">
        <is>
          <t>linkedin</t>
        </is>
      </c>
      <c r="E178">
        <f>HYPERLINK("https://www.linkedin.com/jobs/view/4371899316", "https://www.linkedin.com/jobs/view/4371899316")</f>
        <v/>
      </c>
      <c r="F178">
        <f>HYPERLINK("https://dsp.prng.co/Ds04Jxb&amp;urlHash=v_jD", "https://dsp.prng.co/Ds04Jxb&amp;urlHash=v_jD")</f>
        <v/>
      </c>
      <c r="G178" t="inlineStr">
        <is>
          <t>Morristown, NJ</t>
        </is>
      </c>
      <c r="H178" t="inlineStr"/>
      <c r="I178" t="inlineStr">
        <is>
          <t>**Job title:** 
 Product Owner, Patient Intervention
**Location:** 
 Morristown, NJ
**About The Job**
 As
 **Product Owner, Patient** 
 Intervention within our
 **Digital team** 
 , you will be part of transforming our business while helping to change millions of lives. Our Hubs are a crucial part of how we innovate, improving performance across every Sanofi department and providing a springboard for the amazing work we do.
 Sanofi has recently embarked on a vast and ambitious digital transformation program. A cornerstone of this roadmap is the acceleration of its data transformation and the adoption of artificial intelligence (AI) and machine learning (ML) solutions to accelerate R\&amp;D, manufacturing and commercial performance and bring better drugs and vaccines to patients faster, to improve health and save lives.
 We are seeking a highly skilled and experienced analytics and AI/GenAI/Agentic AI solution Product Owner who will work in collaboration with Global brand teams, Go To Market, Data, Data Science, Scrum Master, and other stakeholders on AI, GenAI and Agentic AI\-based solutions to address various aspects of Patient Intervention and prescription fulfillment challenges. The ideal candidate will possess a strong background in advanced analytics and AI/GenAI/Agentic AI, great leadership abilities, and a passion for driving innovation through data\-driven solutions.
 You will play a critical role in shaping our Advanced analytics and AI/GenAI/Agentic AI solution development, delivery, and overall digital transformation by implementing best practices (including responsible AI) and driving strategic initiatives to ensure reliability, scalability, and continuous improvement while challenging the status quo.
 Join us on our journey in enabling Sanofi's Digital Transformation through becoming an AI\-first organization. This includes working with our AI Factory utilizing versatile teams operating in cross\-functional pods, experiencing a leading\-edge tech stack deployed globally, and receiving world\-class mentorship and training from renowned leaders and academics in machine learning.
 As a Product Owner, you will be a leader and act as a mini\-CEO for this digital product, co\-defining product strategy with the business, planning product roadmap, driving product delivery with delivery teams, and measuring and optimizing business impact. We are an innovative global healthcare company with one purpose: to chase the miracles of science to improve people's lives.
 Join the digital engine driving Sanofi’s transformation \- where AI, automation, and bold experimentation power faster science and smarter decisions. Here, you’ll help build the first biopharma company powered by AI at scale.
**About Sanofi**
 We’re an R\&amp;D\-driven, AI\-powered biopharma company committed to improving people’s lives and delivering compelling growth. Our deep understanding of the immune system – and innovative pipeline – enables us to invent medicines and vaccines that treat and protect millions of people around the world. Together, we chase the miracles of science to improve people’s lives.
**Main Responsibilities**
* Support Development and Delivery: Assist in the development and delivery of analytics, AI, GenAI and Agentic AI\-based products or solutions to address various stages of patient journey from patient diagnosis through treatment fulfillment and treatment adherence.
* Collaborate with Commercial Teams: Work closely with Commercial teams to understand their requirements and help develop efficient and effective payer strategies using analytics and AI solutions, including GenAI and Agentic AI components.
* Optimize Use Cases: Participate in the assessment and recommendation of commercial use cases for analytics and AI solutions, ensuring alignment with strategic goals.
* Implement Product Vision: Contribute to the design and implementation of end\-to\-end product vision and delivery for Commercial Advanced Analytics \&amp; AI Strategy.
* Standardize Digital Products: Help standardize and deliver digital products with a focus on the commercial analytics and AI portfolio.
* Synergize with Central GenAI/Agentic AI Team: Collaborate with the central GenAI/Agentic AI team to develop products and solutions that leverage reusable components and ensure synergy across projects.
* Manage Product Roadmap: Assist in managing the product roadmap, including budget planning, resource allocation, and feasibility assessments.
* Ensure Performance and Value: Support efforts to ensure digital product performance and value realization.
* Stakeholder Collaboration: Collaborate with cross\-functional teams to gather requirements, drive technology strategy, and deliver tailored reporting solutions.
* Experience with Pharmaceutical brand commercialization function is a strong plus
**Ways of working**
* You will be a member of Global Digital GBU Advance Analytics \&amp; AI Team.
* You will foster partnerships and close collaboration between cross\-functional teams (GBU Brand teams, Digital, business operations, market teams) and drive structured ways of working between teams to provide maximum value and efficiency to business teams.
* You will work closely and constructively with other development teams e.g., Accelerator, AI COEs, Data Engineering COE, Responsible AI COE) whether inside or outside the company.
* You will empower your teams to set up lean but effective teams and efficient local governance.
* You will help build and develop a team that uses complementary strengths and develop novel solutions to core business problems
**About You**
* 5\-7\+ years of experience in product management or building complex digital solutions.
* Deep passion and hands\-on experience in AI/ML/GenAI/Agentic AI.
* Experience working with a variety of cross\-functional teams.
* Solid industry background and understanding \&amp; process a strong business acumen
* Seasoned leader with outstanding communication and presentation skills.
* Proven record of creating and implementing successful advanced analytics \&amp; AI digital commercial strategies.
* Attention to detail \&amp; technical intuition
* Excellent written, verbal, and interpersonal skills for executive level communication and collaboration
* Fluent in English (Other languages a plus)
**Education**
* Bachelor's degree required, Master’s degree preferred in computer science or equivalent scientific field, MBA is a big plus.
**Technical Skills**
* Solid knowledge of Lean \&amp; Agile practices, UX/UI and Application Design \&amp; Integration.
* Extensive hands\-on experience in ML/AI/GenAI/Agentic AI
* Understanding of Claims, EMR, Lab, etc. data and their uses in AI model development.
**Soft Skills**
* Strong drive and ability to build \&amp; share product line vision
* Excellent communication \&amp; presenting skills, including with executive stakeholders
* Proven business sense, ability to take decisions, think strategically and partner with business/other teams
* Track\-record of problem\-solving \&amp; overcoming roadblocks in a complex environment, with “get things done” mindset
* Strong cross\-functional leadership \&amp; influencing skills
* Strong project management skills
* Leadership \&amp; Strategic Thinking \&amp; Impact Focus
* Demonstrates very strong leadership skills; knows how to influence and work as an integral part of a team.
* Deep experience in applying LEAN and Agile Practices
* Multi\-cultural Transversal Collaboration
* Thoughtful Risk Taking
**Languages**
* English a must, French a plus, other languages a plus
**Why Choose Us**
* Bring the miracles of science to life alongside a supportive, futurefocused team.
* Discover endless opportunities to grow your talent and drive your career, whether it’s through a promotion or lateral move, at home or internationally.
* Enjoy a thoughtful, well\-crafted rewards package that recognizes your contribution and amplifies your impact.
* Take good care of yourself and your family, with a wide range of health and wellbeing benefits including high\-quality healthcare, prevention and wellness programs and at least 14 weeks’ gender\-neutral parental leave.
* Join the digital force behind Sanofi’s AI\-powered pipeline, where Expert, Generative, and Snackable AI accelerate the discovery, development and delivery of breakthrough treatments to patients.
* Help reduce time from discovery to commercialization, delivering life\-changing medicines to patients faster than ever.
* Join a workplace where diversity, equity, and inclusion are at the core, with Employee Resource Groups and leadership programs that celebrate every voice.
 Sanofi Inc. and its U.S. affiliates are Equal Opportunity and Affirmative Action employers committed to a culturally diverse workforce. All qualified applicants will receive consideration for employment without regard to race; color; creed; religion; national origin; age; ancestry; nationality; marital, domestic partnership or civil union status; sex, gender, gender identity or expression; affectional or sexual orientation; disability; veteran or military status or liability for military status; domestic violence victim status; atypical cellular or blood trait; genetic information (including the refusal to submit to genetic testing) or any other characteristic protected by law.
 \#GD\-SA
 \#vhd
 All compensation will be determined commensurate with demonstrated experience. Employees may be eligible to participate in Company employee benefit programs, and additional benefits information can be found here.</t>
        </is>
      </c>
    </row>
    <row r="179">
      <c r="A179" t="inlineStr">
        <is>
          <t>li-4372207788</t>
        </is>
      </c>
      <c r="B179" t="inlineStr">
        <is>
          <t>Sr. Product Manager, Cloud Economics Tooling</t>
        </is>
      </c>
      <c r="C179" t="inlineStr">
        <is>
          <t>Amazon Web Services (AWS)</t>
        </is>
      </c>
      <c r="D179" t="inlineStr">
        <is>
          <t>linkedin</t>
        </is>
      </c>
      <c r="E179">
        <f>HYPERLINK("https://www.linkedin.com/jobs/view/4372207788", "https://www.linkedin.com/jobs/view/4372207788")</f>
        <v/>
      </c>
      <c r="F179">
        <f>HYPERLINK("https://www.amazon.jobs/jobs/3179980/sr-product-manager-cloud-economics-tooling?cmpid=SPLICX0248M&amp;utm_source=linkedin.com&amp;utm_campaign=cxro&amp;utm_medium=social_media&amp;utm_content=job_posting&amp;ss=paid&amp;urlHash=7lKX", "https://www.amazon.jobs/jobs/3179980/sr-product-manager-cloud-economics-tooling?cmpid=SPLICX0248M&amp;utm_source=linkedin.com&amp;utm_campaign=cxro&amp;utm_medium=social_media&amp;utm_content=job_posting&amp;ss=paid&amp;urlHash=7lKX")</f>
        <v/>
      </c>
      <c r="G179" t="inlineStr">
        <is>
          <t>San Francisco, CA</t>
        </is>
      </c>
      <c r="H179" t="inlineStr"/>
      <c r="I179" t="inlineStr">
        <is>
          <t>**Description**
 Do you want to be part of an innovative and rapidly growing business? Are you looking for a role with ownership and the ability to work across many teams in a highly visible organization? Would you like to be part of a team focused on building tools to help customers understand the cost and operational effectiveness of running workloads in the cloud?
 As a member of the Cloud Economics Tooling team as a Sr. Product Manager, you will develop models to help customers understand the business value benefits of running workloads in the cloud, including both migration and modernization. To do this, you will work as a key member of the Cloud Economics Tooling team to build value\-selling models for high\-touch Cloud Economics engagements and at\-scale motions across the AWS field.
 Your responsibilities will include developing tools to support consumption of Cloud Economics IP and mental models, including building tools to improve value\-selling motions at AWS. This role requires end\-to\-end ownership of your tooling scope, from writing roadmaps through hands\-on\-keyboard building, testing, and iteration. Successful candidates will have a background in Excel modeling and Python programming (including GenAI\-assisted coding), be detail oriented, and have excellent problem\-solving abilities. You should be comfortable managing competing priorities. You should also have knowledge and a technical understanding of cloud concepts and vendors in general, and AWS specifically. You can clearly \&amp; effectively communicate (written as well as verbally) across organizations. You should be passionate about delivering great customer experiences.
**About The Team**
 At AWS, the Global Deal Strategy and Programs (GDSP) team drives cloud adoption and business growth through innovative pricing strategies. The organization comprises two specialized teams: Strategic Customer Engagements, which guide transformative deals with industry leaders, and Private Pricing Programs \&amp; Experiences, which scales and optimizes pricing solutions across our diverse customer base. Within GDSP, you will develop deep expertise in cloud economics, hone your strategic thinking, and directly impact AWS's market leadership.
**Basic Qualifications**
* 5\+ years of product or program management, product marketing, business development or technology experience
* Bachelor's degree or equivalent
* Experience owning/driving roadmap strategy and definition
* Experience with end to end product delivery
* Experience with feature delivery and tradeoffs of a product
* Experience as a product manager or owner
* Experience owning technology products
**Preferred Qualifications**
* Experience working across functional teams and senior stakeholders
 Amazon is an equal opportunity employer and does not discriminate on the basis of protected veteran status, disability, or other legally protected status.
 Los Angeles County applicants: Job duties for this position include: work safely and cooperatively with other employees, supervisors, and staff; adhere to standards of excellence despite stressful conditions; communicate effectively and respectfully with employees, supervisors, and staff to ensure exceptional customer service; and follow all federal, state, and local laws and Company policies. Criminal history may have a direct, adverse, and negative relationship with some of the material job duties of this position. These include the duties and responsibilities listed above, as well as the abilities to adhere to company policies, exercise sound judgment, effectively manage stress and work safely and respectfully with others, exhibit trustworthiness and professionalism, and safeguard business operations and the Company’s reputation. Pursuant to the Los Angeles County Fair Chance Ordinance, we will consider for employment qualified applicants with arrest and conviction records.
 Pursuant to the San Francisco Fair Chance Ordinance, we will consider for employment qualified applicants with arrest and conviction records.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CA, San Francisco \- 152,200\.00 \- 206,000\.00 USD annually
 USA, IL, Chicago \- 136,000\.00 \- 184,100\.00 USD annually
 USA, MA, Boston \- 136,000\.00 \- 184,100\.00 USD annually
 USA, NY, New York \- 152,200\.00 \- 206,000\.00 USD annually
 USA, TX, Austin \- 136,000\.00 \- 184,100\.00 USD annually
 USA, TX, Dallas \- 136,000\.00 \- 184,100\.00 USD annually
 USA, TX, Houston \- 136,000\.00 \- 184,100\.00 USD annually
 USA, VA, Arlington \- 136,000\.00 \- 184,100\.00 USD annually
 USA, VA, Herndon \- 136,000\.00 \- 184,100\.00 USD annually
 USA, WA, Seattle \- 136,000\.00 \- 184,100\.00 USD annually
**Company** 
 \- Amazon Web Services, Inc.
 Job ID: A3179980</t>
        </is>
      </c>
    </row>
    <row r="180">
      <c r="A180" t="inlineStr">
        <is>
          <t>li-4371705004</t>
        </is>
      </c>
      <c r="B180" t="inlineStr">
        <is>
          <t>Product Manager - Settlement &amp; Reconciliation</t>
        </is>
      </c>
      <c r="C180" t="inlineStr">
        <is>
          <t>Jobs via Dice</t>
        </is>
      </c>
      <c r="D180" t="inlineStr">
        <is>
          <t>linkedin</t>
        </is>
      </c>
      <c r="E180">
        <f>HYPERLINK("https://www.linkedin.com/jobs/view/4371705004", "https://www.linkedin.com/jobs/view/4371705004")</f>
        <v/>
      </c>
      <c r="F180" t="inlineStr"/>
      <c r="G180" t="inlineStr">
        <is>
          <t>New York, NY</t>
        </is>
      </c>
      <c r="H180" t="inlineStr"/>
      <c r="I180" t="inlineStr">
        <is>
          <t>Dice is the leading career destination for tech experts at every stage of their careers. Our client, Info Dinamica Inc, is seeking the following. Apply via Dice today!
* Support the definition and management of the roadmap for the product line; contribute to the vision and strategy for the product/platform.
* Collaborate with engineering teams to design and deliver technical products, including APIs, data models, and data processing pipelines.
* Write clear and detailed product requirements and user stories, translating business needs into technical specifications.
* Partner closely with Technology, Design, and Analytics teams to support product development efforts and ensure alignment across functions.
* Contribute to the design and implementation of robust Settlement and Reconciliation platforms, services, and data pipelines to ensure accuracy and reliability in payment processing and reporting.
* Assist with product backlog creation and grooming, support agile product delivery, launch and go to market for product, production support, issue \&amp; defect resolution, and prioritization.
* Navigate and execute within a large, complex organization\-working through ambiguity, structuring problems, and driving alignment across multiple teams.
* Build and maintain strong relationships with stakeholders across business, technology, risk, controls, legal, and compliance teams; facilitate effective communication and collaboration.
* Monitor against goals, help identify and scope implementation paths for needed enhancements, and support remediation plans when needed.
* Collaborate with a team of cross\-functional partners to ensure a strong risk and controls environment.
**Required qualifications, capabilities, and skills:**
* 3\+ years of experience in product management, with a focus on technical products (APIs, databases, data processing, or similar).
* Experience in the financial technology or payments industry, with a strong understanding of payment flows, digital wallets, and money movement.
* Demonstrated ability to work effectively in large, highly matrixed organizations; comfortable navigating ambiguity and structuring complex problems.
* Proven collaborator with strong stakeholder management skills; able to influence and align cross\-functional teams with diverse perspectives.
* Passion for understanding customer needs and demonstrated ability to help build scalable platforms.
* Outstanding verbal and written communication skills.
* Strong knowledge of APIs, engineering practices, and the product development lifecycle using Agile methodologies.
* Experience with risk and controls management.
* Bachelor's degree in Computer Science, Engineering, Business Administration, or comparable field of study.
**Preferred qualifications, capabilities, and skills:**
* Candidates with Fintech background or payment platform experience preferred.
* Experience supporting the build and scale of Settlement and Reconciliation platforms, services, and data pipelines within payments or financial services environments.
* Demonstrated expertise in supporting solutions that ensure accurate transaction settlement, reconciliation, and reporting across complex payment ecosystems.</t>
        </is>
      </c>
    </row>
    <row r="181">
      <c r="A181" t="inlineStr">
        <is>
          <t>li-4363916651</t>
        </is>
      </c>
      <c r="B181" t="inlineStr">
        <is>
          <t>Digital Technical Product Manager Senior – Life Company Digital eCommerce Acquisition</t>
        </is>
      </c>
      <c r="C181" t="inlineStr">
        <is>
          <t>USAA</t>
        </is>
      </c>
      <c r="D181" t="inlineStr">
        <is>
          <t>linkedin</t>
        </is>
      </c>
      <c r="E181">
        <f>HYPERLINK("https://www.linkedin.com/jobs/view/4363916651", "https://www.linkedin.com/jobs/view/4363916651")</f>
        <v/>
      </c>
      <c r="F181">
        <f>HYPERLINK("https://dsp.prng.co/QqyzM1b&amp;urlHash=In0k", "https://dsp.prng.co/QqyzM1b&amp;urlHash=In0k")</f>
        <v/>
      </c>
      <c r="G181" t="inlineStr">
        <is>
          <t>Phoenix, AZ</t>
        </is>
      </c>
      <c r="H181" t="inlineStr"/>
      <c r="I181" t="inlineStr">
        <is>
          <t>**Why USAA?**
 At USAA, our mission is to empower our members to achieve financial security through highly competitive products, exceptional service and trusted advice. We seek to be the \#1 choice for the military community and their families.
 Embrace a fulfilling career at USAA, where our core values – honesty, integrity, loyalty and service – define how we treat each other and our members. Be part of what truly makes us special and impactful.
**The Opportunity**
 We are seeking a talented
 **Senior Digital Technical Product Manager** 
 to lead the discovery, delivery, and performance of digital and technology products that serve LifeCo and its members. In this role, you will collaborate with cross\-functional partners to solve complex challenges and enhance the end‑to‑end digital shopping experience for life insurance.
 You will translate customer insights and business objectives into actionable technical requirements, ensuring best‑in‑class user experiences that drive key performance (KPIs) and risk indicators (KRIs). A strong emphasis will be placed on delivering measurable impact on member behavior as they quote and purchase life insurance products digitally.
 Using Human‑Centered Design and Design Thinking methodologies, you will shape and launch innovative digital shopping experiences that strengthen member engagement, trust, and conversion.
 We offer a flexible work environment that requires an individual to be
 **in the office 4 days per week.** 
 This position will be based on the
 **San Antonio, TX; Phoenix, AZ.; Colorado Springs, CO; Charlotte, NC; Plano, TX; Chesapeake, VA. or Tampa, FL campus** 
 . Relocation assistance is
 **not** 
 available for this position.
**What You'll Do**
* Independently leverages Digital or Technology research, business and market intelligence, and data\-driven insights to identify opportunities, propose solutions, create and maintain roadmaps, and improve performance.
* Translates Digital or Technology product and experience opportunities (customer “needs” and “wants” as well as all other input forms into problems, gaps, etc.) into initiatives (i.e., requirements, epics, features) and drives execution strategy.
* Shepherds complex Digital or Technology product and experience opportunities from idea to market validation through collaboration with all relevant stakeholders and SMEs (Business, UX, Technology, Ops, Marketing, etc.).
* Leads the development of Business Case artifacts and hypotheses for scoping and prioritization of efforts.
* Continuously leverages advanced data\-driven problem\-solving techniques and analytical rigor to understand and report on product and experience performance against KPIs/KRIs.
* Generates meaningful insights through a variety of tools and resources to uncover areas of opportunity to inform Digital or Technology product and experience improvements.
* Leads cross\-functional product teams and relationships to discover and build new Digital or Technology products, experiences, and features by collaborating with stakeholders and organizational leaders to coordinate product development efforts aligned with strategic priorities.
* Prepares compelling presentations, and other forms of communication standards and templates, to present and communicate complex concepts to a diverse audience, including senior leadership.
* Conducts internal and external research and conducts situational analysis to identify and apply industry best practices and trends to increase effectiveness of Digital or Technology products.
* Begins to bring in “big picture” thinking and seeks to drive clarity among team and stakeholders.
* Maintains and applies advanced knowledge of the Business, Technology, UX, and relevant experiences and processes, and an academic understanding of Product Management.
* Serves as a resource to team members and assists with on\-boarding new employees.
* Ensures risks associated with business activities are effectively identified, measured, monitored, and controlled in accordance with risk and compliance policies and procedures.
**What You Have**
* Bachelor’s degree OR 4 years of related experience (in addition to the minimum years of experience required) may be substituted in lieu of degree. (Total of 10 years of relevant experience without bachelor’s degree)
* 6 years Digital/Technology Product Management experience, to include Digital/Technology experience in Strategy/Planning, Innovation, User Experience, Process Engineering, Analytics, and/or Research/Testing.
* Proven ability to effectively develop, influence, present and communicate complex concepts to cross\-functional teams, non\-technical users, and leadership.
* Demonstrated ability to work in an Agile, Lean Product Development and Lean Portfolio Management environment.
* Knowledge of digital and technology strategy and delivery as it relates to roadmap development, journey mapping, competitive analysis and research, and situation analysis methods.
* Knowledge of digital and technology strategy and delivery as it relates to Experience Design concepts and Human Centered Design concepts, roadmap development, journey mapping, competitive analysis and research, and situation analysis methods.
**What Sets You Apart**
* US military experience through military service or a military spouse/domestic partner
* 5\+ years of digital, technology, and product management experience within digital or omnichannel acquisition and deepening environments, with a proven track record of delivering results across complex matrixed organizations.
* Strong knowledge of digital, technology, and omnichannel strategy, including experience with experience‑design principles, roadmap creation, technical requirements gathering and documentation, and competitive analysis.
* Hands\-on experience with product analytics, with the ability to interpret data, extract insights, and translate findings into informed product decisions.
* Exceptional communication skills, with the ability to translate complex concepts for both technical and non\-technical audiences and influence stakeholders at all organizational levels.
* Experience working in Lean Management or Agile methodologies; certification or formal training preferred.
**Compensation range:** 
 The salary range for this position is:
 **$114,080 \- $218,030**
**USAA does not provide visa sponsorship for this role. Please do not apply for this role if at any time (now or in the future) you will need immigration support (i.e., H\-1B, TN, STEM OPT Training Plans, etc.).**
**Compensation:** 
 USAA has an effective process for assessing market data and establishing ranges to ensure we remain competitive. You are paid within the salary range based on your experience and market data of the position. The actual salary for this role may vary by location.
 Employees may be eligible for pay incentives based on overall corporate and individual performance and at the discretion of the USAA Board of Directors.
 The above description reflects the details considered necessary to describe the principal functions of the job and should not be construed as a detailed description of all the work requirements that may be performed in the job.
**Benefits:** 
 At USAA our employees enjoy best\-in\-class benefits to support their physical, financial, and emotional wellness. These benefits include comprehensive medical, dental and vision plans, 401(k), pension, life insurance, parental benefits, adoption assistance, paid time off program with paid holidays plus 16 paid volunteer hours, and various wellness programs. Additionally, our career path planning and continuing education assists employees with their professional goals.
 For more details on our outstanding benefits, visit our benefits page on USAAjobs.com.
*Applications for this position are accepted on an ongoing basis, this posting will remain open until the position is filled. Thus, interested candidates are encouraged to apply the same day they view this posting.*
*USAA is an Equal Opportunity Employer. All qualified applicants will receive consideration for employment without regard to race, color, religion, sex, sexual orientation, gender identity, national origin, disability, or status as a protected veteran.*</t>
        </is>
      </c>
    </row>
    <row r="182">
      <c r="A182" t="inlineStr">
        <is>
          <t>li-4350177913</t>
        </is>
      </c>
      <c r="B182" t="inlineStr">
        <is>
          <t>Sr. Product Manager - HashiCorp Boundary</t>
        </is>
      </c>
      <c r="C182" t="inlineStr">
        <is>
          <t>IBM</t>
        </is>
      </c>
      <c r="D182" t="inlineStr">
        <is>
          <t>linkedin</t>
        </is>
      </c>
      <c r="E182">
        <f>HYPERLINK("https://www.linkedin.com/jobs/view/4350177913", "https://www.linkedin.com/jobs/view/4350177913")</f>
        <v/>
      </c>
      <c r="F182" t="inlineStr"/>
      <c r="G182" t="inlineStr">
        <is>
          <t>San Jose, CA</t>
        </is>
      </c>
      <c r="H182" t="inlineStr"/>
      <c r="I182" t="inlineStr">
        <is>
          <t>**Introduction**
 At IBM Software, we transform client challenges into solutions. Building the world’s leading AI\-powered, cloud\-native products that shape the future of business and society. Our legacy of innovation creates endless opportunities for IBMers to learn, grow, and make an impact on a global scale.
 Boundary is HashiCorp’s hybrid\-cloud secure remote access solution. Launched in October 2020 and commercially available since October 2022, Boundary is a strategic product as organizations seek a modern solution for managing access to infrastructure and other IT resources across their cloud and on\-premises environments. Today, Boundary is available as a cloud and on\-premises offering and is being rapidly adopted by a growing number of enterprises across the globe.
 This role is for someone who has expertise in Privileged Access Management (PAM) solutions, security (session recording, endpoint hardening, secrets management, static/dynamic secrets, PKI), compliance, threat monitoring, and experience working with enterprise software and customers. Boundary is a fast\-moving product with high ambitions. You will help set strategy, conduct user research, define requirements, and oversee execution with cross functional teams.
**Your Role And Responsibilities**
* Perform market and competitive analysis, develop insights and contribute to the overall product vision \&amp; strategy
* Prioritize the product roadmap by taking feedback from customer, field teams, community practitioners and other internal \&amp; external stakeholders
* Author detailed Product Requirement Documents (PRDs) to distill user/market research into requirements for engineering to deliver
* Collaborate with engineering, design, PMM, and other internal stakeholders to execute on high customer impact product initiatives
* Keep field teams (SEs, account managers, SMEs etc) and Marketing updated on feature releases and keep Engineering informed on feature requests
* Help with Sales and Marketing enablement to educate on the product story and features (website copy, whitepapers, sales decks, FAQs, etc)
* Assist field teams with customer conversations, roadmap presentations, demos etc
**Preferred Education**
 Bachelor's Degree
**Required Technical And Professional Expertise**
* 8\+ years of product management experience with a enterprise security product
* Exceptional verbal and written communication skills
* Ability to organize multiple stakeholders towards a common goal
* Analytical with the ability to prioritize and make tradeoffs
* Strong technical acumen, with a solid understanding of privileged access, IAM, cloud and the security space in general
* Proven approach to delivering products with an eye toward End\-User Experience
**Preferred Technical And Professional Experience**
* Defining the product roadmap and strategy
* Writing product requirements documents (PRDs)
* Deep collaboration with Engineering teams
* Leading sales engineer and support education sessions
* Enabling the community and partner contributions
* Conduct customer interviews
* Perform market research
* Backlog management</t>
        </is>
      </c>
    </row>
    <row r="183">
      <c r="A183" t="inlineStr">
        <is>
          <t>li-4372207516</t>
        </is>
      </c>
      <c r="B183" t="inlineStr">
        <is>
          <t>Program Manager</t>
        </is>
      </c>
      <c r="C183" t="inlineStr">
        <is>
          <t>GainSpan</t>
        </is>
      </c>
      <c r="D183" t="inlineStr">
        <is>
          <t>linkedin</t>
        </is>
      </c>
      <c r="E183">
        <f>HYPERLINK("https://www.linkedin.com/jobs/view/4372207516", "https://www.linkedin.com/jobs/view/4372207516")</f>
        <v/>
      </c>
      <c r="F183">
        <f>HYPERLINK("https://dc1prodrecruiting.paylocity.com/Recruiting/Jobs/Apply/3915931/Looper-Consulting-LLC?source=LinkedIn_Feed&amp;urlHash=Ol97", "https://dc1prodrecruiting.paylocity.com/Recruiting/Jobs/Apply/3915931/Looper-Consulting-LLC?source=LinkedIn_Feed&amp;urlHash=Ol97")</f>
        <v/>
      </c>
      <c r="G183" t="inlineStr">
        <is>
          <t>Bowie, MD</t>
        </is>
      </c>
      <c r="H183" t="inlineStr"/>
      <c r="I183" t="inlineStr">
        <is>
          <t>**Description**
**Location:** 
 Remote with travel as required
**Employer:** 
 Looper Consulting
**Job Status:** 
 Full\-Time Employee
**Job Title:** 
 Program Manager
**Position Overview**
 Looper Consulting is seeking a highly qualified Program Manager to support our proposal to the U.S. Department of Defense and the U.S. Army DEVCOM Army Research Laboratory (DEVCOM ARL). This role will lead national\-level outreach initiatives designed to strengthen connections between DoD components, military service branches, academia, and government agencies—specifically focusing on Historically Black Colleges and Universities (HBCUs) and Minority\-serving Institutions (MIs).
 The Program Manager will oversee the planning, coordination, execution, and reporting of all outreach and application\-management activities that support research, education, and STEM pipeline development aligned with long\-term national defense needs.
**Key Responsibilities**
* Lead the design, implementation, and continuous improvement of national outreach strategies that connect DoD stakeholders with HBCUs, MIs, K\-12 institutions, and university\-level STEM programs.
* Develop and enhance networks across DoD components, military branches, academia, and government partners to support research and educational initiatives.
* Provide strategic guidance on outreach methods, program visibility, and applicant engagement to ensure broad national reach.
* Oversee the creation, design, and distribution of advertising, informational materials, and application documents.
* Identify and leverage appropriate media channels to reach diverse and qualified applicant pools.
* Ensure outreach efforts are comparable to nationally recognized STEM education and technology programs.
* Manage the full lifecycle of application processing, including distribution, receipt, logging, sorting, evaluation tracking, and secure data management.
* Oversee the development and maintenance of secure systems for storing, tracking, and reporting application data.
* Ensure timely dissemination of announcements, application forms, evaluation materials, and program updates.
* Direct day\-to\-day program operations, ensuring alignment with DoD and DEVCOM ARL requirements.
* Manage program budgets, personnel assignments, subcontractor activities, and contract deliverables.
* Prepare and deliver detailed reports, briefings, and documentation to government stakeholders.
* Coordinate with internal and external partners to ensure seamless execution of outreach and program activities.
* Serve as the primary point of contact for government sponsors, academic institutions, and partner organizations.
* Facilitate collaboration across diverse stakeholder groups to support program goals and long\-term STEM pipeline development.
**Required Qualifications**
* Master’s degree in a related field (STEM, Education, Program Management, Public Administration, or similar).
* Minimum of 10 years of experience managing STEM\-related programs, outreach initiatives, or large\-scale education/research support projects.
* Demonstrated expertise in planning, coordinating, directing, implementing, and reporting complex program activities.
* Proven experience managing budgets, personnel, and contracts within government or federally funded environments.
* Strong communication, leadership, and stakeholder\-engagement skills.
**Preferred Qualifications**
* Experience supporting DoD, Army, or federal research programs.
* Background working with HBCUs, MIs, or national STEM education initiatives.
* Familiarity with secure data systems, application management workflows, and federal reporting requirements.</t>
        </is>
      </c>
    </row>
    <row r="184">
      <c r="A184" t="inlineStr">
        <is>
          <t>li-4364180814</t>
        </is>
      </c>
      <c r="B184" t="inlineStr">
        <is>
          <t>Senior Technical Program Manager</t>
        </is>
      </c>
      <c r="C184" t="inlineStr">
        <is>
          <t>Calendly</t>
        </is>
      </c>
      <c r="D184" t="inlineStr">
        <is>
          <t>linkedin</t>
        </is>
      </c>
      <c r="E184">
        <f>HYPERLINK("https://www.linkedin.com/jobs/view/4364180814", "https://www.linkedin.com/jobs/view/4364180814")</f>
        <v/>
      </c>
      <c r="F184">
        <f>HYPERLINK("https://grnh.se/y1numugl2us&amp;urlHash=xeuR", "https://grnh.se/y1numugl2us&amp;urlHash=xeuR")</f>
        <v/>
      </c>
      <c r="G184" t="inlineStr"/>
      <c r="H184" t="inlineStr"/>
      <c r="I184" t="inlineStr">
        <is>
          <t>**About the Team \&amp; Opportunity** 
 What’s so great about working on Calendly’s Engineering team? We make things possible for our customers through innovation.
 We're seeking an exceptional Technical Program Manager (TPM) to orchestrate complex, cross\-functional engineering initiatives across our infrastructure, data, and product engineering teams. You'll be driving clarity, alignment, and sharp execution with clear outcomes across the organization.
**A Day in the Life of a Technical Program Manager** 
 Strategic Program Leadership
* Lead end\-to\-end delivery of complex, multi\-team engineering programs from problem definition to delivering clear outcomes; align stakeholders on vision, outcomes, and measurable success criteria
* Build integrated program roadmaps and dependency frameworks; manage critical paths across squads and proactively sequence work for predictable delivery
* Contribute to capacity alignment across teams; balance long\-term platform investments with near\-term business priorities and outcomes.
 Execution \&amp; Operational Excellence
* Establish operating rhythms (kickoffs, status reviews, risk/issue forums, and executive readouts) that drive transparency, fast decision\-making, and accountability
* Identify risks and systemic blockers early; drive mitigation and tradeoff decisions with data, options, and clear recommendations
* Partner with Infrastructure, Data Platform, Product and engineering on discovery and scope management; High\-quality delivery and impact with appropriate change management
 Technical Rigor \&amp; Continuous Improvement
* Facilitate cross\-team technical alignment and engineering reviews; ensure architectural decisions consider long\-term scalability, reliability, security, and maintainability
* Define and monitor program health metrics (delivery predictability, cycle time, production defect escape, availability/SLO adherence); facilitate blameless retros and continuous improvement
* Guide incident response for critical cross functional engineering programs and lead post\-incident reviews; translate learnings into durable process and tooling improvements
 Culture \&amp; Impact
* Coach teams and TPM peers on program best practices; raise the bar on communication quality, crisp execution, and outcome orientation
**What We Need From You** 
 Experience \&amp; Track Record
* 8–10\+ years of technical program management experience within Infrastructure, Data and product engineering organizations, delivering large\-scale, cross\-functional outcomes, driving systems performance, end user experiences with clear key performance indicators
* Demonstrated impact leading multi\-quarter initiatives across several teams with complex dependencies; track record of improving delivery predictability and quality
* Authorized to work lawfully in the United States of America as Calendly does not engage in immigration sponsorship at this time
 Technical \&amp; Process Expertise
* Deep understanding of SDLC and Agile at scale; expertise building integrated plans with milestones, dependencies, and objective delivery checkpoints
* Experience with cloud\-native environments and modern CI/CD practices; familiarity with reliability/incident management and security/compliance considerations (e.g., SOC 2, ISO 27001\)
* Proficiency with program tooling (e.g., Jira, Confluence, or similar) and creating source\-of\-truth artifacts (roadmaps, RACI, decision logs, status dashboards)
 Leadership \&amp; Communication
* Strong cross\-organizational influence and stakeholder management; excellent communication that scales from engineers to executives
* Data\-driven approach; skilled at defining program KPIs/OKRs and distilling complex data into actionable insights and clear executive narratives
**Nice to Have** 
* Prior hands\-on engineering background
* Experience in platform modernization, privacy/data programs, or large\-scale cross functional engineering programs at the intersection of infrastructure, data platform and the core SaaS products</t>
        </is>
      </c>
    </row>
    <row r="185">
      <c r="A185" t="inlineStr">
        <is>
          <t>li-4364122894</t>
        </is>
      </c>
      <c r="B185" t="inlineStr">
        <is>
          <t>Program Manager 3-ProdDev</t>
        </is>
      </c>
      <c r="C185" t="inlineStr">
        <is>
          <t>Oracle</t>
        </is>
      </c>
      <c r="D185" t="inlineStr">
        <is>
          <t>linkedin</t>
        </is>
      </c>
      <c r="E185">
        <f>HYPERLINK("https://www.linkedin.com/jobs/view/4364122894", "https://www.linkedin.com/jobs/view/4364122894")</f>
        <v/>
      </c>
      <c r="F185" t="inlineStr"/>
      <c r="G185" t="inlineStr"/>
      <c r="H185" t="inlineStr"/>
      <c r="I185" t="inlineStr">
        <is>
          <t>**Job Description**
 Why Oracle Health / ClientWorks?
 You will have the opportunity to make a direct impact on the evolution of pharmacy product offerings, help shape life\-saving solutions, and improve outcomes for customers and patients nationwide. If you are passionate about using your clinical and leadership expertise to drive innovation and build best\-in\-class healthcare solutions, we invite you to apply.
 We are seeking a highly driven, strategic leader to join our team as a Senior Product Owner (IC3\) for Pharmacy Products. In this role, you will leverage your clinical expertise and independent judgment to shape the future of our pharmacy product suite, drive key product deployments, and ensure our solutions support optimal customer and patient safety. You will play a pivotal role in aligning customer feedback and strategic requests to our current and future platform strategy, particularly as we expand our OHEHR offerings.
**Responsibilities**
 Key Responsibilities:
* Lead and oversee the end\-to\-end deployment of our next\-generation eRX platform, ensuring compatibility with OHEHR for over 400 customers and 1,600 providers across a multi\-year roll\-out.
* Apply clinical expertise to conduct comprehensive, strategic reviews of customer requests and market feedback, ensuring alignment with evolving product needs and future platform capabilities.
* Proactively identify opportunities to innovate and grow our product portfolio, anticipating trends and regulatory changes, and championing enhancements to support customer and patient safety.
* Partner with cross\-functional teams—Product Management, Intellectual Property, and Configuration—to drive product improvements, drive adoption of industry best practices, and resolve complex challenges.
* Model strong leadership across diverse, cross\-functional teams; mentor, coach, and empower others to contribute to solutions and product improvements.
* Act as a visible advocate for change, building alignment and gaining adoption of key initiatives across internal and external stakeholders.
* Communicate proactively and credibly with stakeholders, using data and business insights to secure buy\-in for strategic product direction.
* Foster a culture of innovation, inclusion, continuous improvement, and ethical best practices.
 Preferred Qualifications:
* Bachelor’s degree or equivalent experience relevant to healthcare, product management, or clinical field.
* Minimum of 5 years of experience in project management, product design, or related area, with demonstrated expertise in clinical pharmacy, product/solution implementation, or healthcare technology.
* Ability to anticipate complications and manage complex projects independently; project lead or supervisory experience is preferred.
* Skilled in synthesizing customer feedback and market intelligence into actionable product enhancements.
* Proven ability to work collaboratively across organizations, drive cross\-team alignment, and think strategically about product growth.
* Demonstrated experience in product workflow optimization, regulatory compliance, and alignment to industry best practices.
* Strong communication skills, with the ability to shape messaging for diverse stakeholders and secure support for new initiatives.
* Commitment to upholding the highest standards of integrity, ethics, and inclusive leadership.
**Qualifications**
 Disclaimer:
**Certain US customer or client\-facing roles may be required to comply with applicable requirements, such as immunization and occupational health mandates.**
**Range and benefit information provided in this posting are specific to the stated locations only**
 US: Hiring Range in USD from: $78,000 \- $158,200 per year. May be eligible for bonus and equity.
 Oracle maintains broad salary ranges for its roles in order to account for variations in knowledge, skills, experience, market conditions and locations, as well as reflect Oracle's differing products, industries and lines of business.
 Candidates are typically placed into the range based on the preceding factors as well as internal peer equity.
 Oracle US offers a comprehensive benefits package which includes the following:
* Medical, dental, and vision insurance, including expert medical opinion
* Short term disability and long term disability
* Life insurance and AD\&amp;D
* Supplemental life insurance (Employee/Spouse/Child)
* Health care and dependent care Flexible Spending Accounts
* Pre\-tax commuter and parking benefits
* 401(k) Savings and Investment Plan with company match
* Paid time off: Flexible Vacation is provided to all eligible employees assigned to a salaried (non\-overtime eligible) position. Accrued Vacation is provided to all other employees eligible for vacation benefits. For employees working at least 35 hours per week, the vacation accrual rate is 13 days annually for the first three years of employment and 18 days annually for subsequent years of employment. Vacation accrual is prorated for employees working between 20 and 34 hours per week. Employees working fewer than 20 hours per week are not eligible for vacation.
* 11 paid holidays
* Paid sick leave: 72 hours of paid sick leave upon date of hire. Refreshes each calendar year. Unused balance will carry over each year up to a maximum cap of 112 hours.
* Paid parental leave
* Adoption assistance
* Employee Stock Purchase Plan
* Financial planning and group legal
* Voluntary benefits including auto, homeowner and pet insurance
 The role will generally accept applications for at least three calendar days from the posting date or as long as the job remains posted.
 Career Level \- IC3
**About Us**
 Only Oracle brings together the data, infrastructure, applications, and expertise to power everything from industry innovations to life\-saving care. And with AI embedded across our products and services, we help customers turn that promise into a better future for all. Discover your potential at a company leading the way in AI and cloud solutions that impact billions of lives.
 True innovation starts when everyone is empowered to contribute. That’s why we’re committed to growing a workforce that promotes opportunities for all with competitive benefits that support our people with flexible medical, life insurance, and retirement options. We also encourage employees to give back to their communities through our volunteer programs.
 We’re committed to including people with disabilities at all stages of the employment process. If you require accessibility assistance or accommodation for a disability at any point, let us know by emailing accommodation\-request\_mb@oracle.com or by calling 1\-888\-404\-2494 in the United States.
 Oracle is an Equal Employment Opportunity Employer. All qualified applicants will receive consideration for employment without regard to race, color, religion, sex, national origin, sexual orientation, gender identity, disability and protected veterans’ status, or any other characteristic protected by law. Oracle will consider for employment qualified applicants with arrest and conviction records pursuant to applicable law.</t>
        </is>
      </c>
    </row>
    <row r="186">
      <c r="A186" t="inlineStr">
        <is>
          <t>li-4372163898</t>
        </is>
      </c>
      <c r="B186" t="inlineStr">
        <is>
          <t>Technical Program Manager, Integration Management</t>
        </is>
      </c>
      <c r="C186" t="inlineStr">
        <is>
          <t>EnergyHub</t>
        </is>
      </c>
      <c r="D186" t="inlineStr">
        <is>
          <t>linkedin</t>
        </is>
      </c>
      <c r="E186">
        <f>HYPERLINK("https://www.linkedin.com/jobs/view/4372163898", "https://www.linkedin.com/jobs/view/4372163898")</f>
        <v/>
      </c>
      <c r="F186">
        <f>HYPERLINK("https://grnh.se/6a54fa7a2us&amp;urlHash=albU", "https://grnh.se/6a54fa7a2us&amp;urlHash=albU")</f>
        <v/>
      </c>
      <c r="G186" t="inlineStr">
        <is>
          <t>New York, NY</t>
        </is>
      </c>
      <c r="H186" t="inlineStr"/>
      <c r="I186" t="inlineStr">
        <is>
          <t>**About EnergyHub**
 EnergyHub empowers utilities and their customers to create a clean, distributed energy future. We help consumers turn their smart thermostats, EVs, batteries, and other products into virtual power plants that keep the grid stable and enable higher penetration of solar and wind power.
**About the Opportunity**
 Our Technical Operations team is looking for a Technical Program Manager to support our Distributed Energy Resource (DER) partners as they integrate with our platform, including managing launches, and facilitating post\-launch partner support systems. This Program Manager will establish and deliver onboarding content, develop and own project progress tracking methods, manage post\-integration support to scalably interact with our partners, and facilitate new product requests that increase the impact of these ecosystem partners.
 This role is fundamental to expanding our Distributed Energy Resource (DER) ecosystem by enabling our technology partners to integrate with our APIs and contribute to the broader portfolio of resources for our utility clients. We are looking for someone who is motivated by building and enforcing processes that will scale as we grow. To be impactful in this role, you have a strong technical skill set, are highly organized, and are comfortable interacting externally and cross\-functionally.
**Main Responsibilities: What you'll do**
* Interface with our DER device partners as they integrate against our APIs, enabling more distributed energy resources to participate in our utility programs
* Work with device partner stakeholders to communicate implementation requirements, related technical documentation, identify risks, manage and monitor project schedules in sustainable ways
* Create, manage, and deliver implementation content for partners to utilize from kickoff and throughout the integration process
* Own the triage process for partner issues and bugs – ensuring they get resolved and communicated.
* Coordinate with the product, partner, customer success, and engineering teams to represent and help shepherd new partner\-related product capabilities through internal evaluation and new product development processes
* Monitor the progress of partners to ensure they move through our process, either escalating where appropriate, influencing the partner to accelerate its integration, or ensuring the teams scale up/down their engagement based on partner priority and demonstrated motivation
* Facilitate a system for how technical specs are maintained and delivered to partners, in collaboration with product and engineering teams
* Other duties as assigned
**Required Skills and Experience: What you need**
* 5\+ years of experience leading large cross\-team initiatives
* A strong understanding of the software development lifecycle (SDLC) and related technologies.
* Experience working in a consulting environment, or otherwise experience coordinating with third\-party business and technical teams.
* The ability to understand and discuss technical concepts with engineering teams.
* Proven experience building new processes and rolling them out to teams and departments.
* Comfortable working with stakeholders of all levels.
* Ability to translate technical concepts for business stakeholders.
**Preferred Skills and Experience: Nice\-to\-haves**
* A working knowledge of the Utilities industry and/or relevant device manufacturers (Thermostat, Battery, EV, etc) and supporting business processes
**Why work for EnergyHub?**
* **Collaborate with outstanding people** 
 : Our employees work hard, do great work, and enjoy collaborating and learning from each other.
* **Make an immediate impact** 
 : New employees can expect to be given real responsibility for bringing new technologies to the marketplace. You are empowered to perform as soon as you join the team!
* **Gain well rounded experience** 
 : EnergyHub offers a diverse and dynamic environment where you will get the chance to work directly with executives and develop expertise across multiple areas of the business.
* **Work with the latest technologies** 
 : You'll gain exposure to a broad spectrum of IoT, SaaS and machine learning challenges, including distributed fault\-tolerance, device control optimization, and process modeling to support scalable interaction with disparate downstream APIs.
* **Be part of something important:** 
 Help create the future of how energy is produced and consumed. Make a positive impact on our climate.
* **Focus on fun** 
 : EnergyHub places high value on our team culture. Happy hours and holiday parties are important to us, but what's also important is how our employees feel every single day.
**Company Benefits**
 EnergyHub offers a generous benefits package including 100% paid medical for employees and a 401(k) with employer match. We offer a casual environment, the flexibility to set your own schedule, a fully stocked fridge and pantry, free Citi Bike membership, secure bike rack, gym subsidy, paid parental leave, and an education assistance program.
**EnergyHub is an Equal Opportunity Employer**
 EOE, Including Disability/Vets. Reasonable accommodations are available for individuals with disabilities throughout the application process. If you are a person with a disability needing assistance with the application process, please contact accommodations.apply@energyhub.net.
 In connection with your application, we collect information that identifies, reasonably relates to or describes you ("Personal Information"). The categories of Personal Information that we may collect include your name, government\-issued identification number(s), email address, mailing address, other contact information, emergency contact information, employment history, educational history, and demographic information. We collect and use those categories of Personal Information about you for human resources and other business management purposes, including identifying and evaluating you as a candidate for potential or future employment or future positions, recordkeeping in relation to recruiting and hiring, conducting analytics, and ensuring compliance with applicable legal requirements and Company policies. By submitting your application, you acknowledge that we may retain some of the personal data that you provide in your application for our internal operations such as managing our recruitment system and ensuring that we comply with labor laws and regulations even after we have made our employment decision.
**Notice To Third Party Agencies:**
 EnergyHub understands the value of professional recruiting services. However, we are not accepting resumes from recruiters or employment agencies for this position. In the event we receive a resume or candidate referral for this position from a third\-party recruiter or agency without a previously signed agreement, we reserve the right to pursue and hire those candidate(s) without any financial obligation to you.
 Please note that sponsorship of new applicants for employment authorization, or any other immigration\-related support, is not available for this position at this time.
 The base salary range of this opportunity is listed below and is determined within a range based on factors including qualifications, location and experience. This allows opportunity for growth and development within the role. The base salary offered is part of a total compensation package.
 Base Salary Range
 $110,000—$125,000 USD</t>
        </is>
      </c>
    </row>
    <row r="187">
      <c r="A187" t="inlineStr">
        <is>
          <t>li-4371705865</t>
        </is>
      </c>
      <c r="B187" t="inlineStr">
        <is>
          <t>Engineering Program Manager, HW</t>
        </is>
      </c>
      <c r="C187" t="inlineStr">
        <is>
          <t>Eight Sleep</t>
        </is>
      </c>
      <c r="D187" t="inlineStr">
        <is>
          <t>linkedin</t>
        </is>
      </c>
      <c r="E187">
        <f>HYPERLINK("https://www.linkedin.com/jobs/view/4371705865", "https://www.linkedin.com/jobs/view/4371705865")</f>
        <v/>
      </c>
      <c r="F187">
        <f>HYPERLINK("https://jobs.ashbyhq.com/eightsleep/4b0b53d2-89ea-4e6f-b848-a3162e138c05?src=LinkedIn&amp;urlHash=XLyQ", "https://jobs.ashbyhq.com/eightsleep/4b0b53d2-89ea-4e6f-b848-a3162e138c05?src=LinkedIn&amp;urlHash=XLyQ")</f>
        <v/>
      </c>
      <c r="G187" t="inlineStr">
        <is>
          <t>San Francisco, CA</t>
        </is>
      </c>
      <c r="H187" t="inlineStr"/>
      <c r="I187" t="inlineStr">
        <is>
          <t>**Join the Sleep Fitness Movement**
 At Eight Sleep, we’re on a mission to fuel human potential through optimal sleep. As the world’s first sleep fitness company, we’re redefining what it means to be well\-rested and building the most advanced hardware, software, and AI technology to make it possible. Our products power peak mental, physical, and emotional performance by transforming every night of sleep into a personalized, data\-driven recovery experience. We are trusted by high performers, professional athletes, and health\-conscious consumers in over 30 countries worldwide. Recognized as one of Fast Company's Most Innovative Companies in 2019, 2022, and 2023, and twice named to TIME's “Best Inventions of the Year.” We operate like a high\-performance team: fast, focused, and motivated by impact. We don’t just ship; we iterate, refine, and obsess over the details that help our members sleep better and wake up stronger.
 Every role at Eight Sleep is a chance to create cutting\-edge technology, collaborate with world\-class talent, and help shape a future where sleep isn’t passive \- it’s a powerful tool for living better. If you’re tired of the ordinary and driven to build at the edge of what’s possible, this is your moment. Join us and lead the movement that’s transforming how the world sleeps and what we’re all capable of when we wake up.
**High Standards. No Apologies.**
 We operate with intensity because our mission demands it. At Eight Sleep, we bring the same mindset as the world’s top performers: focused, relentless, and always pushing to be in the top 1% of our craft. Think Kobe Bryant’s mamba mentality, applied to bold ideas, next\-gen tech, and flawless execution. This isn’t a 9\-to\-5\. Our team is deeply committed, often putting in 60\+ hours a week –not because we’re told to, but because we’re invested. We’re here to build fast, push limits, and deliver without compromise. If you thrive under pressure and want to do the most meaningful work of your career, you’ll feel right at home. If you’re looking for something easier –this isn’t it.
**The Role**
 We are looking for a passionate Hardware Engineering / Technical Program Manager who will help lead the development of amazing new and innovative products.
**This role is based out of our San Francisco Office 5 days/week**
**What You'll Help Build**
* Lead execution of hardware product development programs from concept to mass production
* Build alignment with senior leaders to establish a clear set of program objectives and design program execution strategies that finds the perfect balance between schedule and risk
* Navigate the project team through project execution to ensure the right people are working on the right things at the right time
* Communicate across the various engineering disciplines within the project and across the business to ensure alignment across risks, challenges and results.
* Be a champion for best practices/processes that are impactful for scaling the way we develop products
* Be a champion for releasing the best possible product so our customers can have the best possible experience.
**What You'll Need To Succeed**
* Bachelors of Engineering
* Preferred Masters of Engineering
* 3 years\+ in a program management role
* Track record of launching successful products
* Strong communication skills across various engineering disciplines
* Willingness and ability to travel to China as needed
**Why join Eight Sleep?**
**Innovation in a culture of excellence**
 Join us in a workplace where innovation isn’t just encouraged \- it’s a standard. Our flagship product, the Pod, is a testament to our culture of excellence, beloved by hundreds of thousands of customers worldwide. At Eight Sleep, you will be part of a team that continuously pushes the boundaries of technology in sleep fitness.
**Immediate responsibility and accelerated career growth**
 From your first day, you’ll take on substantial responsibilities that have a direct impact on our core business and product success. We are a small team that empowers you to own your projects and see the tangible effects of your efforts, enhancing both your professional growth and our company’s trajectory. Your path will be challenging but rewarding, perfect for those who thrive in fast\-paced environments aiming for high standards.
**Collaboration with exceptional talent**
 Work alongside other bright minds like you: at Eight Sleep exceptional intelligence and a passion for breakthroughs are the norms. Our team members are not only experts in their fields but also avid innovators who thrive in our dynamic, fast\-paced environment.
**Equitable Compensation And Continuous Equity Investment**
 We extend equity participation to every full\-time team member, recognizing and rewarding your direct contributions to our success. This includes periodic equity refreshments based on performance, ensuring that as Eight Sleep grows and succeeds, so do you – perfectly aligning your achievements with the broader triumphs of the company.
**Your Own Pod \- And Other Great Benefits**
 Every Eight Sleep employee receives the very product that defines our mission: a Pod of their own. If you join us you’ll get your own Pod, along with\*:
* Lunch in the SF office 5 days a week
* Full access to health, vision, and dental insurance for you and your dependents
* Supplemental life insurance
* Flexible PTO
* Commuter benefits to ease your daily commute
* Paid parental leave
* List of benefits may vary depending on your location
 At Eight Sleep we continually celebrate the diverse community different individuals cultivate. As an equal opportunity employer, we stay true to our values by ensuring everyone feels they can flourish and grow. We are committed to equal employment opportunity regardless of race, color, ancestry, religion, sex, national origin, sexual orientation, age, citizenship, marital status, disability, gender identity or Veteran status.</t>
        </is>
      </c>
    </row>
    <row r="188">
      <c r="A188" t="inlineStr">
        <is>
          <t>li-4372210665</t>
        </is>
      </c>
      <c r="B188" t="inlineStr">
        <is>
          <t>AI Program Manager</t>
        </is>
      </c>
      <c r="C188" t="inlineStr">
        <is>
          <t>InterSystems</t>
        </is>
      </c>
      <c r="D188" t="inlineStr">
        <is>
          <t>linkedin</t>
        </is>
      </c>
      <c r="E188">
        <f>HYPERLINK("https://www.linkedin.com/jobs/view/4372210665", "https://www.linkedin.com/jobs/view/4372210665")</f>
        <v/>
      </c>
      <c r="F188" t="inlineStr"/>
      <c r="G188" t="inlineStr">
        <is>
          <t>Boston, MA</t>
        </is>
      </c>
      <c r="H188" t="inlineStr"/>
      <c r="I188" t="inlineStr">
        <is>
          <t>The AI Enablement team serves as a central hub for accelerating AI adoption across InterSystems while maintaining trust, consistency, and governance. We operate with a portfolio mindset, balancing innovation with risk, with the goal of increasing AI adoption and ROI across the business. Team members work directly with individuals across the globe including product engineering teams, implementation teams, and customer\-facing groups, and are expected to communicate clearly, make sound trade\-offs, and drive alignment in complex, fast\-moving environments.
 The AI Enablement PM owns the
 **operational engine** 
 of the AI Enablement department. This role ensures AI initiatives move quickly from idea to impact by running intake, prioritization, approvals, lifecycle tracking, and executive reporting—while aligning stakeholders across regions, functions, and leadership.
**{Key Responsibilities}** 
 –
* Own the single front door for AI requests: intake, triage, prioritization, and routing.
* Manage the AI project lifecycle (intake → build → validate → deploy → monitor).
* Coordinate approvals and reviews with legal, security, and leadership.
* Build and maintain executive dashboards:
+ Active projects and lifecycle stages
+ Tool usage and adoption
+ AI maturity by org/region
+ Laggard and high\-performing groups
* Track and report on key KPIs: cycle time, adoption, reuse, maturity progression.
* Coordinate GenAI vendor and partner engagements in collaboration with procurement and leadership.
* Support enablement initiatives: cohorts, events, training hubs, and tooling rollout.
* Ensure learnings (“what works / what doesn’t”) are captured and fed back into playbooks by working with engineering partners on AI enablement team.
**{Experience/Qualification Required}**
* 5\+ years in product, program, or portfolio management.
* Experience managing cross\-functional initiatives with executive visibility.
* Strong organizational, communication, and stakeholder management skills.
* Comfort building processes from scratch.
* Ability to translate technical concepts into executive\-level reporting.
 Nice to Haves
* Experience with AI, data platforms, or developer tooling.
* Experience running Centers of Excellence or platform programs.
* Background in regulated or enterprise environments.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 InterSystems.com.
*We are an equal\-opportunity employer and do not discriminate because of race, color, religion, sex, national origin, ancestry, marital status, veteran status, age, disability, sexual orientation or gender identity or expression or any other legally protected category. InterSystems is an E\-Verify Employer in the United States.*
 InterSystems is providing a current good faith estimate of the anticipated base salary range for this position depending on a variety of factors including experience, education, skills, and performance.
 Other compensation may include a discretionary annual variable target incentive.
 The company also provides generous employee benefits including:
* Medical, vision, and dental insurance
* Short\-term and long\-term disability, and life insurance
* 401(k) Profit Sharing Contribution
* Paid Time Off and Holidays
* Parental Leave
* Tuition reimbursement
 The estimated base compensation range for this role is:
 $118,000—$148,000 USD
****About InterSystems****
 InterSystems, a creative data technology provider, delivers a unified foundation for next\-generation applications for healthcare, finance, manufacturing, and supply chain customers in more than 80 countries. Our data platforms solve interoperability, speed, and scalability problems for large organizations around the globe to unlock the power of data and allow people to perceive data in imaginative ways. Established in 1978, InterSystems is committed to excellence through its 24×7 support for customers and partners around the world. Privately held and headquartered in Boston, Massachusetts, InterSystems has 38 offices in 28 countries worldwide. For more information, please visit
 **InterSystems.com** 
 .</t>
        </is>
      </c>
    </row>
    <row r="189">
      <c r="A189" t="inlineStr">
        <is>
          <t>li-4364152555</t>
        </is>
      </c>
      <c r="B189" t="inlineStr">
        <is>
          <t>Business Development &amp; Strategy Program Manager</t>
        </is>
      </c>
      <c r="C189" t="inlineStr">
        <is>
          <t>Aleut</t>
        </is>
      </c>
      <c r="D189" t="inlineStr">
        <is>
          <t>linkedin</t>
        </is>
      </c>
      <c r="E189">
        <f>HYPERLINK("https://www.linkedin.com/jobs/view/4364152555", "https://www.linkedin.com/jobs/view/4364152555")</f>
        <v/>
      </c>
      <c r="F189" t="inlineStr"/>
      <c r="G189" t="inlineStr">
        <is>
          <t>Anchorage, AK</t>
        </is>
      </c>
      <c r="H189" t="inlineStr"/>
      <c r="I189" t="inlineStr">
        <is>
          <t>Job Details
**Description**
**BUSINESS DEVELOPMENT \&amp; STRATEGY PROGRAM MANAGER**
**Reports to:** 
 General Manager
**Status:** 
 Regular, Full\-time, Exempt
**Location:** 
 Anchorage, AK
**Job Summary:** 
 The Business Development \&amp; Strategy Program Manager is responsible for driving organizational growth by identifying, developing, and executing strategic business opportunities within the environmental and engineering industry. This role supports both federal and commercial clients, with a strong emphasis on federal contracting and portfolio management in Alaska. The position partners closely with leadership, proposal teams, and subject matter experts to expand market presence, strengthen client relationships, and advance long\-term strategic objectives.
**Primary Responsibilities**
* Champion Aleut values: accountability, transparency and rigor.
* Identify, evaluate, and pursue new business opportunities and emerging markets within federal and commercial sectors.
* Develop and execute business development strategies that align with organizational goals and long\-term growth plans.
* Build, strengthen, and maintain trusted relationships with clients, partners, and key stakeholders.
* Lead proposal development efforts, including strategy formulation, team coordination, and final submission.
* Collaborate with cross\-functional teams to support growth initiatives and ensure alignment across departments.
* Conduct market research and competitive analysis to identify trends, risks, and strategic opportunities.
* Manage and track sales pipeline activity, providing regular reporting on performance metrics and forecasts.
* Represent the company at industry events, conferences, and networking engagements to enhance visibility and expand partnerships.
* Work closely with subject matter experts to support the execution of environmental projects for federal and commercial clients, with emphasis on Alaska\-based federal portfolios.
* Perform other duties as assigned.
**Knowledge, Skills, And Abilities**
* Proficient computer skills in Microsoft applications (i.e., excel, word, power point, etc.)
* Skill in establishing relationships like working with corporate management, managers, co\-workers, and outside contacts.
* Maintain a high level of accuracy and attention to detail in preparing information.
* Possess strong analytical skills to review, evaluate, and synthesize information.
* High level of organizational skills, as well as time management and ability to work under pressure.
* Problem solving and demonstrating initiative to improve process, procedures, etc.
* Possess and demonstrate cultural awareness and sensitivity, respect, flexibility, and sound work ethics.
* Strong understanding of environmental and engineering industry practices, particularly within federal contracting environments.
* Expertise in business development strategy, opportunity identification, and market expansion.
* Advanced communication and presentation skills, with the ability to convey complex information clearly and persuasively.
* Proven ability to build trust and maintain long\-term relationships with clients, partners, and internal teams.
* Strategic thinker with a data\-driven, results\-oriented approach to decision\-making.
* Proficiency in managing and reporting on sales pipelines Knowledge of Alaska’s federal market landscape and experience managing federal portfolios in the region.
**Minimum Qualifications**
* Bachelor’s degree in environmental science or engineering, or marketing/business\-related field.
* At least seven (7\) years of experience in the environmental/engineering industry and five (5\) years of experience in a business development/strategy program role.
* Project Management Professional Certification.
**Benefits**
* 401K \- Employer matching up to 4%.
* Paid Holidays (13/year).
* Paid Time Off (accrued bi\-weekly, starts at 6\.20 hrs per pay period/20 days a year).
* 100% Employer paid Dental/Vision for employees and their qualified dependents.
* 100% Paid Employee Life Insurance / Disability.
* Advance your career with exclusive tuition benefits—Aleut employees and subsidiaries enjoy in\-state tuition rates plus a 10% discount on University of Alaska Fairbanks online courses and certifications.
* Potential for Annual Incentive.
**PREFERENCE STATEMENT**
 The Aleut Corporation (“Aleut”) is committed to providing employment and development opportunities for our shareholders and descendants. Aleut shall make employment selections first based on qualifications for the position. Preference shall then be given to eligible and qualified TAC shareholders and descendants in accordance with the Alaska Native Claims Settlement Act, 43 U.S.C.
* 1601 et seq., and other applicable laws.
 Aleut is an equal opportunity employer. Aleut shall select, train, and promote the most qualified individuals based upon relevant work factors such as work quality, attitude, education, and experience, so as not to discriminate against any employee or applicant on the basis of race, color, sex, sexual orientation, national origin, religion, marital status, changes in marital status, pregnancy, parental status, physical or mental disability, age, status as a disabled veteran, special disabled veteran, Vietnam veteran, and all other eligible veterans, or other classifications protected by applicable law.</t>
        </is>
      </c>
    </row>
    <row r="190">
      <c r="A190" t="inlineStr">
        <is>
          <t>li-4372149894</t>
        </is>
      </c>
      <c r="B190" t="inlineStr">
        <is>
          <t>Technical Program Manager, Hardware</t>
        </is>
      </c>
      <c r="C190" t="inlineStr">
        <is>
          <t>Eight Sleep</t>
        </is>
      </c>
      <c r="D190" t="inlineStr">
        <is>
          <t>linkedin</t>
        </is>
      </c>
      <c r="E190">
        <f>HYPERLINK("https://www.linkedin.com/jobs/view/4372149894", "https://www.linkedin.com/jobs/view/4372149894")</f>
        <v/>
      </c>
      <c r="F190">
        <f>HYPERLINK("https://jobs.ashbyhq.com/eightsleep/e4c79467-222c-4fc8-98e9-9e4a929b92f6?src=LinkedIn&amp;urlHash=rbLL", "https://jobs.ashbyhq.com/eightsleep/e4c79467-222c-4fc8-98e9-9e4a929b92f6?src=LinkedIn&amp;urlHash=rbLL")</f>
        <v/>
      </c>
      <c r="G190" t="inlineStr">
        <is>
          <t>San Francisco, CA</t>
        </is>
      </c>
      <c r="H190" t="inlineStr"/>
      <c r="I190" t="inlineStr">
        <is>
          <t>**Join the Sleep Fitness Movement**
 At Eight Sleep, we’re on a mission to fuel human potential through optimal sleep. As the world’s first sleep fitness company, we’re redefining what it means to be well\-rested and building the most advanced hardware, software, and AI technology to make it possible. Our products power peak mental, physical, and emotional performance by transforming every night of sleep into a personalized, data\-driven recovery experience. We are trusted by high performers, professional athletes, and health\-conscious consumers in over 30 countries worldwide. Recognized as one of Fast Company's Most Innovative Companies in 2019, 2022, and 2023, and twice named to TIME's “Best Inventions of the Year.” We operate like a high\-performance team: fast, focused, and motivated by impact. We don’t just ship; we iterate, refine, and obsess over the details that help our members sleep better and wake up stronger.
 Every role at Eight Sleep is a chance to create cutting\-edge technology, collaborate with world\-class talent, and help shape a future where sleep isn’t passive \- it’s a powerful tool for living better. If you’re tired of the ordinary and driven to build at the edge of what’s possible, this is your moment. Join us and lead the movement that’s transforming how the world sleeps and what we’re all capable of when we wake up.
**High Standards. No Apologies.**
 We operate with intensity because our mission demands it. At Eight Sleep, we bring the same mindset as the world’s top performers: focused, relentless, and always pushing to be in the top 1% of our craft. Think Kobe Bryant’s mamba mentality, applied to bold ideas, next\-gen tech, and flawless execution. This isn’t a 9\-to\-5\. Our team is deeply committed, often putting in 60\+ hours a week –not because we’re told to, but because we’re invested. We’re here to build fast, push limits, and deliver without compromise. If you thrive under pressure and want to do the most meaningful work of your career, you’ll feel right at home. If you’re looking for something easier –this isn’t it.
**The Role**
 We are looking for a passionate Hardware Technical Program Manager who will help lead the development of amazing new and innovative products.
**This role is based out of our San Francisco Office 5 days/week**
**What You'll Help Build**
* Lead execution of hardware product development programs from concept to mass production
* Build alignment with senior leaders to establish a clear set of program objectives and design program execution strategies that finds the perfect balance between schedule and risk
* Navigate the project team through project execution to ensure the right people are working on the right things at the right time
* Communicate across the various engineering disciplines within the project and across the business to ensure alignment across risks, challenges and results.
* Be a champion for best practices/processes that are impactful for scaling the way we develop products
* Be a champion for releasing the best possible product so our customers can have the best possible experience.
**What You'll Need To Succeed**
* Bachelors of Engineering
* Preferred Masters of Engineering
* 3 years\+ in a program management role
* Track record of launching successful products
* Strong communication skills across various engineering disciplines
* Willingness and ability to travel to China as needed
**Why join Eight Sleep?**
**Innovation in a culture of excellence**
 Join us in a workplace where innovation isn’t just encouraged \- it’s a standard. Our flagship product, the Pod, is a testament to our culture of excellence, beloved by hundreds of thousands of customers worldwide. At Eight Sleep, you will be part of a team that continuously pushes the boundaries of technology in sleep fitness.
**Immediate responsibility and accelerated career growth**
 From your first day, you’ll take on substantial responsibilities that have a direct impact on our core business and product success. We are a small team that empowers you to own your projects and see the tangible effects of your efforts, enhancing both your professional growth and our company’s trajectory. Your path will be challenging but rewarding, perfect for those who thrive in fast\-paced environments aiming for high standards.
**Collaboration with exceptional talent**
 Work alongside other bright minds like you: at Eight Sleep exceptional intelligence and a passion for breakthroughs are the norms. Our team members are not only experts in their fields but also avid innovators who thrive in our dynamic, fast\-paced environment.
**Equitable Compensation And Continuous Equity Investment**
 We extend equity participation to every full\-time team member, recognizing and rewarding your direct contributions to our success. This includes periodic equity refreshments based on performance, ensuring that as Eight Sleep grows and succeeds, so do you – perfectly aligning your achievements with the broader triumphs of the company.
**Your Own Pod \- And Other Great Benefits**
 Every Eight Sleep employee receives the very product that defines our mission: a Pod of their own. If you join us you’ll get your own Pod, along with\*:
* Lunch in the SF office 5 days a week
* Full access to health, vision, and dental insurance for you and your dependents
* Supplemental life insurance
* Flexible PTO
* Commuter benefits to ease your daily commute
* Paid parental leave
* List of benefits may vary depending on your location
 At Eight Sleep we continually celebrate the diverse community different individuals cultivate. As an equal opportunity employer, we stay true to our values by ensuring everyone feels they can flourish and grow. We are committed to equal employment opportunity regardless of race, color, ancestry, religion, sex, national origin, sexual orientation, age, citizenship, marital status, disability, gender identity or Veteran status.</t>
        </is>
      </c>
    </row>
    <row r="191">
      <c r="A191" t="inlineStr">
        <is>
          <t>li-4366641320</t>
        </is>
      </c>
      <c r="B191" t="inlineStr">
        <is>
          <t>Information Security Portfolio &amp; Product Manager</t>
        </is>
      </c>
      <c r="C191" t="inlineStr">
        <is>
          <t>Morrison Foerster</t>
        </is>
      </c>
      <c r="D191" t="inlineStr">
        <is>
          <t>linkedin</t>
        </is>
      </c>
      <c r="E191">
        <f>HYPERLINK("https://www.linkedin.com/jobs/view/4366641320", "https://www.linkedin.com/jobs/view/4366641320")</f>
        <v/>
      </c>
      <c r="F191" t="inlineStr"/>
      <c r="G191" t="inlineStr">
        <is>
          <t>Coral Gables, FL</t>
        </is>
      </c>
      <c r="H191" t="inlineStr"/>
      <c r="I191" t="inlineStr">
        <is>
          <t>**Overview**
**At MoFo, we couldn’t write our own success story without yours.** 
**Ready to write your story?**
 Join MoFo as a
 **INFORMATION SECURITY PORTFOLIO \&amp; PRODUCT MANAGER** 
 on our Information Technology team!
 This role can be based in San Francisco, Palo Alto, Los Angeles, San Diego, Denver, Austin, Boston, New York, or Washington, D.C.
 https://www.mofo.com/offices
**About The Role**
 The Information Security Portfolio \&amp; Product Manager is responsible for the execution, governance, and delivery of the Information Security portfolio in alignment with firm priorities and Information Security objectives. This role ensures that security initiatives, regulatory commitments, and risk\-reduction capabilities are appropriately prioritized, resourced, and delivered. The position partners with security product owners and engineering leads to ensure roadmaps are executable, aligned, and sustainably supported, while ensuring high levels of client service and satisfaction across all areas of responsibility.
 Information Security Portfolio \&amp; Delivery Governance
* Own the security portfolio operating model, including roadmap, prioritization, sequencing, and execution tracking.
* Translate strategy, risk, audit, and regulatory requirements into delivered security capabilities.
* Govern security initiatives, products, and platforms to align delivery with firm risk tolerance and leadership expectations.
 Execution, Capacity \&amp; Risk Management
* Accountable for delivery of complex, cross\-functional security initiatives.
* Monitor execution health, dependencies, milestones, and risks; intervene to prevent audit, client, or regulatory escalations.
* Manage capacity, enforce priorities, and surface trade\-offs and resourcing decisions.
 Audit, Regulatory \&amp; Stakeholder Enablement
* Coordinate security delivery for audits, regulatory obligations, and client reviews.
* Partner with Legal, Privacy, Risk, and Compliance to execute requirements.
* Provide executive reporting, decision support, and timely issue escalation; represent Information Security in operational forums.
**About You**
* Bachelor’s degree required; advanced degree preferred.
* 10\+ years of leadership experience in security products, platforms, and capabilities within regulated, professional services, or complex enterprise environments.
* Proven delivery of large\-scale security, risk, and regulatory initiatives.
* Deep expertise across core information security domains, including governance, risk, compliance, incident response, security engineering, and data protection.
**About Mofo**
 At MoFo, we collaborate as one firm, across borders, practice areas, and business functions and value fresh ideas and innovation over conformity and competition.
* About Us: https://www.mofo.com/about
* Inclusion \+ Engagement: https://www.mofo.com/community/we\-at\-mofo
* Commitment to Pro Bono: https://careers.mofo.com/careers\-pro\-bono
* The MoFo Foundation: https://www.mofo.com/culture/mofo\-foundation
**About Our Benefits**
 MoFo offers a comprehensive benefits package starting on your first day.
* A variety of options for medical, dental, vision, life and disability coverage to meet the needs of you and your family.
* Industry\-leading parental leave and family benefits including adoption and fertility treatment options and backup child and elder care.
* Global wellness program, including free access to Talkspace and Calm apps.
* Annual community service day to make an impact on your community and a birthday holiday just for fun.
* Education reimbursement annually.
* Dedicated Talent Development team.
* Competitive annual profit\-sharing contribution.
*Where required by law, salary ranges are stated below. Additional compensation may include a discretionary bonus, overtime as applicable, health/welfare benefits, retirement contributions, paid holidays, and PTO. The range displayed is specifically for positions performed in those cities/states and may vary based on factors including but not limited to the following: local market data and ranges; an applicant's skills and prior relevant experience; and certain degrees, licensing, and certifications. The application deadline is* 
*July 27, 2026\.*
*New York, San Francisco, Palo Alto salary range: $152k to $212k*
*Los Angeles, San Diego, Boston, Washington, D.C. salary range: $144k to $202k*
*Denver salary range: $135k to $189k*
 For questions regarding this position, please e\-mail jobs@mofo.com</t>
        </is>
      </c>
    </row>
    <row r="192">
      <c r="A192" t="inlineStr">
        <is>
          <t>li-4372190475</t>
        </is>
      </c>
      <c r="B192" t="inlineStr">
        <is>
          <t>Program Manager Data Center Infrastructure, Project &amp; Contract Management</t>
        </is>
      </c>
      <c r="C192" t="inlineStr">
        <is>
          <t>RCM Technologies, Inc.</t>
        </is>
      </c>
      <c r="D192" t="inlineStr">
        <is>
          <t>linkedin</t>
        </is>
      </c>
      <c r="E192">
        <f>HYPERLINK("https://www.linkedin.com/jobs/view/4372190475", "https://www.linkedin.com/jobs/view/4372190475")</f>
        <v/>
      </c>
      <c r="F192" t="inlineStr"/>
      <c r="G192" t="inlineStr">
        <is>
          <t>Charleston, South Carolina Metropolitan Area</t>
        </is>
      </c>
      <c r="H192" t="inlineStr"/>
      <c r="I192" t="inlineStr">
        <is>
          <t>**Program Manager Data Center Infrastructure, Project \&amp; Contract Management** 
**Compensation:** 
 $150,000\+ Bonus
**Location: Charleston, SC** 
**Company Description:** 
 Our client is an industrial\-scale data center construction and operations company. They allocate data center opportunities between bitcoin mining and other high performance computing services, such as AI. They continue to develop their pipeline of power capacity at high\-quality data center sites, either for bitcoin mining or HPC.
**Position Summary** 
 The Program Manager is responsible for leading and overseeing programs and projects that support data center infrastructure operations. This role focuses on project and program management, contract management, RFP execution, budget planning, financial oversight, and compliance. The Program Manager may directly manage projects or oversee projects as needed to support cross\-functional teams, ensuring initiatives are delivered on time, within scope, and within budget.
**Key Responsibilities** 
 Program \&amp; Project Management
* Lead and manage multiple concurrent infrastructure programs and projects.
* Oversee projects executed by cross\-functional teams, providing governance, guidance, and escalation support as needed.
* Define project scope, objectives, deliverables, and success metrics.
* Develop and maintain detailed project plans, schedules, and resource allocations.
* Track and report on project progress, risks, and issues.
* Ensure alignment between project execution and organizational priorities.
 Contract Management, RFPs \&amp; QBRs
* Support the full contract lifecycle including SOW development, renewals, amendments, and change management.
* Lead and coordinate Request for Proposal (RFP) processes in partnership with Procurement, Legal, Engineering, and Finance.
* Plan and facilitate Quarterly Business Reviews (QBRs) to review contractual performance, financial outcomes, and upcoming needs.
* Track contractual milestones, deliverables, and expiration timelines.
 Budget Planning, Financial Management \&amp; Variance Reporting
* Lead or support annual and multi\-year budget planning for infrastructure programs and projects.
* Build and maintain detailed budgets, forecasts, and cost tracking models.
* Monitor actual spend against budget and forecast.
* Prepare and present variance reports with root\-cause analysis and corrective action recommendations.
* Partner with Finance to ensure accurate accruals, forecasting, and financial controls.
 Compliance \&amp; Governance
* Ensure programs and projects comply with applicable regulatory, contractual, and internal policy requirements.
* Support audits, assessments, and compliance reviews.
* Maintain accurate documentation to support governance and reporting requirements.
* Implement and adhere to standardized project and program management methodologies.
 Stakeholder Communication \&amp; Reporting
* Provide regular status updates and executive\-level reporting on schedule, scope, budget, risks, and compliance.
* Facilitate project reviews, steering committees, and cross\-functional meetings.
* Communicate effectively with both technical and non\-technical stakeholders.
**Required Qualifications** 
 Bachelor's degree in Business, Engineering, Information Technology, ora related field, or equivalent experience.
* 5\+ years of experience in program and project management, preferably in datacenter, infrastructure, or technology environments.
* Demonstrated experience with contract management, RFP execution, budget planning, and variance reporting.
* Strong understanding of project management methodologies and governance practices.
**Preferred Qualifications** 
 Experience supporting data center or critical infrastructure environments.
* PMP, PgMP, or similar project/program management certification.
* Experience working cross\-functionally with Procurement, Legal, and Finance teams.
**Core Competencies** 
* Program and project management
* Cross\-functional coordination and governance
* Contract lifecycle management
* Budgeting, forecasting, and variance analysis
* Risk and compliance management
* Strong written and verbal communication skills
**Education \&amp; Certifications:** 
 Bachelor's degree in a relevant field (e.g., Computer Science, Engineering, Information Technology) preferred.
* **Benefits:** 
 401K
* Medical / Dental / Vision
**Equal Opportunity Employer:** 
 RCM is an equal opportunity employer. All qualified applicants will receive consideration for employment without regard to age, race, color, religion, sex, sexual orientation, gender identity, national origin, disability, or status as a protected veteran.
**Pay Transparency:** 
 RCM believes in transparency and fairness in compensation. We are committed to providing our employees with competitive salaries that reflect their skills, experience, and contributions to our organization. As part of our commitment to pay transparency, we want to provide you with as much information as possible about our compensation practices.
**About RCM:** 
 RCM Technologies, Inc. (Nasdaq: RCMT) is a business and technology solutions provider with world\-class talent in key market segments. We help design, build, and enable the Industries of Tomorrow, Today. Operating at the intersection of resources, critical infrastructure, and modernization of industries, RCM is a provider of services in Life Sciences, Data \&amp; Solutions (IT), Healthcare, Engineering, Aerospace \&amp; Defense, and Process \&amp; Industrial.
**Disclaimer:** 
 This job posting is intended to describe the general nature and the level of the work to be performed. It is not intended to include every job duty and responsibility specific to the position. RCM reserves the right to amend and change responsibilities to meet business and organizational needs as necessary.</t>
        </is>
      </c>
    </row>
    <row r="193">
      <c r="A193" t="inlineStr">
        <is>
          <t>li-4366631816</t>
        </is>
      </c>
      <c r="B193" t="inlineStr">
        <is>
          <t>Information Security Portfolio &amp; Product Manager</t>
        </is>
      </c>
      <c r="C193" t="inlineStr">
        <is>
          <t>Morrison Foerster</t>
        </is>
      </c>
      <c r="D193" t="inlineStr">
        <is>
          <t>linkedin</t>
        </is>
      </c>
      <c r="E193">
        <f>HYPERLINK("https://www.linkedin.com/jobs/view/4366631816", "https://www.linkedin.com/jobs/view/4366631816")</f>
        <v/>
      </c>
      <c r="F193" t="inlineStr"/>
      <c r="G193" t="inlineStr">
        <is>
          <t>Los Angeles, CA</t>
        </is>
      </c>
      <c r="H193" t="inlineStr"/>
      <c r="I193" t="inlineStr">
        <is>
          <t>**Overview**
**At MoFo, we couldn’t write our own success story without yours.** 
**Ready to write your story?**
 Join MoFo as a
 **INFORMATION SECURITY PORTFOLIO \&amp; PRODUCT MANAGER** 
 on our Information Technology team!
 This role can be based in San Francisco, Palo Alto, Los Angeles, San Diego, Denver, Austin, Boston, New York, or Washington, D.C.
 https://www.mofo.com/offices
**About The Role**
 The Information Security Portfolio \&amp; Product Manager is responsible for the execution, governance, and delivery of the Information Security portfolio in alignment with firm priorities and Information Security objectives. This role ensures that security initiatives, regulatory commitments, and risk\-reduction capabilities are appropriately prioritized, resourced, and delivered. The position partners with security product owners and engineering leads to ensure roadmaps are executable, aligned, and sustainably supported, while ensuring high levels of client service and satisfaction across all areas of responsibility.
 Information Security Portfolio \&amp; Delivery Governance
* Own the security portfolio operating model, including roadmap, prioritization, sequencing, and execution tracking.
* Translate strategy, risk, audit, and regulatory requirements into delivered security capabilities.
* Govern security initiatives, products, and platforms to align delivery with firm risk tolerance and leadership expectations.
 Execution, Capacity \&amp; Risk Management
* Accountable for delivery of complex, cross\-functional security initiatives.
* Monitor execution health, dependencies, milestones, and risks; intervene to prevent audit, client, or regulatory escalations.
* Manage capacity, enforce priorities, and surface trade\-offs and resourcing decisions.
 Audit, Regulatory \&amp; Stakeholder Enablement
* Coordinate security delivery for audits, regulatory obligations, and client reviews.
* Partner with Legal, Privacy, Risk, and Compliance to execute requirements.
* Provide executive reporting, decision support, and timely issue escalation; represent Information Security in operational forums.
**About You**
* Bachelor’s degree required; advanced degree preferred.
* 10\+ years of leadership experience in security products, platforms, and capabilities within regulated, professional services, or complex enterprise environments.
* Proven delivery of large\-scale security, risk, and regulatory initiatives.
* Deep expertise across core information security domains, including governance, risk, compliance, incident response, security engineering, and data protection.
**About Mofo**
 At MoFo, we collaborate as one firm, across borders, practice areas, and business functions and value fresh ideas and innovation over conformity and competition.
* About Us: https://www.mofo.com/about
* Inclusion \+ Engagement: https://www.mofo.com/community/we\-at\-mofo
* Commitment to Pro Bono: https://careers.mofo.com/careers\-pro\-bono
* The MoFo Foundation: https://www.mofo.com/culture/mofo\-foundation
**About Our Benefits**
 MoFo offers a comprehensive benefits package starting on your first day.
* A variety of options for medical, dental, vision, life and disability coverage to meet the needs of you and your family.
* Industry\-leading parental leave and family benefits including adoption and fertility treatment options and backup child and elder care.
* Global wellness program, including free access to Talkspace and Calm apps.
* Annual community service day to make an impact on your community and a birthday holiday just for fun.
* Education reimbursement annually.
* Dedicated Talent Development team.
* Competitive annual profit\-sharing contribution.
*Where required by law, salary ranges are stated below. Additional compensation may include a discretionary bonus, overtime as applicable, health/welfare benefits, retirement contributions, paid holidays, and PTO. The range displayed is specifically for positions performed in those cities/states and may vary based on factors including but not limited to the following: local market data and ranges; an applicant's skills and prior relevant experience; and certain degrees, licensing, and certifications. The application deadline is* 
*July 27, 2026\.*
*New York, San Francisco, Palo Alto salary range: $152k to $212k*
*Los Angeles, San Diego, Boston, Washington, D.C. salary range: $144k to $202k*
*Denver salary range: $135k to $189k*
 For questions regarding this position, please e\-mail jobs@mofo.com</t>
        </is>
      </c>
    </row>
    <row r="194">
      <c r="A194" t="inlineStr">
        <is>
          <t>li-4371599162</t>
        </is>
      </c>
      <c r="B194" t="inlineStr">
        <is>
          <t>Senior Program Manager, Strategy and Operations, Data Center Operations</t>
        </is>
      </c>
      <c r="C194" t="inlineStr">
        <is>
          <t>Google</t>
        </is>
      </c>
      <c r="D194" t="inlineStr">
        <is>
          <t>linkedin</t>
        </is>
      </c>
      <c r="E194">
        <f>HYPERLINK("https://www.linkedin.com/jobs/view/4371599162", "https://www.linkedin.com/jobs/view/4371599162")</f>
        <v/>
      </c>
      <c r="F194" t="inlineStr"/>
      <c r="G194" t="inlineStr">
        <is>
          <t>New York, NY</t>
        </is>
      </c>
      <c r="H194" t="inlineStr"/>
      <c r="I194" t="inlineStr">
        <is>
          <t>Applicants in San Francisco: Qualified applications with arrest or conviction records will be considered for employment in accordance with the San Francisco Fair Chance Ordinance for Employers and the California Fair Chance Act.
 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Kirkland, WA, USA; New York, NY, USA; Seattle, WA, USA; San Francisco, CA, USA** 
 .
 **Minimum qualifications:**
* Bachelor's degree or equivalent practical experience.
* 8 years of experience in program or project management.
* Experience managing programs and processes across distributed systems.
* Experience building and driving executive and C\-level stakeholder relationships and initiatives cross\-functionally across all levels of an organization.
**Preferred qualifications:**
* Master’s degree, further education or equivalent experience in Business, Finance, Engineering, or other technical related field.
* Experience with data center operations, hyperscale systems, infrastructure projects in the tech industry, or consulting.
* Experience with organizational design, change management frameworks, and leading planning cycles for large\-scale organizations.
* Experience with fiscal management including annual budgeting, capital expenditure, and operational expenditure planning.
* Experience communicating technical concepts to non\-technical audiences.
* Ability to travel up to 30% to regional sites to oversee project lifecycles, implement scalable strategies, and drive optimization.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Senior Program Manager, you will drive the efficient delivery of Google’s data center portfolio through the organization of data, implementation of scalable processes, and the use of professional tools. You'll lead, collaborate, negotiate, and communicate to identify areas for improvement, develop plans and processes, and execute changes. You'll manage project budgets and schedules, identify risks, and clearly communicate them to project stakeholders. You will also support decision making analysis, using objective data to support recommendations that are in line with Google’s goals.
 In this role, you will drive multiple strategic programs and business operations for the Google Data Centers (GDC) organization and Data Center Operations (DCOps). You'll solve ambiguous cross\-functional challenges, ensuring alignment of senior stakeholders, and delivering downstream change management to drive business, strategic, and operational improvements. You'll act as a critical liaison between teams within and outside of GDC.
 You'll focus on strategies and operations to advance GDC’s short\-term and long\-term goals, and translate ambiguous goals into clear, measurable objectives that drive consistency and efficiency across the organization.
 Google Cloud accelerates every organization’s ability to digitally transform its business and industry. We deliver enterprise\-grade solutions that leverage Google’s cutting\-edge technology, and tools that help developers build more sustainably. Customers in more than 200 countries and territories turn to Google Cloud as their trusted partner to enable growth and solve their most critical business problems.
 The US base salary range for this full\-time position is $174,000\-$258,000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the organizational pulse by curating executive staff meeting agendas and synthesizing complex data into narratives for monthly and quarterly business reviews to accelerate scalable decision\-making.
* Lead annual and quarterly planning cycles to set and align OKRs/KPIs with company and product area strategy, while managing headcount allocation and fiscal health, including CapEx and OpEx planning.
* Design and execute change management strategies for major organizational shifts and draft high\-stakes executive communications, including memos and presentations for internal and external audiences.
* Establish and track key performance indicators through automated dashboards and ad\-hoc deep dives to provide insights into organizational efficiency, optimization, and opportunities to scale.
* Lead high\-priority, ambiguous strategic projects and manage complex dependencies between the Google Data Centers organization and cross\-functional partners such as Engineering, Finance, etc.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195">
      <c r="A195" t="inlineStr">
        <is>
          <t>li-4363243697</t>
        </is>
      </c>
      <c r="B195" t="inlineStr">
        <is>
          <t>Senior Technical Program Manager – Commercial Cloud, Cybersecurity, &amp; AI</t>
        </is>
      </c>
      <c r="C195" t="inlineStr">
        <is>
          <t>The Aerospace Corporation</t>
        </is>
      </c>
      <c r="D195" t="inlineStr">
        <is>
          <t>linkedin</t>
        </is>
      </c>
      <c r="E195">
        <f>HYPERLINK("https://www.linkedin.com/jobs/view/4363243697", "https://www.linkedin.com/jobs/view/4363243697")</f>
        <v/>
      </c>
      <c r="F195" t="inlineStr"/>
      <c r="G195" t="inlineStr">
        <is>
          <t>El Segundo, CA</t>
        </is>
      </c>
      <c r="H195" t="inlineStr"/>
      <c r="I195"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(AI), process improvement, and software development to deliver responsive, resilient, high\-performance software intensive systems to our Intelligence Community, DoD, and civilian customers.
 The Cloud Platforms \&amp; Architectures Department (CPAD) is the center\-of\-excellence for cloud computing and cloud\-related technologies within The Aerospace Corporation. CPAD’s overall goal is to stay at the forefront of cloud technology to enable our customers to effectively leverage it to fulfill their space mission needs. CPAD works with commercial cloud, cyber, and AI vendors to help our government customers understand how cutting\-edge technologies can best be applied to pioneering space missions. We are looking for a Senior Technical Program Manager
 **(Senior Project Leader, Software Architecture Engineering \&amp; Cloud Computing Architecture)** 
 to lead engagements with these mission owners and technology vendors, helping bring together stakeholders from across the tech industry to help the government more rapidly adopt cloud, cyber, and AI solutions. This role will provide corporate cloud, cyber, and AI leadership to develop and sustain a vision for increased engagements between cutting\-edge commercial technology vendors and government space missions.
 This is a fulltime position that can be based in El Segundo, CA, Colorado Springs, CO or Chantilly Va which requires 100% onsite work.
**What You’ll Be Doing**
* Own the strategy, planning, and execution for engagements between The Aerospace Corporation, government customers, and commercial cloud, cyber, and AI technology vendors.
* Work with senior leaders from Aerospace, government, and commercial partners to influence space missions and build new partnerships.
* Collaborate with cloud, cyber, and AI experts and leadership across departments to build cross\-functional technical teams to achieve project goals.
* Lead teams researching cutting edge cloud, cyber, and AI technologies and developing prototypes to demonstrate and benchmark their capabilities for government space missions.
* Lead deep technical discussions with government customers and cloud, cyber, and AI vendors to ensure solutions are designed for successful deployment in cloud.
* Work across corporate stakeholders to assess cloud environment needs for commercial cloud, cyber, and AI research and prototyping.
* Collaborate with mission owners to integrate space\-based platforms (e.g., small satellites) into cloud, cyber, and AI research and prototyping environments.
* Create and deliver presentations to internal teams, executives, and external stakeholders.
**What You Need to be Successful – Senior Project Leader – Cloud Computing Architecture**
**Minimum Requirements**
* Bachelor’s degree in Computer Science, software engineering, or a related STEM field.
* At least 12 years of experience working with software, IT systems, and related technologies.
* At least 5 years of experience working with cloud, cybersecurity, and AI systems.
* Proven track record of leading engineering teams, coordinating complex technical tasks among team members, and translating customer needs into viable instructions for engineers.
* Demonstrated ability to initiate and complete tasks, learn new technical approaches, and interact effectively with a broad range of organizations.
* Successful history of promoting positive team dynamics, mentoring team members, and working effectively with multidisciplinary teams.
* In depth knowledge of project management disciplines including scope, schedule, budget, quality, roadmaps, and risk management.
* In depth knowledge and hands on experience with at least one public cloud vendor (e.g., Amazon Web Services, Microsoft Azure, Google Cloud Platform).
* Experience in designing, developing, implementing, operating, and evolving cloud, cyber, and AI systems to support customers.
* Willing to travel domestically to work locations, customer sites, and conferences up to 25%, if required.
* This position requires ability to obtain and maintain a security clearance, which is issued by the U.S. government. U.S. citizenship is required to obtain a security clearance.
**How You Can Stand Out**
*It would be impressive if you have one or more of these:*
* Advanced degree in Computer Science or a related STEM field.
* Certifications related to cloud computing (e.g., AWS Solutions Architect, Azure Solutions Architect, Google Cloud Engineer).
* Certifications related to cybersecurity (e.g., Security\+, CISSP).
* Knowledge of government technology acquisition processes.
* Knowledge of commercial technology vendor product lifecycles.
* Familiarity with satellite and ground systems architectures.
* Active security clearance issued by the U.S. Government.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$171,400\.00 \- $257,100\.00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196">
      <c r="A196" t="inlineStr">
        <is>
          <t>li-4363233758</t>
        </is>
      </c>
      <c r="B196" t="inlineStr">
        <is>
          <t>Senior Technical Program Manager – Commercial Cloud, Cybersecurity, &amp; AI</t>
        </is>
      </c>
      <c r="C196" t="inlineStr">
        <is>
          <t>The Aerospace Corporation</t>
        </is>
      </c>
      <c r="D196" t="inlineStr">
        <is>
          <t>linkedin</t>
        </is>
      </c>
      <c r="E196">
        <f>HYPERLINK("https://www.linkedin.com/jobs/view/4363233758", "https://www.linkedin.com/jobs/view/4363233758")</f>
        <v/>
      </c>
      <c r="F196">
        <f>HYPERLINK("https://aero.wd5.myworkdayjobs.com/External/job/El-Segundo-CA/Senior-Technical-Program-Manager\u002d\u002d-Commercial-Cloud\u002d\u002dCybersecurity\u002d\u002d\u002d\u002dAI_R014529?source=LinkedIn&amp;urlHash=lQp7", "https://aero.wd5.myworkdayjobs.com/External/job/El-Segundo-CA/Senior-Technical-Program-Manager\u002d\u002d-Commercial-Cloud\u002d\u002dCybersecurity\u002d\u002d\u002d\u002dAI_R014529?source=LinkedIn&amp;urlHash=lQp7")</f>
        <v/>
      </c>
      <c r="G196" t="inlineStr">
        <is>
          <t>Colorado Springs, CO</t>
        </is>
      </c>
      <c r="H196" t="inlineStr"/>
      <c r="I196" t="inlineStr">
        <is>
          <t>The Aerospace Corporation is the trusted partner to the nation’s space programs, solving the hardest problems and providing unmatched technical expertise. As the operator of a federally funded research and development center (FFRDC), we are broadly engaged across all aspects of space— delivering innovative solutions that span satellite, launch, ground, and cyber systems for defense, civil and commercial customers. When you join our team, you’ll be part of a special collection of problem solvers, thought leaders, and innovators. Join us and take your place in space.
 Information Systems and Cyber Division (ISCD) staff couple the latest in information system technologies, such as elastic compute clouds, containerization, microservices, real\-time operating systems, and visualization frameworks, with expertise in cyber security, software architecture, software engineering, data science, Artificial Intelligence (AI), process improvement, and software development to deliver responsive, resilient, high\-performance software intensive systems to our Intelligence Community, DoD, and civilian customers.
 The Cloud Platforms \&amp; Architectures Department (CPAD) is the center\-of\-excellence for cloud computing and cloud\-related technologies within The Aerospace Corporation. CPAD’s overall goal is to stay at the forefront of cloud technology to enable our customers to effectively leverage it to fulfill their space mission needs. CPAD works with commercial cloud, cyber, and AI vendors to help our government customers understand how cutting\-edge technologies can best be applied to pioneering space missions. We are looking for a Senior Technical Program Manager
 **(Senior Project Leader, Software Architecture Engineering \&amp; Cloud Computing Architecture)** 
 to lead engagements with these mission owners and technology vendors, helping bring together stakeholders from across the tech industry to help the government more rapidly adopt cloud, cyber, and AI solutions. This role will provide corporate cloud, cyber, and AI leadership to develop and sustain a vision for increased engagements between cutting\-edge commercial technology vendors and government space missions.
 This is a fulltime position that can be based in El Segundo, CA, Colorado Springs, CO or Chantilly Va which requires 100% onsite work.
**What You’ll Be Doing**
* Own the strategy, planning, and execution for engagements between The Aerospace Corporation, government customers, and commercial cloud, cyber, and AI technology vendors.
* Work with senior leaders from Aerospace, government, and commercial partners to influence space missions and build new partnerships.
* Collaborate with cloud, cyber, and AI experts and leadership across departments to build cross\-functional technical teams to achieve project goals.
* Lead teams researching cutting edge cloud, cyber, and AI technologies and developing prototypes to demonstrate and benchmark their capabilities for government space missions.
* Lead deep technical discussions with government customers and cloud, cyber, and AI vendors to ensure solutions are designed for successful deployment in cloud.
* Work across corporate stakeholders to assess cloud environment needs for commercial cloud, cyber, and AI research and prototyping.
* Collaborate with mission owners to integrate space\-based platforms (e.g., small satellites) into cloud, cyber, and AI research and prototyping environments.
* Create and deliver presentations to internal teams, executives, and external stakeholders.
**What You Need to be Successful – Senior Project Leader – Cloud Computing Architecture**
**Minimum Requirements**
* Bachelor’s degree in Computer Science, software engineering, or a related STEM field.
* At least 12 years of experience working with software, IT systems, and related technologies.
* At least 5 years of experience working with cloud, cybersecurity, and AI systems.
* Proven track record of leading engineering teams, coordinating complex technical tasks among team members, and translating customer needs into viable instructions for engineers.
* Demonstrated ability to initiate and complete tasks, learn new technical approaches, and interact effectively with a broad range of organizations.
* Successful history of promoting positive team dynamics, mentoring team members, and working effectively with multidisciplinary teams.
* In depth knowledge of project management disciplines including scope, schedule, budget, quality, roadmaps, and risk management.
* In depth knowledge and hands on experience with at least one public cloud vendor (e.g., Amazon Web Services, Microsoft Azure, Google Cloud Platform).
* Experience in designing, developing, implementing, operating, and evolving cloud, cyber, and AI systems to support customers.
* Willing to travel domestically to work locations, customer sites, and conferences up to 25%, if required.
* This position requires ability to obtain and maintain a security clearance, which is issued by the U.S. government. U.S. citizenship is required to obtain a security clearance.
**How You Can Stand Out**
*It would be impressive if you have one or more of these:*
* Advanced degree in Computer Science or a related STEM field.
* Certifications related to cloud computing (e.g., AWS Solutions Architect, Azure Solutions Architect, Google Cloud Engineer).
* Certifications related to cybersecurity (e.g., Security\+, CISSP).
* Knowledge of government technology acquisition processes.
* Knowledge of commercial technology vendor product lifecycles.
* Familiarity with satellite and ground systems architectures.
* Active security clearance issued by the U.S. Government.
 We offer a competitive compensation package where you’ll be rewarded based on your performance and recognized for the value you bring to our business. The grade\-based pay range for this job is listed below. Individual salaries within that range are determined through a wide variety of factors including but not limited to education, experience, knowledge and skills.
 (Min \- Max)
 $171,400\.00 \- $257,100\.00
 Pay Basis: Annual
**Leadership Competencies**
 Our leadership philosophy is simple: every employee, regardless of level and role, can demonstrate leadership. At Aerospace, our commitment is our people. To cultivate our talent and ensure that we have a strong pipeline of future leaders, we want individuals who:
* Operate Strategically
* Lead Change
* Engage with Impact
* Foster Innovation
* Deliver Results
**Ways We Reward Our Employees**
 During your interview process, our team will provide details of our industry\-leading benefits.
 Benefits vary and are applicable based on Job Type.
 *A few highlights include:*
* Comprehensive health care and wellness plans
* Paid holidays, sick time, and vacation
* Standard and alternate work schedules, including telework options
* 401(k) Plan — Employees receive a total company\-paid benefit of 8%, 10%, or 12% of eligible compensation based on years of service and matching contributions; employees are immediately eligible and vested in the plan upon hire
* Flexible spending accounts
* Variable pay program for exceptional contributions
* Relocation assistance
* Professional growth and development programs to help advance your career
* Education assistance programs
* An inclusive work environment built on teamwork, flexibility, and respect
 We are all unique, from various backgrounds and all walks of life, yet one thing bonds all of us to each other—the belief that we can make a difference. This core belief empowers us to do our best work at The Aerospace Corporation.
**Equal Opportunity Commitment**
 The Aerospace Corporation is an equal opportunity employer. All qualified applicants will receive consideration for employment and will not be discriminated against on the basis of race, age, sex (including pregnancy, childbirth, and related medical conditions), sexual orientation, gender, gender identity or expression, color, religion, genetic information, marital status, ancestry, national origin, protected veteran status, physical disability, medical condition, mental disability, or disability status and any other characteristic protected by state or federal law. If you’re an individual with a disability or a disabled veteran who needs assistance using our online job search and application tools or need reasonable accommodation to complete the job application process, please contact us by phone at 310\.336\.5432 or by email at peoplemangmnt.mailbox@aero.org . You can also review Know Your Rights: Workplace Discrimination is Illegal.</t>
        </is>
      </c>
    </row>
    <row r="197">
      <c r="A197" t="inlineStr">
        <is>
          <t>li-4372199983</t>
        </is>
      </c>
      <c r="B197" t="inlineStr">
        <is>
          <t>Sr. Technical Product Manager, ServiceNow Incident, Request, and Change Management, Ignition Product Management (IPM)</t>
        </is>
      </c>
      <c r="C197" t="inlineStr">
        <is>
          <t>Amazon</t>
        </is>
      </c>
      <c r="D197" t="inlineStr">
        <is>
          <t>linkedin</t>
        </is>
      </c>
      <c r="E197">
        <f>HYPERLINK("https://www.linkedin.com/jobs/view/4372199983", "https://www.linkedin.com/jobs/view/4372199983")</f>
        <v/>
      </c>
      <c r="F197" t="inlineStr"/>
      <c r="G197" t="inlineStr">
        <is>
          <t>Austin, TX</t>
        </is>
      </c>
      <c r="H197" t="inlineStr"/>
      <c r="I197" t="inlineStr">
        <is>
          <t>**Description**
 We are looking for a Senior Technical Product Manager to own and evolve how IT operators work inside ServiceNow. This role is responsible for defining and delivering the Incident, Request, and Change Management experience used daily by IT Operations, Engineering, and Service Desk teams across the organization.
 You will identify where current processes and tools create friction, translate those gaps into clear business requirements, and deliver practical solutions in ServiceNow that improve operator efficiency, consistency, and visibility. You will own the product roadmap for these capabilities, drive hands\-on implementation, and partner closely with stakeholders to standardize how support work is performed at scale.
 This role requires someone who understands both IT operations and the ServiceNow platform deeply enough to bridge process, technology, and user experience. A strong emphasis on automation, platform optimization, and emerging AI capabilities within ServiceNow will be key to scaling support without scaling effort.
 What you’ll do
* Own the product strategy and roadmap for Incident, Request, and Change Management in ServiceNow
* Partner with IT Operations, Engineering, and Service Desk leaders to identify pain points and define requirements
* Design and implement process and technical solutions that improve operator experience and consistency
* Drive standardization of support workflows across teams and domains
* Leverage automation and AI capabilities in ServiceNow to improve efficiency and scale
* Act as the connective tissue between operations, engineering, and platform teams
 What we’re looking for
* Deep hands\-on experience with ServiceNow ITSM modules, especially Incident, Request, and Change
* Strong understanding of ITIL and large\-scale Service Desk / Service Operations environments
* Experience supporting infrastructure domains such as Networking, AV, and core IT systems
* Ability to translate operational pain into clear product requirements and delivered solutions
* Comfortable working with senior stakeholders and driving alignment across teams
* Passion for consistency, usability, and continuous improvement of operator tooling\*\*
 Key job responsibilities
* Own the product vision and roadmap for Incident, Request, and Change Management in ServiceNow, focused on improving how IT operators work day to day
* Translate operational pain points into clear requirements and delivered solutions that simplify workflows and create a single source of truth for support work
* Partner with IT Operations, Engineering, and Service Desk leaders to align priorities and drive adoption of consistent practices across teams and regions
* Lead end\-to\-end delivery of enhancements from requirements through implementation, ensuring solutions are practical, scalable, and measurable
* Establish and evolve best practices for incident detection, request fulfillment, and change execution to reduce friction for operators and customers
* Define KPIs, dashboards, and reporting that provide visibility into performance and guide continuous improvement
* Drive integration with other tools and systems to create a seamless support ecosystem
* Leverage automation and emerging AI capabilities within ServiceNow to increase efficiency without increasing effort
* Serve as the subject matter expert for Incident, Request, and Change within ServiceNow, influencing stakeholders and guiding teams as the platform evolves
**About The Team**
 The Ignition team is part of Amazon IT Products and Development (PnD) and owns the core IT service management capabilities that support Amazon’s global IT operations. We are responsible for process excellence and platform delivery for Amazon IT’s primary ITSM platform, ServiceNow. Partnering across Global Service Desk, IT Service Operations, the NOC, Asset Management, Security, and shared services, we define and operate the foundational ITIL processes, incident, problem, change, event, and knowledge management. Our work enables a consistent worldwide support experience and improves visibility into the health of Amazon’s corporate IT infrastructure.
**Basic Qualifications**
* Experience owning/driving roadmap strategy and definition
* Experience with feature delivery and tradeoffs of a product
* Experience contributing to engineering discussions around technology decisions and strategy related to a product
* Experience managing technical products or online services
* Experience in representing and advocating for a variety of critical customers and stakeholders during executive\-level prioritization and planning
* Bachelor's degree in computer science, engineering, mathematics or equivalent, or 5\+ years of Information Technology (IT) experience
* 7\+ years of program management, project management or product management experience
* 3\+ years of experience supporting corporate IT or data center infrastructure operations, including incident and major incident management.
* Deep hands\-on experience with ServiceNow in an enterprise environment, including ITSM, Incident, Request, Change, and Service Catalog capabilities; ITIL v3/v4 certified.
* Strong understanding of enterprise change management, including CAB operations, impact and conflict assessment, and change governance.
**Preferred Qualifications**
* Experience in building and driving adoption of new tools
* PMP Certification or equivalent.
* Process improvement skills. (Lean, Kaizen, Gemba)
* Agile SAFe Certifications.
* ServiceNow System Administrator Certified.
* ServiceNow Performance Analytics (PA) Essentials.
* ServiceNow Certified Implementation Specialist\- IT Service Management.
* Proficiency with ServiceNow Performance Analytics, SQL, QuickSight, Tableau and other database and analytics/reporting tools.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\- 151,200\.00 \- 204,600\.00 USD annually
 USA, WA, Seattle \- 151,200\.00 \- 204,600\.00 USD annually
**Company** 
 \- Amazon.com Services LLC
 Job ID: A3180211</t>
        </is>
      </c>
    </row>
    <row r="198">
      <c r="A198" t="inlineStr">
        <is>
          <t>li-4369696118</t>
        </is>
      </c>
      <c r="B198" t="inlineStr">
        <is>
          <t>Program Manager- (Quality Management) On Site- Westbrook, Maine</t>
        </is>
      </c>
      <c r="C198" t="inlineStr">
        <is>
          <t>Abbott</t>
        </is>
      </c>
      <c r="D198" t="inlineStr">
        <is>
          <t>linkedin</t>
        </is>
      </c>
      <c r="E198">
        <f>HYPERLINK("https://www.linkedin.com/jobs/view/4369696118", "https://www.linkedin.com/jobs/view/4369696118")</f>
        <v/>
      </c>
      <c r="F198" t="inlineStr"/>
      <c r="G198" t="inlineStr">
        <is>
          <t>Westbrook, ME</t>
        </is>
      </c>
      <c r="H198" t="inlineStr"/>
      <c r="I198" t="inlineStr">
        <is>
          <t>Abbott is a global healthcare leader that helps people live more fully at all stages of life. Our portfolio of life\-changing technologies spans the spectrum of healthcare, with leading businesses and products in diagnostics, medical devices, nutritionals and branded generic medicines. Our 114,000 colleagues serve people in more than 160 countries.
**Job Title : Program Manager**
**Working at Abbott**
 At Abbott, you can do work that matters, grow, and learn, care for yourself and your family, be your true self, and live a full life. You’ll also have access to :
* Career development with an international company where you can grow the career you dream of.
* Employees can qualify for free medical coverage in our Health Investment Plan (HIP) PPO medical plan in the next calendar year.
* An excellent retirement savings plan with a high employer contribution.
* Tuition reimbursement, the Freedom 2 Save student debt program, and FreeU education benefit \- an affordable and convenient path to getting a bachelor’s degree.
* A company recognized as a great place to work in dozens of countries worldwide and named one of the most admired companies in the world by Fortune.
* A company that is recognized as one of the best big companies to work for as well as the best place to work for diversity, working mothers, female executives, and scientists.
**The Opportunity**
 The position of
 **Program Manager** 
 is within our
 **Infectious Diseases** 
 business unit located
 **On Site** 
 in
 **Westbrook, Maine** 
 . We’re empowering smarter medical and economic decision\-making to help transform the way people manage their health at all stages of life. Every day, more than 10 million tests are run on Abbott’s diagnostics instruments, providing lab results for millions of people.
 In this role, you will manage all aspects of a large scale and complex project, from start to finish, so that it is completed on time and within budget.
 This role reports into the Program Management Office, and has a focus on
 *Quality Affairs projects* 
 , including leading cross\-functional teams to design and implement large scale program strategies to support platform level initiatives.
 *The expectations are the person hired will have multiple years of experience in collaborating and influencing Quality Management System Execution in a past role.*
**What You’ll Work On**
* Design, communicate, and implement a strategic execution plan for completing a project; monitor progress and performance against the project plan; resolve problems, minimize delays.
* Identify, develop, and gather necessary resources to complete the project.
* Prepare designs and work specifications; develop schedules, budgets and forecasts; select materials, equipment, project staff, and contractors.
* Estimate costs, resources, and time required to complete.
* Monitor activities, allocate resources, and assign tasks to ensure targets are met.
* Liaise with other areas in the organization to secure specialized resources and contributions for the programs/projects.
* Conduct project meetings and prepare reports to communicate the status of the project within and beyond the project team.
* Coach and mentor project staff and assist them to solve problems.
**Required Qualifications**
* Bachelor’s degree in Engineering, Sciences or related field.
* 6 or more years of end\-to\-end program management experience in new product development within a diagnostic, or medical device/biomedical company.
* Demonstrated experience collaborating with project stakeholders (client and internal), end\-users, business partners, and technical team members to ensure proper systems and plan alignment.
* Strong verbal and written communication skills with ability to effectively communicate with multiple levels in the organization
* Previous experience working in a matrixed and geographically diverse business environment
* MS Office (Word, Excel, Outlook), Smartsheet, and Visual Program Management (VPM) experience.
* Ability to travel for the role as needed up to 20% including internationally.
**Preferred**
* Experience managing multiple quality program workstreams across hardware, software, consumables, and assay teams in a complex NPI environment.
* Direct experience in point of care and IVD products.
* Program/Project Management certification.
* Additional cross\-functional experience in the areas of R\&amp;D, Manufacturing, Operations, Commercial, Clinical, Regulatory, and Quality.
* Working knowledge of FDA 510(k), CLIA waived and EU IVDR regulatory requirements.
* At least 10\+ years of working in Medical Device or similar company environment.
* Agile Methodologies, Waterfall, Kanban, Six Sigma and other project management theories and certifications/understandings are a plus!
**Apply Now**
**Learn more about our health and wellness benefits, which provide the security to help you and your family live full lives :** 
 https ://abbottbenefits.com/
 Follow your career aspirations to Abbott for diverse opportunities with a company that can help you build your future and live your best life. Abbott is an Equal Opportunity Employer, committed to employee diversity.
 Connect with us at abbott.com, on LinkedIn at https ://www.linkedin.com/company/abbott\-/, and on Facebook at https ://www.facebook.com/AbbottCareers.
 The base pay for this position is $99,300\.00 – $198,700\.00\. In specific locations, the pay range may vary from the range posted.</t>
        </is>
      </c>
    </row>
    <row r="199">
      <c r="A199" t="inlineStr">
        <is>
          <t>li-4362635038</t>
        </is>
      </c>
      <c r="B199" t="inlineStr">
        <is>
          <t>Program Manager II, Investment Governance and Analytics, Cloud Networking</t>
        </is>
      </c>
      <c r="C199" t="inlineStr">
        <is>
          <t>Google</t>
        </is>
      </c>
      <c r="D199" t="inlineStr">
        <is>
          <t>linkedin</t>
        </is>
      </c>
      <c r="E199">
        <f>HYPERLINK("https://www.linkedin.com/jobs/view/4362635038", "https://www.linkedin.com/jobs/view/4362635038")</f>
        <v/>
      </c>
      <c r="F199" t="inlineStr"/>
      <c r="G199" t="inlineStr">
        <is>
          <t>Austin, TX</t>
        </is>
      </c>
      <c r="H199" t="inlineStr"/>
      <c r="I199" t="inlineStr">
        <is>
          <t>The application window will be open until at least January 29th, 2026\. This opportunity will remain online based on business needs which may be before or after the specified date.
 Note: By applying to this position you will have an opportunity to share your preferred working location from the following:
 **Thornton, CO, USA; Atlanta, GA, USA; Austin, TX, USA; Addison, TX, USA** 
 .
 **Minimum qualifications:**
* Bachelor's degree or equivalent practical experience.
* 2 years of experience in program or project management.
* Experience in financial reporting and modeling (ex. organizing data sets into financial summaries, CapEx/OpEx tracking, investment forecasting, etc.).
* Experience working with networking or infrastructure teams (ex. cloud infrastructure, terrestrial networking, submarine cable systems, etc.).
**Preferred qualifications:**
* 2 years of experience managing cross\-functional or cross\-team projects.
* Experience influencing cross\-functional stakeholders (e.g., Engineering, Finance, Legal) to establish governance frameworks or optimize business processes.
* Experience managing global infrastructure programs with a focus on data center assets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Program Manager within the Investment Governance and Analytics team, you will be instrumental in managing the planning, acquisition, and delivery of critical infrastructure assets that enable and connect Google's Data Centers to users worldwide. This role involves strategic business planning, budgeting, and investment analysis for a global infrastructure portfolio. You will collaborate with various teams to establish robust governance processes, optimize resource allocation, ensure tax compliance, and provide data\-driven insights for financial decisions.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$126,000\-$181,000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Drive financial governance across the governance investment and analytics organization, including analysis of submarine cables, network assets, and cable landing stations.
* Deliver forecasts of capital and operating expenses at quarterly intervals in partnership with business leads, budget owners, and the finance organization.
* Analyze and organize large data sets and reports into clear and succinct summaries that drive critical business decisions.
* Develop financial models and analyze them to support defined strategic initiatives.
* Serve as the primary liaison and central point of contact for various cross\-functional partners including Engineering, Product Management, Finance, Sales, Legal, and Operations.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0">
      <c r="A200" t="inlineStr">
        <is>
          <t>li-4371700155</t>
        </is>
      </c>
      <c r="B200" t="inlineStr">
        <is>
          <t>Program Manager, Enterprise Program Management</t>
        </is>
      </c>
      <c r="C200" t="inlineStr">
        <is>
          <t>Insperity</t>
        </is>
      </c>
      <c r="D200" t="inlineStr">
        <is>
          <t>linkedin</t>
        </is>
      </c>
      <c r="E200">
        <f>HYPERLINK("https://www.linkedin.com/jobs/view/4371700155", "https://www.linkedin.com/jobs/view/4371700155")</f>
        <v/>
      </c>
      <c r="F200" t="inlineStr"/>
      <c r="G200" t="inlineStr">
        <is>
          <t>Houston, TX</t>
        </is>
      </c>
      <c r="H200" t="inlineStr"/>
      <c r="I200" t="inlineStr">
        <is>
          <t>**Insperity** 
 provides the most comprehensive suite of scalable HR solutions available in the marketplace with an optimal blend of premium HR service and technology. With more than 90 locations throughout the U.S., Insperity is currently making a difference for thousands of businesses and communities nationwide.
 Behind our success is the unshakeable belief in the value of our people. We value diversity, inclusivity and a sense of belonging. We celebrate work and life events, and we partner with our clients and communities to make great things happen.
 We have received recognition numerous times as a top place to work, most recently ranking on Glassdoor’s “Best Places to Work in the U.S. 2024” list, and U.S. News \&amp; World Report’s “Best Companies to Work for 2024” list. In addition, we have been recognized for having one of the country’s Top 50 Midsize Early Talent Programs by RippleMatch’s 2024 Campus Forward Awards. There is no better time to be a part of Insperity, and our best work is yet to come. Learn more at Insperity.com.
**Why Insperity?**
**Flexibility:** 
 Over 80% of Insperity’s jobs have flexibility. We want your time to have balance, whether it’s spent with coworkers, clients, family or your community.
**Career Growth:** 
 Insperity provides many ways to grow with the company. We offer continuous learning programs, mentorship opportunities and ongoing training.
**Well\-Being:** 
 Our total rewards package includes generous paid time off, top\-tier medical, dental and vision benefits, health \&amp; wellness support, paid volunteer hours and much more. We take care of our people so that you can do your best work.
**Essential Functions**
* Leads scope definition, roadmap creation and monitoring of projects within a program portfolio, ensuring alignment with strategic objectives and goals.
* Educates stakeholders and identifies change agents to champion the strategic program objectives and business outcomes to foster alignment and engagement.
* Manages project scope, change requests, stakeholder expectations, and facilitates decision\-making to resolve conflicts and maintain project alignment.
* Establishes and maintains strong relationships with key stakeholders, including sponsors, customers, vendors, and internal teams to foster collaboration and support program initiatives.
* Facilitates the creation of OKRs, KPIs, and financial metrics, to measure program performance and provide regular updates to senior management and other stakeholders.
* Identifies program risks, gaps and barriers to execution efficiency and provides visibility and mitigation strategies to senior management and other stakeholders.
* Navigates dependencies between cross\-functional teams and organization priorities.
* Influences and proactively coordinates communication of plan progress with regular status updates to business leaders and project team members.
* Provides a consistent and exemplary internal and external experience across departments and external vendors with a results\-driven approach and balanced emphasis on culture development, customer\-centricity, communication planning, change management and informed decision making.
* Provides guidance on program management and best practices.
**Education / Experience Requirements**
* Bachelor’s Degree in business administration, project management, or related field required.
* Five to seven years in program management, change management, business transformation or project management is required. Knowledge of the PEO industry, HR/Payroll domain and or HCM technology is desirable.
 This job specification should not be construed to imply that these requirements are the exclusive standards of the position. Incumbent will follow any other instructions, and perform any other related duties, as may be required by the supervisor.
*At Insperity, we celebrate the diversity of our employees and our leadership. Insperity is an equal opportunity employer, and all qualified applicants will receive consideration for employment without regard to race, color, religion, sex, national origin, disability status, protected veteran status or any other characteristic protected by law.*</t>
        </is>
      </c>
    </row>
    <row r="201">
      <c r="A201" t="inlineStr">
        <is>
          <t>li-4372212065</t>
        </is>
      </c>
      <c r="B201" t="inlineStr">
        <is>
          <t>Space Training Program Manager</t>
        </is>
      </c>
      <c r="C201" t="inlineStr">
        <is>
          <t>Lensa</t>
        </is>
      </c>
      <c r="D201" t="inlineStr">
        <is>
          <t>linkedin</t>
        </is>
      </c>
      <c r="E201">
        <f>HYPERLINK("https://www.linkedin.com/jobs/view/4372212065", "https://www.linkedin.com/jobs/view/4372212065")</f>
        <v/>
      </c>
      <c r="F201" t="inlineStr"/>
      <c r="G201" t="inlineStr"/>
      <c r="H201" t="inlineStr"/>
      <c r="I201" t="inlineStr">
        <is>
          <t>Lensa is a career site that helps job seekers find great jobs in the US. We are not a staffing firm or agency. Lensa does not hire directly for these jobs, but promotes jobs on LinkedIn on behalf of its direct clients, recruitment ad agencies, and marketing partners. Lensa partners with DirectEmployers to promote this job for Intecon. Clicking "Apply Now" or "Read more" on Lensa redirects you to the job board/employer site. Any information collected there is subject to their terms and privacy notice.
 Clearance: Top Secret/SCI (U.S. citizenship required)
 Citizenship: U.S. Citizen
 Location: Buckley SFB, CO and Beale AFB, CA (On\-site with limited telework)
 Work Type: Onsite with limited telework
 Contract Type: Full\-Time
 Annual Salary Range: $150k – $180k/year
 Role Summary
 INTECON is looking for an experienced Space Training Program Manager to oversee crew force management for Mission Delta 4 operations. In this role, you will manage training records, crew schedules, and readiness tracking for U.S. Space Force operators across SBIRS, UEWR, JTAGS, OBAC, and S2E2 systems. By ensuring compliance with USSF training regulations and optimizing crew training cycles, you will help maintain a high state of mission readiness and regulatory compliance for all Missile Warning and Tracking personnel under Mission Delta 4\.
 Key Duties \&amp; Responsibilities
* Serve as the subject matter expert (SME) and administrator for the MAJCOM\-approved training database (Patriot Excalibur – PEX), the primary system used to track all training and certification data.
* Create and manage training profiles and accounts for approximately 750 Mission Delta 4 personnel, ensuring every member's training records are accurately initialized and maintained.
* Load approved Plans of Instruction (POIs) into the database and assign students to scheduled courses, coordinating class rosters and training timelines.
* Maintain and update crew task listings in accordance with official Mission Task Lists (MTLs) and Consolidated Task Lists (CTLs), so that crew training tasks reflect current mission requirements.
* Track, document, and archive training accomplishments and evaluation records, including USSF Form 4419, Form 8 qualifications, and any training error memorandums.
* Conduct monthly audits of the training database to identify any data gaps or compliance deficiencies and prepare reports of findings for Mission Delta 4 leadership to drive corrective actions.
* Monitor crew proficiency statuses and recurring training completion rates, providing timely reports to leadership on any shifts in proficiency or upcoming training due dates.
* Train and assist Mission Delta 4 members in using the training management systems for their roles – whether as an operator being trained, an instructor logging training, or an evaluator overseeing certifications.
* Compile and deliver accurate readiness data and training status updates to squadron and Delta leadership, enabling informed decisions about crew assignments and mission readiness levels.
**Required Qualifications**
* Bachelor's degree in Business, Education, Management or a related field – or equivalent experience.
* 3\+ years of experience in Crew Force Management, overseeing training or operational scheduling for military or aerospace units.
* 3\+ years of experience managing a USSF\-approved training database (such as Patriot Excalibur (PEX)) or similar training management system.
* Familiarity with U.S. Space Force training and evaluation regulations, and experience maintaining documentation to those standards (e.g., proficiency logs, evaluation forms).
* Strong organizational and data management skills, with acute attention to detail for auditing training records and preparing reports.
* Excellent communication skills for coordinating with instructors, operators, and leadership to resolve training scheduling and compliance issues.
* 
* Active TS/SCI clearance (U.S. citizenship required).
**Preferred Qualifications**
* Prior experience in an operational Space Force unit within Mission Delta 4, giving firsthand insight into its training pipelines and crew readiness needs.
* Advanced training or certification in training program management or educational program oversight (for example, USAF Instructor or Training Manager courses).
* Familiarity with generating training metrics or readiness dashboards for senior leadership.
 Tools \&amp; Technologies
* Patriot Excalibur (PEX).
* Microsoft Office Suite.
* USSF training management systems.
 Security Clearance
* Clearance: Top Secret/SCI.
**Benefits**
* Comprehensive Group Health Plans (Medical, Dental, and Vision).
* Company\-paid Short\-Term and Long\-Term Disability, Life, and AD\&amp;D Insurance.
* Flexible Spending Accounts and Supplemental Plans.
* Company\-paid Training and Development Programs.
* Generous Paid Time Off, Holiday Pay, and Sick Leave.
* 401k Retirement Plan with Company Match.
* Critical Illness and Accident Insurance.
* Employee Assistance Program.
**About INTECON**
 INTECON (Integrity Consulting), founded in 1999, is a wholly owned subsidiary of Aspetto, Inc. Aspetto is a leading product and technology firm known for its strategic enterprise life\-cycle support. With expertise in the acquisition, design, deployment, and sustainment of Federal and DoD tech and tactical systems, Aspetto has made a significant impact since its inception in 2008\.
 As an 8(a), HUBZone, and ISO 9001:2015 certified company, and a three\-time INC.5000 awardee, Aspetto offers an impressive range of capabilities, including Enterprise IT \&amp; Cloud\-Based Technologies, Software Development \&amp; Cybersecurity, Data \&amp; Analytics, Intelligence \&amp; Professional Services, Logistics, and Tactical Equipment. Together, Aspetto and INTECON strive to drive innovation, preserve quality standards, and demonstrate an unwavering commitment to our nation's security. Our client\-centric approach prioritizes innovative, responsive solutions that consistently exceed expectations.
 INTECON is proud to be an Equal Opportunity Employer committed to fostering diversity and inclusivity. We firmly uphold the principle of Equal Pay for Equal Work, without regard to race, color, creed, religion, national origin, sex, sexual orientation, gender identity and expression, age, disability, eligible veteran status, or any other protected characteristic. We welcome qualified applicants from all backgrounds and strive to create a workplace where everyone feels valued and respected.
 If you have questions about this posting, please contact support@lensa.com</t>
        </is>
      </c>
    </row>
    <row r="202">
      <c r="A202" t="inlineStr">
        <is>
          <t>li-4362635036</t>
        </is>
      </c>
      <c r="B202" t="inlineStr">
        <is>
          <t>Program Manager I, Maintenance Planner, Data Center Operations</t>
        </is>
      </c>
      <c r="C202" t="inlineStr">
        <is>
          <t>Google</t>
        </is>
      </c>
      <c r="D202" t="inlineStr">
        <is>
          <t>linkedin</t>
        </is>
      </c>
      <c r="E202">
        <f>HYPERLINK("https://www.linkedin.com/jobs/view/4362635036", "https://www.linkedin.com/jobs/view/4362635036")</f>
        <v/>
      </c>
      <c r="F202">
        <f>HYPERLINK("https://careers.google.com/jobs/results/104014330101408454-program-manager-i/?src=Online/LinkedIn/linkedin_us&amp;utm_source=linkedin&amp;utm_medium=jobposting&amp;utm_campaign=contract&amp;urlHash=gP-e", "https://careers.google.com/jobs/results/104014330101408454-program-manager-i/?src=Online/LinkedIn/linkedin_us&amp;utm_source=linkedin&amp;utm_medium=jobposting&amp;utm_campaign=contract&amp;urlHash=gP-e")</f>
        <v/>
      </c>
      <c r="G202" t="inlineStr">
        <is>
          <t>West Memphis, AR</t>
        </is>
      </c>
      <c r="H202" t="inlineStr"/>
      <c r="I202" t="inlineStr">
        <is>
          <t>Note: By applying to this position you will have an opportunity to share your preferred working location from the following:
 **Muskogee, OK, USA; West Memphis, AR, USA; Austell, GA, USA** 
 .
 **Minimum qualifications:**
* Bachelor's degree or equivalent practical experience.
* 1 year of program management experience.
* Experience in maintenance planning and scheduling.
* Experience working with a CMMS (Computerized Maintenance Management System).
**Preferred qualifications:**
* Knowledge of facility electrical, mechanical, and HVAC systems.
* Ability to develop long\-term strategic maintenance plans and forecasts.
* Ability to communicate with internal customers and external parties, and address any issues.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Data Center Maintenance Planner Program Manager, you will be responsible for the effective execution of all planning and scheduling of maintenance work and control processes. You will work with the site supervisors and technicians to manage work priority, develop job plans, define parts and material, define trades and skills, and engage the proper resources to develop a safe, effective, and efficient work control plan. In addition, you will provide the equipment related expertise and technical guidance on improving preventive maintenance activities. In this role, you will be responsible for the use and administration of the Computerized Maintenance Management System (CMMS) program at a site level.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the flow of all maintenance work orders by working with Data Center Operations teams and vendors.
* Be responsible for the planning and scheduling of technicians and parts needed to perform maintenance activities.
* Collaborate with facility management in the development and maintenance of schedules and resource leveling by utilizing the site CMMS program.
* Establish and maintain CMMS equipment files, parts inventory, equipment bill of materials, and program manager schedules.
* Manage the process of launching a CMMS solution at the site level used in the daily operation of our data centers.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3">
      <c r="A203" t="inlineStr">
        <is>
          <t>li-4371708180</t>
        </is>
      </c>
      <c r="B203" t="inlineStr">
        <is>
          <t>Program Manager</t>
        </is>
      </c>
      <c r="C203" t="inlineStr">
        <is>
          <t>Ho-Chunk, Inc.</t>
        </is>
      </c>
      <c r="D203" t="inlineStr">
        <is>
          <t>linkedin</t>
        </is>
      </c>
      <c r="E203">
        <f>HYPERLINK("https://www.linkedin.com/jobs/view/4371708180", "https://www.linkedin.com/jobs/view/4371708180")</f>
        <v/>
      </c>
      <c r="F203" t="inlineStr"/>
      <c r="G203" t="inlineStr">
        <is>
          <t>Denver, CO</t>
        </is>
      </c>
      <c r="H203" t="inlineStr"/>
      <c r="I203" t="inlineStr">
        <is>
          <t>**Position Summary**
 The Project Manager holds overall responsibility for the performance of work under the Task Order and serves as the primary authority to act on behalf of the Contractor regarding daily operations. This role acts as the first point of contact for the Government and various client divisions to resolve issues or discrepancies before they escalate, ensuring that technical personnel effectively support DEMD mission objectives.
**Compensation \&amp; Benefits**
 Salary Range: $85,000 \- $110,000
 Comprehensive federal benefits package available to full\-time employees, including health insurance, paid time off, and retirement plan participation.
**Essential Functions And Responsibilities**
* Operational Management: Responsible for project planning, budgeting, and performance, including monitoring milestones and adhering to plans and schedules.
* Customer \&amp; Technical Liaison: Acts as the primary customer contact for all project activities, maintaining close coordination with agency Contracting Officers (CO) and Contracting Officer Representatives (COR).
* Staff Oversight: Directs and interfaces with contract staff to ensure requirements are fulfilled; identifies resources needed, coordinates work activities, and assigns individual responsibilities.
* Quality Assurance \&amp; Deliverables: Ensures strict compliance with quality requirements; reviews all contract deliverables before forwarding to the client.
* Project Accounting: Manages the project budget, determines appropriate revenue recognition, ensures timely and accurate invoicing, and monitors receivables and profitability.
* Proposal Participation: Participates in requests for RFQ or RFP from onset, including preparing proposal schedules and ensuring successful submission.
* Administrative Management: Oversees transition management (phase\-in/phase\-out), manages employer obligations (e.g., time cards, staff morale), and ensures project documentation is accurate and stored per standards.
**Core Competencies And Skills**
* Communication: Enhanced skills in managing professional support services staff; ability to communicate complex solutions effectively to both technical and non\-technical audiences.
* Technical Understanding: Possesses a general understanding of the technical areas of project assignment and proficiency in Internet, Intranet, and Project software programs.
* Regulatory Knowledge: Familiarity with federal government, DOI, and Indian Affairs trust relationship requirements.
* Contracting Expertise: Preferred understanding of Native American corporation contracting capabilities with the Federal Government as both a prime and subcontractor.
**Education And Experience Requirements**
* Education: A Bachelor’s Degree in Management, business, administration, engineering, or a related field is required.
* Experience: At least five (5\) years’ experience managing people and programs in public sector performance management, with three (3\) years of experience in U.S. Government\-supported grants/contracts management preferred.
* Certification: PMP certification preferred.
* Licensure: Must maintain a valid Driver’s License and be insurable.
**Security and Compliance**
* Background Investigation: Must successfully pass a Moderate Background Investigation (NACI).
* Credentialing: Requires a Federal government\-issued Personal Identity Verification (PIV) card.
* Training: Mandatory completion of Federal Information Systems Security Awareness (FISSA) training and signing of a Non\-Disclosure Agreement.
**Work Environment and Physical Demands**
* Schedule: Generally an 8\-hour workday, 40 hours per week, with core hours from 9:30 AM to 3:00 PM local time.
* Location: Work is typically performed at DOI/DEMD offices in Lakewood, CO; telework is authorized at the COR’s discretion.
* Travel: Minimum 25% travel required for routine site oversight, field work, or presentations to Tribal members.
* Physical Requirements: Frequently required to sit, talk, and hear; involves manual dexterity (70\-80% of the time) and occasional lifting/carrying up to 25 pounds.
**Other Duties**
**Please note this job description is not designed to cover or contain a comprehensive listing of activities, duties or responsibilities that are required of the employee for this job. Duties, responsibilities and activities may change at any time with or without notice**
**Our Values:** 
 Native American Owned \&amp; Proud \| Accountable \| Team Focused \| Innovative \| Visionary \| Excellence
**AAP/EEO Statement** 
 Ho\-Chunk, Inc. is an equal opportunity employer. All applicants are considered without regard to age, sex, race, national origin, religion, marital status or physical disability. However, preference may be extended to persons of Indian descent in accordance with applicable laws.</t>
        </is>
      </c>
    </row>
    <row r="204">
      <c r="A204" t="inlineStr">
        <is>
          <t>li-4372190493</t>
        </is>
      </c>
      <c r="B204" t="inlineStr">
        <is>
          <t>TSA FOCUS BPA Program Manager</t>
        </is>
      </c>
      <c r="C204" t="inlineStr">
        <is>
          <t>Leidos</t>
        </is>
      </c>
      <c r="D204" t="inlineStr">
        <is>
          <t>linkedin</t>
        </is>
      </c>
      <c r="E204">
        <f>HYPERLINK("https://www.linkedin.com/jobs/view/4372190493", "https://www.linkedin.com/jobs/view/4372190493")</f>
        <v/>
      </c>
      <c r="F204" t="inlineStr"/>
      <c r="G204" t="inlineStr">
        <is>
          <t>Reston, VA</t>
        </is>
      </c>
      <c r="H204" t="inlineStr"/>
      <c r="I204" t="inlineStr">
        <is>
          <t>**Description**
 Leidos is a FORTUNE 500 company bringing a mix of innovative technology and sector expertise to customers in the national security, engineering, and the health industries. At Leidos, we deliver innovative solutions through the efforts of our diverse and talented people who are dedicated to our customers’ success. We empower our teams, contribute to our communities, and operate sustainably. Everything we do is built on a commitment to do the right thing for our customers, our people, and our community. Our Mission, Vision, and Values guide the way we do business.
 The Digital Modernization Sector is seeking a highly qualified Senior Program Manager (PM) to support the Department of Homeland Security (DHS) Transportation Security Administration (TSA) Field Operations \&amp; Customer Support (FOCUS) program in Springfield, VA, supporting the TSA Office of Information Technology (OIT) to provide TSA enterprise\-wide Single Point of Contact (SPOC) IT help desk and headquarters/field IT Specialist support to the TSA workforce of 85K across approximately 500 locations. The PM will provide leadership and management across all task orders and projects to bring about the successful completion of FOCUS program goals and objectives.
**Primary Responsibilities**
* Organizes, directs, and manages task order operation support functions, involving multiple complex and interrelated project tasks in both classified and unclassified environments
* Manages teams of task order support personnel at multiple locations
* Maintains and manages the client interface at the senior levels of the client organization
* Coordinates and collaborations with customer and Contractor personnel to formulate and review task plans and deliverable items
* Ensures conformance with program task schedules and costs
* Establishes and maintains technical and financial reports to show progress of projects to management and customers, organizes and delegates responsibilities to subordinates and oversees the successful completion of all assigned tasks
* Duties include performing systems requirements analysis, functional analysis, timeline analysis, trade studies, requirements allocation and interface definition, technical management, integration, system testing, and quality assurance.
**Basic Qualifications**
* Requires BA/BS in a technical or management discipline
* Requires 12\+ years total prior relevant experience with a minimum of 10 years of Program Management experience
* Experience working on digital transformation/modernization contracts with a focus on cloud migration, automation, and AI/ML services
* Strong analytical and problem\-solving skills
* Customer focused, strong leader
* Experience building collaborative working relationships with customers, technical staff, senior managers, and peers
* Previous experience working capture for competitive contracts
* Possess a Secret clearance.
**Desired Qualifications**
* Certifications:
+ PMI Program Management Professional (PMP) certification
+ ITIL 4 \- Foundations
* Experience:
+ Managing program execution in a CMMI Level 3 or above environment and/or in accordance with ISO\-9001 certified processes
+ Experience in the DHS and/or TSA programs, contracts, and mission requirements
**Clearance Required**
* Must possess an active DoD Secret clearance at time of consideration.
 If you're looking for comfort, keep scrolling. At Leidos, we outthink, outbuild, and outpace the status quo — because the mission demands it. We're not hiring followers. We're recruiting the ones who disrupt, provoke, and refuse to fail. Step 10 is ancient history. We're already at step 30 — and moving faster than anyone else dares.
**Original Posting**
 January 22, 2026
 For U.S. Positions: While subject to change based on business needs, Leidos reasonably anticipates that this job requisition will remain open for at least 3 days with an anticipated close date of no earlier than 3 days after the original posting date as listed above.
**Pay Range**
 Pay Range $154,050\.00 \- $278,475\.00
 The Leidos pay range for this job level is a general guideline only and not a guarantee of compensation or salary. Additional factors considered in extending an offer include (but are not limited to) responsibilities of the job, education, experience, knowledge, skills, and abilities, as well as internal equity, alignment with market data, applicable bargaining agreement (if any), or other law.
**About Leidos**
 Leidos is an industry and technology leader serving government and commercial customers with smarter, more efficient digital and mission innovations. Headquartered in Reston, Virginia, with 47,000 global employees, Leidos reported annual revenues of approximately $16\.7 billion for the fiscal year ended January 3, 2025\. For more information, visit www.Leidos.com.
**Pay And Benefits**
 Pay and benefits are fundamental to any career decision. That's why we craft compensation packages that reflect the importance of the work we do for our customers. Employment benefits include competitive compensation, Health and Wellness programs, Income Protection, Paid Leave and Retirement. More details are available at www.leidos.com/careers/pay\-benefits.
**Securing Your Data**
 Beware of fake employment opportunities using Leidos’ name. Leidos will never ask you to provide payment\-related information during any part of the employment application process (i.e., ask you for money), nor will Leidos ever advance money as part of the hiring process (i.e., send you a check or money order before doing any work). Further, Leidos will only communicate with you through emails that are generated by the Leidos.com automated system – never from free commercial services (e.g., Gmail, Yahoo, Hotmail) or via WhatsApp, Telegram, etc. If you received an email purporting to be from Leidos that asks for payment\-related information or any other personal information (e.g., about you or your previous employer), and you are concerned about its legitimacy, please make us aware immediately by emailing us at LeidosCareersFraud@leidos.com.
 If you believe you are the victim of a scam, contact your local law enforcement and report the incident to the U.S. Federal Trade Commission.
**Commitment to Non\-Discrimination**
 All qualified applicants will receive consideration for employment without regard to sex, race, ethnicity, age, national origin, citizenship, religion, physical or mental disability, medical condition, genetic information, pregnancy, family structure, marital status, ancestry, domestic partner status, sexual orientation, gender identity or expression, veteran or military status, or any other basis prohibited by law. Leidos will also consider for employment qualified applicants with criminal histories consistent with relevant laws.</t>
        </is>
      </c>
    </row>
    <row r="205">
      <c r="A205" t="inlineStr">
        <is>
          <t>li-4362546879</t>
        </is>
      </c>
      <c r="B205" t="inlineStr">
        <is>
          <t>Program Manager I, Maintenance Planner, Data Center Operations</t>
        </is>
      </c>
      <c r="C205" t="inlineStr">
        <is>
          <t>Google</t>
        </is>
      </c>
      <c r="D205" t="inlineStr">
        <is>
          <t>linkedin</t>
        </is>
      </c>
      <c r="E205">
        <f>HYPERLINK("https://www.linkedin.com/jobs/view/4362546879", "https://www.linkedin.com/jobs/view/4362546879")</f>
        <v/>
      </c>
      <c r="F205">
        <f>HYPERLINK("https://careers.google.com/jobs/results/104014330101408454-program-manager-i/?src=Online/LinkedIn/linkedin_us&amp;utm_source=linkedin&amp;utm_medium=jobposting&amp;utm_campaign=contract&amp;urlHash=gP-e", "https://careers.google.com/jobs/results/104014330101408454-program-manager-i/?src=Online/LinkedIn/linkedin_us&amp;utm_source=linkedin&amp;utm_medium=jobposting&amp;utm_campaign=contract&amp;urlHash=gP-e")</f>
        <v/>
      </c>
      <c r="G205" t="inlineStr">
        <is>
          <t>Muskogee, OK</t>
        </is>
      </c>
      <c r="H205" t="inlineStr"/>
      <c r="I205" t="inlineStr">
        <is>
          <t>Note: By applying to this position you will have an opportunity to share your preferred working location from the following:
 **Muskogee, OK, USA; West Memphis, AR, USA; Austell, GA, USA** 
 .
 **Minimum qualifications:**
* Bachelor's degree or equivalent practical experience.
* 1 year of program management experience.
* Experience in maintenance planning and scheduling.
* Experience working with a CMMS (Computerized Maintenance Management System).
**Preferred qualifications:**
* Knowledge of facility electrical, mechanical, and HVAC systems.
* Ability to develop long\-term strategic maintenance plans and forecasts.
* Ability to communicate with internal customers and external parties, and address any issues.
**About The Job**
 A problem isn’t truly solved until it’s solved for all. That’s why Googlers build products that help create opportunities for everyone, whether down the street or across the globe. As a Program Manager at Google, you’ll lead complex, multi\-disciplinary projects from start to finish — working with stakeholders to plan requirements, manage project schedules, identify risks, and communicate clearly with cross\-functional partners across the company. Your projects will often span offices, time zones, and hemispheres. It's your job to coordinate the players and keep them up to date on progress and deadlines.
 As a Data Center Maintenance Planner Program Manager, you will be responsible for the effective execution of all planning and scheduling of maintenance work and control processes. You will work with the site supervisors and technicians to manage work priority, develop job plans, define parts and material, define trades and skills, and engage the proper resources to develop a safe, effective, and efficient work control plan. In addition, you will provide the equipment related expertise and technical guidance on improving preventive maintenance activities. In this role, you will be responsible for the use and administration of the Computerized Maintenance Management System (CMMS) program at a site level.
 The AI and Infrastructure team is redefining what’s possible. We empower Google customers with breakthrough capabilities and insights by delivering AI and Infrastructure at unparalleled scale, efficiency, reliability and velocity. Our customers include Googlers, Google Cloud customers, and billions of Google users worldwide.
 We're the driving team behind Google's groundbreaking innovations, empowering the development of our cutting\-edge AI models, delivering unparalleled computing power to global services, and providing the essential platforms that enable developers to build the future. From software to hardware our teams are shaping the future of world\-leading hyperscale computing, with key teams working on the development of our TPUs, Vertex AI for Google Cloud, Google Global Networking, Data Center operations, systems research, and much more.
 The US base salary range for this full\-time position is $105,000\-$151,000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the flow of all maintenance work orders by working with Data Center Operations teams and vendors.
* Be responsible for the planning and scheduling of technicians and parts needed to perform maintenance activities.
* Collaborate with facility management in the development and maintenance of schedules and resource leveling by utilizing the site CMMS program.
* Establish and maintain CMMS equipment files, parts inventory, equipment bill of materials, and program manager schedules.
* Manage the process of launching a CMMS solution at the site level used in the daily operation of our data centers.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06">
      <c r="A206" t="inlineStr">
        <is>
          <t>li-4372192873</t>
        </is>
      </c>
      <c r="B206" t="inlineStr">
        <is>
          <t>Program Manager</t>
        </is>
      </c>
      <c r="C206" t="inlineStr">
        <is>
          <t>Actalent</t>
        </is>
      </c>
      <c r="D206" t="inlineStr">
        <is>
          <t>linkedin</t>
        </is>
      </c>
      <c r="E206">
        <f>HYPERLINK("https://www.linkedin.com/jobs/view/4372192873", "https://www.linkedin.com/jobs/view/4372192873")</f>
        <v/>
      </c>
      <c r="F206">
        <f>HYPERLINK("https://jsv3.recruitics.com/redirect?rx_cid=3374&amp;rx_jobId=JP-005826756&amp;rx_url=https%3A%2F%2Fars2.equest.com%2F%3Ficid%3Dlinkedin_recruitics%26response_id%3D5bbff07a496fe661933b87f316e9bbac%26rx_campaign%3DLinkedin1%26rx_ch%3Dconnector%26rx_group%3D125337%26rx_id%3Dce3f1a53-0825-11f1-82ee-4b69be30f1bf%26rx_job%3DJP-005826756%26rx_medium%3Dpost%26rx_r%3Dnone%26rx_source%3DLinkedin%26rx_ts%3D20260213T001212Z%26rx_vp%3Dslots&amp;urlHash=OK7j", "https://jsv3.recruitics.com/redirect?rx_cid=3374&amp;rx_jobId=JP-005826756&amp;rx_url=https%3A%2F%2Fars2.equest.com%2F%3Ficid%3Dlinkedin_recruitics%26response_id%3D5bbff07a496fe661933b87f316e9bbac%26rx_campaign%3DLinkedin1%26rx_ch%3Dconnector%26rx_group%3D125337%26rx_id%3Dce3f1a53-0825-11f1-82ee-4b69be30f1bf%26rx_job%3DJP-005826756%26rx_medium%3Dpost%26rx_r%3Dnone%26rx_source%3DLinkedin%26rx_ts%3D20260213T001212Z%26rx_vp%3Dslots&amp;urlHash=OK7j")</f>
        <v/>
      </c>
      <c r="G206" t="inlineStr">
        <is>
          <t>Janesville, WI</t>
        </is>
      </c>
      <c r="H206" t="inlineStr"/>
      <c r="I206" t="inlineStr">
        <is>
          <t>**Job Description: Program Manager**
 The Program Manager role is a full\-time onsite position in Janesville, WI. The Program Manager will lead and influence program teams, overseeing the coordination and implementation of various ammunition system projects. The role ensures quality and timely delivery within budget parameters through program planning, resource allocation, risk management, and communication with internal and external stakeholders. This position requires high levels of operational judgment to achieve goals and successes.
**Responsibilities**
* Work closely with customers and suppliers to ensure strategies and priorities are communicated and executed within assigned programs.
* Lead cross\-functional teams, including Engineering, Quality Assurance, and Supply Chain, to achieve program success.
* Oversee the development and management of cross\-functional, technology\-led programs.
* Influence programs to meet customer expectations.
* Create and ensure effective communication across business functions; motivate and energize the team through leadership.
* Solve complex and ambiguous problems, leading strategic and forward\-thinking cross\-functional program execution.
* Work with customers to solicit product feedback to meet product quality and customer expectations.
* Provide mentoring and coaching to develop cross\-functional talent.
* Provide expert guidance and support to the product program organization in various technical/functional aspects of research, engineering, supply chain, and service.
* Drive a culture of innovation, engineering excellence, accountability, continual improvement, and collaboration.
**Essential Skills**
* Bachelor’s degree from an accredited institution.
* Five years of experience in Manufacturing Operations or Engineering.
* Two years of experience in program management, project leadership, or driving new product introduction.
* Experience in cross\-functional relationships, with strong influence and communication skills.
* Demonstrated execution of meeting project goals while satisfying quality, performance, schedule, and budget.
* Engineering knowledge, program management, and business planning processes experience from concept through end of life.
* Familiarity with regulatory standards.
* Ability to deliver results while leading multiple projects simultaneously, balancing resources, timing, and quality of outcomes.
**Additional Skills \&amp; Qualifications**
* Bachelor's degree in Engineering.
* Knowledge of Program and Project Management methodologies, processes, and tools.
* Experience in Risk Management and Business Continuity.
* Six Sigma Green/Black belt certification.
* Project Management Institute (PMI) accreditation (PMP) or equivalent.
* Experience in the defense industry is preferred, with aerospace or automotive as desired backups.
* Experience in a manufacturing setting.
**Job Type \&amp; Location**
 This is a Permanent position based out of Janesville, WI.
**Pay And Benefits**
 The pay range for this position is $100000\.00 \- $130000\.00/yr.
 Full time benefits offered
**Workplace Type**
 This is a fully onsite position in Janesville,WI.
**Application Deadline**
 This position is anticipated to close on Feb 26, 2026\.
**About Actalent**
 Actalent is a global leader in engineering and sciences services and talent solutions. We help visionary companies advance their engineering and science initiatives through access to specialized experts who drive scale, innovation and speed to market. With a network of almost 30,000 consultants and more than 4,500 clients across the U.S., Canada, Asia and Europe, Actalent serves many of the Fortune 500\.
 The company is an equal opportunity employer and will consider all applications without regard to race, sex, age, color, religion, national origin, veteran status, disability, sexual orientation, gender identity, genetic information or any characteristic protected by law.
 If you would like to request a reasonable accommodation, such as the modification or adjustment of the job application process or interviewing due to a disability, please email actalentaccommodation@actalentservices.com for other accommodation options.</t>
        </is>
      </c>
    </row>
    <row r="207">
      <c r="A207" t="inlineStr">
        <is>
          <t>li-4372205806</t>
        </is>
      </c>
      <c r="B207" t="inlineStr">
        <is>
          <t>Sr Program Manager - Business Operations, Regulation Tech Assurance</t>
        </is>
      </c>
      <c r="C207" t="inlineStr">
        <is>
          <t>Amazon</t>
        </is>
      </c>
      <c r="D207" t="inlineStr">
        <is>
          <t>linkedin</t>
        </is>
      </c>
      <c r="E207">
        <f>HYPERLINK("https://www.linkedin.com/jobs/view/4372205806", "https://www.linkedin.com/jobs/view/4372205806")</f>
        <v/>
      </c>
      <c r="F207">
        <f>HYPERLINK("https://www.amazon.jobs/jobs/3180010/sr-program-manager\u002d\u002dbusiness-operations-regulation-tech-assurance?cmpid=SPLICX0248M&amp;utm_source=linkedin.com&amp;utm_campaign=cxro&amp;utm_medium=social_media&amp;utm_content=job_posting&amp;ss=paid&amp;urlHash=ufPw", "https://www.amazon.jobs/jobs/3180010/sr-program-manager\u002d\u002dbusiness-operations-regulation-tech-assurance?cmpid=SPLICX0248M&amp;utm_source=linkedin.com&amp;utm_campaign=cxro&amp;utm_medium=social_media&amp;utm_content=job_posting&amp;ss=paid&amp;urlHash=ufPw")</f>
        <v/>
      </c>
      <c r="G207" t="inlineStr">
        <is>
          <t>Seattle, WA</t>
        </is>
      </c>
      <c r="H207" t="inlineStr"/>
      <c r="I207" t="inlineStr">
        <is>
          <t>**Description**
 At Amazon, we are obsessed with customer trust. The Security Governance program supports this vision by setting the bar for security expectations through our policies and standards and through robust data protection. We are seeking an experienced, self\-motivated Security Program Manager who will help identify opportunities for improvement and define and drive delivery of automated solutions.
 We assess risk, classify data and systems, scale adoption through automation and enable the business to guard the confidentiality and integrity of Amazon and customer data while creating a seamless experience for our stakeholders. Our mission includes instilling awareness to safeguard all customer and employee data, applications, services, and assets. To accomplish this, we work with Amazon organizations to build security best practices into enterprise\-wide systems.
 The Senior Program Manager of Regulation Tech Assurance (RTA) Business Operations will operate as a key resource, working in tandem with the team’s leadership in providing support across sub\-teams and to help strategically operate and develop the organization. This role will support the development and delivery of short and long\-term business and financial goals. This role is a great opportunity to become immersed in Worldwide Operations working closely with Amazon leadership, stakeholders and cross\-functional teams.
 Key job responsibilities
* Focused on building structure for the business planning and operating cycles, establishing the cadence to meet critical business timelines and ensure the sub teams are working in accordance to meet organizational requirements and commitments
* Drives cohesion between the sub teams by providing visibility to current and future projects and initiatives across the teams
* Provides department leaders with consultation and recommendations to help navigate the organization effectively
* Helps to prepare and deliver data\-driven performance reports and recommendations to key global stakeholders to ensure we are on track to meet and ultimately exceed our goals
* Supports the identification and analysis of new partnership opportunities
* Work with stakeholders to define the business requirements for new and existing programs, products, and systems implementations and their impact on program budgets
* Actively supports the development and management of the program budget, ensuring the team’s long\-term strategic plans, annual operating budget and forecasts support and align with the program strategy
* Educate and socialize key tenants to garner understanding, consensus and support
* Support the creation of Weekly/Monthly/Quarterly Business Reviews and other presentations to advise leadership about on\-going operations and projects in\-flight
* Draft presentations and briefs for meetings/engagements with key internal and external stakeholders
* Supports people development initiatives including the tracking of organizational requirements such as training and compliance
 Strategic Operations \&amp; Execution
* Support and drive day\-to\-day operations to deliver on the team’s strategy and operational plans aligned with the strategic vision of the organization
* Develop, contribute to and maintain the centralized repository of workflows, tools, documentation and standards, looking to minimize complexities and optimize efficiency and engagement
* Identify and pursue cost reduction and efficiency opportunities
* Support and drive the development of consistent standards and processes across the team to effectively advocate for operational excellence
* Facilitate conversations: create opportunities for synergies across the business to support cross\-functional initiatives
* Operate as an internal consultant, working directly with multiple stakeholders
* Look for new opportunities, innovations and insights within the company and industry to provide visibility to emerging trends and innovations.
* Foster effective teamwork with internal and external business leaders and partners
* Coordinate with executive support to plan for regional and global leadership meetings
 Metrics \&amp; Reporting
* Work closely with cross\-functional team members to track, monitor and review execute around content performance metrics
* Define and deliver operational reporting that provide strategic insights
* Measure and track success against internal KPIs and other key metrics to drive operational efficiency and effectiveness
**About The Team**
 About Amazon Security
 Diverse Experiences
 Amazon Security values diverse experiences. Even if you do not meet all of the preferred qualifications and skills listed in the job description, we encourage candidates to apply. If your career is just starting, hasn’t followed a traditional path, or includes alternative experiences, don’t let it stop you from applying.
 Why Amazon Security
 At Amazon, security is central to maintaining customer trust and delivering delightful customer experiences. Our organization is responsible for creating and maintaining a high bar for security across all of Amazon’s products and services. We offer talented security professionals the chance to accelerate their careers with opportunities to build experience in a wide variety of areas including cloud, devices, retail, entertainment, healthcare, operations, and physical stores.
 Work/Life Balance
 We value work\-life harmony. Achieving success at work should never come at the expense of sacrifices at home, which is why we strive for flexibility as part of our working culture. When we feel supported in the workplace and at home, there’s nothing we can’t achieve.
 Inclusive Team Culture
 In Amazon Security, it’s in our nature to learn and be curious. Ongoing DEI events and learning experiences inspire us to continue learning and to embrace our uniqueness. Addressing the toughest security challenges requires that we seek out and celebrate a diversity of ideas, perspectives, and voices.
 Training and Career growth
 We’re continuously raising our performance bar as we strive to become Earth’s Best Employer. That’s why you’ll find endless knowledge\-sharing, training, and other career\-advancing resources here to help you develop into a better\-rounded professional.
**Basic Qualifications**
* 5\+ years of program or project management experience
* Experience using data and metrics to determine and drive improvements
* Experience owning program strategy, end to end delivery, and communicating results to senior leadership
**Preferred Qualifications**
* 2\+ years of driving process improvements experience
* Master's degree, or MBA in business, operations, human resources, adult education, organizational development, instructional design or related field
 Amazon is an equal opportunity employer and does not discriminate on the basis of protected veteran status, disability, or other legally protected status.
 Our inclusive culture empowers Amazonians to deliver the best results for our customers. If you have a disability and need a workplace accommodation or adjustment during the application and hiring process, including support for the interview or onboarding process, please visit https://amazon.jobs/content/en/how\-we\-hire/accommodations for more information. If the country/region you’re applying in isn’t listed, please contact your Recruiting Partner.
 The base salary range for this position is listed below. Your Amazon package will include sign\-on payments and restricted stock units (RSUs). Final compensation will be determined based on factors including experience, qualifications, and location. Amazon also offers comprehensive benefits including health insurance (medical, dental, vision, prescription, Basic Life \&amp; AD\&amp;D insurance and option for Supplemental life plans, EAP, Mental Health Support, Medical Advice Line, Flexible Spending Accounts, Adoption and Surrogacy Reimbursement coverage), 401(k) matching, paid time off, and parental leave. Learn more about our benefits at https://amazon.jobs/en/benefits.
 USA, TX, Austin \- 115,600\.00 \- 160,000\.00 USD annually
 USA, VA, Arlington \- 115,600\.00 \- 160,000\.00 USD annually
 USA, WA, Seattle \- 115,600\.00 \- 160,000\.00 USD annually
**Company** 
 \- Amazon.com Services LLC
 Job ID: A3180010</t>
        </is>
      </c>
    </row>
    <row r="208">
      <c r="A208" t="inlineStr">
        <is>
          <t>li-4350354782</t>
        </is>
      </c>
      <c r="B208" t="inlineStr">
        <is>
          <t>Design &amp; Construction Program Manager – Data Centers</t>
        </is>
      </c>
      <c r="C208" t="inlineStr">
        <is>
          <t>IBM</t>
        </is>
      </c>
      <c r="D208" t="inlineStr">
        <is>
          <t>linkedin</t>
        </is>
      </c>
      <c r="E208">
        <f>HYPERLINK("https://www.linkedin.com/jobs/view/4350354782", "https://www.linkedin.com/jobs/view/4350354782")</f>
        <v/>
      </c>
      <c r="F208" t="inlineStr"/>
      <c r="G208" t="inlineStr">
        <is>
          <t>New York, United States</t>
        </is>
      </c>
      <c r="H208" t="inlineStr"/>
      <c r="I208" t="inlineStr">
        <is>
          <t>**Introduction**
 IBM is seeking an experienced Design \&amp; Construction Program Manager to oversee the delivery of complex, mission\-critical data center projects within industrial and/or manufacturing environments. This individual will serve as IBM’s primary governance lead, ensuring alignment across multiple vendors (Contractors, Architects, Engineers, Owner’s Representatives, Permitting consultants, etc…) and driving execution under IBM’s Integrated Delivery Framework. The role requires deep expertise in data center construction, risk management, and program\-level oversight to meet aggressive timelines and technical requirements for IBM’s quantum, infrastructure, and high\-performance computing facilities.
**Your Role And Responsibilities**
* Lead and govern all design and construction activities across multiple vendors (Contractors, Architects, Engineers, Owner’s Representatives, Permitting consultants).
* Ensure adherence to IBM’s different project delivery model, design review gates (SD/DD/CD), and governance standards.
* Develop scope of work and RFP documents; prepare and issue RFPs, evaluate bids, and recommend awards.
* Maintain master schedule and critical path; validate vendor schedules and commissioning readiness.
* Own risk register; proactively identify and mitigate risks related to cost, schedule, and technical compliance.
* Oversee change\-order governance, contract compliance, and financial reporting accuracy.
* Validate design deliverables for hyperscale/data center requirements (Tier III\+/IV).
* Ensure commissioning protocols (Level 1–5, IST) meet IBM standards.
* Act as primary liaison between IBM leadership, internal stakeholders, and external vendors.
* Provide executive dashboards and weekly progress reports to senior management.
* Facilitate service provider adherence to all processes and financial controls; ensure timely invoicing and project closeout.
* Participate in value engineering exercises and maintain awareness of latest D\&amp;C innovations.
* Integrate all pillars within geography into end\-to\-end project delivery, including contracts, workplace, transactions, and facility management.
* Review and understand lease language, budgets, and schedules; validate estimates and capital cash flow projections.
* Drive implementation of IBM Workplace standards and ensure LEED/WELL compliance.
**Preferred Education**
 Master's Degree
**Required Technical And Professional Expertise**
* 10\+ years in construction program management, with at least 5 years in data center or mission\-critical facilities.
* Must have out of the ground construction of data center experience.
* Proven track record managing industrial/manufacturing environments and large\-scale projects with various contract structures.
* Strong knowledge of electrical/mechanical systems, commissioning protocols, and hyperscale design.
* Advanced skills in schedule development, cost forecasting, and risk management.
* Ability to lead multi\-functional teams and communicate effectively with executives and technical stakeholders.
* Detail\-oriented with comprehensive understanding of project financial and schedule documents.
* Bachelor’s degree in Engineering, Construction Management, or related field; PMP certification strongly preferred.
**Preferred Technical And Professional Experience**
* Strong negotiation skills and ability to manage complex vendor ecosystems.
* Experience with EPC, GMP, IPD, Cost Plus, delivery models and open\-book contracting.
* Familiarity with prefabrication/modularization strategies for data centers.</t>
        </is>
      </c>
    </row>
    <row r="209">
      <c r="A209" t="inlineStr">
        <is>
          <t>li-4362635043</t>
        </is>
      </c>
      <c r="B209" t="inlineStr">
        <is>
          <t>SOC Technical Program Manager, Technology, Compliance, Strategy and Risk Management</t>
        </is>
      </c>
      <c r="C209" t="inlineStr">
        <is>
          <t>Google</t>
        </is>
      </c>
      <c r="D209" t="inlineStr">
        <is>
          <t>linkedin</t>
        </is>
      </c>
      <c r="E209">
        <f>HYPERLINK("https://www.linkedin.com/jobs/view/4362635043", "https://www.linkedin.com/jobs/view/4362635043")</f>
        <v/>
      </c>
      <c r="F209" t="inlineStr"/>
      <c r="G209" t="inlineStr">
        <is>
          <t>Atlanta, GA</t>
        </is>
      </c>
      <c r="H209" t="inlineStr"/>
      <c r="I209" t="inlineStr">
        <is>
          <t>In accordance with Washington state law, we are highlighting our comprehensive benefits package, which is available to all eligible US based employees. Benefits for this role include:
* Health, dental, vision, life, disability insurance
* Retirement Benefits: 401(k) with company match
* Paid Time Off: 20 days of vacation per year, accruing at a rate of 6\.15 hours per pay period for the first five years of employment
* Sick Time: 40 hours/year (statutory, where applicable); 5 days/event (discretionary)
* Maternity Leave (Short\-Term Disability \+ Baby Bonding): 28\-30 weeks
* Baby Bonding Leave: 18 weeks
* Holidays: 13 paid days per year
 Note: By applying to this position you will have an opportunity to share your preferred working location from the following:
 **Sunnyvale, CA, USA; Atlanta, GA, USA; Austin, TX, USA; Moncks Corner, SC 29461, USA; New York, NY, USA; Redmond, WA, USA** 
 .
 **Minimum qualifications:**
* Bachelor's degree in a Technical field, or equivalent practical experience.
* 5 years of experience in program management.
* 5 years of experience working with physical security infrastructure, including high\-security intrusion detection, physical security networking, and security servers.
* 5 years of experience designing, implementing, and managing electronic security systems, such as access control, badging technology, identity and Privileged Access Management (PAM), and video surveillance.
* 5 years of experience deploying technology for security operations, specifically with alarm monitoring, incident management, and investigations.
* 5 years of experience with physical security policy, SQL, access controls, and SOC (Service Organization Controls) audit compliance standards.
**Preferred qualifications:**
* 5 years of experience managing cross\-functional or cross\-team projects.
* Experience deploying and managing large enterprise high\-security electronic security systems.
* Experience leading and managing multiple, large\-scale, simultaneous security systems projects with engaging resources and priorities.
* Familiarity with current and emerging electronic security technology in the areas of cloud\-based platforms, AI/ML applications, and high\-assurance authentication.
* Excellent technical and program management skills, with an exceptional sense of focus, organization, and attention to detail.
**About The Job**
 A problem isn’t truly solved until it’s solved for all. That’s why Googlers build products that help create opportunities for everyone, whether down the street or across the globe. As a Technical Program Manager at Google, you’ll use your technical expertise to lead complex, multi\-disciplinary projects from start to finish. You’ll work with stakeholders to plan requirements, identify risks, manage project schedules, and communicate clearly with cross\-functional partners across the company. You're equally comfortable explaining your team's analyses and recommendations to executives as you are discussing the technical tradeoffs in product development with engineers.
 The Compliance, Strategy and Risk Management (CSRM)\-Technical Operations Safety Platforms, Architectures, and Concept Engineering (SPACE) team is looking for an innovative and organized Technical Program Manager to join our team sustaining the electronic security and safety systems in our fast\-growing data center fleet.
 In this role, you will focus on researching, designing, and deploying tools to make our Physical Security Operations Center teams more efficient and effective. You will serve as a close partner with Global Data Center security leadership to enable their operational goals through the deployment of new tools and technology that automate, inform, and optimize their workflows, which includes creating the goal for and managing projects across the product lifecycle—from gathering requirements and developing user stories to testing, delivery, and transition to maintenance mode.
 Behind everything our users see online is the architecture built by the Technical Infrastructure team to keep it running. From developing and maintaining our data centers to building the next generation of Google platforms, we make Google's product portfolio possible. We're proud to be our engineers' engineers and love voiding warranties by taking things apart so we can rebuild them. We keep our networks up and running, ensuring our users have the best and fastest experience possible.
 The US base salary range for this full\-time position is $156,000\-$229,000 \+ bonus \+ equity \+ benefits. Our salary ranges are determined by role, level, and location. Within the range, individual pay is determined by work location and additional factors, including job\-related skills, experience, and relevant education or training. Your recruiter can share more about the specific salary range for your preferred location during the hiring process.
 Please note that the compensation details listed in US role postings reflect the base salary only, and do not include bonus, equity, or benefits. Learn more about benefits at Google .
**Responsibilities**
* Manage the complete product lifecycle for physical security systems, including researching, designing, and deploying innovative tools to enhance the efficiency of Physical Security Operations Center teams.
* Partner with Global Data Center security leadership to automate operational workflows and coordinate the transition of new tools from development to operations, ensuring alignment with global security standards.
* Establish strong cross\-functional relationships with internal technology teams and evaluate third\-party solutions to design next\-generation security architectures that solve future issues.
* Develop and monitor KPIs to evaluate the efficacy of solutions, working with training and operations teams to enhance tools based on performance indicators and data\-driven metrics.
 Google is proud to be an equal opportunity workplace and is an affirmative action employer. We are committed to equal employment opportunity regardless of race, color, ancestry, religion, sex, national origin, sexual orientation, age, citizenship, marital status, disability, gender identity or Veteran status. We also consider qualified applicants regardless of criminal histories, consistent with legal requirements. See also Google's EEO Policy and EEO is the Law. If you have a disability or special need that requires accommodation, please let us know by completing our Accommodations for Applicants form .</t>
        </is>
      </c>
    </row>
    <row r="210">
      <c r="A210" t="inlineStr">
        <is>
          <t>li-4372157664</t>
        </is>
      </c>
      <c r="B210" t="inlineStr">
        <is>
          <t>Project/Program Manager V - Construction</t>
        </is>
      </c>
      <c r="C210" t="inlineStr">
        <is>
          <t>Apex Systems</t>
        </is>
      </c>
      <c r="D210" t="inlineStr">
        <is>
          <t>linkedin</t>
        </is>
      </c>
      <c r="E210">
        <f>HYPERLINK("https://www.linkedin.com/jobs/view/4372157664", "https://www.linkedin.com/jobs/view/4372157664")</f>
        <v/>
      </c>
      <c r="F210" t="inlineStr"/>
      <c r="G210" t="inlineStr">
        <is>
          <t>San Antonio, TX</t>
        </is>
      </c>
      <c r="H210" t="inlineStr"/>
      <c r="I210" t="inlineStr">
        <is>
          <t>**Job\#: 3022174**
**Job Description:**
 Construction Project Manager (Contract)
**Location:** 
 San Antonio, TX (Onsite – Monday–Friday)
**Contract Duration:** 
 12 months (extension likely)
**Overview**
 We are seeking an experienced
 **Construction Project Manager** 
 to support the delivery of a large‑scale, mission‑critical industrial facility in San Antonio. This role will act as the owner’s representative onsite, partnering closely with general contractors, vendors, and internal stakeholders to ensure safe, on‑schedule, and high‑quality project execution.
 This is a highly visible role for a construction professional who thrives in fast‑paced environments and is comfortable owning contracts, schedules, safety, and change management.
 Key Responsibilities
**Contract Administration \&amp; Compliance**
* Administer construction contracts from mobilization through closeout
* Enforce contract requirements, drawings, and specifications
* Review and manage change orders, payment applications, and approvals
* Proactively flag decisions required to prevent schedule or cost impacts
**Project Coordination \&amp; Communication**
* Coordinate activities across general contractors, vendors, inspectors, and suppliers
* Manage formal project communications, RFIs, notices, and instructions
* Identify risks and drive corrective action plans
* Ensure compliance with required construction procedures and workflows
**Health \&amp; Safety Oversight**
* Monitor and enforce all site safety requirements
* Report incidents immediately and maintain safety documentation
* Serve as a visible safety advocate onsite
**Schedule \&amp; Change Management**
* Monitor schedules and identify acceleration or resequencing opportunities
* Assess schedule impacts related to scope changes
* Review contractor method statements to support change evaluations
**Site Operations \&amp; Logistics**
* Track delivery and receipt of owner‑furnished equipment
* Coordinate site access requests for workers, visitors, and stakeholders
* Assist in resolving access or logistics issues quickly
**Quality Assurance \&amp; Closeout**
* Review inspection reports and ensure resolution of all issues
* Participate in weekly site walks and project meetings
* Maintain punch lists, closeout documentation, and issue tracking
* Provide weekly written status updates
**Qualifications**
* 3–4\+ years of construction project management experience
* Strong background in industrial or large‑scale commercial construction
* Proven experience with scheduling, safety, and contract administration
* Comfortable working onsite full‑time
* Strong communication, organization, and documentation skills
 EEO Employer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Employee Services Department at \[email protected] or 844\-463\-6178\.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a world\-class IT services company that serves thousands of clients across the globe. When you join Apex, you become part of a team that values innovation, collaboration, and continuous learning. We offer quality career resources, training, certifications, development opportunities, and a comprehensive benefits package. Our commitment to excellence is reflected in many awards, including ClearlyRated's Best of Staffing® in Talent Satisfaction in the United States and Great Place to Work® in the United Kingdom and Mexico. Apex uses a virtual recruiter as part of the application process. Click here for more details.
**Apex Benefits Overview:** 
 Apex offers a range of supplemental benefits, including medical, dental, vision, life, disability, and other insurance plans that offer an optional layer of financial protection. We offer an ESPP (employee stock purchase program) and a 401K program which allows you to contribute typically within 30 days of starting, with a company match after 12 months of tenure. Apex also offers a HSA (Health Savings Account on the HDHP plan), a SupportLinc Employee Assistance Program (EAP) with up to 8 free counseling sessions, a corporate discount savings program and other discounts. In terms of professional development, Apex hosts an on\-demand training program, provides access to certification prep and a library of technical and leadership courses/books/seminars once you have 6\+ months of tenure, and certification discounts and other perks to associations that include CompTIA and IIBA. Apex has a dedicated customer service team for our Consultants that can address questions around benefits and other resources, as well as a certified Career Coach. You can access a full list of our benefits, programs, support teams and resources within our ‘Welcome Packet’ as well, which an Apex team member can provide.
 Apex Systems is part of the Commercial Segment of ASGN Incorporated.
 NYSE: ASGN
 4400 Cox Road
 Suite 200
 Glen Allen, Virginia 23060
 Apex Systems is an equal opportunity employer. We do not discriminate or allow discrimination on the basis of race, color, religion, creed, sex (including pregnancy, childbirth, breastfeeding, or related medical conditions), age, sexual orientation, gender identity, national origin, ancestry, citizenship, genetic information, registered domestic partner status, marital status, disability, status as a crime victim, protected veteran status, political affiliation, union membership, or any other characteristic protected by law. Apex will consider qualified applicants with criminal histories in a manner consistent with the requirements of applicable law. If you have visited our website in search of information on employment opportunities or to apply for a position, and you require an accommodation in using our website for a search or application, please contact our Benefits Department at \[email protected] or 804\-523\-8228\. (Do not submit resumes or solicit consultants to this email address). UnitedHealthcare creates and publishes the Transparency in Coverage Machine\-Readable Files on behalf of Apex Systems.</t>
        </is>
      </c>
    </row>
    <row r="211">
      <c r="A211" t="inlineStr">
        <is>
          <t>li-4365376398</t>
        </is>
      </c>
      <c r="B211" t="inlineStr">
        <is>
          <t>NIF Sustainment Deputy Program Manager, NIF and Laser Systems</t>
        </is>
      </c>
      <c r="C211" t="inlineStr">
        <is>
          <t>Lawrence Livermore National Laboratory</t>
        </is>
      </c>
      <c r="D211" t="inlineStr">
        <is>
          <t>linkedin</t>
        </is>
      </c>
      <c r="E211">
        <f>HYPERLINK("https://www.linkedin.com/jobs/view/4365376398", "https://www.linkedin.com/jobs/view/4365376398")</f>
        <v/>
      </c>
      <c r="F211" t="inlineStr"/>
      <c r="G211" t="inlineStr">
        <is>
          <t>Livermore, CA</t>
        </is>
      </c>
      <c r="H211" t="inlineStr"/>
      <c r="I211" t="inlineStr">
        <is>
          <t>**Company Description**
**Join us and make YOUR mark on the World!**
 Lawrence Livermore National Laboratory (LLNL) has turned bold ideas into world\-changing impact advancing science and technology to strengthen U.S. security and promote global stability.
 Our mission spans four critical national security areas nuclear deterrence, threat preparedness, energy security, and multi\-domain defense empowering teams to take on the toughest challenges of today and tomorrow. With a culture built on innovation and operational excellence, LLNL is a place where your expertise can make a real impact.
**Job Description**
 Are you ready to lead a multi\-year, $600M program advancing the world’s most powerful laser systems in support of national security science? The National Ignition Facility (NIF) Sustainment team is seeking a
 **Deputy Program Manager** 
 to help oversee a portfolio of complex, interdependent projects focused on NIF and advanced laser systems. In this role, you will apply your technical expertise and strategic vision to deliver mission\-critical outcomes, optimize resources, and ensure operational readiness in a highly regulated environment.
 As the Deputy Program Manager, you will provide strategic and operational leadership to a dynamic team of 75–120 personnel across engineering, operations, procurement, quality, safety, and scientific disciplines. You will coordinate and integrate multiple sub\-projects, ensuring technical coherence, safety, and schedule performance across the entire portfolio. You will partner with program leadership, technical staff, and external stakeholders to drive execution, manage risks, and achieve long\-range goals for NIF and laser systems. This position is part of the Laser Systems Engineering \&amp; Operations (LSEO) Division within the Engineering Directorate.
**You will**
* Lead and manage teams, programs, and functions with a technical focus, operating under broad consultative direction and significant autonomy, using expert knowledge and extensive team leadership experience, and exercise judgment within established policies to monitor workflow, allocate resources, ensure timely completion of projects, and influence and direct high\-level strategic plans to achieve objectives while managing organizational and operational impact and attaining long\-range goals.
* Provide strategic technical and operational leadership for a large, multi\-disciplinary team, setting vision and strategy for reliability, quality, and mission delivery in NIF and laser systems.
* Lead, execute, and/or coordinate recruiting, hiring, training, career development, and performance and salary management activities as needed to meet programmatic staffing, employee development, and performance and salary related needs, including providing career counseling, mentoring, and technical guidance.
* Lead and oversee highly complex, interdependent sub\-projects, establishing program governance, cadence, and controls, including IMS, risk register, change control board, phase gates, and readiness reviews to ensure technical, safety, and regulatory compliance.
* Develop and maintain Work Breakdown Structure (WBS), cost accounts, and earned value management (EVM) practices; direct financial planning, budget control, and resource allocation for a $600M portfolio, including procurement strategies and vendor management.
* Lead program planning and execution, managing rolling IMS, baselines, and recovery plans, and coordinating system engineering V\-model activities, requirements traceability, ICDs, and configuration management.
* Champion reliability and lifecycle sustainment by developing and applying highly advanced systems engineering and asset management methods, and integrating upgrades, new technologies, and process improvements.
* Align technical baselines with operational objectives, ensuring laser safety, QA/QC, test plans, and validation criteria are embedded; drive design reviews, hazard analyses, FMEA, and readiness assessments.
* Scale and balance staffing across phases (75–120 FTEs), coordinate cross\-functional teams, develop RACI matrices and succession plans, and mentor project managers and team leads.
* Develop and maintain effective relationships and transparent communication with sponsors, lab leadership, safety authorities, and internal partners; lead risk and opportunity management, issue resolution, change requests, and scope discipline.
* Direct commissioning, ramp\-up, and transition to operations, ensuring training, SOPs, spares, reliability, and sustainment plans are in place for long\-term success.
* Perform other duties as assigned.
**Qualifications**
* Ability to secure and maintain a U.S. DOE Q level security clearance, which requires U.S. citizenship.
* Bachelor’s degree in Physics, Engineering, or related technical field, or the equivalent combination of education and related experience.
* Extensive technical leadership and management experience directing large, multi\-disciplinary technical and operations teams in a highly complex industrial, laboratory, or defense\-related environment.
* Extensive experience, expert level knowledge and skills, and demonstrated success with EVM, IMS, WBS, cost account management, and phase\-gate governance in a regulated environment.
* Extensive experience, expert level knowledge and skills, and demonstrated success in strategic planning, resource optimization, and driving innovation in technical settings.
* Extensive experience in effectively managing multi\-million\-dollar budgets, allocating resources strategically, collaborating with leadership to align annual priorities with organizational goals, and applying expert\-level knowledge of systems and engineering principles, infrastructure sustainment strategies, and asset management.
* Demonstrated extensive experience in facility operations involving cleanliness, stability, controls, and specialized laser systems.
* Demonstrated expert level skills and extensive experience in successfully resolving highly complex technical issues, tackling unique challenges, and sustaining critical infrastructure.
* Expert communication, facilitation, and collaboration skills necessary to effectively present, explain, influence, and advise professional colleagues, senior management, and external collaborators.
**Qualifications We Desire**
* Master’s degree in Physics, Engineering, or a related technical field, or the equivalent combination of education and related experience.
* PMP, PgMP, or equivalent program management certification.
* Experience in national laboratory, defense, nuclear, or high\-energy physics environments.
* Background in laser safety, QA/QC systems, and commissioning of complex facilities.
* Contract management experience with large vendors and specialized suppliers; familiarity with FAR/DFAR or similar frameworks.
**Pay Range**
 $272,970 \- $346,140 Annually
 This is the lowest to highest salary we in good faith believe we would pay for this role at the time of this posting; pay will not be below any applicable local minimum wage.  An employee’s position within the salary range will be based on several factors including, but not limited to, specific competencies, relevant education, qualifications, certifications, experience, skills, seniority, geographic location, performance, and business or organizational needs.
**Additional Information**
**Position Information**
 This is a Career Indefinite position, open to Lab employees and external candidates.
**Why Lawrence Livermore National Laboratory?**
* Included in 2026 Best Places to Work by Glassdoor!
* Flexible Benefits Package
* 401(k)
* Relocation Assistance
* Education Reimbursement Program
* Flexible schedules (\*depending on project needs)
* Our values \- visit https://www.llnl.gov/inclusion/our\-values
**Security Clearance**
 This position requires a Department of Energy (DOE) Q\-level clearance. If you are selected, we will initiate a Federal background investigation to determine if you meet eligibility requirements for access to classified information or matter. Also, all L or Q cleared employees are subject to random drug testing. Q\-level clearance requires U.S. citizenship.
**Pre\-Employment Drug Test**
 External applicant(s) selected for this position must pass a post\-offer, pre\-employment drug test. This includes testing for use of marijuana as Federal Law applies to us as a Federal Contractor.
**Wireless and Medical Devices**
 Per the Department of Energy (DOE), Lawrence Livermore National Laboratory must meet certain restrictions with the use and/or possession of mobile devices in Limited Areas. Depending on your job duties, you may be required to work in a Limited Area where you are not permitted to have a personal and/or laboratory mobile device in your possession. This includes, but not limited to cell phones, tablets, fitness devices, wireless headphones, and other Bluetooth/wireless enabled devices.
 If you use a medical device, which pairs with a mobile device, you must still follow the rules concerning the mobile device in individual sections within Limited Areas. Sensitive Compartmented Information Facilities require separate approval. Hearing aids without wireless capabilities or wireless that has been disabled are allowed in Limited Areas, Secure Space and Transit/Buffer Space within buildings.
**How To Identify Fake Job Advertisements**
 Please be aware of recruitment scams where people or entities are misusing the name of Lawrence Livermore National Laboratory (LLNL) to post fake job advertisements. LLNL never extends an offer without a personal interview and will never charge a fee for joining our company. All current job openings are displayed on the Career Page under “Find Your Job” of our website. If you have encountered a job posting or have been approached with a job offer that you suspect may be fraudulent, we strongly recommend you do not respond.
 To learn more about recruitment scams: https://www.llnl.gov/sites/www/files/2023\-05/LLNL\-Job\-Fraud\-Statement\-Updated\-4\.26\.23\.pdf
**Equal Employment Opportunity**
 We are an equal opportunity employer that is committed to providing all with a work environment free of discrimination and harassment. All qualified applicants will receive consideration for employment without regard to race, color, religion, marital status, national origin, ancestry, sex, sexual orientation, gender identity, disability, medical condition, pregnancy, protected veteran status, age, citizenship, or any other characteristic protected by applicable laws.
**Reasonable Accommodation**
 Our goal is to create an accessible and inclusive experience for all candidates applying and interviewing at the Laboratory. If you need a reasonable accommodation during the application or the recruiting process, please use our online form to submit a request.
**California Privacy Notice**
 The California Consumer Privacy Act (CCPA) grants privacy rights to all California residents. The law also entitles job applicants, employees, and non\-employee workers to be notified of what personal information LLNL collects and for what purpose. The Employee Privacy Notice can be accessed here.</t>
        </is>
      </c>
    </row>
    <row r="212">
      <c r="A212" t="inlineStr">
        <is>
          <t>li-4371580037</t>
        </is>
      </c>
      <c r="B212" t="inlineStr">
        <is>
          <t>Clinical Behavior Program Manager</t>
        </is>
      </c>
      <c r="C212" t="inlineStr">
        <is>
          <t>Redwood Family Care Network</t>
        </is>
      </c>
      <c r="D212" t="inlineStr">
        <is>
          <t>linkedin</t>
        </is>
      </c>
      <c r="E212">
        <f>HYPERLINK("https://www.linkedin.com/jobs/view/4371580037", "https://www.linkedin.com/jobs/view/4371580037")</f>
        <v/>
      </c>
      <c r="F212">
        <f>HYPERLINK("https://linkedin.sonicapply.com/us/linkedin/698597434d11a0c872037c57&amp;urlHash=9RE5", "https://linkedin.sonicapply.com/us/linkedin/698597434d11a0c872037c57&amp;urlHash=9RE5")</f>
        <v/>
      </c>
      <c r="G212" t="inlineStr">
        <is>
          <t>Everett, WA</t>
        </is>
      </c>
      <c r="H212" t="inlineStr"/>
      <c r="I212" t="inlineStr">
        <is>
          <t>Changing Lives Shaping The Future
 Clinical Behavioral Program Manager
 (For Supported Living Services)
 Job Title:
 Clinical Behavioral Program Manager
 (BCBA)
 Salary Range: $85,000 \- $100,000
 Job Status: Full Time
 Work Base: Spokane Area 
 Helping You Live Life to the Fullest! SAILS Washington is dedicated to providing quality community\-based support services for people of all ages and needs.
 SAILS Washington is an innovative leader in delivering person\-centered home and community\-based services to individuals with intellectual and developmental disabilities. Our Mission is to provide World Class person\-centered services, support and advocacy for individuals in positive and life\-enriching environments.
 SAILS Washington takes a ZERO tolerance stance on abuse and neglect. Any allegations will be reported to the proper authorities. We are committed to the Health and Safety of the individuals we support. Our employees share a passion for making a positive impact in the lives of others. We are looking for individuals who share our Mission, Vision, and Core Values.
 All applicants are subject to a background check. Once a conditional offer is made and a background check has been completed, if SAILS Washington is concerned about a conviction that is directly related to the job, we reserve the right to withdraw the offer of employment.
 Benefits we Provide:
    Medical, Vision and Dental Insurance
    Voluntary Short\-term and Long\-term Disability
    Employee Assistance Program (EAP)
    Company Paid Basic Life Insurance \&amp; ADD plus Voluntary Life Insurance
    Accrued Paid Time Off
    Unlimited Peer Referral Program
    On\-Demand Pay!!
    Working Advantage employee discount program
    Health Savings Account (HSA)
    Flexible Savings Account (FSA)
    401(K)
    Capella University Discount
 Summary: 
 The Clinical Behavior Program Manager ensures and maintains regulatory compliance as mandated by licensing and Regional Centers. The Clinical Behavior Program Manager will develop initial positive behavior support plan (PBSP). Create \&amp; implement behavior support protocols specific to the particular behavioral needs of each client. Must be a Board Certified Behavioral Analyst (BCBA), Licensed Professional Counselor (LPC), Marriage and Family Therapist (MFT), Licensed Behavior Analyst (LBA), or Board Certified Assistant Behavior Analyst (BCaBA).  
 Essential Duties and Responsibilities: 
    Responsible for performing and delivering curriculum and learning material and overseeing all operations of Washington SAILS training program as reflected by the following duties and responsibilities:
 •    Observes clients on an individualized basis.
 •    Develop Initial PBSP and updates as needs change
 •    Collects, organizes, analyzes and disseminates behavioral data.
 •    Train direct staff to the PBSP and periodically (weekly) reviews behavior data to ensure direct staff are tracking properly
 •    Produces, reviews and modifies PBSP
 •    Provide training to our Residential staff on clients’ behavioral plans.
 •    Attends client care committee meetings
 •    Works with Behavior Support Director to ensure compliance for department
 •    Works with stakeholders: teachers, guardians, caseworkers, medical specialists and direct staff.
 •    Attends planning meetings to develop or modify behavioral plans.
 •    Participates in the screening of referrals and initial intake assessment of potential clients.
 •    Conducts fidelity evaluation to ensure behavioral support plans are being implemented and services are delivered as designed.
 •    Works with Behavior Support Director to create and provide training related to behavioral support to our residential team.
 •    Maintains and promotes SAILS Behavioral and Organizational Philosophy, and policies and procedures.
 •    Participates in client psychoactive medication review appointments.
 •    Creates and implements visual aids as needed for clients.
 •    Reviews all incident reports related to behavioral episodes.
 •    Provides progressive counseling to staff relating to their knowledge, implementation and the progress of clients per their behavior plans.
 •    Evaluate potential clients for placement into supported living residential homes
 •    Work in collaboration with other behavioral professionals, supervisors, case managers and client guardians
 •    Provide one to one and group training for staff as needed and complete weekly review of data.
 •    Enter behavior data into excel or other tracking software for annual and semi\-annual reporting purposes.
    Other duties as assigned
 Required education and experience:
    Must have one of the following certificates or licenses:
* Board Certified Behavioral Analyst 
 (BCBA)
* Licensed Professional Counselor
 (LPC)
* Marriage and Family Therapist
 (MFT)
* Licensed Behavior Analyst 
 (LBA)
* Board Certified Assistant Behavior Analyst
 (BCaBA)
 •    Must be at least 21 years of age.
 •    Must have a minimum of three years supervisory experience in social work, child care, and/or support staff industry providing direct services to the elderly and or children/adults with developmental disabilities.
 •    Experience providing behavioral tech support to adults of children with Autism, Intellectual Disability, Behavioral Disorders or Mental Health
 •    Must have fingerprints and criminal clearance prior to starting. 
 •    Must have a driver's license and a vehicle to drive.
 Licensing Requirements:
    Must pass a Washington State background check
    First Aid/CPR Certified (within 120 days of employment, training can be provided)
    Blood Borne Pathogen (within 120 days of employment, training can be provided)
    Need to obtain CPI Blue Card
 SAILS Washington and Citizen Access Residential Resources are part of the Redwood Family Care Network family of companies. Operating in California, Washington, Arizona, and Nevada. Responsible, Compassionate \&amp; Trusted. Redwood Family Care Network’s mission is to provide World Class person\-centered services, support and advocacy for individuals in positive and life\-enriching environments. 
 Providing Excellent Support and Advocacy</t>
        </is>
      </c>
    </row>
    <row r="213">
      <c r="A213" t="inlineStr">
        <is>
          <t>li-4367653671</t>
        </is>
      </c>
      <c r="B213" t="inlineStr">
        <is>
          <t>Retirement &amp; Financial Benefits Program Manager</t>
        </is>
      </c>
      <c r="C213" t="inlineStr">
        <is>
          <t>Veolia | North America</t>
        </is>
      </c>
      <c r="D213" t="inlineStr">
        <is>
          <t>linkedin</t>
        </is>
      </c>
      <c r="E213">
        <f>HYPERLINK("https://www.linkedin.com/jobs/view/4367653671", "https://www.linkedin.com/jobs/view/4367653671")</f>
        <v/>
      </c>
      <c r="F213" t="inlineStr"/>
      <c r="G213" t="inlineStr">
        <is>
          <t>Paramus, NJ</t>
        </is>
      </c>
      <c r="H213" t="inlineStr"/>
      <c r="I213" t="inlineStr">
        <is>
          <t>**Company Description**
 Veolia in North America is the top\-ranked environmental company in the United States for three consecutive years, and the country's largest private water operator and technology provider as well as hazardous waste and pollution treatment leader. It offers a full spectrum of water, waste, and energy management services, including water and wastewater treatment, commercial and hazardous waste collection and disposal, energy consulting and resource recovery. Veolia helps commercial, industrial, healthcare, higher education and municipality customers throughout North America. Headquartered in Boston, Veolia has more than 10,000 employees working at more than 350 locations across North America.
**Job Description**
**Position Purpose:**
 You contribute to Veolia's success by overseeing \&amp; executing implementation, compliance, legislative changes, analysis, plan management, administration support, vendor management, RFP \&amp; integration, relevant projects and communication of all retirement \&amp; financial benefit plans including, but not limited to, 401(k), pension, nonqualified programs, life insurance and/or retiree medical welfare plans. Provide support on union negotiations \&amp;/or merger and acquisition (M\&amp;A) initiatives by assessing retirement proposals during negotiations, potential acquisitions due diligence and leading the integration of retirement \&amp; financial benefit strategies and programs for newly acquired entities. Individual contributor role.
**Primary Duties/Responsibilities**
* Manage, support and deliver employee qualified and nonqualified retirement programs projects and other financial benefits and education for employees, HR team and managers.
* Support retirement programs project management for union negotiations \&amp;/or acquired companies \&amp;/or M\&amp;A, oversee the project and implementation of competitive harmonized retirement benefits.
* Partner with ERISA counsel and vendors to ensure compliance requirements meet or exceed for all retirement plans including providing guidance regarding new or existing DOL and IRS regulations relating to plan audits, financial reporting, government form filings (e.g., Form 5500\), funding notices (SAR/AFN) and reporting, SPD/plan amendments etc.
* Maintain awareness of current retirement benefits programs, market trends, legislative, tax, and social changes. Assess impact to the Company's programs and design, advise senior leadership on recommended improvements and necessary updates, and manage implementation of changes as needed.
* Lead the communication/marketing of benefits programs to ensure that the financial investment is optimized through employee understanding, attraction and retention.
* Develop fiscal year budget for all retirement program costs. Accountable for tracking plan costs on monthly, quarterly \&amp;/or annual basis.
* Serve as liaison and manage relationships with investment advisors with regard to investment management, quarterly fiduciary meetings, etc.
* Coordinate fiduciary meetings, non\-discrimination testing, audits and/or any other matters related to retirement \&amp; financial benefit plans to ensure compliant plan management.
* Design, develop, monitor, and analyze benchmarking data and other metrics relevant to retirement and financial benefits.
* Partner with People (HR) Services \&amp; HRIS to provide guidance and support timely day to day matters \&amp;/or corrections.
* Support evaluation, recommendation and/or selection of retirement and/or financial benefit providers. Make recommendations to management and act as a key facilitator for decisions in negotiations with benefit providers, auditors and consultants for services and implement all programs and initiatives on time, on budget as approved.
* Lead \&amp; execute projects and initiatives with cross functional areas, such as internal shared services, other members of the benefits' team, business unit teams, labor relations and/or outside vendors.
* Collaborate with HR partners to ensure a good understanding of programs and policies and to ensure coordination across groups.
* Ensure programs and processes are documented, appropriately administered and that the highest standards of service and compliance are regularly met.
* Serve in a consultative role for Canadian benefits team.
**Work Environment**
* Office work environment.
**Qualifications**
**Education/Experience/Background:**
* BA or BS in a related area or equivalent experience required; graduate degree preferred.
* 8\+ plus years of experience with a strong background development, compliance and delivery of qualified defined contributions (401(k), defined benefits (pension) and retiree welfare retirement benefit programs for large companies. Combination corporate \&amp; consulting experience preferred. Combined with 4\+ years of M\&amp;A activities \&amp; complex labor unions environment.
* Experience merging \&amp; managing complex U.S. \&amp; Puerto Rico qualified and non\-qualified defined benefits (DB) and defined contribution (DC) plans for acquired companies and complex complex labor unions individual \&amp; multiemployer retirement plans is required.
* Demonstrated experience with Workday HRIS, Defined Contribution (DC) \&amp; Defined Benefits (DB) provider tools (e.g., Fidelity 401k provider, Wex benefits administration, WTW EEpoint) system, pension administration tools \&amp; AI experience required.
* Experience in working in an environment with HR Shared Services or outsourced HR Operations.
* Experience in administration of both pension \&amp; 401k Defined Benefits (DB) \&amp; Defined Contribution (DC) retirement plans.
**Knowledge/Skills/Abilities**
* High level of attention to detail.
* Proven ability to develop and monitor processes to ensure plan management is of the highest quality.
* Proven project management skills \&amp; demonstrated experience with project management tools.
* Excellent capability to utilize Google Suite products such as Google Doc, Google Sheets \&amp; Google Slides.
* Comprehensive knowledge of retirement benefit plan principles and practices, as well as state and federal government regulations, compliance \&amp; operations.
* Strong analytical skills and understanding of retirement actuarial concepts and problem\-solving skills, to assess, identify problems and escalate when necessary.
* A track record of building strong relationships and people partnership skills.
* Excellent verbal and written communication skills to participants, vendor partners and broad level of internal stakeholders.
* Strong ability to present information in an objective and logical manner for effective decision making as well as strong negotiation and influencing ability.
* Ability to work effectively in a fast\-paced, team\-oriented, "hands\-on" environment.
* Ability to maintain confidential information.
* Knowledge of Canadian benefit plans an asset.
**Required Certification/Licenses/Training**
* Specialty retirement, compensation and/or benefits certification preferred.
**Additional Information**
**Pay Range** 
 : $107000 to $145000 Per Year.
**Benefits:** 
 Veolia's comprehensive benefits package includes paid time off policies, as well as health, dental, vision, life insurance, savings accounts, tuition reimbursement, paid volunteering and more. In addition, employees are also entitled to participate in an employer sponsored 401(k) plan, to save for retirement. Pay and benefits for employees represented by a union are outlined in their collective bargaining agreement.
 Sick leave \- 56 hours; Observed Holidays \- 11 days; Vacation \- Flexible Time Off
 Eligible for up to 20% Annual Performance Bonus.
 We are an Equal Opportunity Employer! All qualified applicants will receive consideration for employment without regard to race, color, religion, sex, sexual orientation, gender identity, national origin, disability or protected veteran status.
 Disclaimer: The salary, other compensation, and benefits information is accurate as of the date of this posting. The Company reserves the right to modify this information at any time, subject to applicable law.</t>
        </is>
      </c>
    </row>
    <row r="214">
      <c r="A214" t="inlineStr">
        <is>
          <t>li-4364431029</t>
        </is>
      </c>
      <c r="B214" t="inlineStr">
        <is>
          <t>Senior Product Manager, Earner Intelligence</t>
        </is>
      </c>
      <c r="C214" t="inlineStr">
        <is>
          <t>Uber</t>
        </is>
      </c>
      <c r="D214" t="inlineStr">
        <is>
          <t>linkedin</t>
        </is>
      </c>
      <c r="E214">
        <f>HYPERLINK("https://www.linkedin.com/jobs/view/4364431029", "https://www.linkedin.com/jobs/view/4364431029")</f>
        <v/>
      </c>
      <c r="F214" t="inlineStr"/>
      <c r="G214" t="inlineStr">
        <is>
          <t>San Francisco, CA</t>
        </is>
      </c>
      <c r="H214" t="inlineStr"/>
      <c r="I214" t="inlineStr">
        <is>
          <t>**About The Role**
 Are you an experienced Machine Learning Product Manager who likes to ship products to end users? Are you looking to build impactful ML products, platforms, and pioneer innovation within Uber? If so, this role might be for you.
 You will identify and work on key opportunities to bring more growth and efficiency, leveraging our wealth of data and different ML techniques, while spearheading innovation and building platforms to scale the impact to more use cases. This requires judgment to make difficult trade\-offs, blending ML with user experience, and the ability to build simplicity from complexity.
 In this role, you will build ML products to power user\-facing solutions, and also develop platform tools that are used across teams, with a primary focus on Earners \- drivers and couriers.
**About The Team**
 We are the Earner Intelligence team, focused on creating ML solutions and platforms to drive and scale efficient growth. We build products to tailor the product experience throughout the earner lifecycle from user acquisition, to conversion, early lifecycle, and retention, while also working with other (domain") teams to ship solutions and to scale to more use cases.
 The team employs a variety of ML/AI techniques, spanning from causal ML, supervised ML, multi\-armed bandits, genAI LLM to deep learning embeddings to build impactful products.
 Our goal is to make sure that the earner journey is great at every touch point, that we build trust with Earners, and that we drive efficient growth to Uber's core business and its strategic bets.
**What The Candidate Will Need / Bonus Points**
 \-\-\-\- What the Candidate Will Do \-\-\-\-
* Own the product roadmap and lead vision, definition, and execution for building Uber's strategy on efficient growth and user experience optimization using ML.
* The team employs a variety of ML/AI techniques, spanning from causal ML meta learners, supervised ML, RL multi\-armed bandits, genAI LLM to deep learning embeddings to build impactful data products.
* Rethink the journey \- deeply understand earners, their motivations and challenges, and keep making their experience better.
* Model and predict earner behaviors to improve earner experience throughout the onboarding funnel
* Design recommendation engines to recommend the most relevant earning opportunities and early lifecycle content
* Develop matching algorithms for driver to driver mentorship program
* A lot more
* Innovate \- find new ways of using ML to drive efficient growth and user experience improvements with new technologies.
* Distill vision and strategy for the team, work closely with multi\-functional leads to develop technical vision, new methodological approaches, and get all members of cross\-functional teams \#superpumped.
* Own your numbers, drive your cross\-functional team of engineers, data scientist, product ops and designers to set qualitative objectives and quantitative goals \- and overachieve them.
* Clearly communicate product plans, benefits, and results to leadership.
**Basic Qualifications**
* Minimum of 4 years of Machine Learning Product Management experience.
* Bachelor's or equivalent experience in Computer Science, Machine Learning, Statistics, Engineering, or other related fields
* Experience with launching ML\-based projects, including data collection and clean up, model training and observability, using distinct ML techniques for different applications.
* Experience delivering highly successful and creative consumer products with your fingerprints all over them in Search, Recommendation, Targeting, Pricing, Incentives, or related \- you're proud of what you've accomplished.
* Expertise in the design and architecture of ML systems and workflows.
* Experience in exploratory data analysis, statistical modeling, hypothesis testing, and experimental design.
* Data\-driven: you always get the data you need, and you can distill it into an insightful story. Most importantly, you leverage data to drive strategic decisions.
**Preferred Qualifications**
* Experience with optimization techniques, including reinforcement learning (RL), Bayesian methods, causal ML meta learners, genAI LLM.
* Experience building and productionizing innovative end\-to\-end Machine Learning systems.
* Experience in building and optimizing complex user flows
* Launching products in different international markets
 For San Francisco, CA\-based roles: The base salary range for this role is USD$190,000 per year \- USD$211,000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 For San Francisco, CA\-based roles: The base salary range for this role is USD$190,000 per year \- USD$211,000 per year. You will be eligible to participate in Uber's bonus program, and may be offered an equity award \&amp; other types of comp. All full\-time employees are eligible to participate in a 401(k) plan. You will also be eligible for various benefits. More details can be found at the following link https://jobs.uber.com/en/benefits.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2026-02-13T04:03:21Z</dcterms:created>
  <dcterms:modified xsi:type="dcterms:W3CDTF">2026-02-13T04:03:21Z</dcterms:modified>
</cp:coreProperties>
</file>