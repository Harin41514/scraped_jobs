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in-2bfadbfbb8dbd4b7</t>
        </is>
      </c>
      <c r="B2" t="inlineStr">
        <is>
          <t>Senior Data Engineer</t>
        </is>
      </c>
      <c r="C2" t="inlineStr">
        <is>
          <t>Goddard Systems Inc</t>
        </is>
      </c>
      <c r="D2" t="inlineStr">
        <is>
          <t>indeed</t>
        </is>
      </c>
      <c r="E2" t="inlineStr"/>
      <c r="F2" t="inlineStr"/>
      <c r="G2" t="inlineStr">
        <is>
          <t>Philadelphia, PA, US</t>
        </is>
      </c>
      <c r="H2" s="2" t="n">
        <v>46065</v>
      </c>
      <c r="I2" t="inlineStr">
        <is>
          <t>Come join our Goddard Systems, LLC (GSL) corporate team! We are a great place to work and offer many employee\-friendly perks and benefits. GSL is the manager of the Goddard School franchise system that supports over 600 schools which delivers a high\-quality, play\-based learning program to families all over the United States. Our successful franchise business model supports franchisees through partnerships with teams of seasoned professionals who draw over 30 years of business, marketing, IT, franchise, finance, and education experience. Because of this, The Goddard School has grown into an institution that parents and families trust, reaching more than 80,000 students in 38 states – and growing.
**Position Summary**
As a Senior Data Engineer, the candidate will be responsible in integrating, analyzing raw data, developing, and maintaining datasets and improving data quality and efficiency. The engineer needs to have strong analytical skills and will involve various methods to integrate different data sources, transform data into useful business drivers. Candidate should be intimate with several data stores, integration tools/technologies, data transformation methods, data modelling and analysis. Candidate should be able to work across projects involving multiple stakeholders. Having strong technical and programming skills while working with business, architects, partners to resolve complex system issues.
**Responsibilities:**
* Develops and maintains scalable data pipelines, integration tools and builds out new API integrations to support continuing increases in data usage, volume, and complexity.
* Building analytical tools to utilize the data pipeline, providing actionable insight into key business performance metrics including operational efficiency and customer acquisition.
* Designs data integrations, data quality framework and integrate it with monitoring services. Strong hands on capabilities across integration toolsets including but not limited to ADF, Replication, CDC etc.
* Integrate data from different SOR’s, combine raw information and create resulting models ready for consumption.
* Interpret trends and patterns.
* Performs data analysis required to troubleshoot data related issues and assist in the resolution of data issues.
* Identifying, designing, and implementing internal process improvements including re\-designing infrastructure for greater scalability, DB, SQL, and data pipelines performance tuning, optimizing data delivery, and automating manual processes
* Build solution prototypes as needed and write algorithms against data.
* Implements processes and systems to monitor data quality, ensuring production data is always accurate and available for key stakeholders and business processes that depend on it.
* Collaborates with analytics and business teams to improve data models that feed business intelligence tools, increasing data accessibility, and fostering data\-driven decision making across the organization.
* Works closely with a team of frontend and backend engineers, product managers, and analysts
* Data Management, Modelling, Architecture, and Integration
**Experience and Competencies**
***Minimum Requirements***
* Bachelor's degree in data analytics or similar field.
* Hands\-on 7\+ years' experience with SQL, Data integration, Data analysis, Data Modelling, and design
* 4\+ years of Python, NodeJs or Java development experience
* 4\+ years of experience with schema design and dimensional data modeling
* Experience in technology platforms across Microsoft Azure, Cloud Computing, Software as a Services (SaaS), Integration Platform as a Service (IPaaS), Infrastructure as a Service (IaaS)
* Previous experience as a data engineer or in a similar role
* Technical expertise with data models, data mining, and segmentation techniques
* Experience working and implementing solutions with Microservices Architecture
* Experience working with Data warehousing and Data Lake solutions.
* Demonstrated ability to instrument Data Quality \&amp; Management standards and processes.
* 4\+ years working with data integration and ETL tools, such as Azure Data Factory, CDC, Replication, Talend, Informatica etc.
* Strong problem\-solving and analytical skills
***Highly Desired***
* Master's degree in data analytics or related field
* Data engineering certifications is a plus
***There will be periodic requirements to travel for in\-person events, at the discretion of your manager or the requirement of the company.***</t>
        </is>
      </c>
    </row>
    <row r="3">
      <c r="A3" t="inlineStr">
        <is>
          <t>in-5269e2de2b0c43cb</t>
        </is>
      </c>
      <c r="B3" t="inlineStr">
        <is>
          <t>Staff Data Engineer, Fintech</t>
        </is>
      </c>
      <c r="C3" t="inlineStr">
        <is>
          <t>Intuit</t>
        </is>
      </c>
      <c r="D3" t="inlineStr">
        <is>
          <t>indeed</t>
        </is>
      </c>
      <c r="E3" t="inlineStr"/>
      <c r="F3" t="inlineStr"/>
      <c r="G3" t="inlineStr">
        <is>
          <t>Mountain View, CA, US</t>
        </is>
      </c>
      <c r="H3" s="2" t="n">
        <v>46064</v>
      </c>
      <c r="I3" t="inlineStr">
        <is>
          <t>**Overview**
------------
Come join the Data Solutions Engineering Team as a Staff Software Engineer. We are leveraging big data technologies to gain new insights into our Fintech Data Engineering function using data frameworks, ingestion pipelines and tools. Some of the technologies we are leveraging include Hadoop, Hive and AWS Big Data Systems (EMR, Redshift, S3\).
 **Responsibilities**
* Drive projects in the Fintech Data Engineering by working cross\-functionally with BI teams, Analysts, Data scientists, Product Managers etc
* Customer empathy and delight will be the main drivers for success
* 70\-85% hands\-on development in all phases of the software life cycle.
* Designing end to end data pipeline given business and ops requirements (ingestion, processing and storage).
* Conduct design and code reviews
* Identify dependencies, estimate work, sequence tasks as inputs to building project plans
* Collaborates effectively with peer engineers and architects to solve complex engineering problems
* Influences and communicates effectively with non\-technical audiences including senior product managers and business stakeholders
* Focus on operational excellence through root cause analysis and continuous improvement.
* Ability to proactively follow issues through to resolution
* Contribute to innovations that fuel the growth of Intuit as a whole
 **Qualifications**
* 10\+ years software development experience with work experience in developing DB schemas, creating ETLs, and familiarity with MPP/Hadoop systems.
* Advanced experience with scripting language – Python, Shell etc.
* Experience with Amazon web services: EC2, S3, and EMR (Elastic Map
* Reduce), Redshift or equivalent cloud computing approaches
* Hands on experience with Hadoop stack of technologies – mainly Hive, Hive on Spark
* Big Data: Designing, Building and maintaining highly scalable, robust \&amp; fault\-tolerant complex data processing pipelines from the ground up
* Experience working with large data volumes
* Experience creating and consuming JSON/REST web services and
* communicating with systems
* Strong knowledge of software development methodologies and practices
* Experience working in Agile development teams; working knowledge of Agile (Scrum) development methodologies
* Operational mindset with ability to do Problem, SLA and Incident Management
* Strong expertise in writing analytical SQLs, Data Marts, Data Warehousing and analytic architecture
* BS/MS in Computer Science or equivalent work experience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to $252,000</t>
        </is>
      </c>
    </row>
    <row r="4">
      <c r="A4" t="inlineStr">
        <is>
          <t>in-6d3f9a9cee238814</t>
        </is>
      </c>
      <c r="B4" t="inlineStr">
        <is>
          <t>AI Trainers: Data Engineer</t>
        </is>
      </c>
      <c r="C4" t="inlineStr">
        <is>
          <t>Excel TurnArounds</t>
        </is>
      </c>
      <c r="D4" t="inlineStr">
        <is>
          <t>indeed</t>
        </is>
      </c>
      <c r="E4" t="inlineStr"/>
      <c r="F4" t="inlineStr"/>
      <c r="G4" t="inlineStr">
        <is>
          <t>US</t>
        </is>
      </c>
      <c r="H4" s="2" t="n">
        <v>46065</v>
      </c>
      <c r="I4" t="inlineStr">
        <is>
          <t>Summary
Join a dynamic Marketing Science Team, where you'll help build robust data foundations to optimize advertising performance. The team is focused on transforming validated solutions into actionable insights, promoting them across marketing and sales channels, and unlocking advanced feedback mechanisms to better understand and serve customers.
Responsibilities
Develop and optimize real\-time data pipelines from existing data sources. Structure and organize large datasets for fast, smooth operations. Build and maintain data tables supporting multiple marketing signals across millions of advertisers. Collaborate with team members and act quickly on feedback. Serve as the data expert for marketing science initiatives.
Requirements
* Proven experience building data pipelines and infrastructure.
* Strong skills in Python (preferred) and SQL.
* Ability to creatively structure data for performance and scalability.
* Experience working with large volumes of data (millions of rows).
* Bachelor’s degree in Computer Science, Data Analytics, or related field.
* Strong collaboration and communication skills.
* Experience with customer lifecycle management, CRM data, or marketing data tables is a plus.
* Comfortable working in fast\-paced environments with large datasets.
Pursuant to the California Fair Chance Act, Los Angeles County Fair Chance Ordinance for Employers, Los Angeles Fair Chance Initiative for Hiring Ordinance, and San Francisco Fair Chance Ordinance, qualified applicants will be considered for assignment with arrest and conviction records.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meet client expectations, standards, and accompanying requirements, and safeguard business operations and reputation.
We consider all qualified applicants without regard to legally protected characteristics and provide reasonable accommodations upon request.
Location Requirement: United States
Job Type: Part\-time
Pay: $115\.00 \- $140\.00 per hour
Work Location: Remote</t>
        </is>
      </c>
    </row>
    <row r="5">
      <c r="A5" t="inlineStr">
        <is>
          <t>in-81ef728feee4e881</t>
        </is>
      </c>
      <c r="B5" t="inlineStr">
        <is>
          <t>Senior Data Engineer</t>
        </is>
      </c>
      <c r="C5" t="inlineStr">
        <is>
          <t>LTIMindtree</t>
        </is>
      </c>
      <c r="D5" t="inlineStr">
        <is>
          <t>indeed</t>
        </is>
      </c>
      <c r="E5" t="inlineStr"/>
      <c r="F5" t="inlineStr"/>
      <c r="G5" t="inlineStr">
        <is>
          <t>Irving, TX, US</t>
        </is>
      </c>
      <c r="H5" s="2" t="n">
        <v>46064</v>
      </c>
      <c r="I5" t="inlineStr">
        <is>
          <t>**Role description** **Job Title:** Senior Data Engineer
**Work Location** : Irving, Texas
**Job Description:**
* This role is for Quality Engineering team where 70percent of effort will be for developing automation frameworks for testing Remaining 30percent effort will be on manual testing until its fully automated
* Exp 2 to 4 Years Must have good technical experience and should be able to provide technical solutions for multiple modules in parallel on need basis and bring the task to closure on time
* At least 2 years of development work experience in Hadoop programming HDFS using pyspark Hive based Data warehouse projects and with good Shell Scripting experience
* Responsible for understanding requirements and developing automation solutions to validate the data loaded by Development team
* Expecting to have some UIAngular Power BI experience as well Excellent communication and documentation skill
* Very good at team playing and flexibility to work in different time zones based on project needs
* Should be able to work independently
* Prior Experience to any Databases like Oracle SQL Server ETL will be added advantage
* Nice to Have DQ Experience Autosys Jenkin RLM etc
* Proactive and have good communication skills to articulate technical issues Exposure to Confluence JIRA
**Skills**  
**Mandatory Skills :** Python for DATA, Apache Spark, Python, SparkSQL, Big Data Hadoop Ecosystem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$79851 to $107720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6">
      <c r="A6" t="inlineStr">
        <is>
          <t>in-aec1be7783933f8f</t>
        </is>
      </c>
      <c r="B6" t="inlineStr">
        <is>
          <t>Cloud Data Engineer</t>
        </is>
      </c>
      <c r="C6" t="inlineStr">
        <is>
          <t>American business solutions inc</t>
        </is>
      </c>
      <c r="D6" t="inlineStr">
        <is>
          <t>indeed</t>
        </is>
      </c>
      <c r="E6" t="inlineStr"/>
      <c r="F6" t="inlineStr"/>
      <c r="G6" t="inlineStr">
        <is>
          <t>Richmond, VA, US</t>
        </is>
      </c>
      <c r="H6" s="2" t="n">
        <v>46064</v>
      </c>
      <c r="I6" t="inlineStr">
        <is>
          <t>##### **Engagement Type**
Contract
##### **Complete Description**
We are seeking a skilled Cloud Data Engineer to join our development team and help build modern, cloud‑native applications across leading cloud platforms, with a particular emphasis on Microsoft Azure. Working within OIM (Office of Information Management) and under guidance from SEAT (Solutions Engineering and Architecture Team), the ideal candidate will have a strong background in software engineering, cloud services, and a passion for designing scalable, secure, and reliable solutions. Additionally, they will explore emerging data technologies, stay updated with industry advancements, and document processes for knowledge sharing. The engineer will also support the Data Management team in all its data transmission tasks.
##### **Required/Desired Skills**
Skill Required/Desired Amount of Experience Azure, AWS, Google Cloud Required 4\.0 Years Azure App Service, AKS, Functions, Storage, Databases Required 4\.0 Years Docker, Kubernetes Required 3\.0 Years C\#, Java, Python, Go, Node.js Required 3\.0 Years Azure DevOps, Gitlab, GitLab Required 3\.0 Years IAM, Data Protection, Cloud Security Best Practices Required 3\.0 Years SQL Server, Oracle, NoSQL Databases Required 3\.0 Years Agile Methodologies, DevOps Practices Required 3\.0 Years Communication, Problem Solving, Collaboration Required 4\.0 Years</t>
        </is>
      </c>
    </row>
    <row r="7">
      <c r="A7" t="inlineStr">
        <is>
          <t>in-e11e2a182d43e3a6</t>
        </is>
      </c>
      <c r="B7" t="inlineStr">
        <is>
          <t>Sr. Data Engineer - ANH</t>
        </is>
      </c>
      <c r="C7" t="inlineStr">
        <is>
          <t>Cargill</t>
        </is>
      </c>
      <c r="D7" t="inlineStr">
        <is>
          <t>indeed</t>
        </is>
      </c>
      <c r="E7" t="inlineStr"/>
      <c r="F7" t="inlineStr"/>
      <c r="G7" t="inlineStr">
        <is>
          <t>Wayzata, MN, US</t>
        </is>
      </c>
      <c r="H7" s="2" t="n">
        <v>46064</v>
      </c>
      <c r="I7" t="inlineStr">
        <is>
          <t>Cargill is a family company committed to providing food and agricultural solutions to nourish the world in a safe, responsible, and sustainable way. We sit at the heart of the supply chain, partnering with producers and customers to source, make and deliver products that are vital for living. By providing customers with life’s essentials, we enable businesses to grow, communities to prosper, and consumers to live well.
This position is in our specialized portfolio enterprise where we serve diverse businesses who support unique customers or markets, including animal nutrition and health, bioindustrial, road safety salt and Cargill joint ventures.
**Job Purpose and Impact**
--------------------------
The Senior Professional, Data Engineering job designs, builds and maintains complex data systems that enable data analysis and reporting. With minimal supervision, this job ensures that large sets of data are efficiently processed and made accessible for decision making.
**Key Accountabilities**
------------------------
* DATA INFRASTRUCTURE: Prepares data infrastructure to support the efficient storage and retrieval of data.
* DATA FORMATS: Examines and resolves appropriate data formats to improve data usability and accessibility across the organization.
* DATA \&amp; ANALYTICAL SOLUTIONS: Develops complex data products and solutions using advanced engineering and cloud based technologies, ensuring they are designed and built to be scalable, sustainable and robust.
* DATA PIPELINES: Develops and maintains streaming and batch data pipelines that facilitate the seamless ingestion of data from various data sources, transform the data into information and move to data stores like data lake, data warehouse and others.
* DATA SYSTEMS: Reviews existing data systems and architectures to identify areas for improvement and optimization.
* STAKEHOLDER MANAGEMENT: Collaborates with multi\-functional data and advanced analytic teams to gain requirements and ensure that data solutions meet the functional and non\-functional needs of various partners.
* DATA FRAMEWORKS: Builds complex prototypes to test new concepts and implements data engineering frameworks and architectures that improve data processing capabilities and support advanced analytics initiatives.
* AUTOMATED DEPLOYMENT PIPELINES: Develops automated deployment pipelines improving efficiency of code deployments with fit for purpose governance.
* DATA MODELING: Performs complex data modeling in accordance to the datastore technology to ensure sustainable performance and accessibility.
**Qualifications**
------------------
Minimum requirement of 4 years of relevant work experience. Typically reflects 5 years or more of relevant experience.
Preferred Qualifications:
* Previous experience in the animal nutrition or feed additives industry is highly preferred.
* CLOUD ENVIRONMENTS: Experience developing data systems on major cloud platforms (AWS, GCP, Azure).
* DATA ARCHITECTURE: Hands\-on experience building modern data architectures, including data lakes, data lakehouses, and data hubs, along with related capabilities such as ingestion, governance, modeling, and observability.
* DATA INGESTION: Demonstrated proficiency in data collection, ingestion tools (Kafka, AWS Glue), and storage formats (Iceberg, Parquet).
* DATA STREAMING: Experience developing data pipelines with streaming architectures and tools (Kafka, Flink).
* DATA MODELING: Expertise in data transformation and modeling using SQL\-based frameworks and orchestration tools (dbt, AWS Glue, Airflow). Deep experience with modeling concepts like SCD and schema evolution.
* DATA TRANSFORMATION: Strong background with using Spark for data transformation, including streaming, performance tuning, and debugging with Spark UI.
* PROGRAMMING: Advanced programming skills in Python, Java, Scala, or similar languages. Expert\-level proficiency in SQL for data manipulation and optimization.
* DEVOPS: Demonstrated experience in DevOps practices, including code management, CI/CD, and deployment strategies.
* DATA GOVERNANCE: Strong background in data governance principles, including data quality, privacy, and security considerations for data product development and consumption.
\#LI\-NS7
The business will not sponsor visas for this position.
**Information for Minnesota Based Applicants**
----------------------------------------------
The expected salary for this position is $105,000\-175,000\.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Minnesota Sick and Safe Leave accruals of one hour for every 30 worked, up to 48 hours per calendar year unless otherwise provided by law.
Equal Opportunity Employer, including Disability/Vet</t>
        </is>
      </c>
    </row>
    <row r="8">
      <c r="A8" t="inlineStr">
        <is>
          <t>in-1851b0068e1d267f</t>
        </is>
      </c>
      <c r="B8" t="inlineStr">
        <is>
          <t>Data Engineer III - AWS / Databricks</t>
        </is>
      </c>
      <c r="C8" t="inlineStr">
        <is>
          <t>JPMorganChase</t>
        </is>
      </c>
      <c r="D8" t="inlineStr">
        <is>
          <t>indeed</t>
        </is>
      </c>
      <c r="E8" t="inlineStr"/>
      <c r="F8" t="inlineStr"/>
      <c r="G8" t="inlineStr">
        <is>
          <t>Plano, TX, US</t>
        </is>
      </c>
      <c r="H8" s="2" t="n">
        <v>46064</v>
      </c>
      <c r="I8" t="inlineStr">
        <is>
          <t>**JOB DESCRIPTION**  
Be part of a dynamic team where your distinctive skills will contribute to a winning culture and team.
As a Data Engineer III at JPMorgan Chase within the Enterprise Technology \- Core Data Platforms team, you will be a seasoned member of an agile team, tasked with designing and delivering reliable data collection, storage, access, and analytics solutions that are secure, stable, and scalable. Your responsibilities include developing, testing, and maintaining essential data pipelines and architectures across diverse technical areas, supporting various business functions to achieve the firm's business objectives.
**Job responsibilities**
* Develops workflows, ELT pipelines using Python, Databricks
* Supports review of controls to ensure sufficient protection of enterprise data
* Advises and makes custom configuration changes in one to two tools to generate a product at the business or customer request
* Updates logical or physical data models based on new use cases
* Frequently uses SQL and understands NoSQL databases and their niche in the marketplace
* Adds to team culture of diversity, opportunity, inclusion, and respect
**Required qualifications, capabilities, and skills**
* Formal training or certification on software engineering concepts and 3\+ years applied experience
* Good working knowledge of AWS , Databricks, Python
* Experience across the data lifecycle
* Advanced at SQL (e.g., joins and aggregations)
* Working understanding of NoSQL databases
* Significant experience with statistical data analysis and ability to determine appropriate tools and data patterns to perform analysis
* Experience customizing changes in a tool to generate product
**Preferred qualifications, capabilities, and skills*** MLOps skills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9">
      <c r="A9" t="inlineStr">
        <is>
          <t>in-ef761ad7f0a3c359</t>
        </is>
      </c>
      <c r="B9" t="inlineStr">
        <is>
          <t>Data Engineer 1</t>
        </is>
      </c>
      <c r="C9" t="inlineStr">
        <is>
          <t>Beusa Energy</t>
        </is>
      </c>
      <c r="D9" t="inlineStr">
        <is>
          <t>indeed</t>
        </is>
      </c>
      <c r="E9" t="inlineStr"/>
      <c r="F9" t="inlineStr"/>
      <c r="G9" t="inlineStr">
        <is>
          <t>The Woodlands, TX, US</t>
        </is>
      </c>
      <c r="H9" s="2" t="n">
        <v>46063</v>
      </c>
      <c r="I9" t="inlineStr">
        <is>
          <t>**Data Engineer****Job Description****.****.****Department:** Data Technology**Job Status:** Full\-Time**FLSA Status:** Salary**\-**Exempt**Reports To:** Engineering Supervisor Data \&amp; Applications**Location:** The Woodlands, TX**Amount of Travel Required:** Less than 25%**Work Schedule:** Monday \- Friday, 8 a.m. – 5 p.m.**Positions Supervised:** None**AIP:** Level 7**.****.****POSITION SUMMARY:**The Data Engineer is responsible for the development and maintenance of data integration solutions supporting both the operational and analytical needs of the business. The role will work with multiple lines of business (LOBs) as the team manages a growing portfolio of data solutions.
.**ESSENTIAL FUNCTIONS:** (The following duties and responsibilities are all essential job functions, as defined by the ADA, except for those that begin with the word "may.")* Ability to read, write, and comprehend English.
* Identify proper design pattern(s) to solve a given problem.
* Implement architecture for relational database systems (ODS and EDW).
* Develop integrations between systems (e.g., ERP, HRM, CRM, embedded, and other custom applications) using a variety of methods and data formats.
* Coordinate directly with stakeholders to understand requirements.
* Provide support for existing systems and work with users to resolve issues.
* Contribute to a small, cross\-functional team in multiple capacities as needed.
* Model best practices and continuous improvement for other team members.
* Research new technologies and approaches and share knowledge with the team.
* Perform other related duties as assigned to assist with successful operations and business continuity.
**POSITION REQUIREMENTS:*** Strong analytical, communication, and problem\-solving skills.
* Must have dependable transportation to commute to the worksite consistently, as public transportation may not be available or feasible for the location.
* Successfully passes background check, pre\-employment drug screening, and any pre\-employment aptitude and/or competency assessment(s).
* Daily in\-person, predictable attendance.
* Valid U.S. Driver’s License required. Employment is contingent upon meeting company driving standards, including an acceptable Motor Vehicle Record (MVR) in accordance with Company policy.
.**EDUCATION/EXPERIENCE LEVEL*** Bachelor’s Degree in Information Systems, Computer Science, or related field, **or** equivalent work experience in a relevant field.
* 3\+ years of experience working with web APIs (REST, SOAP, OData).
* 3\+ years with Microsoft SQL (T\-SQL).
* 2\+ years of experience with Microsoft data engineering tools, such as Azure Data Factory (ADF), Data Lake, Synapse, Data Bricks, and Logic Apps.
* 3\+ years’ experience working with unstructured and semi\-structured data formats (e.g., CSV, JSON, and XML).
.**QUALIFICATIONS, SKILLS, COMPETENCIES, AND ABILITIES*** Strong familiarity with established design patterns (e.g., ETL, ELT, CDC) for data integration.
* Strong familiarity with established design patterns (e.g., Kimball) for both analytical and operational databases.
* Experience working under an agile methodology (e.g., Scrum, XP, Kanban, Scrumban, etc.) and related tools (e.g., Azure DevOps, Jira Boards).
* Some scripting experience with PowerShell.
* Experience developing integrations with ERP systems.
* Experience working with one of the following languages: Python, R, Java.
* Demonstrated ability to communicate and partner with stakeholders in a fast\-paced environment.
* Problem solver with a process\-thinking mindset.
* Willingness to help others wherever needed as part of a small, cross\-functional team.
* Eagerness to learn new technologies and approaches.
* Experience with Power Platform (preferred).
* Familiarity with SQL database projects in Visual Studio (strongly preferred).
**.****PHYSICAL REQUIREMENTS/WORK ENVIRONMENT**
The physical demands and work environment described here are representative of those that must be met by an employee to successfully perform the essential functions of this job. Reasonable accommodations may be made to enable individuals with disabilities to perform the essential functions.
Frequently required to walk, sit, climb, bend, reach, and squat/kneel. The Data Engineer works primarily indoors and will be sitting for prolonged periods of sitting at a desk and working on a computer. Must be able to access and navigate each department at the organization’s facilities. The Data Engineer may be required to lift heavy objects; therefore, the Data Engineer must be able to lift 25lbs.
Work hours may include early morning, late afternoon/evening hours, and weekends in combination, depending on job demands.**.****AAP /EEO STATEMENT**
The Company is committed to the cause of equal employment opportunity for all employees and applicants, thus abiding by all applicable state and federal laws. Our practices regarding employment, job promotion, compensation, training, and termination do not discriminate based on race, color, religious creed, age, sex, national origin, veteran's status, disability, pregnancy, genetic information, or any other legally protected status. It is expected that all employees, both management and staff, will fully support these nondiscriminatory policies.
.
The company has reviewed this job description to ensure essential functions and duties have been included. It is not intended to be an exhaustive list of all functions, responsibilities, skills, and abilities.
.
Last Revised 02/2026\.</t>
        </is>
      </c>
    </row>
    <row r="10">
      <c r="A10" t="inlineStr">
        <is>
          <t>in-8ff07b6b51612234</t>
        </is>
      </c>
      <c r="B10" t="inlineStr">
        <is>
          <t>Jr. Data Engineer- Full Time Opportunity, NOT C2C</t>
        </is>
      </c>
      <c r="C10" t="inlineStr">
        <is>
          <t>Codoxo</t>
        </is>
      </c>
      <c r="D10" t="inlineStr">
        <is>
          <t>indeed</t>
        </is>
      </c>
      <c r="E10" t="inlineStr"/>
      <c r="F10" t="inlineStr"/>
      <c r="G10" t="inlineStr">
        <is>
          <t>Duluth, GA, US</t>
        </is>
      </c>
      <c r="H10" s="2" t="n">
        <v>46063</v>
      </c>
      <c r="I10" t="inlineStr">
        <is>
          <t>PLEASE NOTE BEFORE APPLYING:
CODOXO IS NOT ABLE TO OFFER SPONSORSHIP OR ACCOMMODATE ANY CANDIDATES THAT ARE CURRENTLY BEING SPONSORED NOW OR IN THE FUTURE
**This is for a Full Time Role with Codoxo, NOT C2C**
Of the $3\.8T we spend on healthcare in the United States annually, about a third of it is estimated to be lost due to waste, fraud and abuse. Codoxo is the premier provider of artificial intelligence\-driven solutions and services that help healthcare companies and agencies proactively detect and reduce risks from fraud, waste, and abuse and ensure payment integrity. Codoxo helps clients manage costs across network management, clinical care, provider coding and billing, payment integrity, and special investigation units. Our software\-as\-a service applications are built on our proven Forensic AI Engine, which uses patented AI\-based technology to identify problems and suspicious behavior far faster and earlier than traditional techniques.  
We are venture backed by some of the top investors in the country, with strong financials, and remain one of the fastest growing healthcare AI companies in the industry. ***Position Summary***:
The Junior Data Engineer supports the design, development, and maintenance of scalable data pipelines that power analytics, reporting, and machine learning initiatives. Working under the guidance of senior engineers, this role contributes to building reliable ETL workflows, optimizing database performance, and integrating structured and unstructured data sources.
This position partners closely with data scientists, analysts, and cross\-functional stakeholders to ensure timely, accurate, and secure data delivery. By strengthening foundational data infrastructure, the Junior Data Engineer helps advance analytics maturity, enable AI initiatives, and promote data\-driven decision\-making across the organization. The role consistently leverages AI tools to enhance productivity, code quality, and solution effectiveness.
 ***Key Responsibilities****:** Assist in designing, building, and maintaining scalable ETL/ELT data pipelines.
* Develop and optimize batch and streaming workflows using tools such as AWS Glue, Spark, and Airflow.
* Support data integration across multiple structured and unstructured data sources.
* Write clean, efficient, and maintainable code in Python and SQL.
* Monitor, troubleshoot, and improve pipeline reliability and performance.
* Optimize database performance, particularly in PostgreSQL and cloud\-based environments.
* Maintain and support AWS\-based infrastructure (EC2, S3, Glue, etc.).
* Implement data validation, quality checks, and monitoring processes.
* Ensure compliance with data governance, security, and regulatory standards.
* Collaborate with data scientists and analysts to translate data requirements into scalable engineering solutions.
* Document data flows, architecture decisions, and technical processes.
* Use AI\-assisted development tools to improve speed, testing coverage, and code quality.
 ***Qualifications:**** Bachelor’s degree in Computer Science, Data Engineering, Information Systems, or a related technical field (or equivalent practical experience).
* 0–2 years of experience in data engineering, software engineering, or related technical roles (internships included).
* Proficiency in Python and SQL.
* Familiarity with ETL/ELT concepts and data pipeline architecture.
* Experience working with relational databases such as PostgreSQL.
* Basic understanding of cloud computing concepts, preferably AWS.
* Exposure to distributed data processing frameworks such as Spark.
* Experience working in Linux environments and basic shell scripting.
* Strong analytical and problem\-solving skills.
* Ability to work collaboratively in a team environment under mentorship.
* Strong written and verbal communication skills.
 **Preferred Qualifications**
* Experience working with medical claims data strongly preferred.
* Hands\-on experience with AWS services such as EC2, S3, Glue, and IAM.
* Experience with workflow orchestration tools such as Apache Airflow.
* Exposure to data warehousing concepts and dimensional modeling.
* Familiarity with CI/CD pipelines and version control (e.g., Git).
* Understanding of data security, governance, and compliance best practices.
* Experience supporting machine learning pipelines or analytics platforms.
* Demonstrated use of AI tools (e.g., code assistants, automation platforms) to improve development efficiency.
* Physical Requirements: Work is performed in an office environment (either in our office or work\-from home) and requires the ability to work on a computer, operate standard office equipment, and work at a desk.
 *Accessibility Notice: If you need reasonable accommodation for any part of the employment process due to a physical or mental disability, please send an email to careers@codoxo.com with the subject*
 **Benefits for You*** Health, Dental, and Vision insurance with 100% employee premium coverage (Starts Day 1\)
* Unlimited PTO
* Annual Professional Development stipend
* Annual home office stipend
* 401K Match (after 90 days)
 **We are an Equal Opportunity Employer**:
Codoxo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t>
        </is>
      </c>
    </row>
    <row r="11">
      <c r="A11" t="inlineStr">
        <is>
          <t>in-5af32d1988ac0afe</t>
        </is>
      </c>
      <c r="B11" t="inlineStr">
        <is>
          <t>Principle Data Platform Engineer</t>
        </is>
      </c>
      <c r="C11" t="inlineStr">
        <is>
          <t>Microsoft</t>
        </is>
      </c>
      <c r="D11" t="inlineStr">
        <is>
          <t>indeed</t>
        </is>
      </c>
      <c r="E11" t="inlineStr"/>
      <c r="F11" t="inlineStr"/>
      <c r="G11" t="inlineStr">
        <is>
          <t>Redmond, WA, US</t>
        </is>
      </c>
      <c r="H11" s="2" t="n">
        <v>46058</v>
      </c>
      <c r="I11" t="inlineStr">
        <is>
          <t>**Overview**  
Imagine being at the forefront of a revolution powered by Data and AI (Artificial intelligence), transforming Marketing at Microsoft into a true “Frontier Organization” that drives impact at an unprecedented scale. As a **Principle Data Platform Engineer** on the **Global Marketing Data Engineering team**, you will have the opportunity to build cutting\-edge data platforms that process and synthesize billions of demand signals, enabling personalized customer journeys, media innovation, and high impact campaigns that redefine customer engagement. By crafting data products that integrate, enrich, and serve deep insights across an infinite number of scenarios, you are not only shaping the future but experiencing it firsthand as we directly contribute to the evolution of our most advanced technologies like Purview and Fabric. Join us to unleash your potential and play a pivotal role as a data innovator with world\-changing impact \- your journey starts here!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Develop and implement a federated infrastructure strategy for marketing data focused on cost optimization and scalability.
* Develop monitoring systems and processes for Data Platform infrastructure, pipelines, usage, and access patterns.
* Build capabilities for data discovery, access management, policy enforcement, and lineage tracking, aligned with the DE data platform vision.
* Create and deploy frameworks and tools for data quality measurement and monitoring to deliver secure, sustainable, high\-performing, and reliable marketing data for consumer needs.
* Design and roll out data storage framework and solution in line with medallion architecture and automated role\-based access controls across all access layers.
* Establish engineering excellence through best practices, coding standards, and robust code management tooling.
* Collaborate with Data Product Engineering, Data Ops, and Partner Engineering teams to deliver end\-to\-end platform solutions.
* Partner with Fabric, Purview, Azure ML teams to influence product roadmaps and address feature gaps.
* Implement shared tools for cross\-tenant Azure data intake and publishing.
* Deploy capabilities for data classification, tagging, retention, archival, and deletion to meet privacy policy requirements.
* Identify and prioritize platform improvements using incident and feedback data.
* Embody our culture and values.
**Qualifications** **Required/minimum qualifications**
* Bachelor's Degree in Computer Science or related technical field AND 6\+ years technical engineering experience with coding in languages including, but not limited to, C, C\+\+, C\#, Java, JavaScript, or Python
	+ OR equivalent experience.
**Additional or preferred qualifications***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6\+ years of software development lifecycle experience, including 2\+ years in a lead role managing big data platforms.
* 2\+ years of Infrastructure\-as\-Code (Terraform, Bicep, ARM)
* 2\+ years of CI/CD pipelines and DevOps automationIdentity \&amp; access management (RBAC, PIM, conditional access)
* 2\+ years of Governance frameworks (data classification, policy enforcement, compliance controls)
* Observability (OpenTelemetry, monitoring, logging, SLOs)
* Incident management and reliability engineering practices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
      <c r="A12" t="inlineStr">
        <is>
          <t>in-f174a84ba3fcbcd0</t>
        </is>
      </c>
      <c r="B12" t="inlineStr">
        <is>
          <t>Data engineer</t>
        </is>
      </c>
      <c r="C12" t="inlineStr">
        <is>
          <t>Tata Consultancy Services (TCS)</t>
        </is>
      </c>
      <c r="D12" t="inlineStr">
        <is>
          <t>indeed</t>
        </is>
      </c>
      <c r="E12">
        <f>HYPERLINK("https://www.indeed.com/viewjob?jk=f174a84ba3fcbcd0", "https://www.indeed.com/viewjob?jk=f174a84ba3fcbcd0")</f>
        <v/>
      </c>
      <c r="F12">
        <f>HYPERLINK("https://ibegin.tcsapps.com/candidate/jobs/shared-job/Mzk2NTY4Sg==", "https://ibegin.tcsapps.com/candidate/jobs/shared-job/Mzk2NTY4Sg==")</f>
        <v/>
      </c>
      <c r="G12" t="inlineStr">
        <is>
          <t>Seattle, WA, US</t>
        </is>
      </c>
      <c r="H12" s="3" t="n">
        <v>46064</v>
      </c>
      <c r="I12" t="inlineStr">
        <is>
          <t>* 6\+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5\+ years of experience in data warehousing, data modelling, and building/maintaining ETL/ELT pipelines at scale.
* Extensive experience with AWS, Google Cloud Platform (GCP), or Azure.
* Proficiency in Apache Spark, Kafka, NoSQL databases, and orchestration tools like Apache Airflow.
* Strong skills in Python, Java, or Scala.
* Deep knowledge of SQL and, specifically, experience with Snowflake, Data bricks, or Redshift.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\#LI\-RJ2
Salary Range\-$120,000\-$144,000 a year
**Location**
Seattle, WA
**Job Function**
TECHNOLOGY
**Role**
Engineer
**Job Id**
396568
**Desired Skills**
Big Data
**Salary Range**
$120,000\-$144,000 a year</t>
        </is>
      </c>
    </row>
    <row r="13">
      <c r="A13" t="inlineStr">
        <is>
          <t>in-34479338999647a7</t>
        </is>
      </c>
      <c r="B13" t="inlineStr">
        <is>
          <t>Sr. Biometrics Data Engineer</t>
        </is>
      </c>
      <c r="C13" t="inlineStr">
        <is>
          <t>サイネオス・ヘルス</t>
        </is>
      </c>
      <c r="D13" t="inlineStr">
        <is>
          <t>indeed</t>
        </is>
      </c>
      <c r="E13">
        <f>HYPERLINK("https://www.indeed.com/viewjob?jk=34479338999647a7", "https://www.indeed.com/viewjob?jk=34479338999647a7")</f>
        <v/>
      </c>
      <c r="F13">
        <f>HYPERLINK("https://jp.syneoshealth.com/careers/jobs/17341699-sr-biometrics-data-engineer", "https://jp.syneoshealth.com/careers/jobs/17341699-sr-biometrics-data-engineer")</f>
        <v/>
      </c>
      <c r="G13" t="inlineStr">
        <is>
          <t>Morrisville, NC, US</t>
        </is>
      </c>
      <c r="H13" s="3" t="n">
        <v>46064</v>
      </c>
      <c r="I13" t="inlineStr">
        <is>
          <t>**Updated:** Yesterday  
**Location:** Morrisville, NC, United States  
**Job ID:** 25105623\-OTHLOC\-1500\-2DIL\-2DR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14">
      <c r="A14" t="inlineStr">
        <is>
          <t>in-72d83b6c1a54b67e</t>
        </is>
      </c>
      <c r="B14" t="inlineStr">
        <is>
          <t>Sr. Biometrics Data Engineer</t>
        </is>
      </c>
      <c r="C14" t="inlineStr">
        <is>
          <t>サイネオス・ヘルス</t>
        </is>
      </c>
      <c r="D14" t="inlineStr">
        <is>
          <t>indeed</t>
        </is>
      </c>
      <c r="E14">
        <f>HYPERLINK("https://www.indeed.com/viewjob?jk=72d83b6c1a54b67e", "https://www.indeed.com/viewjob?jk=72d83b6c1a54b67e")</f>
        <v/>
      </c>
      <c r="F14">
        <f>HYPERLINK("https://jp.syneoshealth.com/careers/jobs/17341698-sr-biometrics-data-engineer", "https://jp.syneoshealth.com/careers/jobs/17341698-sr-biometrics-data-engineer")</f>
        <v/>
      </c>
      <c r="G14" t="inlineStr">
        <is>
          <t>Morrisville, NC, US</t>
        </is>
      </c>
      <c r="H14" s="3" t="n">
        <v>46064</v>
      </c>
      <c r="I14" t="inlineStr">
        <is>
          <t>**Updated:** Yesterday  
**Location:** Morrisville, NC, United States  
**Job ID:** 25105623\-OTHLOC\-1500\-2DKS\-2DR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15">
      <c r="A15" t="inlineStr">
        <is>
          <t>in-8cc5553480a642d0</t>
        </is>
      </c>
      <c r="B15" t="inlineStr">
        <is>
          <t>Sr. Biometrics Data Engineer</t>
        </is>
      </c>
      <c r="C15" t="inlineStr">
        <is>
          <t>サイネオス・ヘルス</t>
        </is>
      </c>
      <c r="D15" t="inlineStr">
        <is>
          <t>indeed</t>
        </is>
      </c>
      <c r="E15">
        <f>HYPERLINK("https://www.indeed.com/viewjob?jk=8cc5553480a642d0", "https://www.indeed.com/viewjob?jk=8cc5553480a642d0")</f>
        <v/>
      </c>
      <c r="F15">
        <f>HYPERLINK("https://jp.syneoshealth.com/careers/jobs/17341712-sr-biometrics-data-engineer", "https://jp.syneoshealth.com/careers/jobs/17341712-sr-biometrics-data-engineer")</f>
        <v/>
      </c>
      <c r="G15" t="inlineStr">
        <is>
          <t>Morrisville, NC, US</t>
        </is>
      </c>
      <c r="H15" s="3" t="n">
        <v>46064</v>
      </c>
      <c r="I15" t="inlineStr">
        <is>
          <t>**Updated:** Yesterday  
**Location:** Morrisville, NC, United States  
**Job ID:** 25105623\-OTHLOC\-1500\-2DMD\-2DR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16">
      <c r="A16" t="inlineStr">
        <is>
          <t>in-4e0eaae0b387bc4c</t>
        </is>
      </c>
      <c r="B16" t="inlineStr">
        <is>
          <t>Sr. Biometrics Data Engineer</t>
        </is>
      </c>
      <c r="C16" t="inlineStr">
        <is>
          <t>サイネオス・ヘルス</t>
        </is>
      </c>
      <c r="D16" t="inlineStr">
        <is>
          <t>indeed</t>
        </is>
      </c>
      <c r="E16">
        <f>HYPERLINK("https://www.indeed.com/viewjob?jk=4e0eaae0b387bc4c", "https://www.indeed.com/viewjob?jk=4e0eaae0b387bc4c")</f>
        <v/>
      </c>
      <c r="F16">
        <f>HYPERLINK("https://jp.syneoshealth.com/careers/jobs/17341701-sr-biometrics-data-engineer", "https://jp.syneoshealth.com/careers/jobs/17341701-sr-biometrics-data-engineer")</f>
        <v/>
      </c>
      <c r="G16" t="inlineStr">
        <is>
          <t>Morrisville, NC, US</t>
        </is>
      </c>
      <c r="H16" s="3" t="n">
        <v>46064</v>
      </c>
      <c r="I16" t="inlineStr">
        <is>
          <t>**Updated:** Yesterday  
**Location:** Morrisville, NC, United States  
**Job ID:** 25105623\-OTHLOC\-1500\-2DNC\-2DR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17">
      <c r="A17" t="inlineStr">
        <is>
          <t>in-c0617717c00ddb96</t>
        </is>
      </c>
      <c r="B17" t="inlineStr">
        <is>
          <t>Sr. Biometrics Data Engineer</t>
        </is>
      </c>
      <c r="C17" t="inlineStr">
        <is>
          <t>サイネオス・ヘルス</t>
        </is>
      </c>
      <c r="D17" t="inlineStr">
        <is>
          <t>indeed</t>
        </is>
      </c>
      <c r="E17">
        <f>HYPERLINK("https://www.indeed.com/viewjob?jk=c0617717c00ddb96", "https://www.indeed.com/viewjob?jk=c0617717c00ddb96")</f>
        <v/>
      </c>
      <c r="F17">
        <f>HYPERLINK("https://jp.syneoshealth.com/careers/jobs/17341711-sr-biometrics-data-engineer", "https://jp.syneoshealth.com/careers/jobs/17341711-sr-biometrics-data-engineer")</f>
        <v/>
      </c>
      <c r="G17" t="inlineStr">
        <is>
          <t>Morrisville, NC, US</t>
        </is>
      </c>
      <c r="H17" s="3" t="n">
        <v>46064</v>
      </c>
      <c r="I17" t="inlineStr">
        <is>
          <t>**Updated:** Yesterday  
**Location:** Morrisville, NC, United States  
**Job ID:** 25105623\-OTHLOC\-1500\-2DIN\-2DR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18">
      <c r="A18" t="inlineStr">
        <is>
          <t>in-2ff9d7d5f9d4eefe</t>
        </is>
      </c>
      <c r="B18" t="inlineStr">
        <is>
          <t>Sr. Biometrics Data Engineer</t>
        </is>
      </c>
      <c r="C18" t="inlineStr">
        <is>
          <t>サイネオス・ヘルス</t>
        </is>
      </c>
      <c r="D18" t="inlineStr">
        <is>
          <t>indeed</t>
        </is>
      </c>
      <c r="E18">
        <f>HYPERLINK("https://www.indeed.com/viewjob?jk=2ff9d7d5f9d4eefe", "https://www.indeed.com/viewjob?jk=2ff9d7d5f9d4eefe")</f>
        <v/>
      </c>
      <c r="F18">
        <f>HYPERLINK("https://jp.syneoshealth.com/careers/jobs/17341700-sr-biometrics-data-engineer", "https://jp.syneoshealth.com/careers/jobs/17341700-sr-biometrics-data-engineer")</f>
        <v/>
      </c>
      <c r="G18" t="inlineStr">
        <is>
          <t>Morrisville, NC, US</t>
        </is>
      </c>
      <c r="H18" s="3" t="n">
        <v>46064</v>
      </c>
      <c r="I18" t="inlineStr">
        <is>
          <t>**Updated:** Yesterday  
**Location:** Morrisville, NC, United States  
**Job ID:** 25105623\-OTHLOC\-1500\-2DOK\-2DR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19">
      <c r="A19" t="inlineStr">
        <is>
          <t>in-ab2d771d47e87ac5</t>
        </is>
      </c>
      <c r="B19" t="inlineStr">
        <is>
          <t>Sr. Biometrics Data Engineer</t>
        </is>
      </c>
      <c r="C19" t="inlineStr">
        <is>
          <t>サイネオス・ヘルス</t>
        </is>
      </c>
      <c r="D19" t="inlineStr">
        <is>
          <t>indeed</t>
        </is>
      </c>
      <c r="E19">
        <f>HYPERLINK("https://www.indeed.com/viewjob?jk=ab2d771d47e87ac5", "https://www.indeed.com/viewjob?jk=ab2d771d47e87ac5")</f>
        <v/>
      </c>
      <c r="F19">
        <f>HYPERLINK("https://jp.syneoshealth.com/careers/jobs/17341690-sr-biometrics-data-engineer", "https://jp.syneoshealth.com/careers/jobs/17341690-sr-biometrics-data-engineer")</f>
        <v/>
      </c>
      <c r="G19" t="inlineStr">
        <is>
          <t>Morrisville, NC, US</t>
        </is>
      </c>
      <c r="H19" s="3" t="n">
        <v>46064</v>
      </c>
      <c r="I19" t="inlineStr">
        <is>
          <t>**Updated:** Yesterday  
**Location:** Morrisville, NC, United States  
**Job ID:** 25105623\-OTHLOC\-1500\-2DRI\-2DR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20">
      <c r="A20" t="inlineStr">
        <is>
          <t>in-4b8f63b26228fdd0</t>
        </is>
      </c>
      <c r="B20" t="inlineStr">
        <is>
          <t>Sr. Biometrics Data Engineer</t>
        </is>
      </c>
      <c r="C20" t="inlineStr">
        <is>
          <t>サイネオス・ヘルス</t>
        </is>
      </c>
      <c r="D20" t="inlineStr">
        <is>
          <t>indeed</t>
        </is>
      </c>
      <c r="E20">
        <f>HYPERLINK("https://www.indeed.com/viewjob?jk=4b8f63b26228fdd0", "https://www.indeed.com/viewjob?jk=4b8f63b26228fdd0")</f>
        <v/>
      </c>
      <c r="F20">
        <f>HYPERLINK("https://jp.syneoshealth.com/careers/jobs/17341693-sr-biometrics-data-engineer", "https://jp.syneoshealth.com/careers/jobs/17341693-sr-biometrics-data-engineer")</f>
        <v/>
      </c>
      <c r="G20" t="inlineStr">
        <is>
          <t>Morrisville, NC, US</t>
        </is>
      </c>
      <c r="H20" s="3" t="n">
        <v>46064</v>
      </c>
      <c r="I20" t="inlineStr">
        <is>
          <t>**Updated:** Yesterday  
**Location:** Morrisville, NC, United States  
**Job ID:** 25105623\-OTHLOC\-1500\-2DWA\-2DR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21">
      <c r="A21" t="inlineStr">
        <is>
          <t>in-dbd6df960e30c1c3</t>
        </is>
      </c>
      <c r="B21" t="inlineStr">
        <is>
          <t>Sr. Biometrics Data Engineer</t>
        </is>
      </c>
      <c r="C21" t="inlineStr">
        <is>
          <t>サイネオス・ヘルス</t>
        </is>
      </c>
      <c r="D21" t="inlineStr">
        <is>
          <t>indeed</t>
        </is>
      </c>
      <c r="E21">
        <f>HYPERLINK("https://www.indeed.com/viewjob?jk=dbd6df960e30c1c3", "https://www.indeed.com/viewjob?jk=dbd6df960e30c1c3")</f>
        <v/>
      </c>
      <c r="F21">
        <f>HYPERLINK("https://jp.syneoshealth.com/careers/jobs/17341692-sr-biometrics-data-engineer", "https://jp.syneoshealth.com/careers/jobs/17341692-sr-biometrics-data-engineer")</f>
        <v/>
      </c>
      <c r="G21" t="inlineStr">
        <is>
          <t>Morrisville, NC, US</t>
        </is>
      </c>
      <c r="H21" s="3" t="n">
        <v>46064</v>
      </c>
      <c r="I21" t="inlineStr">
        <is>
          <t>**Updated:** Yesterday  
**Location:** Morrisville, NC, United States  
**Job ID:** 25105623\-OTHLOC\-1500\-2DMT\-2DR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22">
      <c r="A22" t="inlineStr">
        <is>
          <t>in-57075ffd2499d47d</t>
        </is>
      </c>
      <c r="B22" t="inlineStr">
        <is>
          <t>Sr. Biometrics Data Engineer</t>
        </is>
      </c>
      <c r="C22" t="inlineStr">
        <is>
          <t>サイネオス・ヘルス</t>
        </is>
      </c>
      <c r="D22" t="inlineStr">
        <is>
          <t>indeed</t>
        </is>
      </c>
      <c r="E22">
        <f>HYPERLINK("https://www.indeed.com/viewjob?jk=57075ffd2499d47d", "https://www.indeed.com/viewjob?jk=57075ffd2499d47d")</f>
        <v/>
      </c>
      <c r="F22">
        <f>HYPERLINK("https://jp.syneoshealth.com/careers/jobs/17341714-sr-biometrics-data-engineer", "https://jp.syneoshealth.com/careers/jobs/17341714-sr-biometrics-data-engineer")</f>
        <v/>
      </c>
      <c r="G22" t="inlineStr">
        <is>
          <t>Morrisville, NC, US</t>
        </is>
      </c>
      <c r="H22" s="3" t="n">
        <v>46064</v>
      </c>
      <c r="I22" t="inlineStr">
        <is>
          <t>**Updated:** Yesterday  
**Location:** Morrisville, NC, United States  
**Job ID:** 25105623\-OTHLOC\-1500\-2DNE\-2DR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23">
      <c r="A23" t="inlineStr">
        <is>
          <t>in-99d86dc9f9646351</t>
        </is>
      </c>
      <c r="B23" t="inlineStr">
        <is>
          <t>Sr. Biometrics Data Engineer</t>
        </is>
      </c>
      <c r="C23" t="inlineStr">
        <is>
          <t>サイネオス・ヘルス</t>
        </is>
      </c>
      <c r="D23" t="inlineStr">
        <is>
          <t>indeed</t>
        </is>
      </c>
      <c r="E23">
        <f>HYPERLINK("https://www.indeed.com/viewjob?jk=99d86dc9f9646351", "https://www.indeed.com/viewjob?jk=99d86dc9f9646351")</f>
        <v/>
      </c>
      <c r="F23">
        <f>HYPERLINK("https://jp.syneoshealth.com/careers/jobs/17341703-sr-biometrics-data-engineer", "https://jp.syneoshealth.com/careers/jobs/17341703-sr-biometrics-data-engineer")</f>
        <v/>
      </c>
      <c r="G23" t="inlineStr">
        <is>
          <t>Morrisville, NC, US</t>
        </is>
      </c>
      <c r="H23" s="3" t="n">
        <v>46064</v>
      </c>
      <c r="I23" t="inlineStr">
        <is>
          <t>**Updated:** Yesterday  
**Location:** Morrisville, NC, United States  
**Job ID:** 25105623\-OTHLOC\-1500\-2DTN\-2DR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24">
      <c r="A24" t="inlineStr">
        <is>
          <t>in-855014b599540473</t>
        </is>
      </c>
      <c r="B24" t="inlineStr">
        <is>
          <t>Sr. Biometrics Data Engineer</t>
        </is>
      </c>
      <c r="C24" t="inlineStr">
        <is>
          <t>サイネオス・ヘルス</t>
        </is>
      </c>
      <c r="D24" t="inlineStr">
        <is>
          <t>indeed</t>
        </is>
      </c>
      <c r="E24">
        <f>HYPERLINK("https://www.indeed.com/viewjob?jk=855014b599540473", "https://www.indeed.com/viewjob?jk=855014b599540473")</f>
        <v/>
      </c>
      <c r="F24">
        <f>HYPERLINK("https://jp.syneoshealth.com/careers/jobs/17341713-sr-biometrics-data-engineer", "https://jp.syneoshealth.com/careers/jobs/17341713-sr-biometrics-data-engineer")</f>
        <v/>
      </c>
      <c r="G24" t="inlineStr">
        <is>
          <t>Morrisville, NC, US</t>
        </is>
      </c>
      <c r="H24" s="3" t="n">
        <v>46064</v>
      </c>
      <c r="I24" t="inlineStr">
        <is>
          <t>**Updated:** Yesterday  
**Location:** Morrisville, NC, United States  
**Job ID:** 25105623\-OTHLOC\-1500\-2DMI\-2DR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25">
      <c r="A25" t="inlineStr">
        <is>
          <t>in-21c7597d14a492e5</t>
        </is>
      </c>
      <c r="B25" t="inlineStr">
        <is>
          <t>Sr. Biometrics Data Engineer</t>
        </is>
      </c>
      <c r="C25" t="inlineStr">
        <is>
          <t>サイネオス・ヘルス</t>
        </is>
      </c>
      <c r="D25" t="inlineStr">
        <is>
          <t>indeed</t>
        </is>
      </c>
      <c r="E25">
        <f>HYPERLINK("https://www.indeed.com/viewjob?jk=21c7597d14a492e5", "https://www.indeed.com/viewjob?jk=21c7597d14a492e5")</f>
        <v/>
      </c>
      <c r="F25">
        <f>HYPERLINK("https://jp.syneoshealth.com/careers/jobs/17341702-sr-biometrics-data-engineer", "https://jp.syneoshealth.com/careers/jobs/17341702-sr-biometrics-data-engineer")</f>
        <v/>
      </c>
      <c r="G25" t="inlineStr">
        <is>
          <t>Morrisville, NC, US</t>
        </is>
      </c>
      <c r="H25" s="3" t="n">
        <v>46064</v>
      </c>
      <c r="I25" t="inlineStr">
        <is>
          <t>**Updated:** Yesterday  
**Location:** Morrisville, NC, United States  
**Job ID:** 25105623\-OTHLOC\-1500\-2DCA\-2DR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26">
      <c r="A26" t="inlineStr">
        <is>
          <t>in-4f4e76d58085af8f</t>
        </is>
      </c>
      <c r="B26" t="inlineStr">
        <is>
          <t>Sr. Biometrics Data Engineer</t>
        </is>
      </c>
      <c r="C26" t="inlineStr">
        <is>
          <t>サイネオス・ヘルス</t>
        </is>
      </c>
      <c r="D26" t="inlineStr">
        <is>
          <t>indeed</t>
        </is>
      </c>
      <c r="E26">
        <f>HYPERLINK("https://www.indeed.com/viewjob?jk=4f4e76d58085af8f", "https://www.indeed.com/viewjob?jk=4f4e76d58085af8f")</f>
        <v/>
      </c>
      <c r="F26">
        <f>HYPERLINK("https://jp.syneoshealth.com/careers/jobs/17341705-sr-biometrics-data-engineer", "https://jp.syneoshealth.com/careers/jobs/17341705-sr-biometrics-data-engineer")</f>
        <v/>
      </c>
      <c r="G26" t="inlineStr">
        <is>
          <t>Morrisville, NC, US</t>
        </is>
      </c>
      <c r="H26" s="3" t="n">
        <v>46064</v>
      </c>
      <c r="I26" t="inlineStr">
        <is>
          <t>**Updated:** Yesterday  
**Location:** Morrisville, NC, United States  
**Job ID:** 25105623\-OTHLOC\-1500\-2DFL\-2DR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27">
      <c r="A27" t="inlineStr">
        <is>
          <t>in-48c48916502fc1e0</t>
        </is>
      </c>
      <c r="B27" t="inlineStr">
        <is>
          <t>Sr. Biometrics Data Engineer</t>
        </is>
      </c>
      <c r="C27" t="inlineStr">
        <is>
          <t>サイネオス・ヘルス</t>
        </is>
      </c>
      <c r="D27" t="inlineStr">
        <is>
          <t>indeed</t>
        </is>
      </c>
      <c r="E27">
        <f>HYPERLINK("https://www.indeed.com/viewjob?jk=48c48916502fc1e0", "https://www.indeed.com/viewjob?jk=48c48916502fc1e0")</f>
        <v/>
      </c>
      <c r="F27">
        <f>HYPERLINK("https://jp.syneoshealth.com/careers/jobs/17341704-sr-biometrics-data-engineer", "https://jp.syneoshealth.com/careers/jobs/17341704-sr-biometrics-data-engineer")</f>
        <v/>
      </c>
      <c r="G27" t="inlineStr">
        <is>
          <t>Morrisville, NC, US</t>
        </is>
      </c>
      <c r="H27" s="3" t="n">
        <v>46064</v>
      </c>
      <c r="I27" t="inlineStr">
        <is>
          <t>**Updated:** Yesterday  
**Location:** Morrisville, NC, United States  
**Job ID:** 25105623\-OTHLOC\-1500\-2DNV\-2DR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28">
      <c r="A28" t="inlineStr">
        <is>
          <t>in-013632c65872e300</t>
        </is>
      </c>
      <c r="B28" t="inlineStr">
        <is>
          <t>Sr. Biometrics Data Engineer</t>
        </is>
      </c>
      <c r="C28" t="inlineStr">
        <is>
          <t>サイネオス・ヘルス</t>
        </is>
      </c>
      <c r="D28" t="inlineStr">
        <is>
          <t>indeed</t>
        </is>
      </c>
      <c r="E28">
        <f>HYPERLINK("https://www.indeed.com/viewjob?jk=013632c65872e300", "https://www.indeed.com/viewjob?jk=013632c65872e300")</f>
        <v/>
      </c>
      <c r="F28">
        <f>HYPERLINK("https://jp.syneoshealth.com/careers/jobs/17341707-sr-biometrics-data-engineer", "https://jp.syneoshealth.com/careers/jobs/17341707-sr-biometrics-data-engineer")</f>
        <v/>
      </c>
      <c r="G28" t="inlineStr">
        <is>
          <t>Morrisville, NC, US</t>
        </is>
      </c>
      <c r="H28" s="3" t="n">
        <v>46064</v>
      </c>
      <c r="I28" t="inlineStr">
        <is>
          <t>**Updated:** Yesterday  
**Location:** Morrisville, NC, United States  
**Job ID:** 25105623\-OTHLOC\-1500\-2DLA\-2DR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29">
      <c r="A29" t="inlineStr">
        <is>
          <t>in-148a64f8f11ef8bd</t>
        </is>
      </c>
      <c r="B29" t="inlineStr">
        <is>
          <t>Sr. Biometrics Data Engineer</t>
        </is>
      </c>
      <c r="C29" t="inlineStr">
        <is>
          <t>サイネオス・ヘルス</t>
        </is>
      </c>
      <c r="D29" t="inlineStr">
        <is>
          <t>indeed</t>
        </is>
      </c>
      <c r="E29">
        <f>HYPERLINK("https://www.indeed.com/viewjob?jk=148a64f8f11ef8bd", "https://www.indeed.com/viewjob?jk=148a64f8f11ef8bd")</f>
        <v/>
      </c>
      <c r="F29">
        <f>HYPERLINK("https://jp.syneoshealth.com/careers/jobs/17341717-sr-biometrics-data-engineer", "https://jp.syneoshealth.com/careers/jobs/17341717-sr-biometrics-data-engineer")</f>
        <v/>
      </c>
      <c r="G29" t="inlineStr">
        <is>
          <t>Morrisville, NC, US</t>
        </is>
      </c>
      <c r="H29" s="3" t="n">
        <v>46064</v>
      </c>
      <c r="I29" t="inlineStr">
        <is>
          <t>**Updated:** Yesterday  
**Location:** Morrisville, NC, United States  
**Job ID:** 25105623\-OTHLOC\-1500\-2DCT\-2DR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30">
      <c r="A30" t="inlineStr">
        <is>
          <t>in-8b4d3f8d4fa07259</t>
        </is>
      </c>
      <c r="B30" t="inlineStr">
        <is>
          <t>Sr. Biometrics Data Engineer</t>
        </is>
      </c>
      <c r="C30" t="inlineStr">
        <is>
          <t>サイネオス・ヘルス</t>
        </is>
      </c>
      <c r="D30" t="inlineStr">
        <is>
          <t>indeed</t>
        </is>
      </c>
      <c r="E30">
        <f>HYPERLINK("https://www.indeed.com/viewjob?jk=8b4d3f8d4fa07259", "https://www.indeed.com/viewjob?jk=8b4d3f8d4fa07259")</f>
        <v/>
      </c>
      <c r="F30">
        <f>HYPERLINK("https://jp.syneoshealth.com/careers/jobs/17341706-sr-biometrics-data-engineer", "https://jp.syneoshealth.com/careers/jobs/17341706-sr-biometrics-data-engineer")</f>
        <v/>
      </c>
      <c r="G30" t="inlineStr">
        <is>
          <t>Morrisville, NC, US</t>
        </is>
      </c>
      <c r="H30" s="3" t="n">
        <v>46064</v>
      </c>
      <c r="I30" t="inlineStr">
        <is>
          <t>**Updated:** Yesterday  
**Location:** Morrisville, NC, United States  
**Job ID:** 25105623\-OTHLOC\-1500\-2DWV\-2DR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31">
      <c r="A31" t="inlineStr">
        <is>
          <t>in-96fd6513a6bcc884</t>
        </is>
      </c>
      <c r="B31" t="inlineStr">
        <is>
          <t>Sr. Biometrics Data Engineer</t>
        </is>
      </c>
      <c r="C31" t="inlineStr">
        <is>
          <t>サイネオス・ヘルス</t>
        </is>
      </c>
      <c r="D31" t="inlineStr">
        <is>
          <t>indeed</t>
        </is>
      </c>
      <c r="E31">
        <f>HYPERLINK("https://www.indeed.com/viewjob?jk=96fd6513a6bcc884", "https://www.indeed.com/viewjob?jk=96fd6513a6bcc884")</f>
        <v/>
      </c>
      <c r="F31">
        <f>HYPERLINK("https://jp.syneoshealth.com/careers/jobs/17341708-sr-biometrics-data-engineer", "https://jp.syneoshealth.com/careers/jobs/17341708-sr-biometrics-data-engineer")</f>
        <v/>
      </c>
      <c r="G31" t="inlineStr">
        <is>
          <t>Morrisville, NC, US</t>
        </is>
      </c>
      <c r="H31" s="3" t="n">
        <v>46064</v>
      </c>
      <c r="I31" t="inlineStr">
        <is>
          <t>**Updated:** Yesterday  
**Location:** Morrisville, NC, United States  
**Job ID:** 25105623\-OTHLOC\-1500\-2DID\-2DR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32">
      <c r="A32" t="inlineStr">
        <is>
          <t>in-bb82485bbd84ed79</t>
        </is>
      </c>
      <c r="B32" t="inlineStr">
        <is>
          <t>Sr. Biometrics Data Engineer</t>
        </is>
      </c>
      <c r="C32" t="inlineStr">
        <is>
          <t>サイネオス・ヘルス</t>
        </is>
      </c>
      <c r="D32" t="inlineStr">
        <is>
          <t>indeed</t>
        </is>
      </c>
      <c r="E32">
        <f>HYPERLINK("https://www.indeed.com/viewjob?jk=bb82485bbd84ed79", "https://www.indeed.com/viewjob?jk=bb82485bbd84ed79")</f>
        <v/>
      </c>
      <c r="F32">
        <f>HYPERLINK("https://jp.syneoshealth.com/careers/jobs/17341743-sr-biometrics-data-engineer", "https://jp.syneoshealth.com/careers/jobs/17341743-sr-biometrics-data-engineer")</f>
        <v/>
      </c>
      <c r="G32" t="inlineStr">
        <is>
          <t>Morrisville, NC, US</t>
        </is>
      </c>
      <c r="H32" s="3" t="n">
        <v>46064</v>
      </c>
      <c r="I32" t="inlineStr">
        <is>
          <t>**Updated:** Yesterday  
**Location:** Morrisville, NC, United States  
**Job ID:** 25105623\-OTHLOC\-1500\-2DAK\-2DR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33">
      <c r="A33" t="inlineStr">
        <is>
          <t>in-ed799a09c9227e95</t>
        </is>
      </c>
      <c r="B33" t="inlineStr">
        <is>
          <t>Sr. Biometrics Data Engineer</t>
        </is>
      </c>
      <c r="C33" t="inlineStr">
        <is>
          <t>サイネオス・ヘルス</t>
        </is>
      </c>
      <c r="D33" t="inlineStr">
        <is>
          <t>indeed</t>
        </is>
      </c>
      <c r="E33">
        <f>HYPERLINK("https://www.indeed.com/viewjob?jk=ed799a09c9227e95", "https://www.indeed.com/viewjob?jk=ed799a09c9227e95")</f>
        <v/>
      </c>
      <c r="F33">
        <f>HYPERLINK("https://jp.syneoshealth.com/careers/jobs/17341729-sr-biometrics-data-engineer", "https://jp.syneoshealth.com/careers/jobs/17341729-sr-biometrics-data-engineer")</f>
        <v/>
      </c>
      <c r="G33" t="inlineStr">
        <is>
          <t>Morrisville, NC, US</t>
        </is>
      </c>
      <c r="H33" s="3" t="n">
        <v>46064</v>
      </c>
      <c r="I33" t="inlineStr">
        <is>
          <t>**Updated:** Yesterday  
**Location:** Morrisville, NC, United States  
**Job ID:** 25105623\-OTHLOC\-1500\-2DAL\-2DR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34">
      <c r="A34" t="inlineStr">
        <is>
          <t>in-577e4ae4e2d97ecb</t>
        </is>
      </c>
      <c r="B34" t="inlineStr">
        <is>
          <t>Sr. Biometrics Data Engineer</t>
        </is>
      </c>
      <c r="C34" t="inlineStr">
        <is>
          <t>サイネオス・ヘルス</t>
        </is>
      </c>
      <c r="D34" t="inlineStr">
        <is>
          <t>indeed</t>
        </is>
      </c>
      <c r="E34">
        <f>HYPERLINK("https://www.indeed.com/viewjob?jk=577e4ae4e2d97ecb", "https://www.indeed.com/viewjob?jk=577e4ae4e2d97ecb")</f>
        <v/>
      </c>
      <c r="F34">
        <f>HYPERLINK("https://jp.syneoshealth.com/careers/jobs/17341739-sr-biometrics-data-engineer", "https://jp.syneoshealth.com/careers/jobs/17341739-sr-biometrics-data-engineer")</f>
        <v/>
      </c>
      <c r="G34" t="inlineStr">
        <is>
          <t>Morrisville, NC, US</t>
        </is>
      </c>
      <c r="H34" s="3" t="n">
        <v>46064</v>
      </c>
      <c r="I34" t="inlineStr">
        <is>
          <t>**Updated:** Yesterday  
**Location:** Morrisville, NC, United States  
**Job ID:** 25105623\-OTHLOC\-1500\-2DAR\-2DR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35">
      <c r="A35" t="inlineStr">
        <is>
          <t>in-b5bda3cf9c95c80d</t>
        </is>
      </c>
      <c r="B35" t="inlineStr">
        <is>
          <t>Sr. Biometrics Data Engineer</t>
        </is>
      </c>
      <c r="C35" t="inlineStr">
        <is>
          <t>サイネオス・ヘルス</t>
        </is>
      </c>
      <c r="D35" t="inlineStr">
        <is>
          <t>indeed</t>
        </is>
      </c>
      <c r="E35">
        <f>HYPERLINK("https://www.indeed.com/viewjob?jk=b5bda3cf9c95c80d", "https://www.indeed.com/viewjob?jk=b5bda3cf9c95c80d")</f>
        <v/>
      </c>
      <c r="F35">
        <f>HYPERLINK("https://jp.syneoshealth.com/careers/jobs/17341728-sr-biometrics-data-engineer", "https://jp.syneoshealth.com/careers/jobs/17341728-sr-biometrics-data-engineer")</f>
        <v/>
      </c>
      <c r="G35" t="inlineStr">
        <is>
          <t>Morrisville, NC, US</t>
        </is>
      </c>
      <c r="H35" s="3" t="n">
        <v>46064</v>
      </c>
      <c r="I35" t="inlineStr">
        <is>
          <t>**Updated:** Yesterday  
**Location:** Morrisville, NC, United States  
**Job ID:** 25105623\-OTHLOC\-1500\-2DNY\-2DR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36">
      <c r="A36" t="inlineStr">
        <is>
          <t>in-36528fc29082f3ac</t>
        </is>
      </c>
      <c r="B36" t="inlineStr">
        <is>
          <t>Sr. Biometrics Data Engineer</t>
        </is>
      </c>
      <c r="C36" t="inlineStr">
        <is>
          <t>サイネオス・ヘルス</t>
        </is>
      </c>
      <c r="D36" t="inlineStr">
        <is>
          <t>indeed</t>
        </is>
      </c>
      <c r="E36">
        <f>HYPERLINK("https://www.indeed.com/viewjob?jk=36528fc29082f3ac", "https://www.indeed.com/viewjob?jk=36528fc29082f3ac")</f>
        <v/>
      </c>
      <c r="F36">
        <f>HYPERLINK("https://jp.syneoshealth.com/careers/jobs/17341719-sr-biometrics-data-engineer", "https://jp.syneoshealth.com/careers/jobs/17341719-sr-biometrics-data-engineer")</f>
        <v/>
      </c>
      <c r="G36" t="inlineStr">
        <is>
          <t>Morrisville, NC, US</t>
        </is>
      </c>
      <c r="H36" s="3" t="n">
        <v>46064</v>
      </c>
      <c r="I36" t="inlineStr">
        <is>
          <t>**Updated:** Yesterday  
**Location:** Morrisville, NC, United States  
**Job ID:** 25105623\-OTHLOC\-1500\-2DUT\-2DR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37">
      <c r="A37" t="inlineStr">
        <is>
          <t>in-ee793a68cb5810f0</t>
        </is>
      </c>
      <c r="B37" t="inlineStr">
        <is>
          <t>Sr. Biometrics Data Engineer</t>
        </is>
      </c>
      <c r="C37" t="inlineStr">
        <is>
          <t>サイネオス・ヘルス</t>
        </is>
      </c>
      <c r="D37" t="inlineStr">
        <is>
          <t>indeed</t>
        </is>
      </c>
      <c r="E37">
        <f>HYPERLINK("https://www.indeed.com/viewjob?jk=ee793a68cb5810f0", "https://www.indeed.com/viewjob?jk=ee793a68cb5810f0")</f>
        <v/>
      </c>
      <c r="F37">
        <f>HYPERLINK("https://jp.syneoshealth.com/careers/jobs/17341689-sr-biometrics-data-engineer", "https://jp.syneoshealth.com/careers/jobs/17341689-sr-biometrics-data-engineer")</f>
        <v/>
      </c>
      <c r="G37" t="inlineStr">
        <is>
          <t>Morrisville, NC, US</t>
        </is>
      </c>
      <c r="H37" s="3" t="n">
        <v>46064</v>
      </c>
      <c r="I37" t="inlineStr">
        <is>
          <t>**Updated:** Yesterday  
**Location:** Morrisville, NC, United States  
**Job ID:** 25105623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38">
      <c r="A38" t="inlineStr">
        <is>
          <t>in-c735cf7581ab322c</t>
        </is>
      </c>
      <c r="B38" t="inlineStr">
        <is>
          <t>Sr. Biometrics Data Engineer</t>
        </is>
      </c>
      <c r="C38" t="inlineStr">
        <is>
          <t>サイネオス・ヘルス</t>
        </is>
      </c>
      <c r="D38" t="inlineStr">
        <is>
          <t>indeed</t>
        </is>
      </c>
      <c r="E38">
        <f>HYPERLINK("https://www.indeed.com/viewjob?jk=c735cf7581ab322c", "https://www.indeed.com/viewjob?jk=c735cf7581ab322c")</f>
        <v/>
      </c>
      <c r="F38">
        <f>HYPERLINK("https://jp.syneoshealth.com/careers/jobs/17341691-sr-biometrics-data-engineer", "https://jp.syneoshealth.com/careers/jobs/17341691-sr-biometrics-data-engineer")</f>
        <v/>
      </c>
      <c r="G38" t="inlineStr">
        <is>
          <t>Morrisville, NC, US</t>
        </is>
      </c>
      <c r="H38" s="3" t="n">
        <v>46064</v>
      </c>
      <c r="I38" t="inlineStr">
        <is>
          <t>**Updated:** Yesterday  
**Location:** Morrisville, NC, United States  
**Job ID:** 25105623\-OTHLOC\-1500\-2DME\-2DR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39">
      <c r="A39" t="inlineStr">
        <is>
          <t>in-322eb2955a8df502</t>
        </is>
      </c>
      <c r="B39" t="inlineStr">
        <is>
          <t>Sr. Biometrics Data Engineer</t>
        </is>
      </c>
      <c r="C39" t="inlineStr">
        <is>
          <t>サイネオス・ヘルス</t>
        </is>
      </c>
      <c r="D39" t="inlineStr">
        <is>
          <t>indeed</t>
        </is>
      </c>
      <c r="E39">
        <f>HYPERLINK("https://www.indeed.com/viewjob?jk=322eb2955a8df502", "https://www.indeed.com/viewjob?jk=322eb2955a8df502")</f>
        <v/>
      </c>
      <c r="F39">
        <f>HYPERLINK("https://jp.syneoshealth.com/careers/jobs/17341733-sr-biometrics-data-engineer", "https://jp.syneoshealth.com/careers/jobs/17341733-sr-biometrics-data-engineer")</f>
        <v/>
      </c>
      <c r="G39" t="inlineStr">
        <is>
          <t>Morrisville, NC, US</t>
        </is>
      </c>
      <c r="H39" s="3" t="n">
        <v>46064</v>
      </c>
      <c r="I39" t="inlineStr">
        <is>
          <t>**Updated:** Yesterday  
**Location:** Morrisville, NC, United States  
**Job ID:** 25105623\-OTHLOC\-1500\-2DMA\-2DR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40">
      <c r="A40" t="inlineStr">
        <is>
          <t>in-a032fa2441a2f2de</t>
        </is>
      </c>
      <c r="B40" t="inlineStr">
        <is>
          <t>Sr. Biometrics Data Engineer</t>
        </is>
      </c>
      <c r="C40" t="inlineStr">
        <is>
          <t>サイネオス・ヘルス</t>
        </is>
      </c>
      <c r="D40" t="inlineStr">
        <is>
          <t>indeed</t>
        </is>
      </c>
      <c r="E40">
        <f>HYPERLINK("https://www.indeed.com/viewjob?jk=a032fa2441a2f2de", "https://www.indeed.com/viewjob?jk=a032fa2441a2f2de")</f>
        <v/>
      </c>
      <c r="F40">
        <f>HYPERLINK("https://jp.syneoshealth.com/careers/jobs/17341722-sr-biometrics-data-engineer", "https://jp.syneoshealth.com/careers/jobs/17341722-sr-biometrics-data-engineer")</f>
        <v/>
      </c>
      <c r="G40" t="inlineStr">
        <is>
          <t>Morrisville, NC, US</t>
        </is>
      </c>
      <c r="H40" s="3" t="n">
        <v>46064</v>
      </c>
      <c r="I40" t="inlineStr">
        <is>
          <t>**Updated:** Yesterday  
**Location:** Morrisville, NC, United States  
**Job ID:** 25105623\-OTHLOC\-1500\-2DNJ\-2DR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41">
      <c r="A41" t="inlineStr">
        <is>
          <t>in-a20a9cb7c1fe3b9a</t>
        </is>
      </c>
      <c r="B41" t="inlineStr">
        <is>
          <t>Sr. Biometrics Data Engineer</t>
        </is>
      </c>
      <c r="C41" t="inlineStr">
        <is>
          <t>サイネオス・ヘルス</t>
        </is>
      </c>
      <c r="D41" t="inlineStr">
        <is>
          <t>indeed</t>
        </is>
      </c>
      <c r="E41">
        <f>HYPERLINK("https://www.indeed.com/viewjob?jk=a20a9cb7c1fe3b9a", "https://www.indeed.com/viewjob?jk=a20a9cb7c1fe3b9a")</f>
        <v/>
      </c>
      <c r="F41">
        <f>HYPERLINK("https://jp.syneoshealth.com/careers/jobs/17341741-sr-biometrics-data-engineer", "https://jp.syneoshealth.com/careers/jobs/17341741-sr-biometrics-data-engineer")</f>
        <v/>
      </c>
      <c r="G41" t="inlineStr">
        <is>
          <t>Morrisville, NC, US</t>
        </is>
      </c>
      <c r="H41" s="3" t="n">
        <v>46064</v>
      </c>
      <c r="I41" t="inlineStr">
        <is>
          <t>**Updated:** Yesterday  
**Location:** Morrisville, NC, United States  
**Job ID:** 25105623\-OTHLOC\-1500\-2DMS\-2DR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42">
      <c r="A42" t="inlineStr">
        <is>
          <t>in-0bcbbc37280cf0c3</t>
        </is>
      </c>
      <c r="B42" t="inlineStr">
        <is>
          <t>Sr. Biometrics Data Engineer</t>
        </is>
      </c>
      <c r="C42" t="inlineStr">
        <is>
          <t>サイネオス・ヘルス</t>
        </is>
      </c>
      <c r="D42" t="inlineStr">
        <is>
          <t>indeed</t>
        </is>
      </c>
      <c r="E42">
        <f>HYPERLINK("https://www.indeed.com/viewjob?jk=0bcbbc37280cf0c3", "https://www.indeed.com/viewjob?jk=0bcbbc37280cf0c3")</f>
        <v/>
      </c>
      <c r="F42">
        <f>HYPERLINK("https://jp.syneoshealth.com/careers/jobs/17341730-sr-biometrics-data-engineer", "https://jp.syneoshealth.com/careers/jobs/17341730-sr-biometrics-data-engineer")</f>
        <v/>
      </c>
      <c r="G42" t="inlineStr">
        <is>
          <t>Morrisville, NC, US</t>
        </is>
      </c>
      <c r="H42" s="3" t="n">
        <v>46064</v>
      </c>
      <c r="I42" t="inlineStr">
        <is>
          <t>**Updated:** Yesterday  
**Location:** Morrisville, NC, United States  
**Job ID:** 25105623\-OTHLOC\-1500\-2DVA\-2DR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43">
      <c r="A43" t="inlineStr">
        <is>
          <t>in-56b968ec7f64a136</t>
        </is>
      </c>
      <c r="B43" t="inlineStr">
        <is>
          <t>Sr. Biometrics Data Engineer</t>
        </is>
      </c>
      <c r="C43" t="inlineStr">
        <is>
          <t>サイネオス・ヘルス</t>
        </is>
      </c>
      <c r="D43" t="inlineStr">
        <is>
          <t>indeed</t>
        </is>
      </c>
      <c r="E43">
        <f>HYPERLINK("https://www.indeed.com/viewjob?jk=56b968ec7f64a136", "https://www.indeed.com/viewjob?jk=56b968ec7f64a136")</f>
        <v/>
      </c>
      <c r="F43">
        <f>HYPERLINK("https://jp.syneoshealth.com/careers/jobs/17341740-sr-biometrics-data-engineer", "https://jp.syneoshealth.com/careers/jobs/17341740-sr-biometrics-data-engineer")</f>
        <v/>
      </c>
      <c r="G43" t="inlineStr">
        <is>
          <t>Morrisville, NC, US</t>
        </is>
      </c>
      <c r="H43" s="3" t="n">
        <v>46064</v>
      </c>
      <c r="I43" t="inlineStr">
        <is>
          <t>**Updated:** Yesterday  
**Location:** Morrisville, NC, United States  
**Job ID:** 25105623\-OTHLOC\-1500\-2DVT\-2DR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44">
      <c r="A44" t="inlineStr">
        <is>
          <t>in-c91e26e29f7cf594</t>
        </is>
      </c>
      <c r="B44" t="inlineStr">
        <is>
          <t>Sr. Biometrics Data Engineer</t>
        </is>
      </c>
      <c r="C44" t="inlineStr">
        <is>
          <t>サイネオス・ヘルス</t>
        </is>
      </c>
      <c r="D44" t="inlineStr">
        <is>
          <t>indeed</t>
        </is>
      </c>
      <c r="E44">
        <f>HYPERLINK("https://www.indeed.com/viewjob?jk=c91e26e29f7cf594", "https://www.indeed.com/viewjob?jk=c91e26e29f7cf594")</f>
        <v/>
      </c>
      <c r="F44">
        <f>HYPERLINK("https://jp.syneoshealth.com/careers/jobs/17341736-sr-biometrics-data-engineer", "https://jp.syneoshealth.com/careers/jobs/17341736-sr-biometrics-data-engineer")</f>
        <v/>
      </c>
      <c r="G44" t="inlineStr">
        <is>
          <t>Morrisville, NC, US</t>
        </is>
      </c>
      <c r="H44" s="3" t="n">
        <v>46064</v>
      </c>
      <c r="I44" t="inlineStr">
        <is>
          <t>**Updated:** Yesterday  
**Location:** Morrisville, NC, United States  
**Job ID:** 25105623\-OTHLOC\-1500\-2DPR\-2DR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45">
      <c r="A45" t="inlineStr">
        <is>
          <t>in-89beb1c7c9e07f68</t>
        </is>
      </c>
      <c r="B45" t="inlineStr">
        <is>
          <t>Sr. Biometrics Data Engineer</t>
        </is>
      </c>
      <c r="C45" t="inlineStr">
        <is>
          <t>サイネオス・ヘルス</t>
        </is>
      </c>
      <c r="D45" t="inlineStr">
        <is>
          <t>indeed</t>
        </is>
      </c>
      <c r="E45">
        <f>HYPERLINK("https://www.indeed.com/viewjob?jk=89beb1c7c9e07f68", "https://www.indeed.com/viewjob?jk=89beb1c7c9e07f68")</f>
        <v/>
      </c>
      <c r="F45">
        <f>HYPERLINK("https://jp.syneoshealth.com/careers/jobs/17341695-sr-biometrics-data-engineer", "https://jp.syneoshealth.com/careers/jobs/17341695-sr-biometrics-data-engineer")</f>
        <v/>
      </c>
      <c r="G45" t="inlineStr">
        <is>
          <t>Morrisville, NC, US</t>
        </is>
      </c>
      <c r="H45" s="3" t="n">
        <v>46064</v>
      </c>
      <c r="I45" t="inlineStr">
        <is>
          <t>**Updated:** Yesterday  
**Location:** Morrisville, NC, United States  
**Job ID:** 25105623\-OTHLOC\-1500\-2DOH\-2DR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46">
      <c r="A46" t="inlineStr">
        <is>
          <t>in-4920dd811c1d611d</t>
        </is>
      </c>
      <c r="B46" t="inlineStr">
        <is>
          <t>Sr. Biometrics Data Engineer</t>
        </is>
      </c>
      <c r="C46" t="inlineStr">
        <is>
          <t>サイネオス・ヘルス</t>
        </is>
      </c>
      <c r="D46" t="inlineStr">
        <is>
          <t>indeed</t>
        </is>
      </c>
      <c r="E46">
        <f>HYPERLINK("https://www.indeed.com/viewjob?jk=4920dd811c1d611d", "https://www.indeed.com/viewjob?jk=4920dd811c1d611d")</f>
        <v/>
      </c>
      <c r="F46">
        <f>HYPERLINK("https://jp.syneoshealth.com/careers/jobs/17341732-sr-biometrics-data-engineer", "https://jp.syneoshealth.com/careers/jobs/17341732-sr-biometrics-data-engineer")</f>
        <v/>
      </c>
      <c r="G46" t="inlineStr">
        <is>
          <t>Morrisville, NC, US</t>
        </is>
      </c>
      <c r="H46" s="3" t="n">
        <v>46064</v>
      </c>
      <c r="I46" t="inlineStr">
        <is>
          <t>**Updated:** Yesterday  
**Location:** Morrisville, NC, United States  
**Job ID:** 25105623\-OTHLOC\-1500\-2DMN\-2DR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47">
      <c r="A47" t="inlineStr">
        <is>
          <t>in-d47c872173b52cd9</t>
        </is>
      </c>
      <c r="B47" t="inlineStr">
        <is>
          <t>Sr. Biometrics Data Engineer</t>
        </is>
      </c>
      <c r="C47" t="inlineStr">
        <is>
          <t>サイネオス・ヘルス</t>
        </is>
      </c>
      <c r="D47" t="inlineStr">
        <is>
          <t>indeed</t>
        </is>
      </c>
      <c r="E47">
        <f>HYPERLINK("https://www.indeed.com/viewjob?jk=d47c872173b52cd9", "https://www.indeed.com/viewjob?jk=d47c872173b52cd9")</f>
        <v/>
      </c>
      <c r="F47">
        <f>HYPERLINK("https://jp.syneoshealth.com/careers/jobs/17341694-sr-biometrics-data-engineer", "https://jp.syneoshealth.com/careers/jobs/17341694-sr-biometrics-data-engineer")</f>
        <v/>
      </c>
      <c r="G47" t="inlineStr">
        <is>
          <t>Morrisville, NC, US</t>
        </is>
      </c>
      <c r="H47" s="3" t="n">
        <v>46064</v>
      </c>
      <c r="I47" t="inlineStr">
        <is>
          <t>**Updated:** Yesterday  
**Location:** Morrisville, NC, United States  
**Job ID:** 25105623\-OTHLOC\-1500\-2DMO\-2DR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48">
      <c r="A48" t="inlineStr">
        <is>
          <t>in-a224d867e0a177cf</t>
        </is>
      </c>
      <c r="B48" t="inlineStr">
        <is>
          <t>Sr. Biometrics Data Engineer</t>
        </is>
      </c>
      <c r="C48" t="inlineStr">
        <is>
          <t>サイネオス・ヘルス</t>
        </is>
      </c>
      <c r="D48" t="inlineStr">
        <is>
          <t>indeed</t>
        </is>
      </c>
      <c r="E48">
        <f>HYPERLINK("https://www.indeed.com/viewjob?jk=a224d867e0a177cf", "https://www.indeed.com/viewjob?jk=a224d867e0a177cf")</f>
        <v/>
      </c>
      <c r="F48">
        <f>HYPERLINK("https://jp.syneoshealth.com/careers/jobs/17341721-sr-biometrics-data-engineer", "https://jp.syneoshealth.com/careers/jobs/17341721-sr-biometrics-data-engineer")</f>
        <v/>
      </c>
      <c r="G48" t="inlineStr">
        <is>
          <t>Morrisville, NC, US</t>
        </is>
      </c>
      <c r="H48" s="3" t="n">
        <v>46064</v>
      </c>
      <c r="I48" t="inlineStr">
        <is>
          <t>**Updated:** Yesterday  
**Location:** Morrisville, NC, United States  
**Job ID:** 25105623\-OTHLOC\-1500\-2DDC\-2DR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49">
      <c r="A49" t="inlineStr">
        <is>
          <t>in-55d8dbf26a729653</t>
        </is>
      </c>
      <c r="B49" t="inlineStr">
        <is>
          <t>Sr. Biometrics Data Engineer</t>
        </is>
      </c>
      <c r="C49" t="inlineStr">
        <is>
          <t>サイネオス・ヘルス</t>
        </is>
      </c>
      <c r="D49" t="inlineStr">
        <is>
          <t>indeed</t>
        </is>
      </c>
      <c r="E49">
        <f>HYPERLINK("https://www.indeed.com/viewjob?jk=55d8dbf26a729653", "https://www.indeed.com/viewjob?jk=55d8dbf26a729653")</f>
        <v/>
      </c>
      <c r="F49">
        <f>HYPERLINK("https://jp.syneoshealth.com/careers/jobs/17341725-sr-biometrics-data-engineer", "https://jp.syneoshealth.com/careers/jobs/17341725-sr-biometrics-data-engineer")</f>
        <v/>
      </c>
      <c r="G49" t="inlineStr">
        <is>
          <t>Morrisville, NC, US</t>
        </is>
      </c>
      <c r="H49" s="3" t="n">
        <v>46064</v>
      </c>
      <c r="I49" t="inlineStr">
        <is>
          <t>**Updated:** Yesterday  
**Location:** Morrisville, NC, United States  
**Job ID:** 25105623\-OTHLOC\-1500\-2DKY\-2DR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50">
      <c r="A50" t="inlineStr">
        <is>
          <t>in-7ae5f59692e5ee0f</t>
        </is>
      </c>
      <c r="B50" t="inlineStr">
        <is>
          <t>Sr. Biometrics Data Engineer</t>
        </is>
      </c>
      <c r="C50" t="inlineStr">
        <is>
          <t>サイネオス・ヘルス</t>
        </is>
      </c>
      <c r="D50" t="inlineStr">
        <is>
          <t>indeed</t>
        </is>
      </c>
      <c r="E50">
        <f>HYPERLINK("https://www.indeed.com/viewjob?jk=7ae5f59692e5ee0f", "https://www.indeed.com/viewjob?jk=7ae5f59692e5ee0f")</f>
        <v/>
      </c>
      <c r="F50">
        <f>HYPERLINK("https://jp.syneoshealth.com/careers/jobs/17341697-sr-biometrics-data-engineer", "https://jp.syneoshealth.com/careers/jobs/17341697-sr-biometrics-data-engineer")</f>
        <v/>
      </c>
      <c r="G50" t="inlineStr">
        <is>
          <t>Morrisville, NC, US</t>
        </is>
      </c>
      <c r="H50" s="3" t="n">
        <v>46064</v>
      </c>
      <c r="I50" t="inlineStr">
        <is>
          <t>**Updated:** Yesterday  
**Location:** Morrisville, NC, United States  
**Job ID:** 25105623\-OTHLOC\-1500\-2DAZ\-2DR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51">
      <c r="A51" t="inlineStr">
        <is>
          <t>in-7bc17de3db98c70c</t>
        </is>
      </c>
      <c r="B51" t="inlineStr">
        <is>
          <t>Sr. Biometrics Data Engineer</t>
        </is>
      </c>
      <c r="C51" t="inlineStr">
        <is>
          <t>サイネオス・ヘルス</t>
        </is>
      </c>
      <c r="D51" t="inlineStr">
        <is>
          <t>indeed</t>
        </is>
      </c>
      <c r="E51">
        <f>HYPERLINK("https://www.indeed.com/viewjob?jk=7bc17de3db98c70c", "https://www.indeed.com/viewjob?jk=7bc17de3db98c70c")</f>
        <v/>
      </c>
      <c r="F51">
        <f>HYPERLINK("https://jp.syneoshealth.com/careers/jobs/17341742-sr-biometrics-data-engineer", "https://jp.syneoshealth.com/careers/jobs/17341742-sr-biometrics-data-engineer")</f>
        <v/>
      </c>
      <c r="G51" t="inlineStr">
        <is>
          <t>Morrisville, NC, US</t>
        </is>
      </c>
      <c r="H51" s="3" t="n">
        <v>46064</v>
      </c>
      <c r="I51" t="inlineStr">
        <is>
          <t>**Updated:** Yesterday  
**Location:** Morrisville, NC, United States  
**Job ID:** 25105623\-OTHLOC\-1500\-2DOR\-2DR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52">
      <c r="A52" t="inlineStr">
        <is>
          <t>in-7a4529b805df2e79</t>
        </is>
      </c>
      <c r="B52" t="inlineStr">
        <is>
          <t>Sr. Biometrics Data Engineer</t>
        </is>
      </c>
      <c r="C52" t="inlineStr">
        <is>
          <t>サイネオス・ヘルス</t>
        </is>
      </c>
      <c r="D52" t="inlineStr">
        <is>
          <t>indeed</t>
        </is>
      </c>
      <c r="E52">
        <f>HYPERLINK("https://www.indeed.com/viewjob?jk=7a4529b805df2e79", "https://www.indeed.com/viewjob?jk=7a4529b805df2e79")</f>
        <v/>
      </c>
      <c r="F52">
        <f>HYPERLINK("https://jp.syneoshealth.com/careers/jobs/17341735-sr-biometrics-data-engineer", "https://jp.syneoshealth.com/careers/jobs/17341735-sr-biometrics-data-engineer")</f>
        <v/>
      </c>
      <c r="G52" t="inlineStr">
        <is>
          <t>Morrisville, NC, US</t>
        </is>
      </c>
      <c r="H52" s="3" t="n">
        <v>46064</v>
      </c>
      <c r="I52" t="inlineStr">
        <is>
          <t>**Updated:** Yesterday  
**Location:** Morrisville, NC, United States  
**Job ID:** 25105623\-OTHLOC\-1500\-2DWI\-2DR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53">
      <c r="A53" t="inlineStr">
        <is>
          <t>in-3ba8f5e06ec225ae</t>
        </is>
      </c>
      <c r="B53" t="inlineStr">
        <is>
          <t>Sr. Biometrics Data Engineer</t>
        </is>
      </c>
      <c r="C53" t="inlineStr">
        <is>
          <t>サイネオス・ヘルス</t>
        </is>
      </c>
      <c r="D53" t="inlineStr">
        <is>
          <t>indeed</t>
        </is>
      </c>
      <c r="E53">
        <f>HYPERLINK("https://www.indeed.com/viewjob?jk=3ba8f5e06ec225ae", "https://www.indeed.com/viewjob?jk=3ba8f5e06ec225ae")</f>
        <v/>
      </c>
      <c r="F53">
        <f>HYPERLINK("https://jp.syneoshealth.com/careers/jobs/17341696-sr-biometrics-data-engineer", "https://jp.syneoshealth.com/careers/jobs/17341696-sr-biometrics-data-engineer")</f>
        <v/>
      </c>
      <c r="G53" t="inlineStr">
        <is>
          <t>Morrisville, NC, US</t>
        </is>
      </c>
      <c r="H53" s="3" t="n">
        <v>46064</v>
      </c>
      <c r="I53" t="inlineStr">
        <is>
          <t>**Updated:** Yesterday  
**Location:** Morrisville, NC, United States  
**Job ID:** 25105623\-OTHLOC\-1500\-2DTX\-2DR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54">
      <c r="A54" t="inlineStr">
        <is>
          <t>in-ca7dcb8c31b6000a</t>
        </is>
      </c>
      <c r="B54" t="inlineStr">
        <is>
          <t>Sr. Biometrics Data Engineer</t>
        </is>
      </c>
      <c r="C54" t="inlineStr">
        <is>
          <t>サイネオス・ヘルス</t>
        </is>
      </c>
      <c r="D54" t="inlineStr">
        <is>
          <t>indeed</t>
        </is>
      </c>
      <c r="E54">
        <f>HYPERLINK("https://www.indeed.com/viewjob?jk=ca7dcb8c31b6000a", "https://www.indeed.com/viewjob?jk=ca7dcb8c31b6000a")</f>
        <v/>
      </c>
      <c r="F54">
        <f>HYPERLINK("https://jp.syneoshealth.com/careers/jobs/17341724-sr-biometrics-data-engineer", "https://jp.syneoshealth.com/careers/jobs/17341724-sr-biometrics-data-engineer")</f>
        <v/>
      </c>
      <c r="G54" t="inlineStr">
        <is>
          <t>Morrisville, NC, US</t>
        </is>
      </c>
      <c r="H54" s="3" t="n">
        <v>46064</v>
      </c>
      <c r="I54" t="inlineStr">
        <is>
          <t>**Updated:** Yesterday  
**Location:** Morrisville, NC, United States  
**Job ID:** 25105623\-OTHLOC\-1500\-2DHI\-2DR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55">
      <c r="A55" t="inlineStr">
        <is>
          <t>in-ada1b6c22ef07f83</t>
        </is>
      </c>
      <c r="B55" t="inlineStr">
        <is>
          <t>Sr. Biometrics Data Engineer</t>
        </is>
      </c>
      <c r="C55" t="inlineStr">
        <is>
          <t>サイネオス・ヘルス</t>
        </is>
      </c>
      <c r="D55" t="inlineStr">
        <is>
          <t>indeed</t>
        </is>
      </c>
      <c r="E55">
        <f>HYPERLINK("https://www.indeed.com/viewjob?jk=ada1b6c22ef07f83", "https://www.indeed.com/viewjob?jk=ada1b6c22ef07f83")</f>
        <v/>
      </c>
      <c r="F55">
        <f>HYPERLINK("https://jp.syneoshealth.com/careers/jobs/17341738-sr-biometrics-data-engineer", "https://jp.syneoshealth.com/careers/jobs/17341738-sr-biometrics-data-engineer")</f>
        <v/>
      </c>
      <c r="G55" t="inlineStr">
        <is>
          <t>Morrisville, NC, US</t>
        </is>
      </c>
      <c r="H55" s="3" t="n">
        <v>46064</v>
      </c>
      <c r="I55" t="inlineStr">
        <is>
          <t>**Updated:** Yesterday  
**Location:** Morrisville, NC, United States  
**Job ID:** 25105623\-OTHLOC\-1500\-2DIA\-2DR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56">
      <c r="A56" t="inlineStr">
        <is>
          <t>in-3f94a0d7e4729990</t>
        </is>
      </c>
      <c r="B56" t="inlineStr">
        <is>
          <t>Sr. Biometrics Data Engineer</t>
        </is>
      </c>
      <c r="C56" t="inlineStr">
        <is>
          <t>サイネオス・ヘルス</t>
        </is>
      </c>
      <c r="D56" t="inlineStr">
        <is>
          <t>indeed</t>
        </is>
      </c>
      <c r="E56">
        <f>HYPERLINK("https://www.indeed.com/viewjob?jk=3f94a0d7e4729990", "https://www.indeed.com/viewjob?jk=3f94a0d7e4729990")</f>
        <v/>
      </c>
      <c r="F56">
        <f>HYPERLINK("https://jp.syneoshealth.com/careers/jobs/17341731-sr-biometrics-data-engineer", "https://jp.syneoshealth.com/careers/jobs/17341731-sr-biometrics-data-engineer")</f>
        <v/>
      </c>
      <c r="G56" t="inlineStr">
        <is>
          <t>Morrisville, NC, US</t>
        </is>
      </c>
      <c r="H56" s="3" t="n">
        <v>46064</v>
      </c>
      <c r="I56" t="inlineStr">
        <is>
          <t>**Updated:** Yesterday  
**Location:** Morrisville, NC, United States  
**Job ID:** 25105623\-OTHLOC\-1500\-2DWY\-2DR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57">
      <c r="A57" t="inlineStr">
        <is>
          <t>in-a30692f13ce5fb83</t>
        </is>
      </c>
      <c r="B57" t="inlineStr">
        <is>
          <t>Sr. Biometrics Data Engineer</t>
        </is>
      </c>
      <c r="C57" t="inlineStr">
        <is>
          <t>サイネオス・ヘルス</t>
        </is>
      </c>
      <c r="D57" t="inlineStr">
        <is>
          <t>indeed</t>
        </is>
      </c>
      <c r="E57">
        <f>HYPERLINK("https://www.indeed.com/viewjob?jk=a30692f13ce5fb83", "https://www.indeed.com/viewjob?jk=a30692f13ce5fb83")</f>
        <v/>
      </c>
      <c r="F57">
        <f>HYPERLINK("https://jp.syneoshealth.com/careers/jobs/17341727-sr-biometrics-data-engineer", "https://jp.syneoshealth.com/careers/jobs/17341727-sr-biometrics-data-engineer")</f>
        <v/>
      </c>
      <c r="G57" t="inlineStr">
        <is>
          <t>Morrisville, NC, US</t>
        </is>
      </c>
      <c r="H57" s="3" t="n">
        <v>46064</v>
      </c>
      <c r="I57" t="inlineStr">
        <is>
          <t>**Updated:** Yesterday  
**Location:** Morrisville, NC, United States  
**Job ID:** 25105623\-OTHLOC\-1500\-2DND\-2DR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58">
      <c r="A58" t="inlineStr">
        <is>
          <t>in-9ba9089fa2af855b</t>
        </is>
      </c>
      <c r="B58" t="inlineStr">
        <is>
          <t>Sr. Biometrics Data Engineer</t>
        </is>
      </c>
      <c r="C58" t="inlineStr">
        <is>
          <t>サイネオス・ヘルス</t>
        </is>
      </c>
      <c r="D58" t="inlineStr">
        <is>
          <t>indeed</t>
        </is>
      </c>
      <c r="E58">
        <f>HYPERLINK("https://www.indeed.com/viewjob?jk=9ba9089fa2af855b", "https://www.indeed.com/viewjob?jk=9ba9089fa2af855b")</f>
        <v/>
      </c>
      <c r="F58">
        <f>HYPERLINK("https://jp.syneoshealth.com/careers/jobs/17341720-sr-biometrics-data-engineer", "https://jp.syneoshealth.com/careers/jobs/17341720-sr-biometrics-data-engineer")</f>
        <v/>
      </c>
      <c r="G58" t="inlineStr">
        <is>
          <t>Morrisville, NC, US</t>
        </is>
      </c>
      <c r="H58" s="3" t="n">
        <v>46064</v>
      </c>
      <c r="I58" t="inlineStr">
        <is>
          <t>**Updated:** Yesterday  
**Location:** Morrisville, NC, United States  
**Job ID:** 25105623\-OTHLOC\-1500\-2DNM\-2DR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59">
      <c r="A59" t="inlineStr">
        <is>
          <t>in-55a4e7c186a5e258</t>
        </is>
      </c>
      <c r="B59" t="inlineStr">
        <is>
          <t>Sr. Biometrics Data Engineer</t>
        </is>
      </c>
      <c r="C59" t="inlineStr">
        <is>
          <t>サイネオス・ヘルス</t>
        </is>
      </c>
      <c r="D59" t="inlineStr">
        <is>
          <t>indeed</t>
        </is>
      </c>
      <c r="E59">
        <f>HYPERLINK("https://www.indeed.com/viewjob?jk=55a4e7c186a5e258", "https://www.indeed.com/viewjob?jk=55a4e7c186a5e258")</f>
        <v/>
      </c>
      <c r="F59">
        <f>HYPERLINK("https://jp.syneoshealth.com/careers/jobs/17341710-sr-biometrics-data-engineer", "https://jp.syneoshealth.com/careers/jobs/17341710-sr-biometrics-data-engineer")</f>
        <v/>
      </c>
      <c r="G59" t="inlineStr">
        <is>
          <t>Morrisville, NC, US</t>
        </is>
      </c>
      <c r="H59" s="3" t="n">
        <v>46064</v>
      </c>
      <c r="I59" t="inlineStr">
        <is>
          <t>**Updated:** Yesterday  
**Location:** Morrisville, NC, United States  
**Job ID:** 25105623\-OTHLOC\-1500\-2DPA\-2DR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60">
      <c r="A60" t="inlineStr">
        <is>
          <t>in-89c1c798558c641f</t>
        </is>
      </c>
      <c r="B60" t="inlineStr">
        <is>
          <t>Sr. Biometrics Data Engineer</t>
        </is>
      </c>
      <c r="C60" t="inlineStr">
        <is>
          <t>サイネオス・ヘルス</t>
        </is>
      </c>
      <c r="D60" t="inlineStr">
        <is>
          <t>indeed</t>
        </is>
      </c>
      <c r="E60">
        <f>HYPERLINK("https://www.indeed.com/viewjob?jk=89c1c798558c641f", "https://www.indeed.com/viewjob?jk=89c1c798558c641f")</f>
        <v/>
      </c>
      <c r="F60">
        <f>HYPERLINK("https://jp.syneoshealth.com/careers/jobs/17341737-sr-biometrics-data-engineer", "https://jp.syneoshealth.com/careers/jobs/17341737-sr-biometrics-data-engineer")</f>
        <v/>
      </c>
      <c r="G60" t="inlineStr">
        <is>
          <t>Morrisville, NC, US</t>
        </is>
      </c>
      <c r="H60" s="3" t="n">
        <v>46064</v>
      </c>
      <c r="I60" t="inlineStr">
        <is>
          <t>**Updated:** Yesterday  
**Location:** Morrisville, NC, United States  
**Job ID:** 25105623\-OTHLOC\-1500\-2DNH\-2DR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61">
      <c r="A61" t="inlineStr">
        <is>
          <t>in-3751cfa37af1075b</t>
        </is>
      </c>
      <c r="B61" t="inlineStr">
        <is>
          <t>Sr. Biometrics Data Engineer</t>
        </is>
      </c>
      <c r="C61" t="inlineStr">
        <is>
          <t>サイネオス・ヘルス</t>
        </is>
      </c>
      <c r="D61" t="inlineStr">
        <is>
          <t>indeed</t>
        </is>
      </c>
      <c r="E61">
        <f>HYPERLINK("https://www.indeed.com/viewjob?jk=3751cfa37af1075b", "https://www.indeed.com/viewjob?jk=3751cfa37af1075b")</f>
        <v/>
      </c>
      <c r="F61">
        <f>HYPERLINK("https://jp.syneoshealth.com/careers/jobs/17341734-sr-biometrics-data-engineer", "https://jp.syneoshealth.com/careers/jobs/17341734-sr-biometrics-data-engineer")</f>
        <v/>
      </c>
      <c r="G61" t="inlineStr">
        <is>
          <t>Morrisville, NC, US</t>
        </is>
      </c>
      <c r="H61" s="3" t="n">
        <v>46064</v>
      </c>
      <c r="I61" t="inlineStr">
        <is>
          <t>**Updated:** Yesterday  
**Location:** Morrisville, NC, United States  
**Job ID:** 25105623\-OTHLOC\-1500\-2DGA\-2DR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62">
      <c r="A62" t="inlineStr">
        <is>
          <t>in-2ff1ef3245061e8f</t>
        </is>
      </c>
      <c r="B62" t="inlineStr">
        <is>
          <t>Sr. Biometrics Data Engineer</t>
        </is>
      </c>
      <c r="C62" t="inlineStr">
        <is>
          <t>サイネオス・ヘルス</t>
        </is>
      </c>
      <c r="D62" t="inlineStr">
        <is>
          <t>indeed</t>
        </is>
      </c>
      <c r="E62">
        <f>HYPERLINK("https://www.indeed.com/viewjob?jk=2ff1ef3245061e8f", "https://www.indeed.com/viewjob?jk=2ff1ef3245061e8f")</f>
        <v/>
      </c>
      <c r="F62">
        <f>HYPERLINK("https://jp.syneoshealth.com/careers/jobs/17341726-sr-biometrics-data-engineer", "https://jp.syneoshealth.com/careers/jobs/17341726-sr-biometrics-data-engineer")</f>
        <v/>
      </c>
      <c r="G62" t="inlineStr">
        <is>
          <t>Morrisville, NC, US</t>
        </is>
      </c>
      <c r="H62" s="3" t="n">
        <v>46064</v>
      </c>
      <c r="I62" t="inlineStr">
        <is>
          <t>**Updated:** Yesterday  
**Location:** Morrisville, NC, United States  
**Job ID:** 25105623\-OTHLOC\-1500\-2DSC\-2DR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63">
      <c r="A63" t="inlineStr">
        <is>
          <t>in-60618d3e6afb26d1</t>
        </is>
      </c>
      <c r="B63" t="inlineStr">
        <is>
          <t>Sr. Biometrics Data Engineer</t>
        </is>
      </c>
      <c r="C63" t="inlineStr">
        <is>
          <t>サイネオス・ヘルス</t>
        </is>
      </c>
      <c r="D63" t="inlineStr">
        <is>
          <t>indeed</t>
        </is>
      </c>
      <c r="E63">
        <f>HYPERLINK("https://www.indeed.com/viewjob?jk=60618d3e6afb26d1", "https://www.indeed.com/viewjob?jk=60618d3e6afb26d1")</f>
        <v/>
      </c>
      <c r="F63">
        <f>HYPERLINK("https://jp.syneoshealth.com/careers/jobs/17341723-sr-biometrics-data-engineer", "https://jp.syneoshealth.com/careers/jobs/17341723-sr-biometrics-data-engineer")</f>
        <v/>
      </c>
      <c r="G63" t="inlineStr">
        <is>
          <t>Morrisville, NC, US</t>
        </is>
      </c>
      <c r="H63" s="3" t="n">
        <v>46064</v>
      </c>
      <c r="I63" t="inlineStr">
        <is>
          <t>**Updated:** Yesterday  
**Location:** Morrisville, NC, United States  
**Job ID:** 25105623\-OTHLOC\-1500\-2DSD\-2DR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64">
      <c r="A64" t="inlineStr">
        <is>
          <t>in-58730d1937a05fbb</t>
        </is>
      </c>
      <c r="B64" t="inlineStr">
        <is>
          <t>Sr. Biometrics Data Engineer</t>
        </is>
      </c>
      <c r="C64" t="inlineStr">
        <is>
          <t>サイネオス・ヘルス</t>
        </is>
      </c>
      <c r="D64" t="inlineStr">
        <is>
          <t>indeed</t>
        </is>
      </c>
      <c r="E64">
        <f>HYPERLINK("https://www.indeed.com/viewjob?jk=58730d1937a05fbb", "https://www.indeed.com/viewjob?jk=58730d1937a05fbb")</f>
        <v/>
      </c>
      <c r="F64">
        <f>HYPERLINK("https://jp.syneoshealth.com/careers/jobs/17341715-sr-biometrics-data-engineer", "https://jp.syneoshealth.com/careers/jobs/17341715-sr-biometrics-data-engineer")</f>
        <v/>
      </c>
      <c r="G64" t="inlineStr">
        <is>
          <t>Morrisville, NC, US</t>
        </is>
      </c>
      <c r="H64" s="3" t="n">
        <v>46064</v>
      </c>
      <c r="I64" t="inlineStr">
        <is>
          <t>**Updated:** Yesterday  
**Location:** Morrisville, NC, United States  
**Job ID:** 25105623\-OTHLOC\-1500\-2DCO\-2DR
Not ready to apply?  
Join our Talent Network
**Description**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65">
      <c r="A65" t="inlineStr">
        <is>
          <t>in-f2f3b0bc1e610f5a</t>
        </is>
      </c>
      <c r="B65" t="inlineStr">
        <is>
          <t>Data Engineer II</t>
        </is>
      </c>
      <c r="C65" t="inlineStr">
        <is>
          <t>OmniTRAX, Inc.</t>
        </is>
      </c>
      <c r="D65" t="inlineStr">
        <is>
          <t>indeed</t>
        </is>
      </c>
      <c r="E65">
        <f>HYPERLINK("https://www.indeed.com/viewjob?jk=f2f3b0bc1e610f5a", "https://www.indeed.com/viewjob?jk=f2f3b0bc1e610f5a")</f>
        <v/>
      </c>
      <c r="F65">
        <f>HYPERLINK("https://jobs.dayforcehcm.com/en-US/omnitrax/CANDIDATEPORTAL/jobs/3888", "https://jobs.dayforcehcm.com/en-US/omnitrax/CANDIDATEPORTAL/jobs/3888")</f>
        <v/>
      </c>
      <c r="G65" t="inlineStr">
        <is>
          <t>Denver, CO, US</t>
        </is>
      </c>
      <c r="H65" s="3" t="n">
        <v>46064</v>
      </c>
      <c r="I65" t="inlineStr">
        <is>
          <t>POSITION SUMMARY
The Data Engineer II supports the business and artificial intelligence portfolio and provides data architect services to the entire organization. They drive the OmniTRAX data management and business intelligence portfolios. They identify and implement data integrations to support efficient operations. They provide data modeling and development best practices and conduct proof\-of\-concept projects to identify new opportunities.
The Data Engineer II utilizes a consultative approach to team with OmniTRAX business functions. They bring knowledge of industry standards, best practices and process discipline. They implement process rigor and data hygiene to improve business operations. They have a focus on streamlining processes through technology and are passionate about training and imparting this benefit to their business partners.
The Data Engineer II demonstrates and adheres to the company values of safety, honesty, ownership, respect and teamwork to ensure successful partnership with customers and employees that result in OmniTRAX’s continued success.
ESSENTIAL RESPONSIBILITIES
* Design, architect, and develop BI reporting solutions
* Facilitate data integration among applications heavily involving Software\-as\-a\-Service core application programming interfaces (APIs)
* Architect and maintain databases, warehouses or lakehouse environments
* Align architecture with business strategies
* Provide technical leadership and management of master data management needs including systems, databases, and integrations
* Productionize data for analytics, machine learning and applications
* Document and maintain data model diagrams, data flow diagrams, integration diagrams, and other application information
* Explores technical approaches to be implemented by project teams, and guides the participants from discovery through rollout of the implementations
* Uses technical judgement to steer IT projects in technical directions that align with corporate objectives
* Participates in OmniTRAX standard system development practices, including requirements development, lifecycle project conduct, and system testing
* Work collaboratively across all lines of business and departments with a positive attitude focused on delivering value from the applications and resources
* Continuously analyze and monitor utilization of systems and applications for current and future needs
* Translate business needs into product backlogs, user stories, and business requirements to optimize business value of applications and processes
* Analyze, troubleshoot, and resolve application issues; communicate with internal and external technical resources to resolve end user issues; provide guidance to users on methods for correcting reported issues
* Generate innovative solutions by approaching problems with curiosity and open\-mindedness; use existing information to its fullest potential
OTHER DUTIES
* Maintain knowledge about current and emerging technologies that may benefit the company
* Perform other duties and projects as assigned
SUPERVISORY RESPONSIBILITIES
* None
REQUIRED QUALIFICATIONS, KNOWLEDGE, SKILLS, AND ABILITIES
* Bachelor’s degree in computer science, IT, Information Systems, or equivalent technical expertise
* 2\-4 years’ experience in related capacity
* Computer skills in Microsoft stack, including Azure, Power BI, and SQL Server
* API integration experience
* Python, JavaScript, or other coding languages
* Project management skills; prioritize concurrent assignments
* Self\-starter, multi\-task to deliver deadlines and meet business goals
* Strong reasoning skills; utilizing data, information, history, and experience in problem solving; considerable judgment and broad decision\-making
* Superior interpersonal and customer services skills to meet and/or exceed customer expectations
* Excellent verbal and written communication skills; effectively converse with all levels of the company, customers, or business associates
* Professional integrity and accountability
REQUIRED CERTIFICATIONS AND LICENSES
* None
PREFERRED QUALIFICATIONS, KNOWLEDGE, SKILLS, AND ABILITIES
* Previous experience in Rail Transportation, Supply Chain Logistics, Manufacturing and/or Oil and Gas industries
* Working experience in Agile methodologies
PREFERRED CERTIFICATIONS AND LICENSES
* Project Management Professional (PMP)
WORK ENVIRONMENT
* Work in a climate\-controlled office and routinely use standard office equipment
TRAVEL
* Up to 5%, as business requires
COMPENSATION
* Estimated Starting Annual Salary: $102,376
* Exact starting salary is determined by merit; seniority; geographic location; education, training, and/or experience related to job duties and responsibilities
* FLSA Status: Exempt, Not Eligible for Overtime
* Eligible for Participation \- Annual Discretionary Bonus
BENEFITS
* 401(k) / 401(k) matching
* AD\&amp;D insurance
* Dental insurance
* Disability insurance
* Employee assistance program
* Health insurance
* Health savings account
* Life insurance
* Mental wellbeing resources
* Paid Maternity leave
* Paid Parental leave
* Referral program
* Relocation assistance
* Sick time
* Vacation time
* Vision insurance
PHYSICAL REQUIREMENTS
Physical Requirements % of Work Time
Remain in a seated position 80%
Speak and hear clearly 100%
Lift office products and supplies, up to 20lbs. 20%
Stoop, kneel, bend and reach 10%
Dexterity to write and manipulate keyboard and mouse 100%</t>
        </is>
      </c>
    </row>
    <row r="66">
      <c r="A66" t="inlineStr">
        <is>
          <t>in-13a0330728e7fb17</t>
        </is>
      </c>
      <c r="B66" t="inlineStr">
        <is>
          <t>Data Engineering Manager</t>
        </is>
      </c>
      <c r="C66" t="inlineStr">
        <is>
          <t>AllianceBernstein</t>
        </is>
      </c>
      <c r="D66" t="inlineStr">
        <is>
          <t>indeed</t>
        </is>
      </c>
      <c r="E66">
        <f>HYPERLINK("https://www.indeed.com/viewjob?jk=13a0330728e7fb17", "https://www.indeed.com/viewjob?jk=13a0330728e7fb17")</f>
        <v/>
      </c>
      <c r="F66">
        <f>HYPERLINK("https://abglobal.wd1.myworkdayjobs.com/en-US/alliancebernsteincareers/job/Nashville-Tennessee/Data-Engineering-Manager_R0018052-2", "https://abglobal.wd1.myworkdayjobs.com/en-US/alliancebernsteincareers/job/Nashville-Tennessee/Data-Engineering-Manager_R0018052-2")</f>
        <v/>
      </c>
      <c r="G66" t="inlineStr">
        <is>
          <t>Nashville, TN, US</t>
        </is>
      </c>
      <c r="H66" s="3" t="n">
        <v>46064</v>
      </c>
      <c r="I66" t="inlineStr">
        <is>
          <t>Who You’ll Work With:
AB (Private Alternatives) is seeking a VP of Data Engineering to lead our data engineering function within the Private Alternatives technology team. This leader will be responsible for building and maintaining the data infrastructure that powers investment decision\-making across our CLO, structured credit, and direct lending portfolios. The role sits at the intersection of modern data stack technologies and alternative investment management, requiring someone who can translate complex financial data requirements into robust, scalable data pipelines.
What You’ll Do:
The VP will manage a team of data engineers responsible for moving, transforming, and storing data from diverse sources including loan servicers, trustees, fund administrators, market data providers, and internal systems. This person will work closely with investment professionals, portfolio managers, and technology colleagues to ensure that data flows seamlessly from source systems through to analytics tools like Sigma, with Validio providing continuous data quality monitoring to ensure that the data stored in Snowflake remains pristine and trustworthy at every stage of the pipeline.
Private credit data presents unique challenges: complex hierarchical structures spanning deals, tranches, and individual loans; semi\-structured documents like indentures and credit agreements; irregular reporting cadences from counterparties; and the need to reconcile data across multiple authoritative sources. The ideal candidate will have experience navigating these complexities or will bring transferable experience from other domains involving complex financial instruments.
What We’re Looking For:* 8 or more years of experience in data engineering
* At least 3 years in a leadership role managing data engineering teams.
* Deep expertise with Snowflake including performance tuning, cost optimization, and familiarity with advanced features such as Dynamic Tables, Snowpipe Streaming, and Cortex AI capabilities.
* Strong proficiency with dbt including model design patterns, testing strategies, incremental processing, and experience managing large\-scale dbt projects.
* Hands\-on experience with Apache Airflow including DAG design, operational monitoring, and understanding of Airflow 3\.0 capabilities including DAG versioning and event\-driven scheduling.
* Experience with Fivetran or similar managed ingestion platforms, including connector configuration, custom connector development, and cost optimization strategies.
* Experience with data observability and quality platforms is required, with strong preference for hands\-on experience with Validio including validator configuration, ML\-based threshold management, segmented anomaly detection, and lineage integration with dbt.
* Candidates should understand how to balance automated anomaly detection with rule\-based validation, and how to tune alerting to minimize noise while catching genuine issues.
* Strong Python skills for custom ingestion development and data processing. Advanced SQL skills including complex analytical queries, window functions, and performance optimization.
* Familiarity with AWS services commonly used in data platforms including S3, Lambda, and related infrastructure.
About AB
We are a leading global investment management firm offering high\-quality research and diversified investment services to institutional clients, retail investors, and private\-wealth clients in major markets around the globe. With over 4,000 employees across 57 locations operating in 26 countries and jurisdictions, our ambition is simple: to be the most trusted investment firm in the world. We realize that it's our people who give us a competitive advantage and drive success in the market, and our goal is to create an inclusive culture that rewards hard work.  
Our culture of intellectual curiosity and collaboration creates an environment where you can thrive and do your best work. Whether you're producing thought\-provoking research, identifying compelling investment opportunities, infusing new technologies into our business or providing thoughtful advice to our clients, we are fully invested in you. If you're ready to challenge your limits and empower your career, join us!
Nashville, Tennessee</t>
        </is>
      </c>
    </row>
    <row r="67">
      <c r="A67" t="inlineStr">
        <is>
          <t>in-17c7986c588da400</t>
        </is>
      </c>
      <c r="B67" t="inlineStr">
        <is>
          <t>Senior Data Engineer</t>
        </is>
      </c>
      <c r="C67" t="inlineStr">
        <is>
          <t>Qode</t>
        </is>
      </c>
      <c r="D67" t="inlineStr">
        <is>
          <t>indeed</t>
        </is>
      </c>
      <c r="E67">
        <f>HYPERLINK("https://www.indeed.com/viewjob?jk=17c7986c588da400", "https://www.indeed.com/viewjob?jk=17c7986c588da400")</f>
        <v/>
      </c>
      <c r="F67">
        <f>HYPERLINK("https://apply.workable.com/j/DCB91850D6", "https://apply.workable.com/j/DCB91850D6")</f>
        <v/>
      </c>
      <c r="G67" t="inlineStr">
        <is>
          <t>Florham Park, NJ, US</t>
        </is>
      </c>
      <c r="H67" s="3" t="n">
        <v>46064</v>
      </c>
      <c r="I67" t="inlineStr">
        <is>
          <t>**Job Title :**: Senior Data Engineer with MDMLocation :: Florham Park, NJ (3\-4 days onsite)Job Type :: Full time
Role Description We are looking for a hands\-on Senior Data Engineer to build and operate data pipelines for MDM —an enterprise master data foundation that produces trusted “golden records,” supports stewardship workflows, and publishes curated master data to downstream consumers. This role will engineer scalable ELT patterns using Azure, Snowflake, dbt, and Python, with strong focus on data quality, reliability, observability, and audit\-ready delivery.Key responsibilities· Design and implement ingestion patterns from source systems into Snowflake (batch and incremental/CDC where applicable).· Build scalable landing/staging/curated layers with clear lineage and reprocessing strategies.· Implement orchestration patterns on Azure (scheduling, parameterization, retries, idempotency).· Develop and maintain dbt models for: o canonical master entities and relationshipso standardization/enrichment transformationso exception/validation views and stewardship\-ready outputs· Implement dbt best practices: modular models, tests, exposures, documentation, and CI checks.· Implement data quality rules and automated tests (dbt tests \+ custom checks in Python where needed).· Create exception datasets/metrics to support stewardship queues and remediation.· Build reconciliation routines (source vs curated counts, duplicate metrics, completeness/consistency trends).· Support match/merge workflows by producing standardized inputs (keys, standardized attributes, dedupe candidates).· Implement survivorship logic where defined (source priority, recency, completeness) or enable it through curated datasets.· Produce “publish” datasets and change detection outputs for downstream consumption.· Optimize Snowflake workloads (warehouse sizing, clustering strategies where relevant, query tuning, cost governance).· Build robust operational patterns backfills, re\-runs, error handling, SLAs, data freshness checks.· Implement monitoring for pipeline health, data freshness, DQ failures, and exception volumes.· Create runbooks and operational playbooks for production support and hypercare.· Participate in go\-live cutover, hypercare triage, and transition to BAU support.· Work closely with Data Architect, BSA/Data Analyst, Backend/UI teams, QA, and DevOps.· Participate in sprint planning, code reviews, and architecture/design reviews.· Maintain high\-quality documentation and version control (Git\-based workflow).Skills requirements· 4–7 years of data engineering experience with strong hands\-on delivery ownership· Strong expertise in Snowflake (modeling, performance tuning, cost control)· Strong expertise in dbt (models, tests, macros, documentation, CI)· Proficient in Python for pipeline utilities, validations, automation, and troubleshooting· Experience implementing data quality and production monitoring practices· Strong SQL (advanced joins, window functions, profiling, reconciliation)· Experience with GenAI is required.Preferred skills · Experience with MDM / Master Data concepts (golden record, dedupe, survivorship, stewardship workflows)· Experience with Azure data ecosystem tools (ADF/Synapse/Functions/Key Vault/Monitoring)· Experience with event\-driven publishing or change\-data outputs for downstream systems· Exposure to regulated/audit\-heavy delivery environments (traceability, approvals, evidence)Qualifications· Bachelor's Degree in Computer Science or related science field or equivalent.
**About US:** Incedo is a US\-based consulting, data science and technology services firm with over 2,500 people helping clients from our six offices across US and India. We help our clients achieve competitive advantage through end\-to\-end digital transformation. Our uniqueness lies in bringing together strong engineering, data science, and design capabilities coupled with deep domain understanding. We combine services and products to maximize the business impact for our clients in telecom, financial services, product engineering and life science \&amp; healthcare industries.
Working at Incedo will provide you with an opportunity to work with industry leading client organizations, deep technology and domain experts, and global teams. Incedo University, our learning platform, provides ample learning opportunities starting with a structured onboarding program and carrying throughout various stages of your career. A variety of fun activities are also an integral part of our friendly work environment. Our flexible career paths allow you to grow into a program manager, a technical architect or a domain expert based on your skills and interests.
We are an Equal Opportunity EmployerWe value diversity at Incedo. We do not discriminate based on race, religion, color, national origin, gender, sexual orientation, age, marital status, veteran status, or disability status.
**Shubhi SrivastavaTalent AcquisitionMobile (US):** \+1\. 551 501 3536 \| Email: shubhangini.s@incedoinc.com \| www.incedoinc.com100 Campus Dr, Florham Park, New Jersey 07932, US</t>
        </is>
      </c>
    </row>
    <row r="68">
      <c r="A68" t="inlineStr">
        <is>
          <t>in-5ca6cb8ac91ede90</t>
        </is>
      </c>
      <c r="B68" t="inlineStr">
        <is>
          <t>Analytics Engineer</t>
        </is>
      </c>
      <c r="C68" t="inlineStr">
        <is>
          <t>FIVE STAR CREDIT UNION</t>
        </is>
      </c>
      <c r="D68" t="inlineStr">
        <is>
          <t>indeed</t>
        </is>
      </c>
      <c r="E68">
        <f>HYPERLINK("https://www.indeed.com/viewjob?jk=5ca6cb8ac91ede90", "https://www.indeed.com/viewjob?jk=5ca6cb8ac91ede90")</f>
        <v/>
      </c>
      <c r="F68">
        <f>HYPERLINK("https://workforcenow.adp.com/mascsr/default/mdf/recruitment/recruitment.html?cid=4f336a88-f715-4aec-8104-bb052aa6d832&amp;ccId=19000101_000001&amp;jobId=580301&amp;source=IN&amp;lang=en_US", "https://workforcenow.adp.com/mascsr/default/mdf/recruitment/recruitment.html?cid=4f336a88-f715-4aec-8104-bb052aa6d832&amp;ccId=19000101_000001&amp;jobId=580301&amp;source=IN&amp;lang=en_US")</f>
        <v/>
      </c>
      <c r="G68" t="inlineStr">
        <is>
          <t>Dothan, AL, US</t>
        </is>
      </c>
      <c r="H68" s="3" t="n">
        <v>46064</v>
      </c>
      <c r="I68" t="inlineStr">
        <is>
          <t>Position Title: Analytics Engineer Department: Data and Analytics
Classification: Exempt/Grade 13 Approved By: Benito Santoro
REPORTING RELATIONSHIPS
Position Reports To: CDO – Chief Data Officer Positions Supervised: None
All team members work toward a common purpose to Brighten the Financial Future of the Communities We Serve. Each employee supports our members by promoting and offering relevant services and products to meet their diverse needs. We deliver outstanding service by embracing our core values of Integrity, Collaboration, Accountability, Passion, and Self\-Improvement.
\_\_\_\_\_\_\_\_\_\_\_\_\_\_\_\_\_\_\_\_\_\_\_\_\_\_\_\_\_\_\_\_\_\_\_\_\_\_\_\_\_\_\_\_\_\_\_\_\_\_\_\_\_\_\_\_\_\_\_\_\_\_\_\_\_\_\_\_\_\_\_\_\_\_\_\_\_\_\_\_\_\_\_\_\_\_\_\_\_\_\_\_\_\_\_\_\_\_\_\_\_\_\_
POSITION PURPOSE
This role combines data engineering, business intelligence, and analytics to deliver data\-driven solutions for the credit union. The Analytics Engineer designs and builds data pipelines, develops dimensional models, creates Power BI reports and dashboards, and translates business requirements into technical solutions. This position emphasizes hands\-on SQL Server development and BI delivery (80%) while providing platform support (20%) to ensure data quality, performance, and reliability. The role requires self\-management of projects from requirements gathering through deployment, collaborating with business and technical stakeholders across the organization.
\_\_\_\_\_\_\_\_\_\_\_\_\_\_\_\_\_\_\_\_\_\_\_\_\_\_\_\_\_\_\_\_\_\_\_\_\_\_\_\_\_\_\_\_\_\_\_\_\_\_\_\_\_\_\_\_\_\_\_\_\_\_\_\_\_\_\_\_\_\_\_\_\_\_\_\_\_\_\_\_\_\_\_\_\_\_\_\_\_\_\_\_\_\_\_\_\_\_\_\_\_
ESSENTIAL FUNCTIONS AND BASIC DUTIES
Data Engineering and Integration
* Design and build data pipelines using SQL Server, SSIS, and other tools to ingest, transform, and load data from diverse sources
* Develop and maintain data models (e.g., star schema, snowflake schema) to support analytics and reporting
* Build and enhance stored procedures, views, and SQL code to deliver business and project data requests
* Modify existing code (procedures, views, staging logic) to add columns, fixjoins, or improve performance
* Integrate data from APIs and external systems, ensuring consistency and quality
* Maintain and harden existing SQL Server Integration Services packages for reliability including logging and automated error recovery
* Optimize data infrastructure and queries for performance, scalability, and cost efficiency
* Keep database objects and job scripts in source control and participate in CI/CD deployment processes
* Support AI/ML initiatives by preparing and structuring data for machine learning models and LLM applications
* Research and prototype AI/ML solutions including natural language query interfaces, semantic layer technologies, and LLM applications for credit union analytics
Business Intelligence Development
* Design and develop reports, dashboards, and visualizations in Power BI to meet business needs
* Collaborate with stakeholders to translate business requirements into data and reporting solutions
* Build Power BI datasets and implement DAX calculations to enhance reporting capabilities
* Ensure consistency and usability of visualizations through adherence to established design standards
* Gather requirements directly from business stakeholders and design solutions independently
* Provide technical support to analysts and end users, assisting with the use of data and reports
* Mentor business unit personnel on data understanding, report structure, and dashboard usage
SQL Platform Support
* Review, debug, and optimize T\-SQL stored procedures and functions using execution plans and Dynamic Management Views (DMVs)
* Design and maintain indexing strategies including clustered, non\-clustered, and filtered indexes
* Manage statistics, mitigate parameter sniffing, and optimize temp db usage
* Support SQL Server Agent jobs, schedules, and automation tasks
* Monitor key data quality indicators and alerts for priority tables; perform root cause analysis and drive corrective actions
* Implement and tune monitoring and alerting for performance and job health
* Write clear runbooks, documentation, and technical specifications
Collaboration and Communication
* Partner with business and technical teams to identify opportunities to leverage data for decision\-making
* Communicate effectively with Security, Infrastructure, Analytics, and Data Governance teams
* Maintain documentation for data pipelines, models, and reporting assets to promote team collaboration
Project Management
* Lead and self\-manage medium\-sized data and analytics projects involving multiple business and technical stakeholders using Azure Boards and agile sprint methodology
* Coordinate with cross\-functional teams to define project scope, timelines, and deliverables
* Manage competing priorities and communicate project status to stakeholders and leadership
Compliance and Security
* Ensure all data engineering and analytics activities comply with regulatory requirements and internal standards
* Implement and maintain data security practices to safeguard sensitive information
* Maintain compliance with FSCU's established policies, procedures, and applicable regulations including BSA, AML, MIP, and OFAC
Continuous Improvement
* Stay current on emerging tools, technologies, and best practices in data engineering and analytics
* Identify opportunities to streamline data workflows and improve data accessibility for business users
* Explore and experiment with emerging AI/ML technologies including LLMs and their applications to credit union data and analytics
\_\_\_\_\_\_\_\_\_\_\_\_\_\_\_\_\_\_\_\_\_\_\_\_\_\_\_\_\_\_\_\_\_\_\_\_\_\_\_\_\_\_\_\_\_\_\_\_\_\_\_\_\_\_\_\_\_\_\_\_\_\_\_\_\_\_\_\_\_\_\_\_\_\_\_\_\_\_\_\_\_\_\_\_\_\_\_\_\_\_\_\_\_
QUALIFICATIONS
Education/Certification: Bachelor’s degree in Business, Finance, Accounting, Statistics, Mathematics, Computer Science, or minimum 5 years of equivalent work experience.
required knowledge:
Expert\-level SQL Server 2022 knowledge including T\-SQL, performance tuning, execution plans, and indexing strategies
SSIS development and deployment including error handling, logging, and package reliability
Power BI development including datasets, DAX calculations, and visualization best practices
Dimensional modeling (star schema, snowflake schema) and ETL processes
Data security practices including PII protection and safeguarding sensitive member information
Credit union products, services, and core banking systems (Symitar/ARCU strongly preferred)
experience required: Minimum 5 years of hands\-on experience with SQL Server development, SSIS, and Power BI in a data engineering, analytics engineering, or business intelligence role
skills/abilities:
Diagnose and resolve database performance issues using execution plans, indexes, query analysis, and SQL Server monitoring tools
Gather requirements from stakeholders and translate business needs into technical solutions
Self\-manage projects from requirements through design, development and deployment with minimal supervision
Exceptional verbal and written communication skills and ability to present information clearly and professionally
Strong interpersonal skills with ability to mentor analysts and collaborate across departments
Excellent organization, prioritization, and time management in a fast\-paced environment
PHYSICAL ACTIVITIES AND REQUIREMENTS OF THIS POSITION
Finger dexterity: Using primarily just the fingers to make small movements such as typing, picking up small objects, or pinching fingers together.
TALKING: Position requires capacity for almost continuous verbal communication and detailed or important instructions or ideas must frequently be conveyed accurately, loudly or quickly to other team members.
AVERAGE HEARING: Able to hear average or normal conversations and receive ordinary information.
REPETITIVE MOTIONS: Movements frequently and regularly required using the wrists, hands, and fingers.
AVERAGE VISUAL ABILITIES: Average, ordinary, visual acuity necessary to prepare or inspect documents or products, or operate machinery.
PHYSICAL STRENGTH: Medium work; exerts up to 20 lbs. of force occasionally, and/or up to 20 lbs. frequently, and 10 lbs. constantly.
WORKING CONDITIONS
NONE: No hazardous or significantly unpleasant conditions. (Such as in a typical office.)
MENTAL ACTIVITIES AND REQUIREMENTS OF THIS POSITION
REASONING ABILITY: Ability to analyze complex technical problems with multiple variables and determine
appropriate solutions.
Ability to interpret business requirements and technical specifications.
MATHEMATICS ABILITY: Ability to work with percentages, ratios, and basic statistical concepts.
Ability to interpret data trends and create meaningful calculations in reports and queries.
LANGUAGE ABILITY: Ability to read and comprehend technical documentation, manuals, and industry resources.
Ability to write clear technical documentation, procedures, and communications using proper grammar and formatting.
Ability to communicate technical concepts effectively to both technical and non\-technical audiences.
INTENT AND FUNCTION OF JOB DESCRIPTIONS
Job descriptions assist organizations in ensuring that the hiring process is fairly administered and that qualified employees are selected. They are also essential to an effective appraisal system and related promotion, transfer, layoff, and termination decisions. Well\-constructed job descriptions are an integral part of any effective compensation system.
All descriptions have been reviewed to ensure that only essential functions and basic duties have been included. Peripheral tasks, only incidentally related to each position, have been excluded. Requirements, skills, and abilities included have been determined to be the minimal standards required to successfully perform the positions. In no instance, however, should the duties, responsibilities, and requirements delineated be interpreted as all inclusive. Additional functions and requirements may be assigned by supervisors as deemed appropriate.
In accordance with the Americans with Disabilities Act, it is possible that requirements may be modified to reasonably accommodate disabled individuals. However, no accommodations will be made which may pose serious health or safety risks to the employee or others or which impose undue hardships on the organization.
Job descriptions are not intended as and do not create employment contracts. The organization maintains its status as an at\-will employer. Employees can be terminated for any reason not prohibited by law.</t>
        </is>
      </c>
    </row>
    <row r="69">
      <c r="A69" t="inlineStr">
        <is>
          <t>in-5a8aee1402c46e06</t>
        </is>
      </c>
      <c r="B69" t="inlineStr">
        <is>
          <t>Senior Data Engineer, Cost Platform</t>
        </is>
      </c>
      <c r="C69" t="inlineStr">
        <is>
          <t>Spotify</t>
        </is>
      </c>
      <c r="D69" t="inlineStr">
        <is>
          <t>indeed</t>
        </is>
      </c>
      <c r="E69">
        <f>HYPERLINK("https://www.indeed.com/viewjob?jk=5a8aee1402c46e06", "https://www.indeed.com/viewjob?jk=5a8aee1402c46e06")</f>
        <v/>
      </c>
      <c r="F69">
        <f>HYPERLINK("https://www.lifeatspotify.com/jobs/senior-data-engineer-cost-platform", "https://www.lifeatspotify.com/jobs/senior-data-engineer-cost-platform")</f>
        <v/>
      </c>
      <c r="G69" t="inlineStr">
        <is>
          <t>New York, NY, US</t>
        </is>
      </c>
      <c r="H69" s="3" t="n">
        <v>46064</v>
      </c>
      <c r="I69" t="inlineStr">
        <is>
          <t>Engineering
Permanent
New York
The Platform team builds the technology that enables Spotify to learn quickly and scale easily, enabling rapid growth in our users and our business around the globe. Spanning many disciplines, we work to make the business work; crafting the infrastructure, tooling, frameworks, and capabilities needed to welcome a billion customers.  
We are looking for a Senior Data Engineer to join the Cost Engineering Product Area, whose mission is to drive sustainability through cost and climate intelligence, amplifying Spotify's ability to deliver creativity to the world. Cost Engineering is responsible for optimizing the cost and carbon footprint of our infrastructure and software. Our team operates at the intersection of technology, product, procurement, and finance, making it one of the most dynamic and impactful places to work at Spotify.  
As a Data Engineer in Cost Engineering, you’ll influence decisions that build Spotify’s technology and financial future. By crafting and implementing the data systems that power our cost practices, you’ll provide the foundations that enable us to optimize its cost and carbon footprint, enabling Spotify to grow sustainably while reducing our climate impact.
What You Will Do
* Be responsible for the design, implementation, and evolution of scalable, reliable data infrastructure that underpins Spotify’s cost and carbon intelligence.
* Own end\-to\-end data pipelines for cloud cost, usage, and emissions data: spanning ingestion, transformation, modeling, and serving layers.
* Partner deeply with Data Scientists, Engineering, Finance, and Procurement to translate sophisticated analytical and business needs into robust data architectures.
* Set technical direction and standards for data modeling, orchestration, testing, and observability within the Cost Engineering domain.
* Build and maintain curated, analytics\-ready datasets that power executive reporting, forecasting, and optimization initiatives.
* Ensure data accuracy, consistency, and timeliness for high\-stakes cost and emissions reporting used to guide strategic infrastructure investments.
* Proactively identify opportunities to improve the scalability, reliability, and cost efficiency of the data platform itself.
* Mentor other engineers and act as a technical sounding board, raising the overall bar for data engineering perfection on the team.
* Work across all Missions at Spotify to embed cost and climate awareness into decision\-making, with a focus on accurate attribution of spend and carbon impact.
Who You Are
* A senior data engineer with a strong track record of owning and operating production\-critical data systems end to end.
* Hold a degree in computer science, engineering, or a related technical field, or equivalent proven experience.
* Experienced in designing data architectures that scale with both data volume and organizational complexity.
* Comfortable leading technical discussions, influencing build decisions, and aligning partners around long\-term solutions.
* Thrive in environments with evolving requirements, balancing speed of delivery with adaptability and correctness.
* Strong communicator who can explain sophisticated technical concepts clearly to both technical and non\-technical audiences.
* Familiar with financial, billing, or usage data, and able to connect infrastructure metrics to real business and sustainability impact.
* Hands\-on experience with cloud data platforms (GCP preferred).
* Highly proficient with Python, SQL, DBT, and modern orchestration frameworks and experienced with data quality and observability tooling.
* Experience with at least one data processing framework such as Spark, Flink, or Dataflow
Where You Will Be
* This role is based in NYC
* We offer you the flexibility to work where you work best! There will be some in\-person meetings, but still allows for flexibility to work from home.
Learn about life at Spotify
The United States base range for this position is $164,448\-234,926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
Our global benefits
Extensive learning opportunities, through our dedicated team, GreenHouse.
Flexible share incentives letting you choose how you share in our success.
Global parental leave, six months off \- for all new parents.
All The Feels, our employee assistance program and self\-care hub.
Flexible public holidays, swap days off according to your values and beliefs.</t>
        </is>
      </c>
    </row>
    <row r="70">
      <c r="A70" t="inlineStr">
        <is>
          <t>in-331f645780329e24</t>
        </is>
      </c>
      <c r="B70" t="inlineStr">
        <is>
          <t>Manager Engineering (Data Engineering)</t>
        </is>
      </c>
      <c r="C70" t="inlineStr">
        <is>
          <t>Paylocity</t>
        </is>
      </c>
      <c r="D70" t="inlineStr">
        <is>
          <t>indeed</t>
        </is>
      </c>
      <c r="E70">
        <f>HYPERLINK("https://www.indeed.com/viewjob?jk=331f645780329e24", "https://www.indeed.com/viewjob?jk=331f645780329e24")</f>
        <v/>
      </c>
      <c r="F70">
        <f>HYPERLINK("https://2000recruiting.paylocity.com/recruiting/jobs/Details/42585/PAYLOCITY-CORPORATION/Manager-Engineering-Data-Engineering?source=Indeed_Feed", "https://2000recruiting.paylocity.com/recruiting/jobs/Details/42585/PAYLOCITY-CORPORATION/Manager-Engineering-Data-Engineering?source=Indeed_Feed")</f>
        <v/>
      </c>
      <c r="G70" t="inlineStr">
        <is>
          <t>US</t>
        </is>
      </c>
      <c r="H70" s="3" t="n">
        <v>46064</v>
      </c>
      <c r="I70" t="inlineStr">
        <is>
          <t>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life,disability, and a 401(k) match, as well as perks that support you, your family, and your finances. And if it’s career development you desire, we provide that, too! At Paylocity, people matter most and have always been at the heart of our business.
Help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one\-of\-a\-kind technology, and improve the employee experience?
Take your career to the next level at one of G2's Top 100 Software Companies. Explore our Product \&amp; Technology positions to see where you fit!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**Manager Engineering (Data Engineering)**
**Position Overview**
This role manages a team of data engineers to deliver high\-quality, scalable solutions that support business objectives. You will be responsible for the technical execution, operational efficiency, and health of your team’s engineering output, ensuring high\-quality, scalable software delivery. You will foster a high\-performing, collaborative team environment, mentor engineers, and drive continuous improvements in both product and process. This role requires strong leadership, a hands\-on approach to problem\-solving, and a focus on delivering impactful solutions.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Lead and manage a data engineering team, ensuring alignment with product and business goals.
* Own the overall health, scalability, and quality of products within the team’s domain.
* Drive technical execution and delivery of high\-quality, scalable data engineering pipelines.
* Empower and unblock the team by establishing efficient execution and operational processes, ensuring high velocity and impactful delivery.
* Facilitate and continuously improve team processes, including development, planning, on call rotations, bug triage, and metrics review.
* Drive execution on projects/goals that may extend beyond the immediate team’s scope, ensuring cross\-functional collaboration.
* Coach and mentor engineers, supporting their career growth and skill development.
* Work with a single team and product partners within a domain that may contain multiple products or applications while managing dependencies and expected outcomes.
* Collaborate with Product, Security, and Business teams to align technical strategy with company objectives.
* Ensure adherence to security best practices and compliance standards.
* Monitor and analyze team performance metrics to drive continuous improvements in quality, velocity, and efficiency.
* Manage team capacity and resource planning, ensuring the right talent is allocated to meet project goals.
* Stay up to date on industry trends and emerging technologies, applying relevant innovations to enhance team effectiveness.
**Education and Experience**
* BS degree or higher in Computer Science, Information Technology or equivalent experience.
* 5\+ years of experience in data engineering, with 1\+ years in a management role.
* Strong technical background in data engineering related technologies (DBT, Snowflake or similar)
* Experience working in agile development environments and driving process improvements.
* Proven ability to lead, mentor, and develop high\-performing engineering teams.
* Strong collaboration skills, with experience working across Product, Design, and Business functions.
* Strong problem\-solving skills, adaptability to change, and a curious, growth\-oriented mindset.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accessibility@paylocity.com. This email address is exclusively designated for such requests, aligning with federal and state disability laws. Please do not send resumes to this email address, as they will be removed.
The base pay range for this position is $129,400 \- $240,200 /yr; however, base pay offered may vary depending on job\-related knowledge, skills, and experience. This position is eligible for an annual bonus and restricted stock unit grant based on individual performance in addition to a full range of benefits . This information is provided per the relevant state and local pay transparency laws for the location in which this position will be performed. Base pay information is based on market location. Applicants should apply via www.paylocity.com/careers.
\#LI\-Tech \#LI\-Remote</t>
        </is>
      </c>
    </row>
    <row r="71">
      <c r="A71" t="inlineStr">
        <is>
          <t>in-0121c01141bf6e19</t>
        </is>
      </c>
      <c r="B71" t="inlineStr">
        <is>
          <t>Lead Data Platform Engineer</t>
        </is>
      </c>
      <c r="C71" t="inlineStr">
        <is>
          <t>Virtuous Software</t>
        </is>
      </c>
      <c r="D71" t="inlineStr">
        <is>
          <t>indeed</t>
        </is>
      </c>
      <c r="E71">
        <f>HYPERLINK("https://www.indeed.com/viewjob?jk=0121c01141bf6e19", "https://www.indeed.com/viewjob?jk=0121c01141bf6e19")</f>
        <v/>
      </c>
      <c r="F71">
        <f>HYPERLINK("https://jobs.ashbyhq.com/virtuous/95b59805-65c6-466b-aa13-7eb8e350ee79?utm_source=9QR5Qo1m0j", "https://jobs.ashbyhq.com/virtuous/95b59805-65c6-466b-aa13-7eb8e350ee79?utm_source=9QR5Qo1m0j")</f>
        <v/>
      </c>
      <c r="G71" t="inlineStr">
        <is>
          <t>US</t>
        </is>
      </c>
      <c r="H71" s="3" t="n">
        <v>46064</v>
      </c>
      <c r="I71" t="inlineStr">
        <is>
          <t>**About Us**
============
Virtuous is on a mission to inspire global generosity by helping nonprofits build better relationships with their donors. We offer a modern software platform that provides mid\-sized charities with elegant tools for fundraising, marketing, volunteerism, and online giving.
Our talented team is driven to disrupt the status quo in the nonprofit sector. We are hungry, humble, and committed to delivering best\-in\-class software solutions, customer success interactions, and sales experiences to the world’s leading nonprofits
We also recognize the importance of giving back and making a difference in the communities where we live and work. That's why we practice radical generosity by volunteering at nonprofits or going the extra mile for our team and the customers we serve. We take our work seriously, but we don’t take ourselves too seriously. We believe that life is too short not to love what you do.
The ideal candidate for Virtuous embodies our values by:
* Asking questions with a spirit of curiosity
* Giving feedback freely with candor \&amp; grace, welcoming it in return
* Displaying a passion for philanthropy and technology
* Serving with joy. Everyone is willing to make the coffee!
* Celebrating the wins \&amp; milestones of others
* Assuming good intent \&amp; demonstrating trust in others
* Pursuing relationships with people different from themselves \&amp; creates space to be human
Find our core values \&amp; more **here**.
**Position Summary**
Virtuous is evolving its data platform into an AI\-ready foundation that powers trusted decision\-making and self\-service analytics across the company.
We’re hiring a **Lead Data Platform Engineer** to design, build, and *own* the systems that power our data ecosystem. This role is ideal for a highly motivated self\-starter who is comfortable with ambiguity and thrives at the intersection of systems design, business semantics, and AI enablement.
This is **not a traditional data engineering role** focused on building one\-off pipelines, dashboards, or ad hoc reports. Success in this role comes from designing and building durable platform capabilities — security models, access patterns, cost controls, and shared data foundations — that enable teams (*and AI systems*) to safely and confidently use data at scale.
You’ll work closely with the Director of Data Operations as well as our Finance, Product, Engineering and Security Teams to ensure our data platform is accurate, governable, and ready to support AI\-enabled workflows across the company.
**What You'll Build \&amp; Own**
### **Data Platform \&amp; AI\-Enablement**
* Own the evolution of Virtuous’s data platform, primarily on **Snowflake and dbt**, as a secure, scalable, and AI\-ready system.
* Design data models, metadata, and access patterns that support **natural\-language querying and AI\-assisted analysis**.
* Partner with Data Operations and Teams across the company to ensure data structures are accurate, reusable, and aligned with business definitions.
* Prepare data foundations that allow AI tools to deliver consistent, timely, and trustworthy answers.
* Ensure AI systems access data exclusively through governed service accounts and role\-scoped permissions, with query activity auditable and restricted according to enterprise data classification and access standards.
### **Access, Trust \&amp; Governance by Design**
* Architect and implement role\-based access controls within Snowflake and related data systems (including row\- and column\-level security), ensuring enforcement aligns with enterprise IAM standards, approved access policies, and centralized identity governance processes.
* In partnership with Security Operations and IT, translate approved enterprise access and compliance policies into enforceable platform\-level controls, and maintain technical configurations to ensure ongoing alignment with those standards.
* Ensure all platform\-level access controls integrate with the enterprise identity provider (SSO, SCIM, role lifecycle management), and support automated provisioning, deprovisioning, and periodic access certification processes.
* Build governance patterns that are enforced by design — not by manual process.
* Support periodic access reviews and control validation processes in coordination with Security and Compliance teams, ensuring appropriate separation of duties between policy definition, approval, and technical implementation.
### **Platform Leverage \&amp; Standards**
* Build and maintain **CI/CD pipelines**, testing strategies, and deployment patterns for dbt and Snowflake.
* Design deployment, testing, and validation patterns that make accuracy the default.
* Establish platform standards, templates, and best practices that enable others to move faster without sacrificing quality or security.
* Increase the amount of trusted work the organization can do without increasing Data Ops involvement.
* Reduce ad hoc work by building reusable systems and guardrails.
* Act as a technical leader and thought partner across data\-related initiatives.
### **Reliability, Cost \&amp; Performance**
* Own Snowflake warehouse strategy, resource governance, and cost optimization.
* Continuously improve performance, scalability, and reliability across the data platform.
* Identify and eliminate inefficiencies that increase cost, risk, or operational overhead.
* Collaborate with IT and Cloud Engineering to ensure Snowflake networking, storage integrations, and data movement patterns align with enterprise cloud security baselines, network segmentation standards, and infrastructure governance policies.
**What Success Looks Like**
* Teams reliably self\-serve data and insights without increasing DataOps workload or risk.
* AI\-powered tools consistently answer business questions accurately, using governed data, with access enforced by role and context.
* Data access, governance, and correctness are enforced by platform design rather than manual review or process.
* Platform improvements materially reduce cost, operational risk, or time\-to\-insight.
* Shared, trusted models replace bespoke datasets and one\-off definitions.
* At least one company\-critical initiative (e.g., AI enablement, cost optimization, access expansion) succeeds specifically because of systems you designed and built.
 **Who This Role is For**
* Care about leverage, durability, and outcomes — not just shipping artifacts.
* Think deeply about how AI and automation change the role of data platforms.
* Are highly self\-directed and motivated, and take pride in ownership.
* Thrive in ambiguity and are comfortable making decisions with incomplete information.
* Are motivated by leverage, correctness, and long\-term impact — not ticket volume or titles.
* Readily navigate cross\-functional tradeoffs to build shared data foundations that serve the whole company, not individual teams.
 **You Must Have**
* 7\+ years of experience in data engineering, platform engineering, or related infrastructure roles, with ownership of production systems.
* **Deep expertise in Snowflake**, especially:
	+ Roles and RBAC
	+ Row\-level and column\-level security
	+ Warehouse design and cost optimization
	+ Performance tuning and governance
* **Strong experience using dbt** to build and maintain shared data models, including macro development, testing strategies, source freshness, group model security implementation, and production deployment patterns..
* Advanced SQL skills and experience designing reliable ELT/ETL pipelines.
* Proven systems\-thinking mindset, with the ability to reason about tradeoffs across correctness, access, cost, and speed.
* Clear communicator who can explain complex technical concepts to both technical and non\-technical partners.
 **Nice to Have**
* dbt certification strongly preferred
* Experience enabling AI/ML or natural\-language data access.
* Familiarity with data observability, lineage, or metadata tooling.
* Experience designing platforms for self\-service analytics.
* Exposure to BI tools such as Sigma, Looker, or Tableau.
* Experience working in lean, fast\-growing organizations where leverage matters more than headcount.
**What We Offer**
* Market competitive pay leveraging Carta data
* Employee recognition through Bonusly (birthdays, anniversaries, achievements, etc.)
* 401(k) retirement plan with company matching\- 50% match up to 6% of compensation after 90 days
* We value our employee’s work\-life balance and encourage taking advantage of Unlimited PTO
* Supportive time off including paid volunteer days and company holidays
* Employer\-contributed healthcare benefits, encompassing medical, dental, and vision coverage, with plans available for dependents and choices for Health Savings Accounts (HSA) and Flexible Spending Accounts (FSA).
* 12 weeks primary parent leave, 4 weeks secondary parent leave \- full pay (adoption as well)
* We pride ourselves on Community and host exciting company outings and events.
We’ve recently noticed an increase in recruitment scams where individuals are impersonating recruiters to obtain personal or financial information through fraudulent interviews and job offers.  
Please note that all legitimate communication from Virtuous will only come from the @virtuous.org domain. If you receive a message from other domains, even if they look similar (e.g., virtuouscareers.org or virtuousjobs.com), they are **not legitimate** and we recommend disregarding it immediately.</t>
        </is>
      </c>
    </row>
    <row r="72">
      <c r="A72" t="inlineStr">
        <is>
          <t>in-da8b460397db533f</t>
        </is>
      </c>
      <c r="B72" t="inlineStr">
        <is>
          <t>Lead Data Platform Engineer</t>
        </is>
      </c>
      <c r="C72" t="inlineStr">
        <is>
          <t>Virtuous Software</t>
        </is>
      </c>
      <c r="D72" t="inlineStr">
        <is>
          <t>indeed</t>
        </is>
      </c>
      <c r="E72">
        <f>HYPERLINK("https://www.indeed.com/viewjob?jk=da8b460397db533f", "https://www.indeed.com/viewjob?jk=da8b460397db533f")</f>
        <v/>
      </c>
      <c r="F72">
        <f>HYPERLINK("https://jobs.ashbyhq.com/virtuous/95b59805-65c6-466b-aa13-7eb8e350ee79?utm_source=9QR5Qo1m0j", "https://jobs.ashbyhq.com/virtuous/95b59805-65c6-466b-aa13-7eb8e350ee79?utm_source=9QR5Qo1m0j")</f>
        <v/>
      </c>
      <c r="G72" t="inlineStr">
        <is>
          <t>Phoenix, AZ, US</t>
        </is>
      </c>
      <c r="H72" s="3" t="n">
        <v>46064</v>
      </c>
      <c r="I72" t="inlineStr">
        <is>
          <t>**About Us**
============
Virtuous is on a mission to inspire global generosity by helping nonprofits build better relationships with their donors. We offer a modern software platform that provides mid\-sized charities with elegant tools for fundraising, marketing, volunteerism, and online giving.
Our talented team is driven to disrupt the status quo in the nonprofit sector. We are hungry, humble, and committed to delivering best\-in\-class software solutions, customer success interactions, and sales experiences to the world’s leading nonprofits
We also recognize the importance of giving back and making a difference in the communities where we live and work. That's why we practice radical generosity by volunteering at nonprofits or going the extra mile for our team and the customers we serve. We take our work seriously, but we don’t take ourselves too seriously. We believe that life is too short not to love what you do.
The ideal candidate for Virtuous embodies our values by:
* Asking questions with a spirit of curiosity
* Giving feedback freely with candor \&amp; grace, welcoming it in return
* Displaying a passion for philanthropy and technology
* Serving with joy. Everyone is willing to make the coffee!
* Celebrating the wins \&amp; milestones of others
* Assuming good intent \&amp; demonstrating trust in others
* Pursuing relationships with people different from themselves \&amp; creates space to be human
Find our core values \&amp; more **here**.
**Position Summary**
Virtuous is evolving its data platform into an AI\-ready foundation that powers trusted decision\-making and self\-service analytics across the company.
We’re hiring a **Lead Data Platform Engineer** to design, build, and *own* the systems that power our data ecosystem. This role is ideal for a highly motivated self\-starter who is comfortable with ambiguity and thrives at the intersection of systems design, business semantics, and AI enablement.
This is **not a traditional data engineering role** focused on building one\-off pipelines, dashboards, or ad hoc reports. Success in this role comes from designing and building durable platform capabilities — security models, access patterns, cost controls, and shared data foundations — that enable teams (*and AI systems*) to safely and confidently use data at scale.
You’ll work closely with the Director of Data Operations as well as our Finance, Product, Engineering and Security Teams to ensure our data platform is accurate, governable, and ready to support AI\-enabled workflows across the company.
**What You'll Build \&amp; Own**
### **Data Platform \&amp; AI\-Enablement**
* Own the evolution of Virtuous’s data platform, primarily on **Snowflake and dbt**, as a secure, scalable, and AI\-ready system.
* Design data models, metadata, and access patterns that support **natural\-language querying and AI\-assisted analysis**.
* Partner with Data Operations and Teams across the company to ensure data structures are accurate, reusable, and aligned with business definitions.
* Prepare data foundations that allow AI tools to deliver consistent, timely, and trustworthy answers.
* Ensure AI systems access data exclusively through governed service accounts and role\-scoped permissions, with query activity auditable and restricted according to enterprise data classification and access standards.
### **Access, Trust \&amp; Governance by Design**
* Architect and implement role\-based access controls within Snowflake and related data systems (including row\- and column\-level security), ensuring enforcement aligns with enterprise IAM standards, approved access policies, and centralized identity governance processes.
* In partnership with Security Operations and IT, translate approved enterprise access and compliance policies into enforceable platform\-level controls, and maintain technical configurations to ensure ongoing alignment with those standards.
* Ensure all platform\-level access controls integrate with the enterprise identity provider (SSO, SCIM, role lifecycle management), and support automated provisioning, deprovisioning, and periodic access certification processes.
* Build governance patterns that are enforced by design — not by manual process.
* Support periodic access reviews and control validation processes in coordination with Security and Compliance teams, ensuring appropriate separation of duties between policy definition, approval, and technical implementation.
### **Platform Leverage \&amp; Standards**
* Build and maintain **CI/CD pipelines**, testing strategies, and deployment patterns for dbt and Snowflake.
* Design deployment, testing, and validation patterns that make accuracy the default.
* Establish platform standards, templates, and best practices that enable others to move faster without sacrificing quality or security.
* Increase the amount of trusted work the organization can do without increasing Data Ops involvement.
* Reduce ad hoc work by building reusable systems and guardrails.
* Act as a technical leader and thought partner across data\-related initiatives.
### **Reliability, Cost \&amp; Performance**
* Own Snowflake warehouse strategy, resource governance, and cost optimization.
* Continuously improve performance, scalability, and reliability across the data platform.
* Identify and eliminate inefficiencies that increase cost, risk, or operational overhead.
* Collaborate with IT and Cloud Engineering to ensure Snowflake networking, storage integrations, and data movement patterns align with enterprise cloud security baselines, network segmentation standards, and infrastructure governance policies.
**What Success Looks Like**
* Teams reliably self\-serve data and insights without increasing DataOps workload or risk.
* AI\-powered tools consistently answer business questions accurately, using governed data, with access enforced by role and context.
* Data access, governance, and correctness are enforced by platform design rather than manual review or process.
* Platform improvements materially reduce cost, operational risk, or time\-to\-insight.
* Shared, trusted models replace bespoke datasets and one\-off definitions.
* At least one company\-critical initiative (e.g., AI enablement, cost optimization, access expansion) succeeds specifically because of systems you designed and built.
 **Who This Role is For**
* Care about leverage, durability, and outcomes — not just shipping artifacts.
* Think deeply about how AI and automation change the role of data platforms.
* Are highly self\-directed and motivated, and take pride in ownership.
* Thrive in ambiguity and are comfortable making decisions with incomplete information.
* Are motivated by leverage, correctness, and long\-term impact — not ticket volume or titles.
* Readily navigate cross\-functional tradeoffs to build shared data foundations that serve the whole company, not individual teams.
 **You Must Have**
* 7\+ years of experience in data engineering, platform engineering, or related infrastructure roles, with ownership of production systems.
* **Deep expertise in Snowflake**, especially:
	+ Roles and RBAC
	+ Row\-level and column\-level security
	+ Warehouse design and cost optimization
	+ Performance tuning and governance
* **Strong experience using dbt** to build and maintain shared data models, including macro development, testing strategies, source freshness, group model security implementation, and production deployment patterns..
* Advanced SQL skills and experience designing reliable ELT/ETL pipelines.
* Proven systems\-thinking mindset, with the ability to reason about tradeoffs across correctness, access, cost, and speed.
* Clear communicator who can explain complex technical concepts to both technical and non\-technical partners.
 **Nice to Have**
* dbt certification strongly preferred
* Experience enabling AI/ML or natural\-language data access.
* Familiarity with data observability, lineage, or metadata tooling.
* Experience designing platforms for self\-service analytics.
* Exposure to BI tools such as Sigma, Looker, or Tableau.
* Experience working in lean, fast\-growing organizations where leverage matters more than headcount.
**What We Offer**
* Market competitive pay leveraging Carta data
* Employee recognition through Bonusly (birthdays, anniversaries, achievements, etc.)
* 401(k) retirement plan with company matching\- 50% match up to 6% of compensation after 90 days
* We value our employee’s work\-life balance and encourage taking advantage of Unlimited PTO
* Supportive time off including paid volunteer days and company holidays
* Employer\-contributed healthcare benefits, encompassing medical, dental, and vision coverage, with plans available for dependents and choices for Health Savings Accounts (HSA) and Flexible Spending Accounts (FSA).
* 12 weeks primary parent leave, 4 weeks secondary parent leave \- full pay (adoption as well)
* We pride ourselves on Community and host exciting company outings and events.
We’ve recently noticed an increase in recruitment scams where individuals are impersonating recruiters to obtain personal or financial information through fraudulent interviews and job offers.  
Please note that all legitimate communication from Virtuous will only come from the @virtuous.org domain. If you receive a message from other domains, even if they look similar (e.g., virtuouscareers.org or virtuousjobs.com), they are **not legitimate** and we recommend disregarding it immediately.</t>
        </is>
      </c>
    </row>
    <row r="73">
      <c r="A73" t="inlineStr">
        <is>
          <t>in-0e707018b674fb4c</t>
        </is>
      </c>
      <c r="B73" t="inlineStr">
        <is>
          <t>Analytics Engineer</t>
        </is>
      </c>
      <c r="C73" t="inlineStr">
        <is>
          <t>LiveKit</t>
        </is>
      </c>
      <c r="D73" t="inlineStr">
        <is>
          <t>indeed</t>
        </is>
      </c>
      <c r="E73">
        <f>HYPERLINK("https://www.indeed.com/viewjob?jk=0e707018b674fb4c", "https://www.indeed.com/viewjob?jk=0e707018b674fb4c")</f>
        <v/>
      </c>
      <c r="F73">
        <f>HYPERLINK("https://jobs.ashbyhq.com/livekit/18b89d37-40c0-4653-852c-bae05b5f574e?utm_source=1AE6ewNPbP", "https://jobs.ashbyhq.com/livekit/18b89d37-40c0-4653-852c-bae05b5f574e?utm_source=1AE6ewNPbP")</f>
        <v/>
      </c>
      <c r="G73" t="inlineStr">
        <is>
          <t>US</t>
        </is>
      </c>
      <c r="H73" s="3" t="n">
        <v>46064</v>
      </c>
      <c r="I73" t="inlineStr">
        <is>
          <t>LiveKit is building the infrastructure layer for the voice\-driven era of computing. Our platform gives developers everything they need to build, test, deploy, scale, and observe agents in production. Founded in 2021, LiveKit powers voice AI applications for OpenAI, xAI, Salesforce, Coursera, Spotify, and thousands of others, collectively facilitating billions of calls each year.
**You'll thrive at LiveKit if you:**
------------------------------------
* obsess with crafting code that is fast, reliable and practical for the problem
* are known as the go\-to person for tackling tough technical problems
* work hard and can build *and* ship fast
* can clearly explain complex technical concepts to others
* are a fast learner, frequently picking up new languages and tools
The best way to impress us is with thoughtful Issues and/or PRs on our Github repos
**About This Role:**
--------------------
As our first data hire, you'll establish the foundation of LiveKit's analytics practice. You'll translate business concepts into robust data models, create actionable KPIs, and enable data\-driven decision making across a fast\-growing organization. This role requires balancing pragmatic short\-term solutions with building for scale, working in an AI\-first development environment where tooling like Claude Code and skills\-based workflows are core to how we operate.
**What You’ll Do:**
-------------------
**AI\-First Development**: You'll be expected to use AI coding assistants extensively and evolve our AI development workflows. This includes creating reusable skills, establishing quality checks, and documenting processes that work for both humans and AI agents.
**Start Simple, Stay Focused**: Resist the urge to over\-engineer. Get core business metrics right and adopted before expanding. We value working models over perfect architectures.
**Business Partnership**: You'll spend significant time with stakeholders memorializing business logic and creating trusted metrics. Building relationships and business expertise is as important as technical execution.
**Documentation\-Driven**: Everything you build needs clear documentation that serves both human users and AI systems.
**Engineering Standards**: This role reports into Engineering and follows eng best practices. Expect PR reviews, automated testing, and production\-grade standards.
**Startup Pace**: Priorities shift quickly. What you're building tomorrow might differ from today. Comfort with ambiguity and rapid iteration is essential.
**Who You Are:**
----------------
* 8\+ years experience in analytics or analytics engineering
* Deep expertise with dbt: data modeling, testing, documentation, project architecture, and establishing best practices
* Strong experience implementing and scaling BI platforms (Lightdash, Sigma, Omni, Hex, or similar)
* Proven ability to work directly with business stakeholders to define metrics and requirements
* Experience building analytics practices in startup or high\-growth environments
* Strong SQL and Python skills
* Comfortable with software engineering practices: Git workflows, CI/CD, code review, change management
* Self\-directed and adaptable—able to switch between building for the long\-term and pragmatic short\-term solutions
* Strong communication skills for both technical and non\-technical audiences
* Located in US or Canada
**Nice to Have:**
-----------------
* Experience with Lightdash or BI\-as\-code platforms
* Background with AI coding agents (Claude Code, GitHub Copilot, Cursor)
* Prior experience as an early data hire (first 1\-3 on the team)
* Understanding of modern data stack and lakehouse concepts
**Our Commitment to You:**
--------------------------
* An opportunity to build something truly impactful to the world
* Contribute to open source alongside world\-class engineers
* Competitive salary and equity package
* Health, dental, and vision benefits
* Flexible vacation policy
Compensation Range: $150K \- $250K</t>
        </is>
      </c>
    </row>
    <row r="74">
      <c r="A74" t="inlineStr">
        <is>
          <t>in-22736653295f87a4</t>
        </is>
      </c>
      <c r="B74" t="inlineStr">
        <is>
          <t>Data Engineer</t>
        </is>
      </c>
      <c r="C74" t="inlineStr">
        <is>
          <t>The Bumble Bee Seafood Company</t>
        </is>
      </c>
      <c r="D74" t="inlineStr">
        <is>
          <t>indeed</t>
        </is>
      </c>
      <c r="E74">
        <f>HYPERLINK("https://www.indeed.com/viewjob?jk=22736653295f87a4", "https://www.indeed.com/viewjob?jk=22736653295f87a4")</f>
        <v/>
      </c>
      <c r="F74">
        <f>HYPERLINK("https://thebumblebeecompany.com/job-listings/data-engineer/", "https://thebumblebeecompany.com/job-listings/data-engineer/")</f>
        <v/>
      </c>
      <c r="G74" t="inlineStr">
        <is>
          <t>San Diego, CA, US</t>
        </is>
      </c>
      <c r="H74" s="3" t="n">
        <v>46064</v>
      </c>
      <c r="I74" t="inlineStr">
        <is>
          <t>### **LOCATION**
San Diego, CA
### **DEPARTMENT**
Information Technology
**Role Overview:**
The Data Engineer at Bumble Bee Seafoods is responsible for designing, building, and operating the enterprise data platform that powers analytics, reporting, and advanced data use cases across the organization. This role focuses on data ingestion, transformation, modeling, and platform reliability, with Microsoft Fabric as the primary data engineering and analytics platform.
The Data Engineer will work closely with analytics, IT, and business stakeholders to integrate data from ERP, supply chain, and operational systems into governed, scalable, and high‑performance analytical data assets. This role emphasizes strong engineering discipline, data architecture, and operational excellence rather than ad‑hoc analysis or report creation.
 **Key Responsibilities:**
The Data Engineer partners with analytics and business teams to translate data requirements into robust, production‑grade data solutions. This role requires deep technical expertise in data pipelines, storage, modeling, and performance optimization, with a focus on building reusable and future‑ready data assets.
 **Essential Responsibilities:**
* Design, build, and maintain end‑to‑end data pipelines using Microsoft Fabric and Azure Synapse, including ingestion, transformation, orchestration, and storage.
* Develop and manage Fabric Lakehouse and Warehouse architectures to support enterprise analytics and downstream consumption.
* Implement scalable data ingestion from ERP, supply chain, and operational systems using Fabric Pipelines, Dataflows Gen2, and related tooling.
* Apply strong data modeling and data engineering best practices, including dimensional modeling, normalization where appropriate, and performance optimization.
* Create and maintain curated analytical data layers that serve as trusted sources for Power BI semantic models and other consumers.
* Ensure data quality, reliability, and consistency through validation, monitoring, and structured error handling.
* Collaborate with analytics and BI teams to support Power BI semantic models, focusing on data structures, performance, and governance rather than report design.
* Partner with IT security and infrastructure teams to implement role‑based access control, data security, and compliance standards.
* Establish and maintain documentation for data pipelines, schemas, transformations, and architectural decisions.
* Support deployment, versioning, and lifecycle management of data assets across development, test, and production environments.
* Continuously evaluate and adopt new Microsoft Fabric capabilities to improve scalability, performance, and maintainability.
* Contribute to a collaborative, engineering‑focused culture that values clean design, automation, and long‑term platform health.
 **Qualifications and Skills Desired:**
Required
* Bachelor’s degree in computer science, Data Engineering, Information Systems, or a related quantitative field.
* Strong experience with data engineering concepts, including ETL/ELT, orchestration, data modeling, and pipeline design.
* Proficiency in SQL for data transformation, validation, and performance tuning.
* Hands‑on experience with Microsoft Fabric and Azure Synapse Analytics.
* Solid understanding of relational and analytical data modeling techniques.
* Experience working with large, complex datasets from multiple source systems.
* Strong problem‑solving skills and an engineering mindset focused on reliability and scalability.
* Ability to collaborate effectively with analytics, IT, and business stakeholders.
* Experience with Python is a must.
Preferred
* Experience with Microsoft Fabric Lakehouse, Warehouse, Dataflows Gen2, Pipelines, and Notebooks.
* Understanding of foundational data architecture concepts such as medallion architecture design
* Familiarity with Power BI semantic models from a data engineering and performance perspective.
* Experience integrating data from SAP S/4HANA or similar ERP systems.
* Understanding of supply chain or manufacturing data domains.
* Exposure to data governance concepts such as lineage, certification, and access control.
* Experience with automation, CI/CD concepts, or infrastructure‑as‑code for data platforms.
* Exposure to machine learning or advanced analytics pipelines is a plus.
* Experience with Azure DevOps preferred.
* Experience with Pyspark and exposure to Apache Spark is preferred.
* Experience with R is preferred.
C**ompensation and Benefits**
The health, satisfaction and security of our team members and their families are important to us and an important part of reaching our organization’s goals. We offer a total rewards package that includes valuable and competitive compensation and benefit plans. These programs reflect our commitment to attracting and retaining top talent. The compensation for this role includes base salary and eligibility for an annual bonus based on company performance. All incentive plans are subject to change.
The expected pay range for this role is $122,000 – $130,000 annually.
* **The compensation will be commensurate with the level of knowledge, education, skills, and experience applicable to the position.**
Our current benefits package, which is available to all full\-time team members and their eligible dependents, includes:
* medical insurance
* dental insurance
* vision insurance
* 401(k) retirement plan with company match
* HSA \&amp; FSA
* life insurance and disability insurance
* and other voluntary benefits
We also offer time\-off benefits including:
* paid time\-off
* sick\-flex time
* 12 company paid holidays
Bumble Bee Foods, LLC is an Equal Opportunity Employer/ Affirmative Action employer. Employment decisions are based on merit, qualifications, and business needs. We do not discriminate based on race (including hair texture and protective hairstyles), color, religion, sex, sexual orientation, gender identity or expression, national origin, ancestry, age, disability, medical condition, veteran status, or any other protected status under federal, state, or local law.
If you are a qualified individual with a disability or a disabled veteran, you have the right to request an accommodation if you are unable or limited in your ability to use or access our career center as a result of your disability. To request accommodation, contact Bumble Bee Foods, LLC Human Resources Representative.
### **About Bumble Bee Seafoods**
The Bumble Bee Seafood Company is passionately pursuing its purpose of feeding people’s lives through the power of the ocean. We are an iconic 125\-year\-old year\-old fishing company that consistently aims to deliver delicious, healthy, and affordable food to consumers while working hard to find new ways to protect the ocean and those that rely on it. Bumble Bee is firmly anchored in a commitment to connect the world to the ocean by re\-defining sourcing, producing, and enjoying products from and inspired by the ocean.
Bumble Bee’s full line of seafood and specialty protein products are marketed in the U.S., Canada and over 50 markets globally under leading brands including Bumble Bee®, Brunswick®, Clover Leaf®, Snow’s®, and Beach Cliff®. For more information about the company, visit TheBumbleBeeCompany.com. For product information, visit www.BumbleBee.com.</t>
        </is>
      </c>
    </row>
    <row r="75">
      <c r="A75" t="inlineStr">
        <is>
          <t>in-233b6dad55275e5a</t>
        </is>
      </c>
      <c r="B75" t="inlineStr">
        <is>
          <t>Principal Data Engineer</t>
        </is>
      </c>
      <c r="C75" t="inlineStr">
        <is>
          <t>JourneyTEAM</t>
        </is>
      </c>
      <c r="D75" t="inlineStr">
        <is>
          <t>indeed</t>
        </is>
      </c>
      <c r="E75">
        <f>HYPERLINK("https://www.indeed.com/viewjob?jk=233b6dad55275e5a", "https://www.indeed.com/viewjob?jk=233b6dad55275e5a")</f>
        <v/>
      </c>
      <c r="F75">
        <f>HYPERLINK("https://ht-jobs.net/7l1w29b?s=in", "https://ht-jobs.net/7l1w29b?s=in")</f>
        <v/>
      </c>
      <c r="G75" t="inlineStr">
        <is>
          <t>Remote, US</t>
        </is>
      </c>
      <c r="H75" s="3" t="n">
        <v>46064</v>
      </c>
      <c r="I75" t="inlineStr">
        <is>
          <t>JourneyTeam’s Data \&amp; AI practice is growing, and we’re looking for a hungry, humble, and smart Principal Data Engineer to join our world\-class team. This is a great opportunity for someone with 8\+ years of experience who’s ready to take the next step—building modern Microsoft data solutions and working directly with clients. If you’re passionate about solving real business problems with data and want to be part of a collaborative, values\-driven team, we’d love to hear from you.
**About JourneyTeam:**
At JourneyTeam, people are at the center of everything we do. Our purpose as a company is to help others effectively use technology to create a positive, lasting impact on the world. With 30 years of technology experience, we are 100% focused on delivering Microsoft business applications and technologies that empower organizations to reach new heights of business success. We deeply understand the transformative value of Microsoft solutions and are dedicated to helping our customers unlock their full potential. Our experienced team specializes in driving success across Dynamics 365, Microsoft 365, AI and Copilot, Azure, modern data solutions—all leveraging Microsoft’s comprehensive security platform.
**Responsibilities:**
As a Principal Data Engineer, you will be a thought leader and trusted advisor to our clients, driving innovation, technical excellence, and measurable business outcomes. You will own the design, engineering, and oversight of complex data solutions within the Microsoft ecosystem, while mentoring team members and shaping JourneyTEAM’s Data \&amp; AI practice.
* Architect and engineer data platforms using Microsoft Azure and Fabric, including lakehouse, medallion, dimensional warehouse, and real\-time architectures.
* Own end\-to\-end data platform design across ingestion, transformation, storage, semantic modeling, and governance.
* Establish and enforce engineering standards for data pipelines, modeling practices, testing frameworks, CI/CD, infrastructure\-as\-code, and deployment processes.
* Design scalable, secure, high\-performance data systems optimized for reliability, cost efficiency, observability, lineage, and lifecycle management.
* Lead architectural decision\-making across client engagements, ensuring technical consistency, long\-term maintainability, and alignment with enterprise best practices.
* Build, review, and optimize complex production\-grade pipelines and transformations using Azure Data Factory, Databricks, Synapse, Fabric, SQL, and Python.
* Optimize distributed processing workloads (e.g., Spark) and high\-volume SQL environments for performance and scalability.
* Serve as the senior technical escalation point for complex engineering challenges and distributed system troubleshooting.
* Translate business requirements into durable, scalable technical architectures grounded in strong engineering principles.
* Lead technical design sessions, architecture reviews, and solution workshops with both technical and executive stakeholders.
* Stay current with Microsoft’s evolving Data \&amp; AI ecosystem and drive pragmatic adoption of emerging capabilities.
**Qualifications:**
* 8\+ years of progressive experience in data engineering, including at least 5 years designing and implementing enterprise\-scale data platforms on Microsoft Azure.
* Proven experience architecting and engineering modern data platforms (lakehouse, medallion, dimensional warehouse, batch and real\-time processing).
* Deep hands\-on expertise with Azure data services, including Data Factory, ADLS, Synapse Analytics, Databricks, Azure SQL Database, Event Hubs, Stream Analytics, Logic Apps, and Microsoft Fabric.
* Demonstrated ability to design, build, and optimize systems that support high\-volume, high\-velocity, and distributed workloads.
* Advanced proficiency in SQL and Python, with experience designing, reviewing, and optimizing complex production\-grade codebases.
* Strong command of dimensional modeling (star/snowflake schemas), semantic modeling, and enterprise data architecture patterns.
* Experience implementing CI/CD pipelines, DevOps practices, and infrastructure\-as\-code for modern data platforms.
* Expertise in performance tuning, cost optimization, scalability planning, and reliability engineering within cloud data environments.
* Experience leading technical design across multi\-engineer teams and serving as the senior technical authority on complex engagements.
* Ability to translate business requirements into scalable, durable technical architectures grounded in sound engineering principles.
* Strong communication skills with the ability to explain complex technical concepts to both engineering teams and executive stakeholders.
* Experience working in consulting or professional services environments delivering enterprise data transformation initiatives.
* Familiarity with AI/ML workload integration and enterprise Power BI deployments.
* Embody JourneyTeam’s values:
	+ A Caring Mindset
	+ Exceptional Performance
	+ Being OneTeam
	+ Making \&amp; Keeping Commitments
	+ Taking Ownership
	+ Effective Communication
	+ A Growth Mindset
**Certification Requirements:**
Applicants for this role must have the following certifications or a plan to attain them within the first year of employment:
* DP\-900: Microsoft Azure Data Fundamentals
* Certification: DP\-700 Microsoft Fabric Data Engineer Associate
* Certification: DP\-600 Microsoft Fabric Analytics Engineer Associate
**Preferred Skills and Certifications (not required):**
* Experience with real\-time or near\-real\-time analytics pipelines using tools like Azure Stream Analytics, Event Hubs, or Kafka.
* Hands\-on experience with Azure Databricks, including building and orchestrating Spark\-based data pipelines and notebooks for large\-scale data processing.
* Experience with Microsoft Purview
* Experience with project delivery methodologies (Agile/Scrum, Kanban, Waterfall, hybrid)
* Knowledge of change management practices to support Data \&amp; AI adoption
* Experience delivering projects involving Power BI, AI/ML adoption, or advanced analytics.
* Experience with Dynamics 365 (Project Service Automation or Project Operations)
* Experience with Azure DevOp</t>
        </is>
      </c>
    </row>
    <row r="76">
      <c r="A76" t="inlineStr">
        <is>
          <t>in-76ca559a876629d3</t>
        </is>
      </c>
      <c r="B76" t="inlineStr">
        <is>
          <t>Senior Data Engineer</t>
        </is>
      </c>
      <c r="C76" t="inlineStr">
        <is>
          <t>B2Gnow</t>
        </is>
      </c>
      <c r="D76" t="inlineStr">
        <is>
          <t>indeed</t>
        </is>
      </c>
      <c r="E76">
        <f>HYPERLINK("https://www.indeed.com/viewjob?jk=76ca559a876629d3", "https://www.indeed.com/viewjob?jk=76ca559a876629d3")</f>
        <v/>
      </c>
      <c r="F76">
        <f>HYPERLINK("http://j.brt.mv/PortalViewRequirement.do?source=Indeed&amp;reqGK=27771328", "http://j.brt.mv/PortalViewRequirement.do?source=Indeed&amp;reqGK=27771328")</f>
        <v/>
      </c>
      <c r="G76" t="inlineStr">
        <is>
          <t>Phoenix, AZ, US</t>
        </is>
      </c>
      <c r="H76" s="3" t="n">
        <v>46064</v>
      </c>
      <c r="I76" t="inlineStr">
        <is>
          <t>**Senior Data Engineer**
Are you passionate about building modern, scalable data ecosystems that power products, analytics, and monetization strategies? Do you thrive in complex environments where architecture decisions matter and mentorship is part of the job?
B2Gnow is seeking a **Senior** **Data Engineer** to lead sophisticated data initiatives, elevate engineering standards, and help future\-proof our data platform. This is a high\-impact role where technical depth, architectural vision, and leadership come together.
**What You’ll Do**
As a senior technical leader, you will own complex data architecture initiatives while mentoring engineers and shaping best practices across modeling, governance, performance optimization, and reliability. You’ll collaborate closely with software engineering, analytics, cloud engineering, and leadership to align data strategy with long\-term platform goals and modernization efforts.
**You will:**
* Architect, build, and maintain scalable ETL/ELT pipelines integrating data from customer applications, APIs, third\-party platforms, public sources, and internal systems
* Write and optimize high\-performance SQL queries and large\-scale data transformations
* Define and enforce standards for data modeling, transformation, orchestration, testing, and documentation
* Make critical technical decisions around storage, pipelines, infrastructure, and tooling in partnership with cloud engineering
* Implement robust testing, monitoring, and observability strategies for pipeline health, performance, AI models, data freshness, and drift
* Lead troubleshooting efforts and proactively reduce technical debt
* Establish and lead code review processes that uphold quality, integrity, scalability, and security
* Drive improvements in operational excellence, reliability, and system scalability
* Own and document data processes, workflows, and integration standards to promote maintainability and knowledge sharing
* Lead cross\-team initiatives to unify data across systems into scalable, modern platforms
* Ensure compliance with data security, governance, and privacy standards (NIST, GOVRAMP, FedRAMP, GDPR, etc.)
* Mentor, coach, and elevate the technical capabilities of fellow engineers
**What You Bring**
You combine deep technical expertise with strategic thinking and leadership capability.
* Advanced SQL expertise, including query tuning for very large datasets
* Strong experience building and optimizing scalable ETL/ELT pipelines
* Advanced knowledge of data modeling (star schema, snowflake schema, lakehouse patterns)
* Strong programming skills in Python (C\#, Java, or Scala a plus)
* Experience with orchestration tools such as Apache Airflow (AWS Glue, Talend, Azure Data Factory, Databricks a plus)
* Strong experience with distributed computing frameworks (Spark, Flink)
* Deep experience with cloud\-native data ecosystems:
* + AWS (Redshift, Glue, S3, Bedrock, etc.)
	+ Azure (Synapse, Data Factory)
	+ GCP (BigQuery, Dataflow)
* Proven experience building CI/CD pipelines for data workflows
* Experience architecting both batch and real\-time streaming pipelines (Kafka, Kinesis, Pub/Sub)
* Strong understanding of ML/Ops and advanced analytics pipelines
* Experience integrating AI/ML into data pipelines (e.g., AWS Bedrock or similar technologies)
* Extensive experience with BI tools (Power BI, Tableau)
* Strong background in data governance, cataloging, security, and compliance frameworks
* Experience with Git and modern version control practices
* Demonstrated leadership experience mentoring or guiding other data engineers
* Bachelor’s degree in Computer Science, Engineering, Information Systems, or related field — or equivalent practical experience
* 5\+ years of hands\-on experience in data engineering or related roles
**Why This Role Matters**
This isn’t just another engineering role. You will shape the backbone of our data ecosystem, influencing architecture decisions, reducing technical debt, enabling product innovation, and driving long\-term platform modernization.
Your work will directly impact analytics, AI capabilities, product strategy, and monetization efforts across the organization. You’ll help ensure our data platform is scalable, secure, compliant, and ready for the future.
If you’re ready to combine deep technical expertise with leadership, strategy, and meaningful impact, we’d love to connect.
**What We Offer**
B2Gnow provides a competitive benefits package designed to support your health, financial security, and work\-life balance:
* **Comprehensive coverage from Day One:** Medical, dental, and vision insurance start on your first day
* **Choice and flexibility:** Choose from 11 nationwide UnitedHealthcare plans, including one 100% employer\-paid plan for employee\-only coverage
* Affordable dental \&amp; vision options
* **401(k) retirement savings:** 100% employer match up to 4% of pre\-tax salary contributions, with immediate vesting after three months
* **Income protection:** Employer\-paid short\- and long\-term disability coverage
* **Generous time off:** 20 days of PTO, 14 paid holidays, and Summer Fridays to support work\-life balance
B2Gnow is an equal opportunity employer committed to building a diverse, inclusive, and equitable workplace. We believe varied backgrounds, perspectives, and experiences strengthen our team and lead to better outcomes for the communities we serve. We welcome applicants of all races, ethnicities, genders, ages, religions, sexual orientations, abilities, and veteran statuses.</t>
        </is>
      </c>
    </row>
    <row r="77">
      <c r="A77" t="inlineStr">
        <is>
          <t>in-36084140359611a9</t>
        </is>
      </c>
      <c r="B77" t="inlineStr">
        <is>
          <t>Full Stack Data Engineer</t>
        </is>
      </c>
      <c r="C77" t="inlineStr">
        <is>
          <t>rockITdata</t>
        </is>
      </c>
      <c r="D77" t="inlineStr">
        <is>
          <t>indeed</t>
        </is>
      </c>
      <c r="E77">
        <f>HYPERLINK("https://www.indeed.com/viewjob?jk=36084140359611a9", "https://www.indeed.com/viewjob?jk=36084140359611a9")</f>
        <v/>
      </c>
      <c r="F77">
        <f>HYPERLINK("https://rockitdata.applytojob.com/apply/2f392b105c7a687a7e534144047e5a046765191e2c0f0b7033710a70490500681d0402/Full-Stack-Data-Engineer?sid=EVIOnJZOObpv5Jk4WSFPoFRCj8ADxVBPWF0&amp;source=INDE&amp;~", "https://rockitdata.applytojob.com/apply/2f392b105c7a687a7e534144047e5a046765191e2c0f0b7033710a70490500681d0402/Full-Stack-Data-Engineer?sid=EVIOnJZOObpv5Jk4WSFPoFRCj8ADxVBPWF0&amp;source=INDE&amp;~")</f>
        <v/>
      </c>
      <c r="G77" t="inlineStr">
        <is>
          <t>Remote, US</t>
        </is>
      </c>
      <c r="H77" s="3" t="n">
        <v>46064</v>
      </c>
      <c r="I77" t="inlineStr">
        <is>
          <t>Driven by Innovation and built on Trust, rockITdata is a unique SDVOSB services company that partners with leading commercial healthcare/life sciences organizations on cutting edge innovations \- think AI, automation and data transformation. We then bring those commercially tested solutions to government entities to deliver predictable, measurable impact for the American taxpayer and consumer.  
We are seeking a talented and experienced Full Stack Data Engineer to join our team. The ideal candidate will have a strong background in both data engineering and software development, with expertise in building end\-to\-end data solutions. This role offers an exciting opportunity to work on diverse data projects and contribute to the development of innovative data\-driven applications. This is a Remote position.  
**Key Responsibilities**  
* **Data Ingestion and Integration:**
	+ Design and implement scalable data ingestion pipelines to efficiently collect and process data from various sources.
	+ Integrate data from different systems and platforms to create unified datasets for analysis and reporting.
* **Data Storage and Management:**
	+ Develop and maintain data storage solutions such as data lakes, data warehouses, and NoSQL databases.
	+ Optimize data storage and retrieval mechanisms for performance, scalability, and cost\-effectiveness.
* **Data Processing and Transformation:**
	+ Implement data processing workflows for cleaning, transforming, and enriching raw data into usable formats.
	+ Apply data transformation techniques such as ETL (Extract, Transform, Load) and ELT (Extract, Load, Transform) processes.
* **Data Modeling and Optimization:**
	+ Design and implement data models to support analytical and reporting requirements.
	+ Optimize data models for query performance, data integrity, and storage efficiency.
* **Software Development and Integration:**
	+ Build software applications and APIs to expose data services and functionality to other systems and applications.
	+ Integrate data engineering workflows with existing software systems and platforms.
* **Monitoring and Maintenance:**
	+ Establish monitoring and alerting mechanisms to track the health and performance of data pipelines and systems.
	+ Conduct regular maintenance activities to ensure the reliability, availability, and scalability of data infrastructure.
* **Documentation and Collaboration:**
	+ Document data engineering processes, architectures, and solutions to facilitate knowledge sharing and collaboration.
	+ Collaborate with cross\-functional teams including data scientists, analysts, and business stakeholders to understand requirements and deliver solutions.
**Required Qualifications*** Bachelor's or Master's degree in Computer Science, Engineering, or a related field.
* Proficiency in programming languages such as Python, Java, or Scala for data engineering and software development.
* Strong understanding of database concepts, data modeling techniques, and SQL programming.
* Hands\-on experience with cloud platforms such as AWS, Azure, or GCP for building and deploying data solutions.
* Knowledge of data warehousing concepts and technologies (e.g., Redshift, BigQuery, Snowflake).
* Familiarity with version control systems (e.g., Git) and software development best practices (e.g., Agile, CI/CD).
**Preferred Qualifications**  
* Experience building solutions for Commercial clients in Pharma, Biotech, CPG, Retail or Manufacturing industries.
* Experience with containerization technologies such as Docker and orchestration tools like Kubernetes.
* Knowledge of streaming data processing frameworks (e.g., Apache Flink, Apache Kafka Streams).
* Familiarity with data governance and security practices for protecting sensitive data.
* Strong problem\-solving skills and the ability to troubleshoot complex data engineering issues.
* Excellent communication skills and the ability to collaborate effectively in a team environment.
\#LIREMOTE  
**Here at rockITdata, we are committed to following our 10 Guiding Principles.**  
Our Guiding Principles define our culture. They’re who we are, how we work, and what inspires us to be the best. We empower our people to be themselves and encourage an entrepreneurial way of thinking. In our challenging, fast\-paced environment, no day is the same.
Know the Why.
Value People Above All Else.
Transparency to a Fault.
Progress, Not Perfection.
Be Good by Doing Good.
Smart People Can Disagree.
Bend but Don’t Break.
Represent Your Brand.
Think Differently.
Be Amazing, Be Fearless, Smile, Have Fun!
Interested in joining something unique? Join us on our rockIT ship as we begin to blast off to the next chapter in our organization!
*rockITdata has become aware of a recruitment scam where unauthorized individuals are impersonating rockITdata recruiters, issuing fake job offers, and attempting to setup payment for the job seeker’s new hire costs. No one is ever required to complete any monetary transactions before starting employment with rockITdata. Legitimate rockITdata communications only come from @rockitdata.com email addresses and our official Applicant Tracking system, JazzHR (@applytojob.com email addresses). Please refer to our official Careers page at www.rockitdata.com/careers to accurately submit your application with us. You may also verify any suspicious communication by contacting our recruitment team directly through our official email, dreamjob@rockitdata.com.*
*rockITdata is an equal opportunity employer and is committed to non\-discrimination in all employment practices and decisions.* *All qualified applicants will receive consideration for employment without regard to disability status, veteran status* *or any characteristic protected by Federal, state, or local law.*
*rockITdata wants all interested and qualified candidates to be able to use our career site to review and apply for employment opportunities. If you have a disability and need an accommodation to access the application process, please contact us for assistance at dreamjob@rockitdata.com.*
KPQHa4MNri</t>
        </is>
      </c>
    </row>
    <row r="78">
      <c r="A78" t="inlineStr">
        <is>
          <t>in-c71ea1eee6b6393f</t>
        </is>
      </c>
      <c r="B78" t="inlineStr">
        <is>
          <t>Data Engineer- Snowflake</t>
        </is>
      </c>
      <c r="C78" t="inlineStr">
        <is>
          <t>Oran Inc</t>
        </is>
      </c>
      <c r="D78" t="inlineStr">
        <is>
          <t>indeed</t>
        </is>
      </c>
      <c r="E78">
        <f>HYPERLINK("https://www.indeed.com/viewjob?jk=c71ea1eee6b6393f", "https://www.indeed.com/viewjob?jk=c71ea1eee6b6393f")</f>
        <v/>
      </c>
      <c r="F78">
        <f>HYPERLINK("https://oran.catsone.com/careers/73942-General/jobs/16774039-Data-Engineer-Snowflake/?ref=Indeed", "https://oran.catsone.com/careers/73942-General/jobs/16774039-Data-Engineer-Snowflake/?ref=Indeed")</f>
        <v/>
      </c>
      <c r="G78" t="inlineStr">
        <is>
          <t>Remote, US</t>
        </is>
      </c>
      <c r="H78" s="3" t="n">
        <v>46064</v>
      </c>
      <c r="I78" t="inlineStr">
        <is>
          <t>**Overview**  
Oran Inc. is seeking a Junior Snowflake Data Engineer to support a federal data modernization initiative. This role focuses on migrating legacy SAS ETL processes into a Snowflake ELT architecture on AWS. You will collaborate with senior engineers to develop ingestion frameworks, ensure data quality, and support production environments.
### **Key Responsibilities**
**Snowflake Development**
* Develop and maintain tables (RAW, TARGET), views, stored procedures, tasks, and streams
* Implement COPY INTO for file ingestion
* Support incremental and historical data loads
* Assist with schema validation and evolution
**AWS \&amp; Data Integration**
* Work with Amazon S3 for data ingestion and storage
* Understand IAM role basics
* Support file processing (CSV, pipe\-delimited, fixed\-width, GZIP/ZIP)
**Data Engineering \&amp; ELT**
* Load and transform data across Bronze (RAW), Silver, and Gold layers
* Perform data validation (row counts, duplicates, schema checks)
* Support metadata tracking and run documentation
**Data Quality \&amp; Support**
* Reconcile Snowflake outputs against legacy SAS datasets
* Troubleshoot data discrepancies and load failures
**DevOps \&amp; Deployment**
* Use Azure DevOps Git for version control
* Support deployments across DEV, STG, and PROD
* Follow structured branching and folder standards
### **Required Qualifications**
* 1–3 years of data engineering or ETL experience
* Strong SQL skills (joins, aggregations, window functions)
* Experience with Snowflake or similar cloud data warehouse
* Experience with AWS S3
* Understanding of incremental load concepts and relational modeling
**Preferred**
* Experience migrating legacy ETL (SAS, Informatica)
* Snowflake Tasks, Streams, and Stored Procedures
* AWS Glue familiarity
* Exposure to CI/CD and data quality frameworks</t>
        </is>
      </c>
    </row>
    <row r="79">
      <c r="A79" t="inlineStr">
        <is>
          <t>in-a87d3156cbcfecf8</t>
        </is>
      </c>
      <c r="B79" t="inlineStr">
        <is>
          <t>Senior Data Engineer</t>
        </is>
      </c>
      <c r="C79" t="inlineStr">
        <is>
          <t>Pluto TV</t>
        </is>
      </c>
      <c r="D79" t="inlineStr">
        <is>
          <t>indeed</t>
        </is>
      </c>
      <c r="E79">
        <f>HYPERLINK("https://www.indeed.com/viewjob?jk=a87d3156cbcfecf8", "https://www.indeed.com/viewjob?jk=a87d3156cbcfecf8")</f>
        <v/>
      </c>
      <c r="F79">
        <f>HYPERLINK("https://careers.paramount.com/job/West-Hollywood-Senior-Data-Engineer-CA-90069/1343190300/?feedId=341000&amp;utm_source=Indeed&amp;utm_campaign=Paramount_Indeed", "https://careers.paramount.com/job/West-Hollywood-Senior-Data-Engineer-CA-90069/1343190300/?feedId=341000&amp;utm_source=Indeed&amp;utm_campaign=Paramount_Indeed")</f>
        <v/>
      </c>
      <c r="G79" t="inlineStr">
        <is>
          <t>West Hollywood, CA, US</t>
        </is>
      </c>
      <c r="H79" s="3" t="n">
        <v>46064</v>
      </c>
      <c r="I79" t="inlineStr">
        <is>
          <t>**\#WeAreParamount on a mission to unleash the power of content… you in?**  
We’ve got the brands, we’ve got the stars, we’ve got thepowerto achieve our mission to entertain the planet – now all we’re missing is… YOU! Becoming a part of Paramount means joining a team of passionate people who not only recognize the power of content but also enjoy a touch of fun and uniqueness. Together, we co\-create moments that matter – both for our audiences and our employees – and aim to leave a positive mark on culture.
 **In This Role You’ll:**
The Senior Data Engineer should possess a deep sense of curiosity and a passion for building data pipelines, data structures and data products and the ability to communicate data structures and tools throughout the Paramount Digital Media organization.
The candidate for this role will use their skills in reverse engineering, analytics, and creative, experimental solutions to devise data and BI solutions. They will have experience supporting data pipeline development, which includes machine learning algorithms using disparate data sources. They will work closely with BI, Research, Engineering, Marketing, Finance, and Product teams to implement data\-driven plans that drive the business. They will also be able to lead a project from inception to completion, as well as help mentor junior members of the team on standard processes and approaches around data.
 **Responsibilities Include:**
* Works with large volumes of traffic data and user behaviors to build pipelines that enhance raw data.
* Able to break down and communicate highly complex data problems into simple, feasible solutions.
* Extract patterns from large datasets and transform data into an informational advantage.
* Find answers to business questions via hands\-on exploration of data sets via Jupyter, SQL, dashboards, statistical analysis, and data visualizations.
* Partner with the internal product and business intelligence teams to determine the best approach around data ingestion, structure, and storage, and ensure successful implementation in partnership with the team.
* Lead initiatives to improve data quality and effectiveness by contributing ideas and collaborating with engineering, BI teams, and business units to implement changes.
* Ongoing development of technical solutions while developing and maintaining documentation, at times training impacted teams.
* Early on collaboration with the team on internal initiatives to create strategies that improve company processes.
* Look at ways of improving efficiency by staying current on the latest technology and trends and introducing team members to such.
* Develop prototypes to proof out strategies for data pipelines and products.
 **Basic Qualifications You Bring:**
* Bachelor's degree and 4\+ years of experience in Data Engineering and Analytics fields or consulting roles with a focus on digital analytics implementations.
* Experience with large scale data warehouse management systems such as BigQuery with advanced level understanding of warehouse cost management and query optimization
* Proficient in Python.
* Experience with Airflow or equivalent tools for orchestration of pipelines.
* Experience with Data Modeling of performant table structures.
* Able to write SQL to perform common types of analysis and transformations.
* Strong problem\-solving and creative\-thinking skills.
* Ability to design and implement technical solutions, maintain accurate documentation, and deliver training to impacted teams as needed.
* Experience developing solutions to business requirements via hands\-on discovery and exploration of data.
* Excellent written and verbal communication skills, including the ability to communicate technical concepts to non\-technical audiences, as well as translating business requirements into Data Solutions
* Strong experience with ETL \&amp; ELT.
* Experience building and deploying applications on GCP cloud platform.
* Influences and applies data standards, policies, and procedures
* Builds strong commitment within the team to support the appropriate team priorities
* Knowledge of new and evolving technologies via formal training and self\-directed education
 **Bonus Skills:**
* Experience with BigQuery and other GCP technologies.
* Experience with Docker and container deployment.
* Experience with Marketing tools like Kochava, Braze, Branch, Salesforce Marketing Cloud is a plus.
* Experience with exploratory data analysis using tools like iPython Notebook, Pandas \&amp; matplotlib, etc.
* Familiarity in Hadoop pipelines using Spark, Kafka.
* Familiar with GIT.
* Familiar with Adobe Analytics (Omniture) or Google Analytics.
* Digital marketing strategy including site, video, social media, SEM, SEO, and display advertising
Paramount Skydance Corporation (NASDAQ: PSKY) is a leading global media and entertainment company that creates premium content and experiences for audiences worldwide. Driven by iconic studios, networks and streaming services, Paramount's portfolio of consumer brands includes CBS, Showtime Networks, Paramount Pictures, Nickelodeon, MTV, Comedy Central, BET, Paramount\+, and Pluto TV, among others. Paramount delivers the largest share of the U.S. television audience and boasts one of the industry's most important and extensive libraries of TV and film titles. In addition to offering innovative streaming services and digital video products, the company provides powerful capabilities in production, distribution and advertising solutions.
ADDITIONAL INFORMATION
Hiring Salary Range: $98,400\.00 \- 155,000\.00\.
The hiring salary range for this position applies to New York City, California, Colorado, Washington state, and most other geographies. Starting pay for the successful applicant depends on a variety of job\-related factors, including but not limited to geographic location, market demands, experience, training, and education. The benefits available for this position include medical, dental, vision, 401(k) plan, life insurance coverage, disability benefits, tuition assistance program and PTO or, if applicable, as otherwise dictated by the appropriate Collective Bargaining Agreement. This position is bonus eligible.
**What We Offer:*** Attractive compensation and comprehensive benefits packages. Check out our full list of benefits here: https://www.paramount.com/careers/benefits
* Generous paid time off.
* An exciting and fulfilling opportunity to be part of one of Paramount’s most dynamic teams.
* Opportunities for both on\-site and virtual engagement events.
* Unique opportunities to make meaningful connections and build a vibrant community, both inside and outside the workplace.
* Explore life at Paramount: https://www.paramount.com/careers/life\-at\-paramount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is>
      </c>
    </row>
    <row r="80">
      <c r="A80" t="inlineStr">
        <is>
          <t>in-8ccba4d0c439388e</t>
        </is>
      </c>
      <c r="B80" t="inlineStr">
        <is>
          <t>Associate Principal - Data Engineering</t>
        </is>
      </c>
      <c r="C80" t="inlineStr">
        <is>
          <t>LTIMindtree</t>
        </is>
      </c>
      <c r="D80" t="inlineStr">
        <is>
          <t>indeed</t>
        </is>
      </c>
      <c r="E80">
        <f>HYPERLINK("https://www.indeed.com/viewjob?jk=8ccba4d0c439388e", "https://www.indeed.com/viewjob?jk=8ccba4d0c439388e")</f>
        <v/>
      </c>
      <c r="F80">
        <f>HYPERLINK("https://ltimindtree.ripplehire.com/candidate/?token=yDh75Csz7GSsLXbZ1N78&amp;lang=en&amp;source=INDEED&amp;ref=INDEED#detail/job/841224", "https://ltimindtree.ripplehire.com/candidate/?token=yDh75Csz7GSsLXbZ1N78&amp;lang=en&amp;source=INDEED&amp;ref=INDEED#detail/job/841224")</f>
        <v/>
      </c>
      <c r="G80" t="inlineStr">
        <is>
          <t>Decatur, IL, US</t>
        </is>
      </c>
      <c r="H80" s="3" t="n">
        <v>46064</v>
      </c>
      <c r="I80" t="inlineStr">
        <is>
          <t>**Role description** **About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  
**Job Title:** Azure Databricks
**Location:** Decatur, IL
**Duration:** Fulltime
**Job Summary**
We are looking for a Data Replication Specialist with expertise in Microsoft Fabric and Databricks Lakeflow connect to design implement and manage data replication and synchronization solutions across multiple data environments The ideal candidate will ensure that businesscritical data is consistently available accurate and up to date across systems for analytics reporting and operational needs  
Key Responsibilities  
Design and implement data replication strategies using Microsoft Fabric Copy Data and Mirroring features  
Configure and maintain replication pipelines between onpremises and cloudbased data sources eg SQL Server Azure SQL Synapse Data Lake Power BI  
Monitor and optimize replication performance latency and reliability  
Troubleshoot replication failures data drift and synchronization issues  
Collaborate with data engineers architects and analytics teams to align replication processes with business and data governance requirements  
Develop and maintain automation scripts for replication monitoring and ing using PowerShell Python or REST APIs  
Document replication architectures data flow diagrams and operational procedures  
Implement security compliance and data governance standards within replicated environments  
Stay updated on Microsoft Fabric enhancements and best practices for data replication and integration  
Design develop and maintain data ingestion pipelines using Databricks and Lakeflow Connect  
Integrate data from various structured and unstructured sources into Delta Lake and other data storage systems  
Implement realtime and batch ingestion workflows to support analytics and reporting needs  
Optimize data ingestion performance ensuring scalability reliability and cost efficiency  
Collaborate with data architects analysts and business stakeholders to define data requirements and ingestion strategies  
Ensure data quality lineage and governance compliance across the ingestion process  
Automate data ingestion monitoring ing and errorhandling mechanisms  
Stay up to date with emerging Databricks Lakehouse and data integration technologies and best practices  
**Required Qualifications**  
Bachelors or Masters degree in Computer Science Information Systems Data Engineering or a related field  
4 years of experience in data engineering or ETL development  
Handson experience with Databricks SQL PySpark Delta Lake  
Proficiency with Lakeflow Connect for building and managing data ingestion workflows  
Strong understanding of data integration patterns data modeling and data lakehouse architectures  
Experience with cloud platforms Azure AWS or GCP and associated data services  
Knowledge of CICD version control Git and infrastructureascode practices  
Familiarity with data governance security and compliance standards  
**Required Skills****Qualifications**  
Bachelors degree in Computer Science Information Systems or related field  
3\-5 years of experience in data replication ETLELT or data integration  
Handson experience with Microsoft Fabric Azure Data Factory or Synapse Pipelines  
Strong understanding of Copy Data and Mirroring capabilities in Microsoft Fabric  
Proficiency in SQL and scripting languages PowerShell Python  
Experience working with Azure Data Lake OneLake and Power BI  
Knowledge of change data capture CDC incremental loads and realtime replication  
Familiarity with data governance security and compliance standards eg GDPR HIPAA  
**Preferred Qualifications**  
Microsoft Certified Fabric Analytics Engineer Associate or Azure Data Engineer Associate  
Experience with hybrid data environments onpremises cloud  
Knowledge of data mesh or lakehouse architectures  
Exposure to DevOps or CICD practices for data pipelines  
**Soft Skills**  
Strong analytical and problemsolving abilities  
Excellent communication and documentation skills  
Ability to work collaboratively in crossfunctional teams  
Detailoriented with a focus on data quality and reliability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**Skills** **Mandatory Skills :** Databricks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$100,000\.00 to $120,000\.00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81">
      <c r="A81" t="inlineStr">
        <is>
          <t>in-97542208760015ce</t>
        </is>
      </c>
      <c r="B81" t="inlineStr">
        <is>
          <t>Analytics Engineer II</t>
        </is>
      </c>
      <c r="C81" t="inlineStr">
        <is>
          <t>Alma</t>
        </is>
      </c>
      <c r="D81" t="inlineStr">
        <is>
          <t>indeed</t>
        </is>
      </c>
      <c r="E81">
        <f>HYPERLINK("https://www.indeed.com/viewjob?jk=97542208760015ce", "https://www.indeed.com/viewjob?jk=97542208760015ce")</f>
        <v/>
      </c>
      <c r="F81">
        <f>HYPERLINK("https://grnh.se/nb1r7x2b2us", "https://grnh.se/nb1r7x2b2us")</f>
        <v/>
      </c>
      <c r="G81" t="inlineStr">
        <is>
          <t>New York, NY, US</t>
        </is>
      </c>
      <c r="H81" s="3" t="n">
        <v>46064</v>
      </c>
      <c r="I81" t="inlineStr">
        <is>
          <t>Alma is on a mission to simplify access to high\-quality, affordable mental health care. We do this by making it easy and financially rewarding for therapists to accept insurance and offer in\-network care. When a provider joins Alma, they gain access to a suite of tools that not only help them better run their business, but also grow it sustainably and develop as a provider. Alma is available in all 50 states, with over 20,000 therapists in our growing network. Anyone looking for a therapist can browse Alma's free directory. Alma has raised $220\.5M in funding from Insight Partners, Optum Ventures, Tusk Venture Partners, Primary Venture Partners, First Round Capital, Sound Ventures, BoxGroup, Cigna Ventures, and Rainfall Ventures. Alma was also named one of Inc's Best Workplaces in 2022 and 2023\.
Website
Job Board
Values
Candidate Interview Guide
\-
**Analytics Engineer II**
=========================
Alma is seeking a mission\-oriented Analytics Engineer to join our team. This person will work to build out and maintain Alma's information systems that collect, manage and convert raw data standardized models for use by analysts and stakeholders across the company. This person will play an integral role in making data accessible to the organization so it can evaluate and operate effectively and successfully.
**What you'll do:**
* Build models and queries to transform data into standardized formats that power our business analytics.
* Maintain and develop Alma's data pipeline architecture
* Proactively identify, diagnose, and resolve data quality, reliability, and performance issues across the data lifecycle.
* Collaborate with stakeholders to define requirements and implement robust processes for ingesting data from diverse internal and external sources.
* Implement data governance best practices and ensure compliance with data policies.
* Work with the data team and cross\-team stakeholders to evaluate the priorities and needs of the company.
**Who you are:**
* You have 3\+ years of progressive experience in data engineering or analytics engineering, with a strong emphasis on building and optimizing data pipelines and data warehouses.
* You possess advanced SQL skills, with proven experience in writing complex, performant queries and optimizing them in a data warehouse environment like Redshift.
* You have a strong understanding of data warehousing and business intelligence tools.
* Experience with dbt is highly desirable; familiarity with BI tools (e.g., Looker, Metabase) is a plus.
* You enjoy exploring data sets and have technical expertise in data transformation and data modeling.
* You have some experience with Python
* You feel a passion for Alma's mission – to improve the experience of therapy for providers and their clients and simplify access to care.
*Tech Stack: Python, SQL, Redshift, dbt, Singer.io; (Familiarity with: Stitch, Lightdash, Metabase)*
**Benefits:**
* We're a remote\-first company
* Health insurance plans through Aetna (medical and dental) and MetLife (vision), including FSA and HSA plans
* 401K plan (ADP)
* Lifestyle Spending Account for health, wellness, and family care
* Monthly co\-working space membership stipend
* Monthly work\-from\-home stipend
* Financial wellness benefits through Northstar
* Pet discount program through United Pet Care
* Financial perks and rewards through PerkSpot
* EAP access through Aetna
* One\-time home office stipend to set up your home office
* Inclusive family and medical leave plans
* 12 paid holidays and 1 Alma Give Back Day
* Flexible PTO
Salary Band: $124,600\- $160,000
Alma's compensation philosophy is driven by our company value of building equity. To best ensure pay equity, we typically bring in new hires near the middle of our listed salary bands and we do not negotiate our compensation (i.e. all people hired at the same level \&amp; role are brought in at the same salary, equity, and benefits). The recruiter you work with can provide more details on our philosophy.
All Alma jobs are listed on our careers page. We do not use outside applications or automated text messaging in our recruiting process. We will not ask for any sensitive financial or identification information throughout the recruiting process. Any communication during the recruitment process, including interview requests or job offers, will come directly from a recruiting team member with a helloalma.com email address.
Learn more about how Alma handles applicant data by reading Alma's Applicant Privacy Notice.</t>
        </is>
      </c>
    </row>
    <row r="82">
      <c r="A82" t="inlineStr">
        <is>
          <t>in-96498365de628734</t>
        </is>
      </c>
      <c r="B82" t="inlineStr">
        <is>
          <t>AWS Data Engineer</t>
        </is>
      </c>
      <c r="C82" t="inlineStr">
        <is>
          <t>Openkyber</t>
        </is>
      </c>
      <c r="D82" t="inlineStr">
        <is>
          <t>indeed</t>
        </is>
      </c>
      <c r="E82">
        <f>HYPERLINK("https://www.indeed.com/viewjob?jk=96498365de628734", "https://www.indeed.com/viewjob?jk=96498365de628734")</f>
        <v/>
      </c>
      <c r="F82">
        <f>HYPERLINK("https://candidateportalnew.ceipal.com/job-details/PyuSgOaNr7uwwv_xpYiiaPL7LS3qn-DcVwd7y2wJtVw#.job_boards.Indeed", "https://candidateportalnew.ceipal.com/job-details/PyuSgOaNr7uwwv_xpYiiaPL7LS3qn-DcVwd7y2wJtVw#.job_boards.Indeed")</f>
        <v/>
      </c>
      <c r="G82" t="inlineStr">
        <is>
          <t>GA, US</t>
        </is>
      </c>
      <c r="H82" s="3" t="n">
        <v>46064</v>
      </c>
      <c r="I82" t="inlineStr">
        <is>
          <t>Role: AWS Data Engineer
Location: Remote
Role Summary: The Data Engineer will build and maintain secure, scalable, and automated data pipelines to support the ingestion, transformation, and curation of data products. This role will focus on implementing CI/CD pipelines, automated testing, and monitoring solutions.
**Key Responsibilities:**
* Data Pipelines: Develop configuration\-driven ingestion and transformation pipelines using AWS Glue, Lambda, and Redshift.
* Automation: Implement CI/CD pipelines for automated build, test, and deployment of data products.
* Testing: Establish automated test frameworks for schema validation, data quality, and performance testing.
* Monitoring: Set up monitoring and observability dashboards for product\-level metrics (CloudWatch, custom metrics).
* Collaboration: Work with data modelers and architects to ensure alignment with business requirements.
**Required Skills:**
* Programming: Proficiency in Python, SQL, and shell scripting.
* AWS Expertise: Hands\-on experience with AWS services (Glue, Redshift, S3, Lambda, CloudWatch).
* Automation: Experience with CI/CD tools (Terraform, Jenkins, AWS CodePipeline).
* Data Integration: Strong knowledge of ETL/ELT processes and frameworks.
* Soft Skills: Strong problem\-solving, collaboration, and communication skills.
**Qualifications:**
Bachelor s degree in computer science, Data Engineering, or related field. 10\+ years of experience in data engineering and pipeline development. AWS Certified Data Analytics or AWS Certified Developer is a plus.
**For applications and inquiries, contact:** hirings@openkyber.com</t>
        </is>
      </c>
    </row>
    <row r="83">
      <c r="A83" t="inlineStr">
        <is>
          <t>in-d6f0720f1f7b6d15</t>
        </is>
      </c>
      <c r="B83" t="inlineStr">
        <is>
          <t>Director, Data Engineer</t>
        </is>
      </c>
      <c r="C83" t="inlineStr">
        <is>
          <t>The Coca-Cola Company</t>
        </is>
      </c>
      <c r="D83" t="inlineStr">
        <is>
          <t>indeed</t>
        </is>
      </c>
      <c r="E83">
        <f>HYPERLINK("https://www.indeed.com/viewjob?jk=d6f0720f1f7b6d15", "https://www.indeed.com/viewjob?jk=d6f0720f1f7b6d15")</f>
        <v/>
      </c>
      <c r="F83">
        <f>HYPERLINK("https://Coca-Cola.contacthr.com/151025521", "https://Coca-Cola.contacthr.com/151025521")</f>
        <v/>
      </c>
      <c r="G83" t="inlineStr">
        <is>
          <t>Atlanta, GA, US</t>
        </is>
      </c>
      <c r="H83" s="3" t="n">
        <v>46064</v>
      </c>
      <c r="I83" t="inlineStr">
        <is>
          <t>**Location:** Atlanta, GA (Global HQ)
**Estimated Travel:** 0\-20% (OU, Bottler meetings, industry conferences)
**Direct Reports**: None
The **Global Equipment Platforms (GEP)** team is seeking a highly skilled and experienced Lead Data Engineer to be a core technical contributor to the data backbone for The Coca\-Cola Company's global fleet of 17MM\+ connected equipment. Reporting to the Head of Data within GEP Digital, this role is pivotal in transforming raw telemetry data from beverage vending machines, dispensers, coolers, and retail racks into a strategic asset that fuels real\-time market insights, predictive analytics, and operational efficiencies across our global ecosystem.
You will be responsible for designing, building, and maintaining robust, secure, and cost\-optimized cloud\-based data pipelines and platforms, primarily leveraging Microsoft Azure. This includes hands\-on development of scalable data ingestion, transformation, and storage solutions capable of handling high\-volume, real\-time data from a diverse fleet of equipment running on the KO Operating System (KOS) and other embedded systems. This role demands a deep technical expert with a proven track record of solving complex data challenges, ensuring data integrity, scalability, and accessibility for both internal stakeholders and our 200\+ global franchise bottlers and OEM partners in a multi\-tenant environment.
**Key Responsibilities:**
**Data Pipeline \&amp; Platform Development (40%):**
* Design, develop, and maintain highly scalable, secure, and resilient data pipelines (batch, streaming, real\-time) and data platforms on Microsoft Azure (e.g., Azure Data Factory, Azure Synapse Analytics, Azure Databricks, Event Hubs, IoT Hub, ADLS Gen2, Cosmos DB, Azure SQL).
* Implement robust data ingestion processes to collect high\-volume telemetry data from 17MM\+ connected devices, ensuring data quality and reliability at source.
* Develop efficient data transformation logic and data models to rationalize, cleanse, and enrich raw equipment data, making it ready for consumption by analytics and AI applications.
* Optimize data storage solutions (data lakes, data warehouses) for performance, cost\-efficiency, and accessibility.
* Design and build scalable, resilient data pipelines for real\-time telemetry, ensuring data quality and accessibility that directly fuels the analytical models developed by Data Scientists and the production AI systems deployed by the Lead AI Engineer.
**Data Foundation for AI/ML \&amp; Analytics (25%):**
* Engineer the data foundation required to support advanced analytics, machine learning models (e.g., predictive maintenance, demand forecasting, personalization), and AI Agents.
* Work closely with Data Scientists and Data Analysts to understand their data needs, ensure data quality, and optimize data structures for efficient model training and inference.
* Develop and maintain curated datasets and data marts that simplify data consumption for business intelligence tools and internal/external analytics applications.
* Ensure the seamless flow of rich, rationalized telemetry data from KOS\-powered devices to the core analytics platform.
**Data Governance, Quality \&amp; Compliance (20%):**
* Contribute to the implementation and enforcement of data governance frameworks, data quality standards, and data integrity checks for the equipment data.
* Develop and implement solutions to monitor data pipeline health, identify data anomalies, and proactively address data quality issues.
* Ensure the data platform adheres to global data privacy regulations (e.g., GDPR, CCPA) and TCCC's internal security protocols, especially for multi\-tenant data access by bottlers and OEMs.
* Implement robust logging, monitoring, and alerting for data pipelines and data platform components.
**Cross\-Functional Collaboration \&amp; OEM Integration (15%):**
* Collaborate closely with the Global Product Owner for Unified IoT, GEP Hardware/Software Engineering, Enterprise Digital Technology Solutions (IT), and Experience Design teams to ensure seamless data integration from connected devices.
* Work with equipment OEMs (e.g., Lancer, Cornelius, True, Imbera) to integrate their telemetry systems and ensure data capture adheres to TCCC's standards.
* Contribute to the data requirements and solutions for Over\-The\-Air (OTA) updates of firmware, software, and content to the equipment fleet.
* Participate in code reviews, design discussions, and knowledge sharing within the data engineering team and broader GEP digital organization.
* Work closely with the Product Owner, Unified Ecosystem for new telemetry requirements driven by product features, ensuring seamless integration of new data sources.
* Partner with Data Scientists to optimize data structures and access patterns for efficient model training, feature engineering, and inference, and with Lead AI Engineers for deployment of data\-intensive AI solutions.
**Key Deliverables:**
* Well\-architected, highly performant, and reliable data pipelines (batch and streaming).
* Optimized data schemas, models, and curated datasets supporting GEP analytics and AI initiatives.
* Automated data quality checks and monitoring solutions for critical equipment data.
* Clean, accessible, and high\-quality data sets for consumption by data scientists, analysts, and business users.
* Robust and secure data integrations with various equipment types and OEM systems.
* Comprehensive documentation of data pipelines, schemas, and data lineage.
**Decision Rights:**
* Technical design and implementation details for assigned data pipelines and data solutions within established architectural guidelines.
* Selection of specific data engineering tools and libraries (within approved Azure ecosystem).
* Prioritization of individual tasks and problem\-solving approaches for specific data challenges.
**Required Experience \&amp; Qualifications:**
* Bachelor's degree in Computer Science, Engineering, Information Systems, or a related quantitative field. Master's degree preferred.
* 10\+ years of hands\-on experience in data engineering, with a strong focus on building and operating large\-scale data platforms.
* Expert\-level proficiency in designing, building, and operating data pipelines and data solutions in Microsoft Azure (e.g., Azure Data Factory, Azure Synapse Analytics, Azure Databricks, Event Hubs, IoT Hub, ADLS Gen2\).
* Deep experience with real\-time data streaming architectures and technologies (e.g., Kafka, Azure Event Hubs/IoT Hub).
* Strong programming skills in Python (preferred), Scala, or Java; expert in SQL.
* Extensive experience with big data technologies and distributed computing frameworks (e.g., Spark).
* Solid understanding of data warehousing concepts, dimensional modeling, and data lake architectures.
* Proven track record of implementing robust data quality and security measures.
* Experience with CI/CD practices for data pipelines and infrastructure as code (e.g., Terraform, ARM templates).
* Familiarity with IoT, connected devices, embedded systems, and telemetry data.
**Competencies:**
* **Technical Mastery**: Possesses deep, hands\-on expertise in data engineering principles, tools, and best practices, continuously expanding knowledge.
* **Complex Problem Solver**: Ability to analyze complex data challenges, identify root causes, and develop effective, scalable solutions.
* **Results\-Oriented Execution**: Delivers high\-quality data solutions efficiently and effectively, with a strong focus on operational excellence.
* **Collaborative Team Player**: Works seamlessly with cross\-functional teams (data scientists, product managers, engineers) and external partners.
* **Detail\-Oriented \&amp; Accountable**: Ensures accuracy, integrity, and reliability of data assets, taking full ownership of assigned tasks and outcomes.
* **Continuous Improvement Mindset**: Proactively identifies opportunities for process optimization, efficiency gains, and technical enhancements within the data ecosystem.
**Success is measured by:**
* **Data Pipeline Performance \&amp; Reliability**: Achievement of SLAs for data pipeline latency, availability (e.g., 99\.9% uptime), and data freshness.
* **Data Quality \&amp; Integrity**: Accuracy and completeness of critical data sets; reduction in data\-related incidents.
* **Scalability \&amp; Efficiency**: Contribution to cost optimization of data processing and storage; seamless onboarding of new data sources/equipment types.
* **Support for Insights \&amp; AI**: Timely and accurate delivery of data to enable the development and deployment of AI/ML models and analytics dashboards.
* **Code Quality \&amp; Maintainability**: Adherence to coding standards, robust documentation, and ease of maintenance for developed data solutions.
**What We Can Do for You:**
* **Iconic \&amp; Innovative Brands**: Our portfolio represents over 250 products with some of the most popular brands in the world, including Coca\-Cola, Simply, Fairlife \&amp; Topo Chico.
* **Expansive \&amp; Diverse Customers**: We work with a diversified group of customers which range from retail \&amp; grocery outlets, theme parks, movie theatres, restaurants, and many more each day.
**Skills**  
Python (Programming Language); Big Data Platforms; Microsoft Azure; Azure Data Factory; Data Engineering; Azure Synapse Analytics; Azure IoT Hub; Structured Query Language (SQL)
All persons hired will be required to verify identity and eligibility to work in the United States and to complete the required employment eligibility verification form (Form I\-9\) upon hire.
Pay Range:$149,000 \- $173,000  
Base pay offered may vary depending on geography, job\-related knowledge, skills, and experience. A full range of medical, financial, and/or other benefits, dependent on the position, is offered.  
Annual Incentive Reference Value Percentage:30  
Annual Incentive reference value is a market\-based competitive value for your role. It falls in the middle of the range for your role, indicating performance at target.</t>
        </is>
      </c>
    </row>
    <row r="84">
      <c r="A84" t="inlineStr">
        <is>
          <t>in-84014ecbb4e8b5ac</t>
        </is>
      </c>
      <c r="B84" t="inlineStr">
        <is>
          <t>Senior Data Engineer - Substantiation Platform Team *Hybrid*</t>
        </is>
      </c>
      <c r="C84" t="inlineStr">
        <is>
          <t>GEICO</t>
        </is>
      </c>
      <c r="D84" t="inlineStr">
        <is>
          <t>indeed</t>
        </is>
      </c>
      <c r="E84">
        <f>HYPERLINK("https://www.indeed.com/viewjob?jk=84014ecbb4e8b5ac", "https://www.indeed.com/viewjob?jk=84014ecbb4e8b5ac")</f>
        <v/>
      </c>
      <c r="F84">
        <f>HYPERLINK("https://click.appcast.io/t/-W7Z68P6TZ9sCw_v-9qW56CLrPe9a4YeoBYDx2ZsDQ8=", "https://click.appcast.io/t/-W7Z68P6TZ9sCw_v-9qW56CLrPe9a4YeoBYDx2ZsDQ8=")</f>
        <v/>
      </c>
      <c r="G84" t="inlineStr">
        <is>
          <t>Washington, DC, US</t>
        </is>
      </c>
      <c r="H84" s="3" t="n">
        <v>46064</v>
      </c>
      <c r="I8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**Senior Data Engineer** within our **Financial Data Integrity Substantiation Platform**, you will play an important role in building and managing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Follow and help improve best practices for code quality, testing, and deployment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 5\+ years of experience in Data and/or Software engineering
* 5\+ years of experience in one or more relevant **backend** programming languages, such as **Java and/or Go**
* 2\+ years of experience building products in modern architecture (SOA \&amp; microservices) and extensible REST APIs
* 3\+ years of experience with tools like Git, Docker, Kubernetes, and CI/CD pipelines
* 3\+ years of experience with cloud platforms like AWS, Azure, or Google Cloud
* Experience in SQL, NoSQL, relational database design and efficient methods for data retrieval and preparation at scale
* Proven ability to collect and process raw data at scale, including scripting, API integration, and SQL querying
* Experience with data modeling, ETL processes and query languages (Python, PySpark, and SQL) with data warehouse
* Experience with Agile development practices
\*This is a Hybrid position working out of any of the below offices\*
Seattle, WA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5">
      <c r="A85" t="inlineStr">
        <is>
          <t>in-a939d8f18f1a2076</t>
        </is>
      </c>
      <c r="B85" t="inlineStr">
        <is>
          <t>Senior Data Engineer - Substantiation Platform Team *Hybrid*</t>
        </is>
      </c>
      <c r="C85" t="inlineStr">
        <is>
          <t>GEICO</t>
        </is>
      </c>
      <c r="D85" t="inlineStr">
        <is>
          <t>indeed</t>
        </is>
      </c>
      <c r="E85">
        <f>HYPERLINK("https://www.indeed.com/viewjob?jk=a939d8f18f1a2076", "https://www.indeed.com/viewjob?jk=a939d8f18f1a2076")</f>
        <v/>
      </c>
      <c r="F85">
        <f>HYPERLINK("https://click.appcast.io/t/SSFIGbCyyu1NXMe5FDy3L9TbWIhkHCTP2r3Tni4_kfk=", "https://click.appcast.io/t/SSFIGbCyyu1NXMe5FDy3L9TbWIhkHCTP2r3Tni4_kfk=")</f>
        <v/>
      </c>
      <c r="G85" t="inlineStr">
        <is>
          <t>Falls Church, VA, US</t>
        </is>
      </c>
      <c r="H85" s="3" t="n">
        <v>46064</v>
      </c>
      <c r="I8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**Senior Data Engineer** within our **Financial Data Integrity Substantiation Platform**, you will play an important role in building and managing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Follow and help improve best practices for code quality, testing, and deployment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 5\+ years of experience in Data and/or Software engineering
* 5\+ years of experience in one or more relevant **backend** programming languages, such as **Java and/or Go**
* 2\+ years of experience building products in modern architecture (SOA \&amp; microservices) and extensible REST APIs
* 3\+ years of experience with tools like Git, Docker, Kubernetes, and CI/CD pipelines
* 3\+ years of experience with cloud platforms like AWS, Azure, or Google Cloud
* Experience in SQL, NoSQL, relational database design and efficient methods for data retrieval and preparation at scale
* Proven ability to collect and process raw data at scale, including scripting, API integration, and SQL querying
* Experience with data modeling, ETL processes and query languages (Python, PySpark, and SQL) with data warehouse
* Experience with Agile development practices
\*This is a Hybrid position working out of any of the below offices\*
Seattle, WA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6">
      <c r="A86" t="inlineStr">
        <is>
          <t>in-86c4d4cf6850ac48</t>
        </is>
      </c>
      <c r="B86" t="inlineStr">
        <is>
          <t>Senior Data Engineer - Substantiation Platform Team *Hybrid*</t>
        </is>
      </c>
      <c r="C86" t="inlineStr">
        <is>
          <t>GEICO</t>
        </is>
      </c>
      <c r="D86" t="inlineStr">
        <is>
          <t>indeed</t>
        </is>
      </c>
      <c r="E86">
        <f>HYPERLINK("https://www.indeed.com/viewjob?jk=86c4d4cf6850ac48", "https://www.indeed.com/viewjob?jk=86c4d4cf6850ac48")</f>
        <v/>
      </c>
      <c r="F86">
        <f>HYPERLINK("https://click.appcast.io/t/ItXd7DB-jneqMvdaqjCaVdHDAN2eLNibrfVxzlUBir4=", "https://click.appcast.io/t/ItXd7DB-jneqMvdaqjCaVdHDAN2eLNibrfVxzlUBir4=")</f>
        <v/>
      </c>
      <c r="G86" t="inlineStr">
        <is>
          <t>Chevy Chase, MD, US</t>
        </is>
      </c>
      <c r="H86" s="3" t="n">
        <v>46064</v>
      </c>
      <c r="I8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**Senior Data Engineer** within our **Financial Data Integrity Substantiation Platform**, you will play an important role in building and managing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Follow and help improve best practices for code quality, testing, and deployment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 5\+ years of experience in Data and/or Software engineering
* 5\+ years of experience in one or more relevant **backend** programming languages, such as **Java and/or Go**
* 2\+ years of experience building products in modern architecture (SOA \&amp; microservices) and extensible REST APIs
* 3\+ years of experience with tools like Git, Docker, Kubernetes, and CI/CD pipelines
* 3\+ years of experience with cloud platforms like AWS, Azure, or Google Cloud
* Experience in SQL, NoSQL, relational database design and efficient methods for data retrieval and preparation at scale
* Proven ability to collect and process raw data at scale, including scripting, API integration, and SQL querying
* Experience with data modeling, ETL processes and query languages (Python, PySpark, and SQL) with data warehouse
* Experience with Agile development practices
\*This is a Hybrid position working out of any of the below offices\*
Seattle, WA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7">
      <c r="A87" t="inlineStr">
        <is>
          <t>in-82dcefdb3c5519ae</t>
        </is>
      </c>
      <c r="B87" t="inlineStr">
        <is>
          <t>Senior Data Engineer - Substantiation Platform Team *Hybrid*</t>
        </is>
      </c>
      <c r="C87" t="inlineStr">
        <is>
          <t>GEICO</t>
        </is>
      </c>
      <c r="D87" t="inlineStr">
        <is>
          <t>indeed</t>
        </is>
      </c>
      <c r="E87">
        <f>HYPERLINK("https://www.indeed.com/viewjob?jk=82dcefdb3c5519ae", "https://www.indeed.com/viewjob?jk=82dcefdb3c5519ae")</f>
        <v/>
      </c>
      <c r="F87">
        <f>HYPERLINK("https://click.appcast.io/t/jtPFBqIaN6X1LZozHc2UpYr_z86qJZgEh-Eia-KW1gw=", "https://click.appcast.io/t/jtPFBqIaN6X1LZozHc2UpYr_z86qJZgEh-Eia-KW1gw=")</f>
        <v/>
      </c>
      <c r="G87" t="inlineStr">
        <is>
          <t>Dallas, TX, US</t>
        </is>
      </c>
      <c r="H87" s="3" t="n">
        <v>46064</v>
      </c>
      <c r="I8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**Senior Data Engineer** within our **Financial Data Integrity Substantiation Platform**, you will play an important role in building and managing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Follow and help improve best practices for code quality, testing, and deployment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 5\+ years of experience in Data and/or Software engineering
* 5\+ years of experience in one or more relevant **backend** programming languages, such as **Java and/or Go**
* 2\+ years of experience building products in modern architecture (SOA \&amp; microservices) and extensible REST APIs
* 3\+ years of experience with tools like Git, Docker, Kubernetes, and CI/CD pipelines
* 3\+ years of experience with cloud platforms like AWS, Azure, or Google Cloud
* Experience in SQL, NoSQL, relational database design and efficient methods for data retrieval and preparation at scale
* Proven ability to collect and process raw data at scale, including scripting, API integration, and SQL querying
* Experience with data modeling, ETL processes and query languages (Python, PySpark, and SQL) with data warehouse
* Experience with Agile development practices
\*This is a Hybrid position working out of any of the below offices\*
Seattle, WA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8">
      <c r="A88" t="inlineStr">
        <is>
          <t>in-906792d87f83732d</t>
        </is>
      </c>
      <c r="B88" t="inlineStr">
        <is>
          <t>Senior Data Engineer - Substantiation Platform Team *Hybrid*</t>
        </is>
      </c>
      <c r="C88" t="inlineStr">
        <is>
          <t>GEICO</t>
        </is>
      </c>
      <c r="D88" t="inlineStr">
        <is>
          <t>indeed</t>
        </is>
      </c>
      <c r="E88">
        <f>HYPERLINK("https://www.indeed.com/viewjob?jk=906792d87f83732d", "https://www.indeed.com/viewjob?jk=906792d87f83732d")</f>
        <v/>
      </c>
      <c r="F88">
        <f>HYPERLINK("https://click.appcast.io/t/cPC4GzIzfjYt1a0jGNcyjtIrGJyZ51ValZi71wabh1Y=", "https://click.appcast.io/t/cPC4GzIzfjYt1a0jGNcyjtIrGJyZ51ValZi71wabh1Y=")</f>
        <v/>
      </c>
      <c r="G88" t="inlineStr">
        <is>
          <t>Seattle, WA, US</t>
        </is>
      </c>
      <c r="H88" s="3" t="n">
        <v>46064</v>
      </c>
      <c r="I8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**Senior Data Engineer** within our **Financial Data Integrity Substantiation Platform**, you will play an important role in building and managing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Follow and help improve best practices for code quality, testing, and deployment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 5\+ years of experience in Data and/or Software engineering
* 5\+ years of experience in one or more relevant **backend** programming languages, such as **Java and/or Go**
* 2\+ years of experience building products in modern architecture (SOA \&amp; microservices) and extensible REST APIs
* 3\+ years of experience with tools like Git, Docker, Kubernetes, and CI/CD pipelines
* 3\+ years of experience with cloud platforms like AWS, Azure, or Google Cloud
* Experience in SQL, NoSQL, relational database design and efficient methods for data retrieval and preparation at scale
* Proven ability to collect and process raw data at scale, including scripting, API integration, and SQL querying
* Experience with data modeling, ETL processes and query languages (Python, PySpark, and SQL) with data warehouse
* Experience with Agile development practices
\*This is a Hybrid position working out of any of the below offices\*
Seattle, WA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9">
      <c r="A89" t="inlineStr">
        <is>
          <t>in-8c274f4e1ed2ec6d</t>
        </is>
      </c>
      <c r="B89" t="inlineStr">
        <is>
          <t>Senior Data Engineer - Substantiation Platform Team *Hybrid*</t>
        </is>
      </c>
      <c r="C89" t="inlineStr">
        <is>
          <t>GEICO</t>
        </is>
      </c>
      <c r="D89" t="inlineStr">
        <is>
          <t>indeed</t>
        </is>
      </c>
      <c r="E89">
        <f>HYPERLINK("https://www.indeed.com/viewjob?jk=8c274f4e1ed2ec6d", "https://www.indeed.com/viewjob?jk=8c274f4e1ed2ec6d")</f>
        <v/>
      </c>
      <c r="F89">
        <f>HYPERLINK("https://click.appcast.io/t/f2GUfGSUMnCbFcw1S8Xr4_tTuY6F_67R2pnNJOaY7KM=", "https://click.appcast.io/t/f2GUfGSUMnCbFcw1S8Xr4_tTuY6F_67R2pnNJOaY7KM=")</f>
        <v/>
      </c>
      <c r="G89" t="inlineStr">
        <is>
          <t>Baltimore, MD, US</t>
        </is>
      </c>
      <c r="H89" s="3" t="n">
        <v>46064</v>
      </c>
      <c r="I8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**Senior Data Engineer** within our **Financial Data Integrity Substantiation Platform**, you will play an important role in building and managing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Follow and help improve best practices for code quality, testing, and deployment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 5\+ years of experience in Data and/or Software engineering
* 5\+ years of experience in one or more relevant **backend** programming languages, such as **Java and/or Go**
* 2\+ years of experience building products in modern architecture (SOA \&amp; microservices) and extensible REST APIs
* 3\+ years of experience with tools like Git, Docker, Kubernetes, and CI/CD pipelines
* 3\+ years of experience with cloud platforms like AWS, Azure, or Google Cloud
* Experience in SQL, NoSQL, relational database design and efficient methods for data retrieval and preparation at scale
* Proven ability to collect and process raw data at scale, including scripting, API integration, and SQL querying
* Experience with data modeling, ETL processes and query languages (Python, PySpark, and SQL) with data warehouse
* Experience with Agile development practices
\*This is a Hybrid position working out of any of the below offices\*
Seattle, WA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0">
      <c r="A90" t="inlineStr">
        <is>
          <t>in-057f6b43013da4c0</t>
        </is>
      </c>
      <c r="B90" t="inlineStr">
        <is>
          <t>Analytics Engineer</t>
        </is>
      </c>
      <c r="C90" t="inlineStr">
        <is>
          <t>Lendio</t>
        </is>
      </c>
      <c r="D90" t="inlineStr">
        <is>
          <t>indeed</t>
        </is>
      </c>
      <c r="E90">
        <f>HYPERLINK("https://www.indeed.com/viewjob?jk=057f6b43013da4c0", "https://www.indeed.com/viewjob?jk=057f6b43013da4c0")</f>
        <v/>
      </c>
      <c r="F90">
        <f>HYPERLINK("https://lendio.wd1.myworkdayjobs.com/lendio/job/Lehi-UT-HQ/Analytics-Engineer_JR100661", "https://lendio.wd1.myworkdayjobs.com/lendio/job/Lehi-UT-HQ/Analytics-Engineer_JR100661")</f>
        <v/>
      </c>
      <c r="G90" t="inlineStr">
        <is>
          <t>Lehi, UT, US</t>
        </is>
      </c>
      <c r="H90" s="3" t="n">
        <v>46064</v>
      </c>
      <c r="I90" t="inlineStr">
        <is>
          <t>**Lendio**is a Lehi, Utah\-based fintech company empowering small businesses by simplifying access to capital. Through a curated marketplace of lenders, Lendio helps entrepreneurs secure the funding they need to survive and thrive. In addition to our established marketplace, we are expanding our product offerings to include software solutions for banks, credit unions, and other organizations that serve small business clients, making it easier for them to deliver faster, more efficient funding experiences.
Lendio is looking for an **A****nalytics Engineer** to build, support, and expand the dashboarding and reporting functions in our SaaS products (see Intelligent Lending and Embedded Marketplace).
**What you will own**
* Data pipeline engineering. Working together with data engineering and BI, you will ensure that the data warehouse utilized by our analytics offerings has all of the data structures and elements needed for the reports and dashboards we need to deploy to our SaaS clients.
* Assist in the design of reports. Using our embedded analytics products / frameworks (ThoughtSpot, AG Grid, etc.) and leveraging the data pipeline you manage, you will help to design the reports and dashboards that are delivered through our SaaS platform.
* Driving results. We don’t believe in simply building and releasing – we believe in ROI. This means you will be responsible for monitoring, resolving issues and tracking the performance of the analytics features you release – in terms of solving a stated problem, quality, adoption, and economics.
**What you'll need to be successful**
* Proficiency in data modeling and schema design
* Advanced skills in SQL and scripting/parsing languages like python or scala
* Ability to expertly communicate – both in terms of receiving (listening, comprehending) as well as articulating / conveying complex ideas from technical designs to user experience
* Problem solving from converting requirements into designs to making architectures work toward an ideal outcome
* Sufficient grasp of user experience design to appreciate and navigate the dynamics around user personas, mental models, and design principles
* Project management to break down scope into minimal (yet valuable and releasable) components, managing timelines, coordinating with stakeholders, and reporting on status and results
**What we’re offering:**
* Purpose. Lendio doesn’t just sell widgets – we’re focused on making a measurable impact on individual businesses – whether it’s a small business in need of capital to survive and thrive, a lender looking to optimize their portfolio, or an enterprise provider looking to deepen their relationship with their customers, we want to deliver meaningful impact.
* Team. You will be surrounded by some of the best professionals and people anywhere. We consistently get high marks in terms of culture – not just nice people, but a culture of accomplishment and improvement. We will help you to grow and in turn, we hope that you’ll contribute to making us a better team.
* Freedom. We are not interested in hiring soldiers, mercenaries, or factory workers – we are looking for independent thinkers and proactive problem solvers. We will give you a charter, problems to solve, and make you the CEO of your job. But with that freedom comes…
* Expectations. Perhaps the greatest motivator toward becoming the best you can be is simply the expectation that you are going to solve very hard problems and demonstrate that people are better off because of your work. We will hold you to this, and we look forward to you creating a powerful portfolio of work that is undeniably valuable to the users you serve and the revenue you drive.
* Compensation. You will find that we will be very competitive on salary and benefits. We’ve been around for a while, and we’re not going anywhere.
**Organizational context:**
* You will be on the product team
* You will report to the Director of Data \&amp; AI
* You will work directly with a product manager
Pay Range:
**Benefits**
* Be part of a high\-performing, collaborative team, and have fun at work each day
* Competitive pay
* A full suite of traditional benefits
* Untracked PTO (Paid Time\-off)
* 401(k) with company match
* Company\-contributed HSA
* Onsite gym and standing desks
* Wellness program
* Discounted cellular plans
* Infertility Coverage
**Get to know Lendio:**
Lendio is the nation’s leading small business financial solutions provider, with a mission to help small businesses survive and thrive. With its diverse network of lenders, Lendio enables small business owners to apply for multiple business financing options with a single application. In addition to creating access to small business capital, Lendio offers time\-saving financial SaaS products that are designed to streamline business operations.
Lendio is a mission\-driven organization striving to provide equal access to capital to underserved communities and America’s smallest businesses. For every new marketplace loan Lendio facilitates, Lendio Gives—an employee\-contribution and employer\-matching fund, in partnership with KIVA–provides a microloan to low\-income entrepreneurs around the world, continuously re\-investing the fund.
Lendio is an equal opportunity employer committed to diversity and inclusion. We welcome anyone who wants to help small businesses survive and thrive and aligns with our core values, regardless of race, color, ancestry, religion, sex, national origin, sexual orientation, age, citizenship, marital status, disability, gender identity, veteran status, or other applicable legally protected characteristics. If you have a disability or special need that requires accommodation, please let us know.
Lendio participates in E\-Verify and will provide the federal government with your Form I\-9 information to confirm that you are authorized to work in the U.S.</t>
        </is>
      </c>
    </row>
    <row r="91">
      <c r="A91" t="inlineStr">
        <is>
          <t>in-aca71c973c1cea8b</t>
        </is>
      </c>
      <c r="B91" t="inlineStr">
        <is>
          <t>Data Engineer</t>
        </is>
      </c>
      <c r="C91" t="inlineStr">
        <is>
          <t>MediaRadar</t>
        </is>
      </c>
      <c r="D91" t="inlineStr">
        <is>
          <t>indeed</t>
        </is>
      </c>
      <c r="E91">
        <f>HYPERLINK("https://www.indeed.com/viewjob?jk=aca71c973c1cea8b", "https://www.indeed.com/viewjob?jk=aca71c973c1cea8b")</f>
        <v/>
      </c>
      <c r="F91">
        <f>HYPERLINK("https://apply.workable.com/j/4095409CB2", "https://apply.workable.com/j/4095409CB2")</f>
        <v/>
      </c>
      <c r="G91" t="inlineStr">
        <is>
          <t>Remote, US</t>
        </is>
      </c>
      <c r="H91" s="3" t="n">
        <v>46064</v>
      </c>
      <c r="I91" t="inlineStr">
        <is>
          <t>**About MediaRadar**
MediaRadar, An Industry Leader in Marketing Intelligence now including the data and capabilities of Vivvix, powers the mission\-critical marketing and sales decisions that drive competitive advantage. Our next\-generation marketing intelligence platform enables clients to achieve peak performance with always\-on insights that span the media, creative, and business strategies of 5 million brands across 30\+ media channels and 275 billion in media spend. By bringing the advertising past, present, and future into focus, our clients rapidly act on the competitive moves and emerging advertising trends impacting their business.
**About the Role**
We are looking for an experienced and strategic Data Engineer to join our data team. In this role, you will be responsible for building and maintaining scalable, high\-performance data solutions using **Azure Databricks, Apache Spark, AKS, Airflow, Postgres**, and modern data lakehouse architectures. You’ll play a key role in the full software development lifecycle—from design and implementation to deployment and documentation—while collaborating cross\-functionally to support analytics, reporting, and operational data needs. This is an exciting opportunity to work along with a great team of data engineers, demanding technologies and an engaging work environment to help shape our data engineering best practices.
**What You’ll Do:**
* Involve in Design, development, and maintenance of scalable ETL/ELT pipelines on Azure Databricks using Apache Spark (PySpark/Spark SQL).
* Design and implement both batch and real\-time data ingestion and transformation processes.
* Build and manage Delta Lake tables, schemas, and data models to support efficient querying and analytics.
* Consolidate and process large\-scale datasets from various structured and semi\-structured sources (e.g., JSON, Parquet, Avro).
* Write optimized SQL queries for large datasets using Spark SQL and PostgreSQL.
* Develop, schedule, and monitor workflows using Databricks Workflows, Airflow or similar orchestration tools.
* Design, build, and deploy cloud\-native, containerized applications on Azure Kubernetes Service (AKS) and integrate with Azure services.
* Ensure data quality, governance, and compliance through validation, documentation, and secure practices.
* Collaborate with data analysts, data architects, and business stakeholders to translate requirements into technical solutions.
* Contribute to and enforce best practices in data engineering, including version control (Git), CI/CD pipelines, and coding standards.
* Continuously enhance data systems for improved performance, reliability, and scalability.
* Mentor junior engineers and help evolve team practices and documentation.
* Stay up to date on emerging trends, technologies, and best practices in the data engineering space.
* Work effectively within an agile, cross\-functional project team.
**Requirements**
**What You’ve Done: (Preferred Skillset and Qualifications)**
* A Bachelor’s degree (or equivalent) in computer science, information technology, engineering, or related discipline.
* Minimum 5\+ years of experience working as a Data Engineering.
* Minimum 3\-5 years of experience in Azure Databricks.
* Proven experience as a Data Engineer, with a strong focus on Azure Databricks and Apache Spark.
* Proficiency in Python, PySpark, Spark SQL, and working with large\-scale datasets in different data formats.
* Strong experience designing and building ETL/ELT workflows in both batch and streaming environments.
* Solid understanding of data lakehouse architectures and Delta Lake.
* Experience in Azure Kubernetes Service (AKS) is desired.
* Proficient in SQL and experience with PostgreSQL or similar relational databases.
* Experience with workflow orchestration tools (e.g., Databricks Workflows, Airflow, Azure Data Factory).
* Familiarity with data governance, quality control, and security best practices.
* Strong problem\-solving skills and attention to detail.
* Excellent communication and collaboration skills, with a track record of working cross\-functionally.
* Comfortable working in agile development environments and using tools like Git, CI/CD, and issue trackers (e.g., Jira).
**Benefits**
In addition to career progression, training and development, and an excellent work/life balance, future Radarians can expect a great benefits package that includes:
* Medical, Dental \&amp; Vision Insurance
* 401k with Company Match
* Flexible PTO
* Commuter Benefits
* Gym Discounts
* Summer Fridays
At MediaRadar, we are committed to creating an inclusive and accessible workplace where everyone can thrive. We believe that diversity of backgrounds, perspectives, and experiences makes us stronger and more innovative. We are proud to be an Equal Opportunity Employer and make employment decisions without regard to race, color, religion, sex (including pregnancy, sexual orientation, or gender identity), national origin, age, disability, genetic information, or any other legally protected status.
In accordance with the EEO\-1 reporting requirements, we collect demographic data as part of our efforts to ensure fair and equitable hiring practices across all levels of our organization.
We are committed to ensuring our recruitment process is accessible to all applicants. If you need a reasonable accommodation during the application or interview process, please contact us at careers@mediaradar.com .
We’re excited to meet people who share our values and want to build the future with us!</t>
        </is>
      </c>
    </row>
    <row r="92">
      <c r="A92" t="inlineStr">
        <is>
          <t>in-091c953c5061e0a2</t>
        </is>
      </c>
      <c r="B92" t="inlineStr">
        <is>
          <t>Sr. Analytics Engineer</t>
        </is>
      </c>
      <c r="C92" t="inlineStr">
        <is>
          <t>Tesla</t>
        </is>
      </c>
      <c r="D92" t="inlineStr">
        <is>
          <t>indeed</t>
        </is>
      </c>
      <c r="E92">
        <f>HYPERLINK("https://www.indeed.com/viewjob?jk=091c953c5061e0a2", "https://www.indeed.com/viewjob?jk=091c953c5061e0a2")</f>
        <v/>
      </c>
      <c r="F92">
        <f>HYPERLINK("https://www.tesla.com/careers/search/job/262613?source=Indeed", "https://www.tesla.com/careers/search/job/262613?source=Indeed")</f>
        <v/>
      </c>
      <c r="G92" t="inlineStr">
        <is>
          <t>Fremont, CA, US</t>
        </is>
      </c>
      <c r="H92" s="3" t="n">
        <v>46064</v>
      </c>
      <c r="I92" t="inlineStr">
        <is>
          <t>**What to Expect**
We are seeking a skilled and collaborative Sr. Analytics Engineer to join our team. In this role, you will lead the development of data pipelines, data warehousing, and reporting infrastructure to support the growth of Field Quality and Remanufacturing team.
As a key member of our team, you will design, build, and maintain large\-scale data systems to combine data from various data sources, including deployed fleets, internal applications, and other data warehouses. Your work will contribute to our understanding of key business performance indicators, informing data\-driven decisions to optimize our strategies and drive decision making for all our hardware products.
You will be responsible for leading the development of data efforts that will feed into the work of downstream data analytics that will address the bookkeeping of our product genesis, usage, service and replacement cycles across our growing fleet of energy products. You will work closely with cross\-functional teams, including Industrial Energy, Residential Energy, and Solar Product and Service Engineering, to maximize product health of our fleet.
 **What You'll Do*** Design and implement automated data solutions to support various business teams such as Manufacturing, Field Quality and Remanufacturing
* Design and implement robust data storage and management systems, leveraging relational databases, NoSQL databases, and graph databases to support diverse data needs
* Work effectively with engineers and conducting end\-to\-end analyses, from data requirement gathering, to data processing and modeling
* Analyze service and vehicle data to extract actionable insights, identify field failure trends, and drive product improvements
* Write, maintain and optimize scripts, processes and jobs that will be used by analytics and reporting solutions
* Architect and implement data pipelines and automation systems to streamline data retrieval, processing, analysis, and visualization, ensuring efficient handling of batch and real time data
* Design and refine data models by following best practices and techniques using most effective approaches for reporting and analytics such as star schema
* Identify slow\-running processes and bottlenecks, troubleshoot problems, research and resolve issues
* Stay up to date with latest trends in data engineering, experiment with new tools, services, technologies and real\-time processing frameworks
* Set high technical bar not just for yourself but for entire team, leading by example in coding standards, documentation and best practices
 **What You'll Bring*** 5\+ years of experience with a focusing on providing automations and data solutions
* Deep SQL expertise and very good understanding of relational databases (SQL Server, MySQL, Oracle, Vertica, etc.)
* Experience in data warehousing, including data modeling (dimensional/star/snowflake), large\-scale data processing and enterprise warehouse design and maintenance
* Solid understanding of large language models (LLMs) and their application in enterprise solutions
* Python proficiency with experience improving, refactoring, and building efficient data pipelines and API
* Ability to design and maintain CI/CD pipelines, ensuring reliable and scalable deployments
* Proficiency with Docker, Git, and modern engineering best practices
* Experience delivering insights with data visualization and reporting tools such as Tableau, Power BI, Looker, etc.
* Familiarity with distributed systems (Kafka, Spark, Iceberg) and NoSQL/document databases (MongoDB)
* Expertise in scalable ETL and data pipelines and tools such as (SSIS, Informatica, Airflow, Luigi or similar)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$120,000 \- $216,000/annual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93">
      <c r="A93" t="inlineStr">
        <is>
          <t>in-0e560b1e69bd5347</t>
        </is>
      </c>
      <c r="B93" t="inlineStr">
        <is>
          <t>Data Engineer, PAR</t>
        </is>
      </c>
      <c r="C93" t="inlineStr">
        <is>
          <t>Meta</t>
        </is>
      </c>
      <c r="D93" t="inlineStr">
        <is>
          <t>indeed</t>
        </is>
      </c>
      <c r="E93">
        <f>HYPERLINK("https://www.indeed.com/viewjob?jk=0e560b1e69bd5347", "https://www.indeed.com/viewjob?jk=0e560b1e69bd5347")</f>
        <v/>
      </c>
      <c r="F93">
        <f>HYPERLINK("https://jsv3.recruitics.com/redirect?rx_cid=3239&amp;rx_jobId=a1KDp00000CZLz2MAH&amp;rx_url=https%3A%2F%2Fwww.metacareers.com%2Fjobs%2F1241314341504729%2F%3Frx_campaign%3Dindeed0%26rx_ch%3Dvp%26rx_group%3D187943%26rx_id%3D57b04d27-0825-11f1-82ee-b9a72b2cb260%26rx_job%3Da1KDp00000CZLz2MAH%26rx_medium%3Dcpc%26rx_r%3Dnone%26rx_source%3Dindeed%26rx_ts%3D20260213T001206Z%26rx_vp%3Dcpc%26utm_campaign%3DJob%252Bboard%26utm_medium%3Djobs%26utm_source%3Dindeedorganic", "https://jsv3.recruitics.com/redirect?rx_cid=3239&amp;rx_jobId=a1KDp00000CZLz2MAH&amp;rx_url=https%3A%2F%2Fwww.metacareers.com%2Fjobs%2F1241314341504729%2F%3Frx_campaign%3Dindeed0%26rx_ch%3Dvp%26rx_group%3D187943%26rx_id%3D57b04d27-0825-11f1-82ee-b9a72b2cb260%26rx_job%3Da1KDp00000CZLz2MAH%26rx_medium%3Dcpc%26rx_r%3Dnone%26rx_source%3Dindeed%26rx_ts%3D20260213T001206Z%26rx_vp%3Dcpc%26utm_campaign%3DJob%252Bboard%26utm_medium%3Djobs%26utm_source%3Dindeedorganic")</f>
        <v/>
      </c>
      <c r="G93" t="inlineStr">
        <is>
          <t>Menlo Park, CA, US</t>
        </is>
      </c>
      <c r="H93" s="3" t="n">
        <v>46062</v>
      </c>
      <c r="I93"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Engineer to join our PAR organization where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 **Data Engineer, PAR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 **Minimum Qualifications:**
* 4\+ years of experience with SQL, ETL, data modeling, and at least one programming language (e.g., Python, C\+\+, C\#, Scala, etc.)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li-4350839863</t>
        </is>
      </c>
      <c r="B2" t="inlineStr">
        <is>
          <t>Data Engineer</t>
        </is>
      </c>
      <c r="C2" t="inlineStr">
        <is>
          <t>Lazard</t>
        </is>
      </c>
      <c r="D2" t="inlineStr">
        <is>
          <t>linkedin</t>
        </is>
      </c>
      <c r="E2" t="inlineStr"/>
      <c r="F2" t="inlineStr"/>
      <c r="G2" t="inlineStr">
        <is>
          <t>New York, United States</t>
        </is>
      </c>
      <c r="H2" t="inlineStr"/>
      <c r="I2" t="inlineStr">
        <is>
          <t>Americas
 Corporate
 New York
 Lazard is one of the world’s preeminent financial advisory and asset management firms.
 **Our people and culture make the difference** 
 . While global in presence and reach, ours is a close, collaborative community of just over 3,000 professionals. Lazard is a place of continuous knowledge sharing, skill development and relationship building, where professionals grow and succeed together. Our entrepreneurial culture, flat structure and embrace of individual differences, allow creative ideas, original concepts, and unique perspectives to drive our business forward — and for careers to take flight.
 The Lazard Data Analytics Group, composed of data scientists, AI engineers, and software engineers, drives innovation by developing advanced AI and data science solutions that enhance decision\-making across our financial advisory and asset management business lines. This team ensures Lazard stays at the forefront of a data\-driven world, delivering insights that support client engagements and strengthen key partnerships, while keeping the firm competitive and efficient in an evolving financial landscape.
 As a Data Engineer, you’ll lead efforts to onboard and model datasets on modern cloud data platforms, delivering reliable pipelines and high\-quality data layers that serve analytics, reporting, and ML/AI workloads.
**We’ll trust you to:**
* Ingest and model data from APIs, files/SFTP, and relational sources; implement layered architectures (raw/clean/serving) using PySpark/SQL and dbt, Python.
* Design and operate pipelines with Prefect (or Airflow), including scheduling, retries, parameterization, SLAs, and well‑documented runbooks.
* Build on cloud data platforms, leveraging S3/ADLS/GCS for storage and a Spark platform (e.g., Databricks or equivalent) for compute; manage jobs, secrets, and access.
* Publish governed data services and manage their lifecycle with Azure API Management (APIM) — authentication/authorization, policies, versioning, quotas, and monitoring.
* Enforce data quality and governance through data contracts, validations/tests, lineage, observability, and proactive alerting.
* Optimize performance and cost via partitioning, clustering, query tuning, job sizing, and workload management.
* Uphold security and compliance (e.g., PII handling, encryption, masking) in line with firm standards.
* Collaborate with stakeholders (analytics, AI engineering, and business teams) to translate requirements into reliable, production‑ready datasets.
* Enable AI/LLM use cases by packaging datasets and metadata for downstream consumption, integrating via Model Context Protocol (MCP) where appropriate.
* Continuously improve platform reliability and developer productivity by automating routine tasks, reducing technical debt, and maintaining clear documentation.
**You’ll need to have:**
* Bachelor’s or advanced degree in Computer Science, Data Engineering, or a related field.
* 4–15 years of professional data engineering experience.
* Strong Python, SQL, and Spark (PySpark) skills, and/or Kafka.
* Snowflake (Snowpipe, Tasks, Streams) as a complementary warehouse.
* Databricks (Delta formats, workflows, cataloging) or equivalent Spark platforms.
* Hands\-on experience building ETL/ELT with Prefect (or Airflow), dbt, Spark, and/or Kafka.
* Experience onboarding datasets to cloud data platforms (storage, compute, security, governance).
* Familiarity with Azure/AWS/GCP data services (e.g., S3/ADLS/GCS; Redshift/BigQuery; Glue/ADF).
* Git\-based workflows CI/CD and containerization with Docker (Kubernetes a plus).
**It is a bonus to have:**
* Advanced APIM practices (custom policies, OAuth2/JWT, mTLS, private endpoints) and Azure AD integration.
* Integrating datasets into MCP tools/providers for LLM/agent applications; familiarity with frameworks such as LangChain or LlamaIndex.
* Data observability/quality tools (e.g., Great Expectations, Monte Carlo, Datafold) and strong lineage practices.
* Exposure to financial datasets and controls (PII handling, encryption, masking).
**What we offer:**
 We strive to enhance the total health and well\-being of our employees through comprehensive, competitive benefits. Our goal is to offer a highly individualized employee experience that enables you to balance your commitments to career, family, and community. When you work for Lazard, you are working for an organization that cares about your unique talents and passions and will continue to invest in the development of your career.
 We expect the base salary range for this role to be approximately $140,000 – $180,000 USD. Various factors contribute to determining the actual base compensation offered, including but not limited to the applicant’s years of relevant experience, career tenure, qualifications, level of education attained, certifications or other professional licenses held, relevant skills for the role. Base salary is one component of Lazard’s compensation package, which also includes comprehensive benefits and may include incentive compensation.
**Does this sound like you?**
 Apply! We'll get in touch and let you know the next steps.
**Representation at Lazard**
 Lazard is an intellectual capital business committed to delivering the best advice and solutions to clients. To achieve these objectives, we focus on attracting, developing and retaining the best talent. We believe that a workforce comprised of people who represent a wide array of backgrounds, experiences and perspectives creates a rich variety of thought that empowers us to challenge conventional wisdom, solve problems creatively and make better decisions.
 Lazard was built on the premise that a multicultural firm can best serve a global clientele. As a global firm that has grown organically from local roots in different countries, we have a deep tradition of respecting and appreciating individual differences. Doing so has been core to our success for over 175 years. We are committed to sustaining an environment where every colleague is supported in their professional pursuits, can maximize their individual potential and contribute to our collective success.</t>
        </is>
      </c>
    </row>
    <row r="3">
      <c r="A3" t="inlineStr">
        <is>
          <t>li-4371509679</t>
        </is>
      </c>
      <c r="B3" t="inlineStr">
        <is>
          <t>Data Engineer</t>
        </is>
      </c>
      <c r="C3" t="inlineStr">
        <is>
          <t>AARATECH</t>
        </is>
      </c>
      <c r="D3" t="inlineStr">
        <is>
          <t>linkedin</t>
        </is>
      </c>
      <c r="E3" t="inlineStr"/>
      <c r="F3" t="inlineStr"/>
      <c r="G3" t="inlineStr"/>
      <c r="H3" t="inlineStr"/>
      <c r="I3"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4">
      <c r="A4" t="inlineStr">
        <is>
          <t>li-4326810103</t>
        </is>
      </c>
      <c r="B4" t="inlineStr">
        <is>
          <t>Data Analytics Engineer</t>
        </is>
      </c>
      <c r="C4" t="inlineStr">
        <is>
          <t>EquipmentShare</t>
        </is>
      </c>
      <c r="D4" t="inlineStr">
        <is>
          <t>linkedin</t>
        </is>
      </c>
      <c r="E4" t="inlineStr"/>
      <c r="F4" t="inlineStr"/>
      <c r="G4" t="inlineStr">
        <is>
          <t>Columbia, MO</t>
        </is>
      </c>
      <c r="H4" t="inlineStr"/>
      <c r="I4" t="inlineStr">
        <is>
          <t>**Build the Future with Us —** 
 EquipmentShare is Hiring a Data Analytics Engineer
 At EquipmentShare, we’re not just filling a role —
 **we’re assembling the best team on the planet to build something that’s never been built before** 
 . We’re on a mission to transform an industry that’s been stuck in the past by empowering contractors and communities through innovative technology, real\-time support, and a team that truly cares.
 We’re hiring a
 **Data Analytics Engineer** 
 to support our Corporate HQ
 **Columbia, MO** 
 and we’re looking for someone who’s ready to grow with us, bring energy and drive to their work, and help us build the future of construction. The Data Analytics Engineer \- Financial Analytics is a pivotal role responsible for architecting and managing sophisticated data infrastructure to empower financial analytics and business intelligence. This position involves designing scalable data pipelines, integrating complex financial datasets, and ensuring high\-quality data availability for advanced analytics, reporting, and strategic decision\-making. The ideal candidate will thrive in a dynamic environment, leveraging cutting\-edge technologies to handle large\-scale, time\-sensitive financial data while maintaining strict adherence to regulatory and compliance standards. This position is fully remote.
**Primary Responsibilities**
* Develop and manage data pipelines using SQL and Python that extract data from various sources and transform it according to business rules
* Create/update data models in dbt to ensure scalable, robust data solutions
* Convert business needs into technical specifications and establish a timetable for job completion
* Create, test, and deploy changes
* Continuously monitor, improve, and proactively identify potential issues to improve the data pipelines and ETLs
**Why EquipmentShare?**
 Because we do things differently — and we think you’ll feel it from day one. We’re a people\-first company powered by cutting\-edge technology. That means our proprietary T3 platform doesn’t just run our business — it also makes your job easier, safer, and more connected. Whether you’re behind the wheel, under the hood, leading a branch, or closing deals — tech supports
 *you* 
 , and you drive
 *us* 
 forward.
 We’re a team of problem\-solvers, go\-getters, and builders. And we’re looking for teammates who take pride in doing meaningful work and want to be part of
 **building something special** 
 .
**Perks \&amp; Benefits**
* Competitive compensation
* Full medical, dental, and vision coverage for full\-time employees
* Generous PTO \+ paid holidays
* 401(k) \+ company match
* Gym membership stipend \+ wellness programs (earn PTO and prizes!)
* Company events and food truck nights
* 16 hours of paid volunteer time per year — give back to the community you call home
* Career advancement, leadership training, and professional development opportunities
**About You**
 You want to be part of a team that’s not just changing an industry for the sake of change — we’re transforming it to make it safer, more secure, and more productive. You bring grit, heart, and humility to your work, and you’re excited about the opportunity to grow within a fast\-paced, mission\-driven environment.
**We’re Looking For People Who**
* See challenges as opportunities
* Embrace change and continuous improvement
* Bring energy, effort, and optimism every day
**Skills \&amp; Qualifications**
**Minimum qualifications**
* At least 5\+ years of SQL experience, creating complex SQL solutions to business problems
* At least 5\+ years of Python experience, creating scalable processes to solve business problems
* At least 3\+ years of experience data modeling
* Experienced with dbt
* Experience working with git
* Experience working in the AWS landscape with AWS products
* Desire to thrive in a high\-paced environment
* Strong ability to adapt and be flexible within the scope of a given project as vision, priorities, and timelines shift
**Preferred Qualifications**
* Experience working with confidential data within departments like Finance or Accounting
**Education And Experience**
* High School Diploma or Equivalent Education or Experience required
**Physical Requirements**
* Must be able to sit for prolonged periods at a desk and work on a computer
**A Workplace For All**
 At EquipmentShare, we believe the best solutions come from a team that reflects the world around us. Our initiative —
 *A Workplace For All* 
 — is rooted in the belief that we must work together to solve some of the toughest problems in construction. That means attracting, developing, and retaining great people from all walks of life.
 We value different backgrounds, talents, and perspectives. We want you to feel like you belong here — because you do.
**EquipmentShare is an EOE M/F/D/V.**</t>
        </is>
      </c>
    </row>
    <row r="5">
      <c r="A5" t="inlineStr">
        <is>
          <t>li-4371844390</t>
        </is>
      </c>
      <c r="B5" t="inlineStr">
        <is>
          <t>Data Engineer</t>
        </is>
      </c>
      <c r="C5" t="inlineStr">
        <is>
          <t>Artera</t>
        </is>
      </c>
      <c r="D5" t="inlineStr">
        <is>
          <t>linkedin</t>
        </is>
      </c>
      <c r="E5" t="inlineStr"/>
      <c r="F5" t="inlineStr"/>
      <c r="G5" t="inlineStr"/>
      <c r="H5" t="inlineStr"/>
      <c r="I5" t="inlineStr">
        <is>
          <t>**About The Company**
 Artera is a forward\-thinking technology company dedicated to developing innovative data solutions that drive business growth and operational excellence. Our mission is to build robust, scalable, and efficient data infrastructure that empowers our internal teams and external clients with high\-quality, actionable insights. With a focus on cutting\-edge technologies and industry best practices, Artera strives to stay at the forefront of data engineering and cloud computing, fostering a collaborative environment that encourages continuous learning and development. Our commitment to diversity, inclusion, and employee well\-being makes Artera a dynamic workplace where talent can thrive and make a meaningful impact.
**About The Role**
 We are seeking a highly skilled and motivated Staff Data Engineer to join our team at Artera. This critical role involves maintaining and enhancing our data infrastructure to ensure high performance, reliability, and scalability. As a key player in our data team, you will be responsible for designing, implementing, and optimizing data pipelines and workflows that support our analytics and operational needs. Reporting directly to the Engineering VP overseeing the foundations engineering team, you will have the opportunity to influence strategic decisions regarding tools, architecture, and best practices in data management. Your expertise will help ensure the seamless flow of data across our platform, enabling our teams and clients to derive valuable insights efficiently. This role also provides a unique chance to lead high\-impact projects, especially in emerging areas like agentic AI and MCP servers, contributing to the company's long\-term technological vision.
**Qualifications**
* Bachelor’s Degree in STEM fields (Science, Technology, Engineering, Mathematics) preferred; equivalent experience accepted
* Proven experience with Kubernetes and Cloud infrastructure, preferably AWS
* Strong proficiency in Python and SQL for data processing
* Experience with orchestration tools such as Apache Airflow
* Understanding of performance optimization and cost\-efficiency in Snowflake
* Knowledge of event\-sourced and microservice architecture
* Familiarity with ES/TypeScript
* Experience working with asynchronous requests in large\-scale applications
* Commitment to testing best practices
* Ability to collaborate effectively in cross\-functional teams
* Strong problem\-solving skills with a proactive, solution\-oriented mindset
**Responsibilities**
* Maintain and continually improve Artera's data infrastructure to ensure optimal performance and reliability
* Lead strategic decision\-making regarding the selection and implementation of data tools and technologies
* Design, develop, and refine data pipelines to facilitate efficient data flow across systems
* Manage daily operations of the data platform, swiftly troubleshooting and resolving data\-related issues
* Collaborate with cross\-functional teams to gather new data requirements and optimize existing processes
* Mentor junior engineers, providing guidance and support on complex projects and best practices
* Contribute to platform innovation by identifying opportunities for improvement and implementing solutions
* Stay current with industry trends, emerging technologies, and best practices in data infrastructure and cloud computing
* Ensure consistent and dependable data delivery to stakeholders, meeting or exceeding service level agreements
* Monitor and oversee data processes such as recalls, message delivery, and reporting functions
* Proactively enhance the stability and performance of the data architecture for team implementations
**Benefits**
* Full health benefits including medical, dental, and vision coverage
* Flexible spending accounts and company\-paid life insurance
* Company\-paid short\-term and long\-term disability insurance
* Equity participation and stock options
* 401(k) retirement plan with company matching
* Generous paid time off, including holidays, winter and summer breaks, and flexible leave policies
* Employee Resource Groups (ERGs) to foster inclusion and community
* Opportunities for career development through manager cohorts and employee development funds
* Hybrid work environment with flexible in\-office and remote work arrangements
 Equal Opportunity
 Artera is an Equal Opportunity Employer committed to fostering an inclusive and diverse workplace. We make employment decisions based on individual qualifications, skills, and business needs without regard to race, color, religion, gender, sexual orientation, national origin, age, disability, genetics, or any other protected status. We are dedicated to providing a work environment free from discrimination and harassment and offer reasonable accommodations to qualified applicants and employees in accordance with applicable laws.</t>
        </is>
      </c>
    </row>
    <row r="6">
      <c r="A6" t="inlineStr">
        <is>
          <t>li-4371831727</t>
        </is>
      </c>
      <c r="B6" t="inlineStr">
        <is>
          <t>Data Engineer, Sr.</t>
        </is>
      </c>
      <c r="C6" t="inlineStr">
        <is>
          <t>Sharecare</t>
        </is>
      </c>
      <c r="D6" t="inlineStr">
        <is>
          <t>linkedin</t>
        </is>
      </c>
      <c r="E6" t="inlineStr"/>
      <c r="F6" t="inlineStr"/>
      <c r="G6" t="inlineStr"/>
      <c r="H6" t="inlineStr"/>
      <c r="I6" t="inlineStr">
        <is>
          <t>**About The Company**
 Sharecare is a leading digital healthcare company dedicated to transforming the healthcare experience through innovative technology and data\-driven solutions. Our platform integrates a wide array of services and resources designed to improve care quality, enhance patient outcomes, and reduce healthcare costs. By leveraging advanced AI insights, evidence\-based resources, and comprehensive health management tools, Sharecare empowers individuals to manage their health more effectively and efficiently. Our solutions span across various stakeholders in the healthcare ecosystem, including health plan sponsors, health systems, physician practices, and pharmaceutical brands. Committed to continuous innovation and excellence, Sharecare strives to deliver personalized, scalable, and secure healthcare solutions that meet the evolving needs of our clients and users.
**About The Role**
 We are seeking a highly skilled Senior Data Engineer to join our dynamic team. In this role, you will be instrumental in designing, developing, and maintaining our next\-generation data platform that supports high\-profile partners and customers. You will work closely with cross\-functional teams—including Product, Account Management, QA, Analytics, and Architecture—to deliver scalable, reliable, and secure data solutions that drive impactful health insights. This position offers a unique opportunity to contribute to groundbreaking projects within the health information and digital health sectors, operating in a fast\-paced, agile environment. The ideal candidate should possess a strong technical background in Python\-based data engineering, cloud\-native architectures, and modern orchestration frameworks. A self\-driven, analytical mindset with attention to detail is essential to succeed in this high\-impact role.
**Qualifications**
* Bachelor’s degree or higher in Computer Science, Data Engineering, or a related field
* 10\+ years of experience in data engineering or related roles
* Proficiency in Python and libraries such as Pandas, SQLAlchemy, Boto3, Paramiko, Flask, FastAPI
* Advanced SQL skills, with experience analyzing healthcare datasets (claims, provider directories)
* Hands\-on experience with orchestration tools like Apache Airflow and Databricks Workflows
* Strong expertise with Apache Spark; familiarity with Apache Flink is a plus
* Experience integrating with .NET applications and working with SQL Server
* Cloud platform experience (AWS, Azure, or GCP)
* Experience with data warehousing solutions such as Amazon Redshift or Vertica
* Understanding of distributed systems and functional programming concepts
* Proficiency with Git and modern CI/CD practices
* Exposure to streaming technologies, containerization, and ML pipelines is preferred
* Familiarity with AI tools and large language models is a plus
**Responsibilities**
* Design, build, and maintain scalable data pipelines utilizing Python, Apache Airflow, and Apache Spark
* Analyze business and technical requirements, translating them into reliable, scalable data solutions
* Develop, validate, deploy, and support complex ETL/ELT pipelines at enterprise scale
* Create secure, maintainable REST APIs adhering to company standards
* Implement real\-time and batch processing solutions across diverse data sources
* Develop reusable data engineering and AI frameworks for enterprise\-wide adoption
* Define and manage source of truth data models ensuring scalability and data lineage integrity
* Implement data governance practices, automate data quality checks, and facilitate pipeline testing
* Optimize data infrastructure for performance, cost\-efficiency, and reliability
* Manage source control, CI/CD pipelines, and oversee production deployments
* Collaborate with data scientists and analysts to support AI/ML initiatives
**Benefits**
* Competitive salary package
* Health, dental, and vision insurance plans
* Retirement savings plans with company match
* Flexible work arrangements and remote work options
* Professional development opportunities and continuous learning support
* Generous paid time off and holidays
* Inclusive and diverse work environment
 Equal Opportunity
 Sharecare and its subsidiaries are Equal Opportunity Employers and E\-Verify users. We are committed to fostering an inclusive environment where all qualified applicants receive consideration for employment without regard to race, color, sex, national origin, sexual orientation, gender identity, religion, age, disability, genetic information, protected veteran status, or any other legally protected status. We believe in diversity and equal opportunity for everyone and do not discriminate based on non\-merit factors.</t>
        </is>
      </c>
    </row>
    <row r="7">
      <c r="A7" t="inlineStr">
        <is>
          <t>li-4371883481</t>
        </is>
      </c>
      <c r="B7" t="inlineStr">
        <is>
          <t>Data Engineer</t>
        </is>
      </c>
      <c r="C7" t="inlineStr">
        <is>
          <t>Olio</t>
        </is>
      </c>
      <c r="D7" t="inlineStr">
        <is>
          <t>linkedin</t>
        </is>
      </c>
      <c r="E7" t="inlineStr"/>
      <c r="F7" t="inlineStr"/>
      <c r="G7" t="inlineStr"/>
      <c r="H7" t="inlineStr"/>
      <c r="I7" t="inlineStr">
        <is>
          <t>**Data Engineer (Analytics\-focused)** 
 At Olio, our core focus is to make healthcare clinicians’ lives simpler and more productive by creating software that connects siloed clinical teams. We’re proud of the fact that our customers love our product, and that our work has a measurable positive impact on the lives of their patients. We’re growing fast and looking to add a Data Engineer to our team.
**What We’re Looking For** 
 We’re looking for a Data Engineer who loves turning messy, real\-world healthcare data into clean, reliable assets that power analytics and decision\-making across Olio. You’ll own the pipelines and models that move data from our operational systems into our warehouse, making it easy for teams to answer questions with trusted, consistent metrics. You enjoy partnering directly with stakeholders to understand their reporting needs, translating them into scalable data solutions and intuitive dashboards. You are comfortable working in cloud environments (ideally AWS), writing performant SQL, and using modern ELT/ETL patterns and data engineering frameworks. You care deeply about data quality, monitor your jobs proactively, and can balance long\-term platform improvements with short\-term ad\-hoc requests. Experience with tools like Tableau or Power BI and prior exposure to healthcare or health\-tech environments is preferred.
**What We Provide** 
*A high\-performing team* 
 . We set ambitious but reasonable goals and work together to make sure we achieve them. Delivering consistent, high\-quality products to our users is our number one priority.
*A supportive environment.* 
 We value open communication and make efforts to practice consistently giving and receiving feedback. We welcome diverse ideas and seek input from all team members.
*Room to grow.* 
 We believe strongly in investing in our people. Opportunities for learning and development abound through design discussions, support for continued learning, one on one meetings with leadership, and more.
**Qualifications** 
* Bachelor’s degree in Computer Science, Data Science, Information Systems, or related field.
* 4\+ years of hands\-on experience engineering data pipelines and data platforms.
* Demonstrated experience building and maintaining cloud\-based data solutions in AWS (or comparable cloud environments).
* Solid SQL skills for data transformation, optimization, and downstream consumption.
* Practical, hands\-on exposure to data lakes, data marts, and data warehouses, data pipelines and orchestration, and modern ELT/ETL patterns.
* Strong coding ability using modern data engineering tools and frameworks.
* Clear communication skills and the ability to collaborate effectively within cross\-functional teams.
* Proficiency with Tableau, Power BI, or similar data visualization platforms.
* General healthcare industry knowledge and/or health\-tech experience preferred.
* Located in or around Indianapolis, IN.
**Job Requirements** 
**Data Engineering Foundations** 
* Design and maintain pipelines to ingest, clean, and transform data from operational systems, files, and APIs into a central database or warehouse.
* Model and organize data (tables, views, marts) so it is efficient, consistent, and easy to query for reporting.
* Monitor pipelines and data quality, fix failures quickly, and ensure the data is timely and reliable for business use.
**Reporting and BI Responsibilities** 
* Build core dashboards and recurring reports in tools like Power BI, Tableau, or similar, using the warehouse as the single source of truth.
* Define and standardize key metrics so reports across the company show consistent numbers.
* Create simplified views or data marts for self\-service reporting, so less technical users can build their own slices without breaking performance or logic.
**Cross\-functional Work** 
* Work directly with stakeholders to gather requirements, prioritize which reports and data sources matter most, and iterate on dashboards based on feedback.
* Educate and support colleagues on how to use the reports and basic data tools.
* Balance time between infrastructure improvements and ad\-hoc reporting needs.
**Benefits and Compensation** 
* Competitive salary
* Significant opportunities for career advancement
* Flexible schedule and vacation policy
* Parental leave for birthing / non\-birthing parents
* Convenient, modern office location \-
 ***only onsite***
* Health/dental/vision insurance
* STD/LTD/Life coverage
* 401k
*Please note Olio is unable to sponsor or assume sponsorship of employment visas at this time.*</t>
        </is>
      </c>
    </row>
    <row r="8">
      <c r="A8" t="inlineStr">
        <is>
          <t>li-4371506704</t>
        </is>
      </c>
      <c r="B8" t="inlineStr">
        <is>
          <t>Data Engineer</t>
        </is>
      </c>
      <c r="C8" t="inlineStr">
        <is>
          <t>AARATECH</t>
        </is>
      </c>
      <c r="D8" t="inlineStr">
        <is>
          <t>linkedin</t>
        </is>
      </c>
      <c r="E8" t="inlineStr"/>
      <c r="F8" t="inlineStr"/>
      <c r="G8" t="inlineStr"/>
      <c r="H8" t="inlineStr"/>
      <c r="I8"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9">
      <c r="A9" t="inlineStr">
        <is>
          <t>li-4371512600</t>
        </is>
      </c>
      <c r="B9" t="inlineStr">
        <is>
          <t>Data Engineer</t>
        </is>
      </c>
      <c r="C9" t="inlineStr">
        <is>
          <t>AARATECH</t>
        </is>
      </c>
      <c r="D9" t="inlineStr">
        <is>
          <t>linkedin</t>
        </is>
      </c>
      <c r="E9" t="inlineStr"/>
      <c r="F9" t="inlineStr"/>
      <c r="G9" t="inlineStr"/>
      <c r="H9" t="inlineStr"/>
      <c r="I9"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0">
      <c r="A10" t="inlineStr">
        <is>
          <t>li-4371386699</t>
        </is>
      </c>
      <c r="B10" t="inlineStr">
        <is>
          <t>Data Engineer</t>
        </is>
      </c>
      <c r="C10" t="inlineStr">
        <is>
          <t>Merit Financial Advisors</t>
        </is>
      </c>
      <c r="D10" t="inlineStr">
        <is>
          <t>linkedin</t>
        </is>
      </c>
      <c r="E10" t="inlineStr"/>
      <c r="F10" t="inlineStr"/>
      <c r="G10" t="inlineStr">
        <is>
          <t>Alpharetta, GA</t>
        </is>
      </c>
      <c r="H10" t="inlineStr"/>
      <c r="I10" t="inlineStr">
        <is>
          <t>Position Overview
 The Data Engineer is a core contributor to Merit’s technology and data modernization strategy, responsible for building the pipelines, data models, and governed data infrastructure that power analytics, reporting, compliance, and operational efficiency across the firm. This role unifies data from custodians, financial planning platforms, CRM systems, and internal applications into reliable, scalable pipelines while ensuring accuracy, security, and adherence to regulatory standards.
 Key Responsibilities
* Design, build, and maintain scalable ETL/ELT pipelines to collect and process data from custodians, planning platforms (Orion, eMoney, Tamarac), CRM systems (Salesforce), and internal systems.
* Ensure the accuracy, timeliness, and consistency of data across platforms.
* Collaborate with product, compliance, operations, and investment teams to deliver actionable insights through data solutions.
* Implement and maintain data models, warehouses, and APIs supporting reporting, analytics, and compliance audits.
* Partner with compliance to enforce data governance, privacy, and retention standards in accordance with SEC and industry requirements.
* Automate recurring data tasks and develop monitoring tools to ensure pipeline health.
* Support ad hoc data analysis and reporting requests.
**Qualifications**
* Experience designing and maintaining ETL/ELT pipelines.
* Proficiency with SQL and modern data stack tools.
* Experience with APIs, data modeling, and warehouse architectures.
* Strong understanding of data governance and compliance requirements.
* Excellent problemsolving and communication skills.
**Preferred Skills**
* Experience in financial services or regulated industries.
* Familiarity with cloud data platforms and workflow automation.
* Experience supporting crossfunctional analytics and reporting teams.
 Employment Type: Full Time
 Years Experience: 3 \- 5 years
 Salary: $75,000 \- $130,000 Annual
 Bonus/Commission: No</t>
        </is>
      </c>
    </row>
    <row r="11">
      <c r="A11" t="inlineStr">
        <is>
          <t>li-4332873471</t>
        </is>
      </c>
      <c r="B11" t="inlineStr">
        <is>
          <t>Data Engineer II</t>
        </is>
      </c>
      <c r="C11" t="inlineStr">
        <is>
          <t>Bestow</t>
        </is>
      </c>
      <c r="D11" t="inlineStr">
        <is>
          <t>linkedin</t>
        </is>
      </c>
      <c r="E11" t="inlineStr"/>
      <c r="F11" t="inlineStr"/>
      <c r="G11" t="inlineStr"/>
      <c r="H11" t="inlineStr"/>
      <c r="I11" t="inlineStr">
        <is>
          <t>**About Bestow**
 Life insurance is one of the world's most important products. It's also one of the hardest to build, distribute, and modernize. Bestow exists to change that.
 Bestow is a leading vertical technology platform serving some of the largest and most innovative life insurers. Our platform unifies the fragmented, legacy value chain, enabling carriers to launch products in weeks instead of years. Carriers choose us to scale and operate at unprecedented speed, powered by AI and automation.
 Bestow isn't selling policies. We're building the infrastructure that helps an entire industry move faster, reach more people, and deliver on its promise.
 Backed by leading investors (Goldman Sachs, Hedosophia, NEA, Valar, 8VC) and trusted by major carriers, Bestow is powered by a team that moves with precision, purpose, and heart. If you want to help reimagine a centuries\-old industry with lasting impact, join us.
 Bestow offers flexible remote/hybrid work, meaningful benefits, equity, and substantial growth opportunities.
*Bestow participates in the* 
*E\-Verify Program* 
*.*
**About The Team**
 The Bestow Data Engineering team plays a significant role within the organization, working across the entire company to provide scalable data solutions within the platform and toward integrations with external partners. The data engineering team works closely with internal analytics and data science team members in order to improve data architecture, rapidly prototype, and serve data science predictions. In addition, data engineers work closely with stakeholders, members from product, and engineering to design and launch new systems for extracting, transforming and storing data. You’ll be called upon to improve Bestow’s data reliability, efficiency and quality and will be expected to scale your solutions to the cloud environment of a SaaS company, iterate quickly, and make pragmatic choices around what tools and technologies to adopt.
**What You’ll Do**
* Build robust solutions for transferring data from first and third\-party applications to and from our data warehouse
* Making decisions as a team. The things you build will be maintained and improved upon by others; there is a shared responsibility to make defensible design considerations and high collaboration.
* Develop hardened and repeatable (CI/CD) data models and pipelines to enable reporting, modeling and machine learning.
* Improve data availability to our enterprise clients through a mix of traditional push delivery, cloud, and event\-driven (eg: API, grpc) data sharing methods.
* Ensure data quality through automated monitoring and alerting, and occasionally serving within an on\-call rotation.
* Leverage Google Cloud (GCP) tools (eg: Cloud Run, Cloud Functions, Vertex AI, App Engine, Cloud Storage, IAM, etc.) and services (eg: Astronomer \- Apache Airflow) to bring data workloads to production.
* Drive and support MLOps to improve Data Science monitoring and governance
* Enable and support Generative AI (eg: LLM) pipelines, allowing internal teams to quickly prototype. Support the architecture and rollout of GenAI products and features into the marketplace.
* Collaborate with product, engineering, stakeholders and data teams to deliver informed solutions to platform and client needs.
**Who You Are**
* 4\+ years working in a data engineering role that supports incoming/outgoing products supporting internal and external customers.
* 2\+ years demonstrated expertise in designing an end\-to\-end data pipeline in cloud frameworks (such as GCP, AWS, Azure) with requirements from multiple stakeholders.
* 2\+ years of Python or similar experience writing efficient, testable, and readable code
* 2\+ years experience in building streaming data ingestion pipelines
* 1\+ year of ML (Machine Learning) support and implementation or MLOps.
* Deep SQL experience with columnar databases such as Google BigQuery, Snowflake, or Amazon Redshift
* Demonstrated experience with AI Coding assistants – AI tools are heavily engrained in Bestow culture.
* Experience building CICD pipelines for data processing using tools such as Docker, CircleCI, dbt, git, etc
* Able to manage infrastructure using IAC tools such as Terraform or Pulumi
* Experience with common data orchestration tools such as Apache Airflow (or similar) to manage SLOs and processing dependencies
* Experience with creating alerts and monitoring pipelines which contribute to overall data governance.
* Experience with containerization and container orchestration technologies with cloud architecture and implementation features (single\- and multi\-tenancy, orchestration, elastic scalability)
* Familiarity with standard IT security practices such as identity and access management (IAM), data protection, encryption, certificate, and key management.
* Adaptability to learn new technologies and products as the job demands.
* Nice to have: Familiarity with building tools that draw upon Generative AI (GenAI) integrations (Enterprise\-grade, not simply vibe\-coded).
* Nice to have: experience with data contracts, data lakes, and API development
**TOTAL REWARDS**
 At Bestow, we’re proud to be awarded for our team members, innovative products, and culture. Our standard benefits include:
* Competitive salary and equity based on role
* Policies and managers that support work/life balance, like our flexible paid time off and parental leave programs
* 100% paid\-premium option for medical, dental, and vision insurance
* Lifestyle stipend to support your physical, emotional, and financial wellbeing
* Flexible work\-from\-home policy and open to remote
* Remote and WFH options, as well as a beautiful, state\-of\-the\-art office in Dallas’ Deep Ellum, for those who prefer an office setting
* Employee\-led diversity, equity, and inclusion initiatives
**Recent Employer Awards Include**
* Best Place for Working Parents 2023 \+ 2024 \+ 2025
* Great Place to Work Certified, 2022 \+ 2023 \+ 2024 \+ 2025
* Built In Best Places to Work, 2022 \+ 2023 \+ 2025
* Fortune’s Best Workplaces in Texas 2022 \+ 2023
* Fortune’s Best Workplaces in Financial Services and Insurance 2022 \+ 2023 \+ 2024
 We value diversity at Bestow. The company will hire, recruit, and promote regardless of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team member.
 Thanks for considering a job at Bestow!</t>
        </is>
      </c>
    </row>
    <row r="12">
      <c r="A12" t="inlineStr">
        <is>
          <t>li-4367157652</t>
        </is>
      </c>
      <c r="B12" t="inlineStr">
        <is>
          <t>AI Data Engineer/Analyst</t>
        </is>
      </c>
      <c r="C12" t="inlineStr">
        <is>
          <t>Futran Solutions</t>
        </is>
      </c>
      <c r="D12" t="inlineStr">
        <is>
          <t>linkedin</t>
        </is>
      </c>
      <c r="E12" t="inlineStr"/>
      <c r="F12" t="inlineStr"/>
      <c r="G12" t="inlineStr">
        <is>
          <t>New York, NY</t>
        </is>
      </c>
      <c r="H12" t="inlineStr"/>
      <c r="I12" t="inlineStr">
        <is>
          <t>**Experience/Skills:** 
 • Strong Data Engineering experience.
 • Programming expertise at architecture level, particularly in Python, with deep proficiency in AI\-centric libraries such as TensorFlow, PyTorch, and Hugging Face Transformers.
 • Implement Retrieval\-Augmented Generation (RAG) pipelines.
 • Design, develop, and deploy Custom AI agents.</t>
        </is>
      </c>
    </row>
    <row r="13">
      <c r="A13" t="inlineStr">
        <is>
          <t>li-4371894049</t>
        </is>
      </c>
      <c r="B13" t="inlineStr">
        <is>
          <t>Hiring: Data Engineer (Remote position)</t>
        </is>
      </c>
      <c r="C13" t="inlineStr">
        <is>
          <t>HYR Global Source Inc</t>
        </is>
      </c>
      <c r="D13" t="inlineStr">
        <is>
          <t>linkedin</t>
        </is>
      </c>
      <c r="E13" t="inlineStr"/>
      <c r="F13" t="inlineStr"/>
      <c r="G13" t="inlineStr">
        <is>
          <t>Chicago, IL</t>
        </is>
      </c>
      <c r="H13" t="inlineStr"/>
      <c r="I13" t="inlineStr">
        <is>
          <t>**Job Title: Data Engineer**
**Location: Remote opportunity**
**Duration: 12\+ Months contract with a possible extension**
**Job Title**
* We are seeking a skilled Data Engineer to join our team on a 12\+ months remote opportunity.
* The ideal candidate will have strong hands\-on experience building scalable data pipelines and working with modern cloud\-based data platforms.
* This role requires expertise in data processing, automation, and performance optimization across large\-scale data systems.
**Key Responsibilities**
* Design, develop, and maintain scalable ETL/data pipelines in cloud environments.
* Build and manage both batch and real\-time (streaming) data processing workflows.
* Develop and optimize data transformations using Python, SQL, and Apache Spark.
* Implement robust data solutions using Databricks and Azure Data Factory.
* Ensure data pipeline reliability, scalability, and performance through monitoring and optimization.
* Collaborate with cross\-functional teams, including analysts, BI developers, and DevOps engineers.
* Support reporting and analytics initiatives by enabling clean, well\-structured datasets for BI tools.
* Apply best practices in data quality, testing, version control, and CI/CD automation.
**Required Skills**
* Programming: Python, SQL
* Data Processing: Apache Spark, Databricks, Azure Data Factory
* Streaming Technologies: Kafka, Google Pub/Sub (or similar messaging systems)
* DevOps \&amp; Automation: Git, Jenkins or GitHub Actions, Azure DevOps, Terraform, Docker
* Visualization \&amp; Reporting: Power BI, Tableau, or similar BI tools
**Nice To Have**
* Experience with data lake and/or data warehouse architectures (e.g., Lakehouse concepts).
* Knowledge of data governance frameworks and data quality tools.
* Familiarity with CI/CD pipelines and automated data testing best practices.
 Follow us on LinkedIn \- https://www.linkedin.com/company/hyr\-global\-source\-inc</t>
        </is>
      </c>
    </row>
    <row r="14">
      <c r="A14" t="inlineStr">
        <is>
          <t>li-4371516566</t>
        </is>
      </c>
      <c r="B14" t="inlineStr">
        <is>
          <t>Data Engineer – OrcaWorks AI</t>
        </is>
      </c>
      <c r="C14" t="inlineStr">
        <is>
          <t>Orcaworks - Meet Your Digital Coworker</t>
        </is>
      </c>
      <c r="D14" t="inlineStr">
        <is>
          <t>linkedin</t>
        </is>
      </c>
      <c r="E14" t="inlineStr"/>
      <c r="F14" t="inlineStr"/>
      <c r="G14" t="inlineStr">
        <is>
          <t>Atlanta, GA</t>
        </is>
      </c>
      <c r="H14" t="inlineStr"/>
      <c r="I14" t="inlineStr">
        <is>
          <t>**Location:** 
 Hybrid / Atlanta, GA
**Experience Level:** 
 Entry\-level (Master’s preferred)
**About OrcaWorks AI** 
 At OrcaWorks AI, we’re building next\-generation AI systems that empower businesses to make data\-driven decisions with intelligence and speed. We’re seeking passionate Data Engineers who love solving real\-world data challenges and want to be part of a growing team building cutting\-edge AI infrastructure.
**Key Responsibilities** 
* Design, develop, and maintain data pipelines using tools like Airbyte and Prefect to feed AI and machine learning models.
* Integrate data from multiple structured and unstructured sources into unified and queryable layers using ElasticSearch or Vespa.
* Implement data validation, transformation, and storage solutions using modern ETL frameworks.
* Collaborate with AI, LLM, and data science teams to ensure reliable and optimized data flow for model training.
* Support database management, SQLModel, and data governance practices across services.
**Required Skills \&amp; Qualifications** 
* Master’s degree (or Bachelor’s with equivalent experience) in Computer Science, Information Systems, or Data Engineering.
* Proficiency in Python and SQL; experience with PySpark or equivalent ETL frameworks.
* Hands\-on experience with Airbyte, Prefect, and DBT.
* Familiarity with search and indexing systems like Vespa or ElasticSearch.
* Knowledge of cloud data platforms (AWS, GCP, or Azure) and API integration.
* Strong understanding of data security and applied AI workflows.</t>
        </is>
      </c>
    </row>
    <row r="15">
      <c r="A15" t="inlineStr">
        <is>
          <t>li-4371883298</t>
        </is>
      </c>
      <c r="B15" t="inlineStr">
        <is>
          <t>Actimize Data Engineer</t>
        </is>
      </c>
      <c r="C15" t="inlineStr">
        <is>
          <t>Sunflower Bank, N.A.</t>
        </is>
      </c>
      <c r="D15" t="inlineStr">
        <is>
          <t>linkedin</t>
        </is>
      </c>
      <c r="E15" t="inlineStr"/>
      <c r="F15" t="inlineStr"/>
      <c r="G15" t="inlineStr">
        <is>
          <t>Houston, TX</t>
        </is>
      </c>
      <c r="H15" t="inlineStr"/>
      <c r="I15" t="inlineStr">
        <is>
          <t>**Description:**
 At Sunflower Bank, N.A., we’re experiencing great growth. Since our founding in 1892, we've been committed to serving our communities and supporting the team members who make it all possible. As a full\-service financial institution, we offer a full range of relationship\-focused services to meet personal, business, and wealth\-management financial objectives. Creating Possibility is not just our mission, it’s what we do every day for clients and associates. Learn more about Sunflower Bank, N.A. at sunflowerbank.com.
**Sunflower Bank, N.A.** 
 is looking for an energetic, highly motivated individual to fill the position of a full\-time
 **Actimize Data Engineer.**
**Hybrid/Remote Opportunity**
* MUST live and be based out of CO, KS, TX, MO, NM, MI, or AZ ONLY
**Great Compensation Plan with Amazing Benefits!**
**Applicants must be authorized to work for ANY employer in the U.S. We are unable to sponsor or take over sponsorship of an employment Visa at this time.**
**The salary range for this position is $120,000 to $150,000 depending on knowledge, skills, abilities, experience, and location.**
****Description:****
 The role of the Actimize Data Engineer includes implementing new modules, performing data analysis, troubleshooting issues, and ensuring the performance and reliability of the bank’s Actimize Essentials and Xceed applications. The Actimize Engineer should have experience with Actimize modules, programming languages, and data integration. Strong problem\-solving, analytical, and communication skills are essential.
****Responsibilities:****
* Collaborate with stakeholders to gather requirements and translate them into technical specifications.
* Develop and maintain Actimize modules, including AML, Fraud Detection, SAM, CDD, CTR, and Sanctions.
* Ensure the scalability, performance, and reliability of Actimize implementations.
* Troubleshoot and resolve issues related to Actimize applications.
* Stay updated with the latest Actimize features and industry best practices.
* Conduct performance tuning and optimization of Actimize solutions.
* Create and maintain comprehensive documentation for Actimize implementations.
* Analysis and mapping of data from core banking platforms to Actimize solutions.
* Create, test, and deploy SQL queries used in integrations and reports.
* Design, build, and test integrations and data pipelines.
****Education / Experience Preferred:****
* Bachelor's degree in Computer Science, Information Technology, or a related field.
* Proven experience as an Actimize Engineer or similar role.
* Knowledge of Actimize Essentials and Actimize Xceed, including AML, Fraud Detection, SAM, CDD, CTR, and Sanctions modules.
* Understanding of financial crime, risk management, and compliance.
* Proficiency in Actimize rule development and customization.
* Experience with data ingestion, processing engines, and case management systems.
* Experience with programming languages such as C\# (preferred), Java, or Python.
* Experience with data integration, ETL processes, and SQL database queries.
* Core banking platform experience, preferably with Fiserv Signature and Black Knight (ICE) MSP.
* Excellent problem\-solving and analytical skills.
* Strong communication and interpersonal skills.
* Ability to work independently and as part of a team.
*Pay is dependent on knowledge, skills, abilities, experience, and location.*
**Working Conditions**
 The physical demands of this position require the ability to perform essential job functions with or without reasonable accommodation. Employees may spend extended periods sitting or standing, using hands to operate computers or other equipment, and reaching for work\-related tasks. Regular walking may be required, along with occasional bending, stooping, kneeling, or climbing. The role may involve lifting or moving items weighing up to 10 pounds. Vision requirements include close and distance vision, color and peripheral vision, depth perception, and the ability to adjust focus.
****Sunflower Bank Benefits****
 People choose to “bank” with us, but for those we serve, we’re more than a bank. We strive to be the financial backbone of their lives, and we know that starts with our team.
 Our supportive culture empowers team members to grow and seize new opportunities. Like our namesake, the sunflower, we are:
* Rooted in Strength
* Propelled by Growth
* Individuals in a Great Whole
* Creating Possibility
* Community Focused
**Associates Enjoy Outstanding Benefits, Including:**
* 401(k) Plan with 6% Match
* Health/Dental/Vision Insurance
* Company\-paid Life Insurance
* Tuition Reimbursement
* Fitness Reimbursement
* Paid Time Off
* Volunteer Leave
* Paid Holidays
* Plus many more associate perks \&amp; incentives!
 If you qualify, apply online at www.sunflowerbank.com/careers.
 You’ve never worked anyplace like Sunflower Bank!
 EOE/AA: Minorities/Females/Disabled/Vets
 Sunflower Bank, N.A. is an equal opportunity employer, and all qualified applicants will receive consideration for employment without regard to race, color, religion, sex, national origin, protected veteran status, status as a qualified individual with a disability, sexual orientation, gender identity, or any other characteristic protected by law.
 Open until filled; early application encouraged. This vacancy announcement may be used to fill similar positions within 90 days.
*If you are a California resident, you may be entitled to certain rights regarding your personal information, which is information that identifies, relates to, or could reasonably be linked with a particular California resident or household. Additional information about our data collection practices and location\-specific notices is available on our privacy policy.*</t>
        </is>
      </c>
    </row>
    <row r="16">
      <c r="A16" t="inlineStr">
        <is>
          <t>li-4371868274</t>
        </is>
      </c>
      <c r="B16" t="inlineStr">
        <is>
          <t>Data Engineer</t>
        </is>
      </c>
      <c r="C16" t="inlineStr">
        <is>
          <t>Best Job Tool</t>
        </is>
      </c>
      <c r="D16" t="inlineStr">
        <is>
          <t>linkedin</t>
        </is>
      </c>
      <c r="E16" t="inlineStr"/>
      <c r="F16" t="inlineStr"/>
      <c r="G16" t="inlineStr"/>
      <c r="H16" t="inlineStr"/>
      <c r="I16" t="inlineStr">
        <is>
          <t>**About The Company**
 MassMutual is a leading financial services organization dedicated to helping individuals and businesses achieve their financial goals. With a rich history of stability, integrity, and innovation, MassMutual offers a comprehensive suite of insurance, retirement, investment, and wealth management solutions. The company prides itself on its client\-centric approach, fostering a culture of excellence, collaboration, and continuous improvement. As a trusted partner in financial security, MassMutual is committed to delivering value\-driven services that make a meaningful difference in the lives of its clients and communities worldwide.
**About The Role**
 Join our dynamic team as a Data Engineer within the Corporate Technology Data Engineering \&amp; Analytics division. This pivotal role involves executing our data and technology strategies to facilitate digital transformation and enhance operational efficiencies across Investment Management. The successful candidate will be responsible for designing, developing, and maintaining robust data pipelines, including streaming and batch processes, data marts, and data warehouses. You will establish and optimize data collection and processing systems to meet the evolving needs of our investment business units. This position offers an excellent opportunity to work at the forefront of data innovation, collaborating with cross\-functional teams to deliver scalable, high\-quality data solutions that drive strategic decision\-making and organizational growth.
**Qualifications**
 The ideal candidate will possess a bachelor's degree in Computer Science, Engineering, Information Systems, or a related technical field. They should have at least 8 years of experience in data analytics, modeling, and database design, with a strong background in developing and optimizing ELT pipelines using modern tools and methodologies. A minimum of 5 years' experience in SQL development, tuning, and troubleshooting is essential. Additionally, candidates should have at least 3 years of coding and scripting experience in languages such as Python, Java, or Scala, along with a minimum of 2 years working within the Spark framework. The role requires proven expertise in data modeling, system analysis, and technical documentation, along with a solid understanding of investment management data and operations.
**Responsibilities**
* Design, develop, and maintain complex ELT jobs to process diverse data sources, ensuring the creation of high\-integrity, high\-quality, and clean data assets.
* Implement and refine data modeling policies, procedures, and standards to ensure consistency and best practices across projects.
* Capture, document, and analyze system flow, database design, and technical specifications to facilitate clear communication and knowledge sharing.
* Develop and enforce comprehensive data quality standards, utilizing effective tools to ensure data accuracy, completeness, and reliability.
* Collaborate with various departments within Investment Management to understand new data requirements, patterns, and challenges.
* Work closely with Data Analysts, Data Architects, and Business Intelligence developers to design scalable data solutions aligned with strategic business objectives.
* Translate high\-level business needs into detailed technical specifications, ensuring solutions are aligned with organizational goals and technical standards.
* Monitor and troubleshoot data pipelines, optimize performance, and implement improvements to enhance system efficiency and reliability.
* Stay updated with emerging data technologies and industry trends to continuously improve data infrastructure and processes.
**Benefits**
 MassMutual offers a comprehensive benefits package designed to support the well\-being and professional growth of our employees. This includes competitive health, dental, and vision insurance plans, retirement savings options with company matching, and generous paid time off policies. Employees have access to ongoing training and development programs, fostering continuous learning and skill enhancement. We also provide wellness initiatives, employee assistance programs, and opportunities for career advancement within a collaborative and inclusive work environment. Our commitment extends to maintaining a healthy work\-life balance, ensuring our team members are supported both professionally and personally.
 Equal Opportunity
 MassMutual is an equal employment opportunity employer. We celebrate diversity and are committed to creating an inclusive environment for all employees. We do not discriminate based on race, color, religion, gender, sexual orientation, gender identity or expression, age, national origin, disability, veteran status, or any other protected characteristic. We encourage individuals from all backgrounds to apply and look forward to welcoming talented candidates who can contribute to our continued success. If you require an accommodation during the application process, please contact us to share your needs.</t>
        </is>
      </c>
    </row>
    <row r="17">
      <c r="A17" t="inlineStr">
        <is>
          <t>li-4371802209</t>
        </is>
      </c>
      <c r="B17" t="inlineStr">
        <is>
          <t>Data Engineer - On-Site [see locations]</t>
        </is>
      </c>
      <c r="C17" t="inlineStr">
        <is>
          <t>Regions Bank</t>
        </is>
      </c>
      <c r="D17" t="inlineStr">
        <is>
          <t>linkedin</t>
        </is>
      </c>
      <c r="E17" t="inlineStr"/>
      <c r="F17" t="inlineStr"/>
      <c r="G17" t="inlineStr">
        <is>
          <t>Atlanta, GA</t>
        </is>
      </c>
      <c r="H17" t="inlineStr"/>
      <c r="I17" t="inlineStr">
        <is>
          <t>Thank you for your interest in a career at Regions. At Regions, we believe associates deserve more than just a job. We believe in offering performance\-driven individuals a place where they can build a career \-\-\- a place to expect more opportunities. If you are focused on results, dedicated to quality, strength and integrity, and possess the drive to succeed, then we are your employer of choice.
 Regions is dedicated to taking appropriate steps to safeguard and protect private and personally identifiable information you submit. The information that you submit will be collected and reviewed by associates, consultants, and vendors of Regions in order to evaluate your qualifications and experience for job opportunities and will not be used for marketing purposes, sold, or shared outside of Regions unless required by law. Such information will be stored in accordance with regulatory requirements and in conjunction with Regions’ Retention Schedule for a minimum of three years. You may review, modify, or update your information by visiting and logging into the careers section of the system.
**Job Description**
 At Regions, the Data Engineer focuses on the evaluation, design, and execution of data structures, processes, and logic to deliver business value through operational and analytical data assets. The Data Engineer uses advanced data design and technical skills to work with business subject matter experts to create enterprise data assets utilizing state of the art data techniques and tools.
**Primary Responsibilities**
* Partners with Regions Technology partners to Design, Build, and Maintain the data\-based structures and systems in support of Data and Analytics and Data Product use cases
* Builds data pipelines to collect and arrange data and manage data storage in Regions’ big data environment
* Builds robust, testable programs for moving, transforming, and loading data using big data tools such as Spark
* Coordinates design and development with Data Products Partners, Data Scientists, Data Management, Data Modelers, and other Technical partners to construct strategic and tactical data stores
* Ensures data is prepared, arranged and ready for each defined business use case
* Designs and deploys frameworks and micro services to serve data assets to data consumers
* Collaborates and aligns with technical and non\-technical stakeholders to translate customer needs into Data Design requirements, and work to deliver world\-class visualizations, data stories while ensuring data quality and integrity
* Provides consultation to all areas of the organization that plan to use data to make decisions
* Supports any team members in the development of such information delivery and aid in the automation of data products
* Acts as trusted adviser and partner to business leads\- assisting in the identification of business needs \&amp; data opportunities, understanding key drivers of performance, interpreting business case data drivers, turning data into business value, and participating in the guidance of the overall data and analytics strategy
 This position is exempt from timekeeping requirements under the Fair Labor Standards Act and is not eligible for overtime pay.
**Requirements**
* Bachelor's degree and six (6\) years of experience in a quantitative/analytical/STEM field or technical related field
* Or Master’s degree and four (4\) years of experience in a quantitative/analytical/STEM field or technical related field
* Or Ph.D. and two (2\) years of experience in a quantitative/analytical/STEM field
* Three (3\) years of working programming experience in Python/PySpark, Scala, SQL
* Three (3\) years of working experience in Big Data Technology in Hadoop, Hive, Impala, Spark, or Kafka
**Preferences**
* Background in Big Data Engineering and Advanced Data Analytics
* Experience developing solutions for the financial services industry
* Experience in Agile Software Development
* Experience or exposure to cloud technologies and migrations
* Prior banking or financial services experience
**Skills And Competencies**
* Experience building data solutions at scale
* Experience designing and building relational data structures in multiple environments
* Experience with DevOps principals, CI/CD, and Software Development Lifecycle
* Experience with No\-SQL databases
* Experience with large\-scale data Lakehouses at Enterprise scale
* Proven record of accomplishment of delivering operational Data solutions including Report and Model Ready Data Assets
* Significant experience working with senior executives in the use of data, reporting and visualizations to support strategic and operational decision making
* Strong ability to transform and integrate complex data from multiple sources into accessible, understandable, and usable data assets and frameworks
* Strong background in synthesizing data and analytics in a large (Fortune 500\), complex, and highly regulated environment
* Strong technical background including database and business intelligence skills
* Strong communication skills through written and oral presentations
**Additional Job Description**
**Must\-Have Qualifications**
* Strong experience with SQL databases, including development and support of SSIS/SSRS packages
* Hands\-on experience with PostgreSQL in a production environment
* Proven ability to develop, manage, and maintain ETL pipelines
* Working experience in AWS cloud environments
* Experience using Python for data processing and automation
* Required experience with Apache Kafka for data streaming
* Required experience with Snowflake for cloud data warehousing
*This position is intended to be onsite, now or in the near future. Associates will have regular work hours, including full days in the office three or more days a week. The manager will set the work schedule for this position, including in\-office expectations. Regions will not provide relocation assistance for this position, and relocation would be at your expense. This position must be within a reasonable driving distance to a Branch, Consumer Operations, or Professional Office Building with the primary locations being for
 **Birmingham, AL, Atlanta, GA or Charlotte, NC.** 
 Exceptions to the geographic location requirement may be made for current Regions associates who work remotely.*
*This position may be filled at a higher level depending on the candidate's qualifications and relevant experience.*
***Regions will not sponsor applicants for work visas for this position at this time. Applicants for this position must currently be authorized to work in the United States on a full\-time basis.***
**Position Type**
 Full time
**Compensation Details**
 Pay ranges are job specific and are provided as a point\-of\-market reference for compensation decisions. Other factors which directly impact pay for individual associates include: experience, skills, knowledge, contribution, job location and, most importantly, performance in the job role. As these factors vary by individuals, pay will also vary among individual associates within the same job.
 The target information listed below is based on the Metropolitan Statistical Area Market Range for where the position is located and level of the position.
**Minimum**
**Job Range Target:**
 $109,525\.90 USD
**Median**
 $139,430\.00 USD
**Incentive Pay Plans**
 Opportunity to participate in the Long Term Incentive Plan.
**Benefits Information**
 Regions offers a benefits package that is flexible, comprehensive and recognizes that "one size does not fit all" for benefits\-eligible associates. Listed below is a synopsis of the benefits offered by Regions for informational purposes, which is not intended to be a complete summary of plan terms and conditions.
* Paid Vacation/Sick Time
* 401K with Company Match
* Medical, Dental and Vision Benefits
* Disability Benefits
* Health Savings Account
* Flexible Spending Account
* Life Insurance
* Parental Leave
* Employee Assistance Program
* Associate Volunteer Program
 Please note, benefits and plans may be changed, amended, or terminated with respect to all or any class of associate at any time. To learn more about Regions’ benefits, please click or copy the link below to your browser.
 https://www.regions.com/about\-regions/welcome\-portal/benefits
**Location Details**
 Riverchase Operations Center
**Location:**
 Hoover, Alabama
 Equal Opportunity Employer/including Disabled/Veterans
 Job applications at Regions are accepted electronically through our career site for a minimum of five business days from the date of posting. Job postings for higher\-volume positions may remain active for longer than the minimum period due to business need and may be closed at any time thereafter at the discretion of the company.</t>
        </is>
      </c>
    </row>
    <row r="18">
      <c r="A18" t="inlineStr">
        <is>
          <t>li-4327776321</t>
        </is>
      </c>
      <c r="B18" t="inlineStr">
        <is>
          <t>Data Engineer-  ETL/ELT - Hybrid/Remote</t>
        </is>
      </c>
      <c r="C18" t="inlineStr">
        <is>
          <t>Crown Equipment Corporation</t>
        </is>
      </c>
      <c r="D18" t="inlineStr">
        <is>
          <t>linkedin</t>
        </is>
      </c>
      <c r="E18" t="inlineStr"/>
      <c r="F18" t="inlineStr"/>
      <c r="G18" t="inlineStr">
        <is>
          <t>New Bremen, OH</t>
        </is>
      </c>
      <c r="H18" t="inlineStr"/>
      <c r="I18" t="inlineStr">
        <is>
          <t>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**Indefinite US Work Authorization Required.** 
**Primary Responsibilities** 
* **Design, build and optimize scalable data pipelines and stores.**
* Clean, prepare and optimize data for consumption in applications and analytics platforms.
* Participate in peer code reviews to uphold internal standards.
* Ensure procedures are thoroughly tested before release.
* Write unit tests and record test results.
* Detect, define and debug programs whenever problems arise.
* Provide training to users and knowledge transfer to support personnel and other staff members as required.
* Prepare system and programming documentation in accordance with internal standards.
* **Interface with users to extract functional needs and determine requirements.**
* Conduct detailed systems analysis to define scope and objectives and design solutions.
* Work with Business Analyst to help develop and write system requirements.
* Establish project plans and schedules and monitor progress providing status reports as required.
**Qualifications** 
* Bachelor’s degree in Computer Science, Software/Computer Engineering, Information Systems, or related field is required.
* **4\+ years' experience in SQL, ETL, ELT and SAP Data is required.**
* **Python, Databricks, Snowflakes experience preferred.**
* **Strong written, verbal, analytical and interpersonal skills are necessary.**
*Remote Work: Crown offers hybrid remote work for this position. A reasonable commute is necessary as some onsite work is required. Relocation assistance is available.* 
**Work Authorization:** 
 Crown will only employ those who are legally authorized to work in the United States. This is not a position for which sponsorship will be provided. Individuals with temporary visas or who need sponsorship for work authorization now or in the future, are not eligible for hire.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EOE Veterans/Disabilities</t>
        </is>
      </c>
    </row>
    <row r="19">
      <c r="A19" t="inlineStr">
        <is>
          <t>li-4371844391</t>
        </is>
      </c>
      <c r="B19" t="inlineStr">
        <is>
          <t>Data Engineer, Platform</t>
        </is>
      </c>
      <c r="C19" t="inlineStr">
        <is>
          <t>The Hartford</t>
        </is>
      </c>
      <c r="D19" t="inlineStr">
        <is>
          <t>linkedin</t>
        </is>
      </c>
      <c r="E19" t="inlineStr"/>
      <c r="F19" t="inlineStr"/>
      <c r="G19" t="inlineStr"/>
      <c r="H19" t="inlineStr"/>
      <c r="I19" t="inlineStr">
        <is>
          <t>**About The Company**
 At The Hartford, we are committed to making a meaningful difference in the insurance industry by offering more than just coverage and policies. Our mission extends beyond traditional insurance services to empower our clients and employees alike. As a forward\-thinking organization, we foster an innovative environment where every individual has the opportunity to achieve their professional goals while contributing to shaping the future of insurance. Join us and be part of a dynamic team dedicated to excellence, innovation, and making a positive impact in the communities we serve.
**About The Role**
 We are seeking a highly skilled Data Platform Engineer to join our Enterprise Data Engineering organization. In this role, you will be instrumental in designing, building, and maintaining agentic AI systems that automate and accelerate the creation of enterprise Data Products. This position combines modern data engineering practices with emerging AI agent technologies to enable comprehensive end‑to‑end automation across our data lifecycle. You will work closely with architects, AI engineers, and platform teams to shape the next generation of Data Product automation at The Hartford. The role offers a hybrid work schedule with a combination of in\-office and remote work, providing flexibility to accommodate your location and business needs.
**Qualifications**
* 2\+ years of experience in data engineering, data platforms, or distributed systems
* Hands\-on experience developing production\-grade AI agents, automation systems, or generative AI\-powered applications
* Strong proficiency in Python, SQL, and modern data engineering frameworks
* Experience with cloud\-native data platforms and services (GCP preferred)
* Experience with IDMC and Snowflake data platforms
* Expertise in building and operating ETL/ELT pipelines, orchestration, and metadata\-driven systems
* Knowledge of CI/CD, containerization, and DevOps patterns
* Strong problem\-solving skills and the ability to collaborate across engineering, AI, and platform teams
* Ability to influence architecture and system design
* Authorized to work in the US without company sponsorship
**Responsibilities**
* Build, deploy, and operate agentic AI systems that support Data Product development from inception through production
* Collaborate with Data Engineering, Architecture, and AI teams to define patterns, guardrails, and reusable services
* Ensure systems are reliable, observable, secure, and compliant with enterprise governance standards
* Support and maintain existing AI agents and automation tools in production environments
* Contribute to Data Platform Engineering standards and reference architectures to promote best practices
* Participate in the design and implementation of scalable, cloud\-native data solutions
* Identify opportunities for automation and process improvements within data workflows
* Assist in troubleshooting and resolving issues related to AI systems and data pipelines
**Benefits**
* Competitive salary aligned with market standards
* Comprehensive health, dental, and vision insurance plans
* Retirement savings plans with company contributions
* Flexible work arrangements including hybrid and remote options
* Paid time off and holiday leave
* Professional development and training opportunities
* Inclusive and diverse work environment that values innovation and collaboration
 Equal Opportunity
 The Hartford is an Equal Opportunity Employer. We celebrate diversity and are committed to creating an inclusive environment for all employees regardless of sex, race, color, religion, age, veteran status, disability, sexual orientation, gender identity or expression, or any other protected characteristic. We believe in fostering a workplace where everyone can thrive and contribute to our collective success.</t>
        </is>
      </c>
    </row>
    <row r="20">
      <c r="A20" t="inlineStr">
        <is>
          <t>li-4371527438</t>
        </is>
      </c>
      <c r="B20" t="inlineStr">
        <is>
          <t>Data Engineer</t>
        </is>
      </c>
      <c r="C20" t="inlineStr">
        <is>
          <t>AARATECH</t>
        </is>
      </c>
      <c r="D20" t="inlineStr">
        <is>
          <t>linkedin</t>
        </is>
      </c>
      <c r="E20" t="inlineStr"/>
      <c r="F20" t="inlineStr"/>
      <c r="G20" t="inlineStr"/>
      <c r="H20" t="inlineStr"/>
      <c r="I20"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21">
      <c r="A21" t="inlineStr">
        <is>
          <t>li-4371882006</t>
        </is>
      </c>
      <c r="B21" t="inlineStr">
        <is>
          <t>AI Data Engineer</t>
        </is>
      </c>
      <c r="C21" t="inlineStr">
        <is>
          <t>Inside Higher Ed</t>
        </is>
      </c>
      <c r="D21" t="inlineStr">
        <is>
          <t>linkedin</t>
        </is>
      </c>
      <c r="E21" t="inlineStr"/>
      <c r="F21" t="inlineStr"/>
      <c r="G21" t="inlineStr">
        <is>
          <t>Stanford, CA</t>
        </is>
      </c>
      <c r="H21" t="inlineStr"/>
      <c r="I21" t="inlineStr">
        <is>
          <t>🔍Business Affairs: University IT (UIT), Redwood City, California, United States📁Information Technology Services📅Sep 08, 2025 Post Date📅107222 Requisition \#
**Job Purpose**
 Are you an experienced AI/GenAI engineer who loves shipping real systems with a passion for working with enterprise data? Join Stanford’s Enterprise Technology team to design, implement, and support AI solutions across university use cases. In this role, you will influence strategic direction, requirements, and architecture for AI‑driven information systems, incorporating new capabilities (LLMs, RAG, agentic frameworks, MLOps) to improve workflow, efficiency, and decision\-making. You may serve as the technical lead for specific AI tracks and interrelated applications.
 This role blends hands\-on engineering with mentorship and thought leadership. You will prototype and productionize—presenting proofs of concept, demoing solutions to stakeholders, and partnering with project managers, technical managers, architects, security, infrastructure, and application teams (ServiceNow, Salesforce, Oracle Financials, etc.)
**Core Duties**
* AI/ML System Implementation \&amp; Integration: Translate requirements into well\-engineered components (pipelines, vector stores, prompt/agent logic, evaluation hooks) and implement them in partnership with the platform/architecture team.
* Data Engineering \&amp; EDA: Build and optimize data ingestion, transformation, and quality pipelines. Conduct exploratory data analysis (EDA) to surface patterns, anomalies, and insights that inform AI models and decision\-making.
* Application \&amp; Agent Development: Build and maintain LLM\-based agents/services that securely call enterprise tools (ServiceNow, Salesforce, Oracle, etc.) using approved APIs and tool\-calling frameworks. Create lightweight internal SDKs/utilities where needed.
* RAG \&amp; Search Enablement: Configure and optimize RAG workflows (chunking, embeddings, metadata filters) and integrate with existing search/vector infrastructure—escalating architecture changes to designated architects.
* MLOps \&amp; SDLC Practices: Follow and improve team standards for CI/CD, testing, prompt/model versioning, and observability. Own feature delivery through dev/test/prod, coordinating with release managers.
* Governance, Security \&amp; Compliance: Apply established guardrails (PII redaction, policy checks, access controls). Partner with InfoSec and architects to close gaps; document decisions and risks.
* Metrics \&amp; Reporting: Instrument services with KPIs (latency, cost, accuracy/quality) and build lightweight dashboards. Deep BI/reporting.
* Documentation \&amp; Communication: Write clear technical docs (APIs, workflows, runbooks), user stories, and acceptance criteria. Support and sometimes lead UAT/test activities.
* Collaboration \&amp; Mentorship: Facilitate working sessions with stakeholders; mentor junior engineers through code reviews and pair programming; provide concise updates and risk flags.
**Education \&amp; Experience**
 Bachelor's degree and eight years of relevant experience or a combination of education and relevant experience.
**Required Knowledge, Skills, And Abilities**
* Agent/Agentic Framework Experience: Built and shipped at least one production LLM agent or agentic workflow using frameworks such as LangGraph, LangChain, CrewAI/AutoGen, Google Agent Builder/Vertex AI Agents (or equivalent). Able to explain tool selection, orchestration logic, and post‑deployment support.
* Proven Delivery: Implemented 3\+ AI/ML projects and 2\+ GenAI/LLM projects in production, with operational support (monitoring, tuning, incident response). Projects should serve sizable user populations and demonstrate measurable efficiency gains.
* Enterprise Data Understanding: Strong knowledge of enterprise systems (ServiceNow, Salesforce, Oracle Financials, etc.) and how to extract, transform, and analyze data from them.
* Data Engineering \&amp; Analysis: Proficiency in building data pipelines, conducting exploratory data analysis (EDA), profiling datasets, and preparing features for ML/AI use cases.
* Strong understanding of AI/ML concepts (LLMs/transformers and classical ML) and experience designing, developing, testing, and deploying AI\-driven applications.
* Programming Expertise: Python (primary), with experience in SQL and one or more general\-purpose languages (Java, Node.js, or TypeScript).
* Experience with cloud AI stacks (e.g., Google Vertex AI, AWS Bedrock, Azure OpenAI) and vector/search technologies (Pinecone, Elastic/OpenSearch, FAISS, Milvus, etc.).
* Knowledge of data design/architecture, relational and NoSQL databases, and data modeling.
* Thorough understanding of SDLC, MLOps, and quality control practices.
* Ability to define/solve logical problems for highly technical applications; strong problem\-solving and systematic troubleshooting skills.
* Excellent communication, listening, negotiation, and conflict resolution skills; ability to bridge functional and technical resources.
**Desired Knowledge, Skills, And Abilities**
* MLOps Tooling: MLflow, Kubeflow, Vertex Pipelines, SageMaker Pipelines; LangSmith/PromptLayer/Weights \&amp; Biases.
* Open Source Savvy: Experience working with, customizing, and improving open\-source solutions; comfortable contributing fixes/features upstream.
* Rapid Tech Adoption: Demonstrated ability to pick up a new technology/framework quickly and deliver production value with it.
* GenAI Frameworks: LangChain, LlamaIndex, DSPy, Haystack, LangGraph, Agent Engine, Google ADK, AWS AgentCore, and CrewAI/AutoGen..
* Security \&amp; Governance: Implementing AI guardrails, red\-teaming, and policy enforcement frameworks.
* Enterprise Integrations: ServiceNow, Salesforce, Oracle Financials, or others.
* UI Development: React/Next.js/Tailwind for internal tools.
* Prompt engineering at scale: Structured prompts (JSON/function\-calling), templates, version control; automated/offline \&amp; online evals (rubrics, hallucination/bias checks, A/B tests, golden sets).
* Parameter‑efficient fine‑tuning (LoRA/QLoRA/adapters), supervised instruction tuning; hosting open‑weight models (Llama/Mistral/Qwen) with vLLM/TGI/Ollama.
* Safety/guardrails frameworks (Guardrails.ai, NeMo Guardrails, Azure/AWS safety filters) and jailbreak/drift detection.
* Telemetry \&amp; governance: prompt/model drift monitoring, policy‑as‑code, audit logging, red‑teaming playbooks.
* Advanced Data Techniques: Hybrid search/reranking, synthetic data generation, provenance/watermarking, dataset drift detection.
**Certifications And Licenses**
* Required: One or more certifications in Google, AWS, or Azure AI/ML, or equivalent demonstrable portfolio of production AI/data systems.
**Physical Requirements\*:**
* Constantly perform desk\-based computer tasks.
* Frequently sit, grasp lightly/fine manipulation.
* Occasionally stand/walk, writing by hand.
* Rarely use a telephone, lift/carry/push/pull objects that weigh up to 10 pounds.
* Consistent with its obligations under the law, the University will provide reasonable accommodation to any employee with a disability who requires accommodation to perform the essential functions of the job.
**Working Conditions**
* May work extended hours, evenings, and weekends.
**Work Standards**
* Interpersonal Skills: Demonstrates the ability to work well with Stanford colleagues and clients and with external organizations.
* Promote Culture of Safety: Demonstrates commitment to personal responsibility and value for safety; communicates safety concerns; uses and promotes safe behaviors based on training and lessons learned.
* Subject to and expected to stay in sync with all applicable University policies and procedures, including but not limited to the personnel policies and other policies found in Stanford's Administrative Guide, http://adminguide.stanford.edu.
 The expected pay range for this position is $169,728 to $190,000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**Why Stanford Is For You**
 Stanford University has revolutionized the way we live and enrich the world. Supporting this mission is our diverse and dedicated 17,000 staff. We seek talent driven to impact the future of our legacy. Our culture and unique perks empower you with:
* Freedom to grow. We offer career development programs, tuition reimbursement, or audit a course. Join a TedTalk, film screening, or listen to a renowned author or global leader speak.
* A caring culture. We provide superb retirement plans, generous time\-off, and family care resources.
* A healthier you. Climb our rock wall, or choose from hundreds of health or fitness classes at our world\-class exercise facilities. We also provide excellent health care benefits.
* Discovery and fun. Stroll through historic sculptures, trails, and museums.
* Enviable resources. Enjoy free commuter programs, ridesharing incentives, discounts, and more.
* Redwood City. Our new Stanford Redwood City campus, opened in 2019, will be the workplace for approximately 2,700 staff, including University IT, whose jobs are important to supporting the University’s mission. The campus will offer amenities such as onsite cafes and a dining pavilion, a high\-end fitness facility with an outdoor pool, and a childcare center for Stanford families.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by submitting a* 
*contact form* 
*.*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Additional Information
* Schedule: Full\-time
* Job Code: 4823
* Employee Status: Regular
* Grade: L
* Requisition ID: 107222
* Work Arrangement : Hybrid Eligible</t>
        </is>
      </c>
    </row>
    <row r="22">
      <c r="A22" t="inlineStr">
        <is>
          <t>li-4363198609</t>
        </is>
      </c>
      <c r="B22" t="inlineStr">
        <is>
          <t>Senior Data Engineer</t>
        </is>
      </c>
      <c r="C22" t="inlineStr">
        <is>
          <t>Akkodis</t>
        </is>
      </c>
      <c r="D22" t="inlineStr">
        <is>
          <t>linkedin</t>
        </is>
      </c>
      <c r="E22" t="inlineStr"/>
      <c r="F22" t="inlineStr"/>
      <c r="G22" t="inlineStr">
        <is>
          <t>Illinois, United States</t>
        </is>
      </c>
      <c r="H22" t="inlineStr"/>
      <c r="I22" t="inlineStr">
        <is>
          <t>Akkodis is seeking a
 **Senior Data Engineer** 
 for a Fulltime
 **Remote** 
 position.
**Salary Range: $140K to $150K/ Year(The salary may be negotiable based on experience, education, geographic location, and other factors)** 
**Title: Senior Data Engineer (Snowflake \+ DBT)** 
**Location: Remote** 
**About the Role:** 
 This position is ideal for an engineer who brings strong data modeling fundamentals, practical experience with modern transformation tooling, and a desire to build high‑quality, reusable data assets for analytics, operations, and AI\-driven product features.
**Responsibilities** 
* Build and maintain dbt models across
 **bronze/silver/gold** 
 layers following medallion architecture best practices.
* Design and maintain
 **star schemas** 
 , fact tables, and dimension models—including
 **Slowly Changing Dimensions (SCDs)** 
 .
* Develop, optimize, and operationalize Snowflake pipelines with a focus on performance, cost efficiency, and reliability.
* Implement and maintain CI/CD workflows for data transformations, testing, and deployments.
**Core Technical Expertise** 
**Snowflake** 
* Practical hands‑on experience designing schemas, stages, tables, streams, and tasks.
* Strong understanding of warehouse sizing, micro\-partitioning, performance tuning, and cost\-control practices.
**dbt (Core or Cloud)** 
* Expertise in developing models, macros, tests, selectors, and documentation.
* Familiarity with structuring dbt projects for maintainability across multiple layers.
**Data Modeling** 
* Strong command of
 **star schema** 
 and dimensional modeling techniques.
* Experience implementing
 **SCDs** 
 (Types 1 \&amp; 2\).
**Medallion Architecture** 
* Hands\-on experience building bronze/silver/gold layers with clear logical boundaries.
**Benefits include but are not limited to:** 
* Medical/Dental/Vision
* 401K
* PTO/Paid Holidays
*To read our Candidate Privacy Information Statement, which explains how we will use your information, please visit https://www.akkodis.com/en/privacy\-policy.*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23">
      <c r="A23" t="inlineStr">
        <is>
          <t>li-4371694719</t>
        </is>
      </c>
      <c r="B23" t="inlineStr">
        <is>
          <t>Associate Data Engineer</t>
        </is>
      </c>
      <c r="C23" t="inlineStr">
        <is>
          <t>Ascensus</t>
        </is>
      </c>
      <c r="D23" t="inlineStr">
        <is>
          <t>linkedin</t>
        </is>
      </c>
      <c r="E23" t="inlineStr"/>
      <c r="F23" t="inlineStr"/>
      <c r="G23" t="inlineStr">
        <is>
          <t>Boston, MA</t>
        </is>
      </c>
      <c r="H23" t="inlineStr"/>
      <c r="I23" t="inlineStr">
        <is>
          <t>**Section 1: Position Summary**
 As an Associate Data Engineer at Ascensus, you will enable data\-driven decision making by collecting, transforming and visualizing the data. You will build, maintain and troubleshoot data processing systems with emphasis on security, reliability, fault
**Section 2: Job Functions, Essential Duties and Responsibilities** 
* Responsible for protecting, securing, and proper handling of all confidential data held by Ascensus to ensure against unauthorized access, improper transmission, and/or unapproved disclosure of information that could result in harm to Ascensus or our clients.
* Our I\-Client service philosophy and our Core Values of People Matter, Quality First and Integrity Always® should be visible in your actions on a day to day basis showing your support of our organizational culture.
* Build Power BI dashboards and reports that translate data into clear, decision‑ready insights for stakeholders
* Build and maintain data structures and data processing systems (tools, infrastructure, frameworks, services).
* Assist with EIM project definition and planning.
* Implement and troubleshoot deployments.
* Data Modeling
+ Assist with conceptual, logical and physical data models.
+ Update the Entity Relationship diagrams and Dimensional models.
* Data Integration
+ Services
- Build data ingestion tools, metrics, alerts and notifications, metadata management.
+ Build data replication services and Change Data Capture (CDC) processes to incrementally update data in the data warehouse / data marts from Ascensus systems of record.
* ETL development
+ Follow standards and best practices for implementing ETL tools in support of the EIM vision and reference architecture.
+ Build and maintain ETL solutions and platform.
+ Participate in creating long term ETL application support model.
* Data Warehouse and Data Marts
+ Follow technical standards and specifications addressing performance, security and orchestration of ETL and data warehouse / mart management.
+ Build processes for loading data into and extracting data from the warehouse / marts.
* Assist with other tasks and projects as assigned
**Supervision**
* N/A
**Section 3: Experience, Skills, Knowledge Requirements**
**Required Skills And Experience**
* 1\+ years of relevant experience in data/software development, including data warehousing and ETL tools, techniques and technology.
* Bachelor’s degree or equivalent work experience.
* Excellent analytical skills.
* Excellent oral and written communication skills including active listening. Asking appropriate questions, clarifying information and writing clear, concise documents.
* Working experience with SQL.
* Understanding of data modeling techniques.
* Understanding of Data Warehousing and ETL design/tools.
* Working experience with C\# Python or other data related programming languages.
 Preferred knowledge, skills and abilities:
- Experience with relational databases: SQL Server, Sybase ASE, Oracle, MySQL.
- Experience with NoSQL databases such as MongoDB, Redis.
- Experience with Fabric.
- Experience with data modeling tools like IDERA’s Embarcadero ER/Studio Data Architect.
- Experience with SSIS.
- Experience with SSAS.
 Experience with PowerBI, Cognos Analytics and Cognos Framework Manager. \&lt;\-\- Maybe put PowerBI under Required
 We are proud to be an Equal Opportunity Employer
 The national average salary range for this role is$75\-85k in base pay, exclusive of any bonuses and benefits. This base salary range represents the low and high end of the salary range for this position. Actual salary offered will vary and may be above or below the range based on various factors including but not limited to location, experience, performance, and internal pay alignment. We do not anticipate that candidates hired will begin at the top of the range however, from time to time, it may occur on a case\-by\-case basis.  Other rewards and benefits may include: 401(k) match, Medical, Dental, Vision, Paid\-Time\-Off, etc.  For more information, please visit careers.ascensus.com/\#Benefits
 *.*
*Be aware of employment fraud. All email communications from Ascensus or its hiring managers originate from @ascensus.com or @futureplan.com email addresses. We will never ask you for payment or require you to purchase any equipment. If you are suspicious or unsure about validity of a job posting, we strongly encourage you to apply directly through our website.*</t>
        </is>
      </c>
    </row>
    <row r="24">
      <c r="A24" t="inlineStr">
        <is>
          <t>li-4371894266</t>
        </is>
      </c>
      <c r="B24" t="inlineStr">
        <is>
          <t>Data Engineer</t>
        </is>
      </c>
      <c r="C24" t="inlineStr">
        <is>
          <t>Hyra</t>
        </is>
      </c>
      <c r="D24" t="inlineStr">
        <is>
          <t>linkedin</t>
        </is>
      </c>
      <c r="E24" t="inlineStr"/>
      <c r="F24" t="inlineStr"/>
      <c r="G24" t="inlineStr"/>
      <c r="H24" t="inlineStr"/>
      <c r="I24" t="inlineStr">
        <is>
          <t>Senior Data Engineer
 Location: Milwaukee, Wisconsin, 53205 \| Type: Remote \| Salary: $118,976 \- $212,680 annual
 Hyra is working on behalf of Northwestern Mutual to hire for the position of Senior Data Engineer. This role focuses on designing, developing, and maintaining data products and enterprise data platform infrastructure. You will collaborate with cross\-functional teams to implement auto\-scaling policies, advanced monitoring systems, and automated delivery frameworks.
 What you'll be doing
 • Design and maintain data platform infrastructure using Databricks, AWS Lake Formation, and Snowflake.
 • Implement observability frameworks and tooling for logging, metrics, and telemetry.
 • Build and configure AWS cloud resources including VPC, EC2, RDS, and Security Groups.
 • Optimize system performance through automation, self\-healing capabilities, and CI/CD pipelines.
 • Maintain Terraform modules for infrastructure deployment and perform security engineering assessments.
 What we're looking for
 • Bachelor's degree in Computer Information Sciences or a related field.
 • Three years of experience in data engineering or a related technical occupation.
 • Proficiency with AWS cloud services, system architecture, and networking components.
 • Experience with Data Lake platforms and distributed data systems.
 • Expertise in CI/CD pipeline technologies, git repositories, and test\-driven development.
 What Northwestern Mutual offers
 • Competitive annual salary with transparent pay ranges.
 • Flexible work environment with permitted telecommuting.
 • Opportunity to work with modern cloud and data technologies.
 • Professional development within a collaborative enterprise environment.
 Apply via Hyra to be considered for this opportunity.</t>
        </is>
      </c>
    </row>
    <row r="25">
      <c r="A25" t="inlineStr">
        <is>
          <t>li-4371879325</t>
        </is>
      </c>
      <c r="B25" t="inlineStr">
        <is>
          <t>Actimize Data Engineer</t>
        </is>
      </c>
      <c r="C25" t="inlineStr">
        <is>
          <t>Sunflower Bank, N.A.</t>
        </is>
      </c>
      <c r="D25" t="inlineStr">
        <is>
          <t>linkedin</t>
        </is>
      </c>
      <c r="E25" t="inlineStr"/>
      <c r="F25" t="inlineStr"/>
      <c r="G25" t="inlineStr">
        <is>
          <t>Austin, TX</t>
        </is>
      </c>
      <c r="H25" t="inlineStr"/>
      <c r="I25" t="inlineStr">
        <is>
          <t>**Description:**
 At Sunflower Bank, N.A., we’re experiencing great growth. Since our founding in 1892, we've been committed to serving our communities and supporting the team members who make it all possible. As a full\-service financial institution, we offer a full range of relationship\-focused services to meet personal, business, and wealth\-management financial objectives. Creating Possibility is not just our mission, it’s what we do every day for clients and associates. Learn more about Sunflower Bank, N.A. at sunflowerbank.com.
**Sunflower Bank, N.A.** 
 is looking for an energetic, highly motivated individual to fill the position of a full\-time
 **Actimize Data Engineer.**
**Hybrid/Remote Opportunity**
* MUST live and be based out of CO, KS, TX, MO, NM, MI, or AZ ONLY
**Great Compensation Plan with Amazing Benefits!**
**Applicants must be authorized to work for ANY employer in the U.S. We are unable to sponsor or take over sponsorship of an employment Visa at this time.**
****Description:****
 The role of the Actimize Data Engineer includes implementing new modules, performing data analysis, troubleshooting issues, and ensuring the performance and reliability of the bank’s Actimize Essentials and Xceed applications. The Actimize Engineer should have experience with Actimize modules, programming languages, and data integration. Strong problem\-solving, analytical, and communication skills are essential.
****Responsibilities:****
* Collaborate with stakeholders to gather requirements and translate them into technical specifications.
* Develop and maintain Actimize modules, including AML, Fraud Detection, SAM, CDD, CTR, and Sanctions.
* Ensure the scalability, performance, and reliability of Actimize implementations.
* Troubleshoot and resolve issues related to Actimize applications.
* Stay updated with the latest Actimize features and industry best practices.
* Conduct performance tuning and optimization of Actimize solutions.
* Create and maintain comprehensive documentation for Actimize implementations.
* Analysis and mapping of data from core banking platforms to Actimize solutions.
* Create, test, and deploy SQL queries used in integrations and reports.
* Design, build, and test integrations and data pipelines.
****Education / Experience Preferred:****
* Bachelor's degree in Computer Science, Information Technology, or a related field.
* Proven experience as an Actimize Engineer or similar role.
* Knowledge of Actimize Essentials and Actimize Xceed, including AML, Fraud Detection, SAM, CDD, CTR, and Sanctions modules.
* Understanding of financial crime, risk management, and compliance.
* Proficiency in Actimize rule development and customization.
* Experience with data ingestion, processing engines, and case management systems.
* Experience with programming languages such as C\# (preferred), Java, or Python.
* Experience with data integration, ETL processes, and SQL database queries.
* Core banking platform experience, preferably with Fiserv Signature and Black Knight (ICE) MSP.
* Excellent problem\-solving and analytical skills.
* Strong communication and interpersonal skills.
* Ability to work independently and as part of a team.
*Pay is dependent on knowledge, skills, abilities, experience, and location.*
**Working Conditions**
 The physical demands of this position require the ability to perform essential job functions with or without reasonable accommodation. Employees may spend extended periods sitting or standing, using hands to operate computers or other equipment, and reaching for work\-related tasks. Regular walking may be required, along with occasional bending, stooping, kneeling, or climbing. The role may involve lifting or moving items weighing up to 10 pounds. Vision requirements include close and distance vision, color and peripheral vision, depth perception, and the ability to adjust focus.
****Sunflower Bank Benefits****
 People choose to “bank” with us, but for those we serve, we’re more than a bank. We strive to be the financial backbone of their lives, and we know that starts with our team.
 Our supportive culture empowers team members to grow and seize new opportunities. Like our namesake, the sunflower, we are:
* Rooted in Strength
* Propelled by Growth
* Individuals in a Great Whole
* Creating Possibility
* Community Focused
**Associates Enjoy Outstanding Benefits, Including:**
* 401(k) Plan with 6% Match
* Health/Dental/Vision Insurance
* Company\-paid Life Insurance
* Tuition Reimbursement
* Fitness Reimbursement
* Paid Time Off
* Volunteer Leave
* Paid Holidays
* Plus many more associate perks \&amp; incentives!
 If you qualify, apply online at www.sunflowerbank.com/careers.
 You’ve never worked anyplace like Sunflower Bank!
 EOE/AA: Minorities/Females/Disabled/Vets
 Sunflower Bank, N.A. is an equal opportunity employer, and all qualified applicants will receive consideration for employment without regard to race, color, religion, sex, national origin, protected veteran status, status as a qualified individual with a disability, sexual orientation, gender identity, or any other characteristic protected by law.
 Open until filled; early application encouraged. This vacancy announcement may be used to fill similar positions within 90 days.
*If you are a California resident, you may be entitled to certain rights regarding your personal information, which is information that identifies, relates to, or could reasonably be linked with a particular California resident or household. Additional information about our data collection practices and location\-specific notices is available on our privacy policy.*</t>
        </is>
      </c>
    </row>
    <row r="26">
      <c r="A26" t="inlineStr">
        <is>
          <t>li-4371802084</t>
        </is>
      </c>
      <c r="B26" t="inlineStr">
        <is>
          <t>Associate Data Engineer</t>
        </is>
      </c>
      <c r="C26" t="inlineStr">
        <is>
          <t>Ascensus</t>
        </is>
      </c>
      <c r="D26" t="inlineStr">
        <is>
          <t>linkedin</t>
        </is>
      </c>
      <c r="E26" t="inlineStr"/>
      <c r="F26" t="inlineStr"/>
      <c r="G26" t="inlineStr">
        <is>
          <t>Newton, MA</t>
        </is>
      </c>
      <c r="H26" t="inlineStr"/>
      <c r="I26" t="inlineStr">
        <is>
          <t>**Section 1: Position Summary**
 As an Associate Data Engineer at Ascensus, you will enable data\-driven decision making by collecting, transforming and visualizing the data. You will build, maintain and troubleshoot data processing systems with emphasis on security, reliability, fault
**Section 2: Job Functions, Essential Duties and Responsibilities** 
* Responsible for protecting, securing, and proper handling of all confidential data held by Ascensus to ensure against unauthorized access, improper transmission, and/or unapproved disclosure of information that could result in harm to Ascensus or our clients.
* Our I\-Client service philosophy and our Core Values of People Matter, Quality First and Integrity Always® should be visible in your actions on a day to day basis showing your support of our organizational culture.
* Build Power BI dashboards and reports that translate data into clear, decision‑ready insights for stakeholders
* Build and maintain data structures and data processing systems (tools, infrastructure, frameworks, services).
* Assist with EIM project definition and planning.
* Implement and troubleshoot deployments.
* Data Modeling
+ Assist with conceptual, logical and physical data models.
+ Update the Entity Relationship diagrams and Dimensional models.
* Data Integration
+ Services
- Build data ingestion tools, metrics, alerts and notifications, metadata management.
+ Build data replication services and Change Data Capture (CDC) processes to incrementally update data in the data warehouse / data marts from Ascensus systems of record.
* ETL development
+ Follow standards and best practices for implementing ETL tools in support of the EIM vision and reference architecture.
+ Build and maintain ETL solutions and platform.
+ Participate in creating long term ETL application support model.
* Data Warehouse and Data Marts
+ Follow technical standards and specifications addressing performance, security and orchestration of ETL and data warehouse / mart management.
+ Build processes for loading data into and extracting data from the warehouse / marts.
* Assist with other tasks and projects as assigned
**Supervision**
* N/A
**Section 3: Experience, Skills, Knowledge Requirements**
**Required Skills And Experience**
* 1\+ years of relevant experience in data/software development, including data warehousing and ETL tools, techniques and technology.
* Bachelor’s degree or equivalent work experience.
* Excellent analytical skills.
* Excellent oral and written communication skills including active listening. Asking appropriate questions, clarifying information and writing clear, concise documents.
* Working experience with SQL.
* Understanding of data modeling techniques.
* Understanding of Data Warehousing and ETL design/tools.
* Working experience with C\# Python or other data related programming languages.
 Preferred knowledge, skills and abilities:
- Experience with relational databases: SQL Server, Sybase ASE, Oracle, MySQL.
- Experience with NoSQL databases such as MongoDB, Redis.
- Experience with Fabric.
- Experience with data modeling tools like IDERA’s Embarcadero ER/Studio Data Architect.
- Experience with SSIS.
- Experience with SSAS.
 Experience with PowerBI, Cognos Analytics and Cognos Framework Manager. \&lt;\-\- Maybe put PowerBI under Required
 We are proud to be an Equal Opportunity Employer
 The national average salary range for this role is$75\-85k in base pay, exclusive of any bonuses and benefits. This base salary range represents the low and high end of the salary range for this position. Actual salary offered will vary and may be above or below the range based on various factors including but not limited to location, experience, performance, and internal pay alignment. We do not anticipate that candidates hired will begin at the top of the range however, from time to time, it may occur on a case\-by\-case basis.  Other rewards and benefits may include: 401(k) match, Medical, Dental, Vision, Paid\-Time\-Off, etc.  For more information, please visit careers.ascensus.com/\#Benefits
 *.*
*Be aware of employment fraud. All email communications from Ascensus or its hiring managers originate from @ascensus.com or @futureplan.com email addresses. We will never ask you for payment or require you to purchase any equipment. If you are suspicious or unsure about validity of a job posting, we strongly encourage you to apply directly through our website.*</t>
        </is>
      </c>
    </row>
    <row r="27">
      <c r="A27" t="inlineStr">
        <is>
          <t>li-4371881302</t>
        </is>
      </c>
      <c r="B27" t="inlineStr">
        <is>
          <t>Actimize Data Engineer</t>
        </is>
      </c>
      <c r="C27" t="inlineStr">
        <is>
          <t>Sunflower Bank, N.A.</t>
        </is>
      </c>
      <c r="D27" t="inlineStr">
        <is>
          <t>linkedin</t>
        </is>
      </c>
      <c r="E27" t="inlineStr"/>
      <c r="F27" t="inlineStr"/>
      <c r="G27" t="inlineStr">
        <is>
          <t>Overland Park, KS</t>
        </is>
      </c>
      <c r="H27" t="inlineStr"/>
      <c r="I27" t="inlineStr">
        <is>
          <t>**Description:**
 At Sunflower Bank, N.A., we’re experiencing great growth. Since our founding in 1892, we've been committed to serving our communities and supporting the team members who make it all possible. As a full\-service financial institution, we offer a full range of relationship\-focused services to meet personal, business, and wealth\-management financial objectives. Creating Possibility is not just our mission, it’s what we do every day for clients and associates. Learn more about Sunflower Bank, N.A. at sunflowerbank.com.
**Sunflower Bank, N.A.** 
 is looking for an energetic, highly motivated individual to fill the position of a full\-time
 **Actimize Data Engineer.**
**Hybrid/Remote Opportunity**
* MUST live and be based out of CO, KS, TX, MO, NM, MI, or AZ ONLY
**Great Compensation Plan with Amazing Benefits!**
**Applicants must be authorized to work for ANY employer in the U.S. We are unable to sponsor or take over sponsorship of an employment Visa at this time.**
****Description:****
 The role of the Actimize Data Engineer includes implementing new modules, performing data analysis, troubleshooting issues, and ensuring the performance and reliability of the bank’s Actimize Essentials and Xceed applications. The Actimize Engineer should have experience with Actimize modules, programming languages, and data integration. Strong problem\-solving, analytical, and communication skills are essential.
****Responsibilities:****
* Collaborate with stakeholders to gather requirements and translate them into technical specifications.
* Develop and maintain Actimize modules, including AML, Fraud Detection, SAM, CDD, CTR, and Sanctions.
* Ensure the scalability, performance, and reliability of Actimize implementations.
* Troubleshoot and resolve issues related to Actimize applications.
* Stay updated with the latest Actimize features and industry best practices.
* Conduct performance tuning and optimization of Actimize solutions.
* Create and maintain comprehensive documentation for Actimize implementations.
* Analysis and mapping of data from core banking platforms to Actimize solutions.
* Create, test, and deploy SQL queries used in integrations and reports.
* Design, build, and test integrations and data pipelines.
****Education / Experience Preferred:****
* Bachelor's degree in Computer Science, Information Technology, or a related field.
* Proven experience as an Actimize Engineer or similar role.
* Knowledge of Actimize Essentials and Actimize Xceed, including AML, Fraud Detection, SAM, CDD, CTR, and Sanctions modules.
* Understanding of financial crime, risk management, and compliance.
* Proficiency in Actimize rule development and customization.
* Experience with data ingestion, processing engines, and case management systems.
* Experience with programming languages such as C\# (preferred), Java, or Python.
* Experience with data integration, ETL processes, and SQL database queries.
* Core banking platform experience, preferably with Fiserv Signature and Black Knight (ICE) MSP.
* Excellent problem\-solving and analytical skills.
* Strong communication and interpersonal skills.
* Ability to work independently and as part of a team.
*Pay is dependent on knowledge, skills, abilities, experience, and location.*
**Working Conditions**
 The physical demands of this position require the ability to perform essential job functions with or without reasonable accommodation. Employees may spend extended periods sitting or standing, using hands to operate computers or other equipment, and reaching for work\-related tasks. Regular walking may be required, along with occasional bending, stooping, kneeling, or climbing. The role may involve lifting or moving items weighing up to 10 pounds. Vision requirements include close and distance vision, color and peripheral vision, depth perception, and the ability to adjust focus.
****Sunflower Bank Benefits****
 People choose to “bank” with us, but for those we serve, we’re more than a bank. We strive to be the financial backbone of their lives, and we know that starts with our team.
 Our supportive culture empowers team members to grow and seize new opportunities. Like our namesake, the sunflower, we are:
* Rooted in Strength
* Propelled by Growth
* Individuals in a Great Whole
* Creating Possibility
* Community Focused
**Associates Enjoy Outstanding Benefits, Including:**
* 401(k) Plan with 6% Match
* Health/Dental/Vision Insurance
* Company\-paid Life Insurance
* Tuition Reimbursement
* Fitness Reimbursement
* Paid Time Off
* Volunteer Leave
* Paid Holidays
* Plus many more associate perks \&amp; incentives!
 If you qualify, apply online at www.sunflowerbank.com/careers.
 You’ve never worked anyplace like Sunflower Bank!
 EOE/AA: Minorities/Females/Disabled/Vets
 Sunflower Bank, N.A. is an equal opportunity employer, and all qualified applicants will receive consideration for employment without regard to race, color, religion, sex, national origin, protected veteran status, status as a qualified individual with a disability, sexual orientation, gender identity, or any other characteristic protected by law.
 Open until filled; early application encouraged. This vacancy announcement may be used to fill similar positions within 90 days.
*If you are a California resident, you may be entitled to certain rights regarding your personal information, which is information that identifies, relates to, or could reasonably be linked with a particular California resident or household. Additional information about our data collection practices and location\-specific notices is available on our privacy policy.*</t>
        </is>
      </c>
    </row>
    <row r="28">
      <c r="A28" t="inlineStr">
        <is>
          <t>li-4371887216</t>
        </is>
      </c>
      <c r="B28" t="inlineStr">
        <is>
          <t>Actimize Data Engineer</t>
        </is>
      </c>
      <c r="C28" t="inlineStr">
        <is>
          <t>Sunflower Bank, N.A.</t>
        </is>
      </c>
      <c r="D28" t="inlineStr">
        <is>
          <t>linkedin</t>
        </is>
      </c>
      <c r="E28" t="inlineStr"/>
      <c r="F28" t="inlineStr"/>
      <c r="G28" t="inlineStr">
        <is>
          <t>Scottsdale, AZ</t>
        </is>
      </c>
      <c r="H28" t="inlineStr"/>
      <c r="I28" t="inlineStr">
        <is>
          <t>**Description:**
 At Sunflower Bank, N.A., we’re experiencing great growth. Since our founding in 1892, we've been committed to serving our communities and supporting the team members who make it all possible. As a full\-service financial institution, we offer a full range of relationship\-focused services to meet personal, business, and wealth\-management financial objectives. Creating Possibility is not just our mission, it’s what we do every day for clients and associates. Learn more about Sunflower Bank, N.A. at sunflowerbank.com.
**Sunflower Bank, N.A.** 
 is looking for an energetic, highly motivated individual to fill the position of a full\-time
 **Actimize Data Engineer.**
**Hybrid/Remote Opportunity**
* MUST live and be based out of CO, KS, TX, MO, NM, MI, or AZ ONLY
**Great Compensation Plan with Amazing Benefits!**
**Applicants must be authorized to work for ANY employer in the U.S. We are unable to sponsor or take over sponsorship of an employment Visa at this time.**
****Description:****
 The role of the Actimize Data Engineer includes implementing new modules, performing data analysis, troubleshooting issues, and ensuring the performance and reliability of the bank’s Actimize Essentials and Xceed applications. The Actimize Engineer should have experience with Actimize modules, programming languages, and data integration. Strong problem\-solving, analytical, and communication skills are essential.
****Responsibilities:****
* Collaborate with stakeholders to gather requirements and translate them into technical specifications.
* Develop and maintain Actimize modules, including AML, Fraud Detection, SAM, CDD, CTR, and Sanctions.
* Ensure the scalability, performance, and reliability of Actimize implementations.
* Troubleshoot and resolve issues related to Actimize applications.
* Stay updated with the latest Actimize features and industry best practices.
* Conduct performance tuning and optimization of Actimize solutions.
* Create and maintain comprehensive documentation for Actimize implementations.
* Analysis and mapping of data from core banking platforms to Actimize solutions.
* Create, test, and deploy SQL queries used in integrations and reports.
* Design, build, and test integrations and data pipelines.
****Education / Experience Preferred:****
* Bachelor's degree in Computer Science, Information Technology, or a related field.
* Proven experience as an Actimize Engineer or similar role.
* Knowledge of Actimize Essentials and Actimize Xceed, including AML, Fraud Detection, SAM, CDD, CTR, and Sanctions modules.
* Understanding of financial crime, risk management, and compliance.
* Proficiency in Actimize rule development and customization.
* Experience with data ingestion, processing engines, and case management systems.
* Experience with programming languages such as C\# (preferred), Java, or Python.
* Experience with data integration, ETL processes, and SQL database queries.
* Core banking platform experience, preferably with Fiserv Signature and Black Knight (ICE) MSP.
* Excellent problem\-solving and analytical skills.
* Strong communication and interpersonal skills.
* Ability to work independently and as part of a team.
*Pay is dependent on knowledge, skills, abilities, experience, and location.*
**Working Conditions**
 The physical demands of this position require the ability to perform essential job functions with or without reasonable accommodation. Employees may spend extended periods sitting or standing, using hands to operate computers or other equipment, and reaching for work\-related tasks. Regular walking may be required, along with occasional bending, stooping, kneeling, or climbing. The role may involve lifting or moving items weighing up to 10 pounds. Vision requirements include close and distance vision, color and peripheral vision, depth perception, and the ability to adjust focus.
****Sunflower Bank Benefits****
 People choose to “bank” with us, but for those we serve, we’re more than a bank. We strive to be the financial backbone of their lives, and we know that starts with our team.
 Our supportive culture empowers team members to grow and seize new opportunities. Like our namesake, the sunflower, we are:
* Rooted in Strength
* Propelled by Growth
* Individuals in a Great Whole
* Creating Possibility
* Community Focused
**Associates Enjoy Outstanding Benefits, Including:**
* 401(k) Plan with 6% Match
* Health/Dental/Vision Insurance
* Company\-paid Life Insurance
* Tuition Reimbursement
* Fitness Reimbursement
* Paid Time Off
* Volunteer Leave
* Paid Holidays
* Plus many more associate perks \&amp; incentives!
 If you qualify, apply online at www.sunflowerbank.com/careers.
 You’ve never worked anyplace like Sunflower Bank!
 EOE/AA: Minorities/Females/Disabled/Vets
 Sunflower Bank, N.A. is an equal opportunity employer, and all qualified applicants will receive consideration for employment without regard to race, color, religion, sex, national origin, protected veteran status, status as a qualified individual with a disability, sexual orientation, gender identity, or any other characteristic protected by law.
 Open until filled; early application encouraged. This vacancy announcement may be used to fill similar positions within 90 days.
*If you are a California resident, you may be entitled to certain rights regarding your personal information, which is information that identifies, relates to, or could reasonably be linked with a particular California resident or household. Additional information about our data collection practices and location\-specific notices is available on our privacy policy.*</t>
        </is>
      </c>
    </row>
    <row r="29">
      <c r="A29" t="inlineStr">
        <is>
          <t>li-4371525526</t>
        </is>
      </c>
      <c r="B29" t="inlineStr">
        <is>
          <t>Data Engineer</t>
        </is>
      </c>
      <c r="C29" t="inlineStr">
        <is>
          <t>Haystack</t>
        </is>
      </c>
      <c r="D29" t="inlineStr">
        <is>
          <t>linkedin</t>
        </is>
      </c>
      <c r="E29" t="inlineStr"/>
      <c r="F29" t="inlineStr"/>
      <c r="G29" t="inlineStr"/>
      <c r="H29" t="inlineStr"/>
      <c r="I29" t="inlineStr">
        <is>
          <t>**Sr. AI Platform Data Engineer, Ring Decision Science \| Hawthorne, California \| $139,100 \- $240,500** 
 We're working with Amazon on this exciting opportunity.
 Join Amazon as a Sr. AI Platform Data Engineer, where you'll revolutionize data engineering by building cutting\-edge AI\-powered platforms and agentic AI solutions. If you're passionate about prompt\-driven development, leveraging AI at every layer of the data stack, and driving AI/ML initiatives with platforms that serve AI models, this role is for you.
**The Role** 
 • Design and implement AI\-native self\-service data platforms and curated datasets for AI/ML consumption.
 • Build and maintain efficient, scalable, and secure data pipelines using AI\-assisted development and AWS services.
 • Partner with software development engineers, scientists, and data analysts to deliver well\-modeled, easily discoverable data.
 • Lead AI\-assisted stakeholder engagement sessions across various business verticals, including Subscriptions, Security, Sales, and Marketing.
 • Implement AI\-powered self\-service platforms with natural language interfaces and intelligent governance systems for data classification and lineage tracking.
**What You'll Need** 
 • 5\+ years of data engineering experience with strong proficiency in data querying languages (e.g., SQL) and scripting languages (e.g., Python).
 • Extensive hands\-on experience developing, deploying, and managing AI products at scale, including Generative AI enhanced development pipelines and prompt engineering.
 • Proven experience with data modeling, warehousing, and building ETL pipelines for both analytics and ML use cases.
 • Demonstrated ability to build tools, frameworks, or platforms that empower others, with a focus on AI\-driven infrastructure.
 • Experience with AWS technologies (Redshift, S3, Glue, EMR, Kinesis, Lambda) and building multi\-agent systems, LangChain/LangGraph applications, or custom AI agent frameworks.
**What's On Offer** 
 • Opportunity to work at the forefront of AI innovation within Amazon's Decision Sciences team.
 • Be a part of an inclusive culture that empowers you to deliver the best results.
 • Competitive base pay ranging from $139,100 to $240,500, with a comprehensive total compensation package.
 • A dynamic remote\-friendly work environment that values continuous learning and growth.
**Apply via Haystack today!**</t>
        </is>
      </c>
    </row>
    <row r="30">
      <c r="A30" t="inlineStr">
        <is>
          <t>li-4371866504</t>
        </is>
      </c>
      <c r="B30" t="inlineStr">
        <is>
          <t>Senior Analytics Engineer</t>
        </is>
      </c>
      <c r="C30" t="inlineStr">
        <is>
          <t>Higgsfield AI</t>
        </is>
      </c>
      <c r="D30" t="inlineStr">
        <is>
          <t>linkedin</t>
        </is>
      </c>
      <c r="E30" t="inlineStr"/>
      <c r="F30" t="inlineStr"/>
      <c r="G30" t="inlineStr"/>
      <c r="H30" t="inlineStr"/>
      <c r="I30" t="inlineStr">
        <is>
          <t>**About Higgsfield** 
 Higgsfield AI is the leading video AI company redefining synthetic media on socials. The company is entering its next stage of scale with $200M\+ run\-rate sales in just 9 months after launch, and a fresh $130M Series A.
**Who we are looking for** 
 Everyone at Higgsfield is an A\-player. You are:
* A strong SQL and data modeling expert who cares deeply about metric integrity.
* Obsessed with building reliable, auditable systems, not just dashboards.
* Comfortable bringing structure to fast\-moving, ambiguous environments.
* An excellent communicator who can clearly explain complex metric logic to engineering, product, ML, growth, and finance.
* Motivated by company\-wide impact and ownership, not just local optimizations.
 This role reports into the VP of Finance but partners closely with every function. The ideal candidate is based in the San Francisco Bay Area and able to come in person 2 days a week.
**What you will work on** 
**Own the Source of Truth** 
* Translate product\- and finance\-defined metrics (engagement, MRR, CAC, LTV, margins, etc.) into durable, version\-controlled warehouse models (dbt or equivalent), ensuring consistent usage across the company.
* Eliminate conflicting logic across dashboards and teams.
* Ensure executive\- and board\-level reporting is powered by consistent, traceable warehouse logic.
**Build Guardrails** 
* Mature our existing BigQuery\-based stack by centralizing business logic in the warehouse and enforcing governance controls.
* Implement automated validation and reconciliation between product systems, billing systems, and financial reporting.
* Prevent silent metric drift and post\-close surprises.
* Ensure new products, models, and features are correctly integrated into reporting.
**Enable the Company** 
* Partner with Product, Engineering, ML, Growth, and Finance to deliver trusted, decision\-ready data.
* Improve documentation, testing, and transparency across the warehouse.
* Reduce key\-person risk and increase confidence in company metrics.
**What you bring** 
* 5\-10\+ years in analytics engineering, data engineering, or similar role owning business\-critical datasets.
* Expert\-level SQL and strong experience with transformation frameworks (e.g., dbt or equivalent).
* Experience supporting revenue or financial reporting in a high\-growth company.
* Proven ability to reconcile product/billing data with financial systems.
* Experience implementing warehouse\-level testing, validation, and governance.
* Strong written and verbal communication skills.
* Experience in a fast\-growing startup environment.</t>
        </is>
      </c>
    </row>
    <row r="31">
      <c r="A31" t="inlineStr">
        <is>
          <t>li-4323280826</t>
        </is>
      </c>
      <c r="B31" t="inlineStr">
        <is>
          <t>Ads Data Engineer - HTS Media Services</t>
        </is>
      </c>
      <c r="C31" t="inlineStr">
        <is>
          <t>Hopper</t>
        </is>
      </c>
      <c r="D31" t="inlineStr">
        <is>
          <t>linkedin</t>
        </is>
      </c>
      <c r="E31" t="inlineStr"/>
      <c r="F31" t="inlineStr"/>
      <c r="G31" t="inlineStr">
        <is>
          <t>Miami, FL</t>
        </is>
      </c>
      <c r="H31" t="inlineStr"/>
      <c r="I31" t="inlineStr">
        <is>
          <t>**About HTS Media**
 HTS Media is Hopper’s advertising and media division, built to help travel brands, destinations, and suppliers connect with travelers at scale. We power advertising placements across Hopper’s app and through our B2B partner network, which includes global brands like Capital One Travel and TripAdvisor. Our mission is to build the travel industry’s leading retail media network, turning advertising into a major driver of profitability for Hopper and our partners, much like Instacart, Uber, and Amazon have done in their sectors.
 We’re still in the early stages of our roadmap, yet HTS Media has already become one of Hopper’s fastest\-growing and most profitable business units. The engineering team plays a pivotal role in scaling the platform, ensuring our ad tech products deliver measurable impact for advertisers and seamless experiences for travelers.
**About The Role**
 As the foundational Data Engineer for HTS Media, you will own the data infrastructure that powers our entire advertising business. Our platform generates a massive volume of data, from ad impressions and clicks to audience segments and conversion events, that is critical to our advertisers, partners, and internal teams. Your mission is to build a robust, scalable data foundation from the ground up that transforms this raw data into the trusted, high\-quality datasets that power our advertiser\-facing reporting and enable our future ML models.
 You will be responsible for the full lifecycle of data, from building real\-time data pipelines to modeling data in our warehouse for analytics and reporting. You will partner closely with backend, full\-stack, and product teams to power fast, accurate, and reliable reporting that will build advertiser trust. You will lay the groundwork for our ML optimization engine
 **,** 
 which will drive ad\-serving predictions (like CTR and conversion rates) to make our platform smarter and more performant—mirroring the successful data\-driven ad platforms at companies like Amazon and Instacart. Your work will be the foundation of our platform's intelligence and a key factor in our ability to deliver measurable results.
**Responsibilities**
* Own the Data Architecture: Design, build, and maintain scalable and reliable ETL/ELT pipelines to process high\-volume advertising data.
* Build the Foundation: Develop and manage our analytical data warehouse, establishing it as the single source of truth for all reporting and analytics.
* Enable Insights: Create clean, reliable, and performant data models that power our advertiser reporting dashboards, internal analytics, and billing systems.
* Ensure Data Integrity: Implement robust data quality checks, monitoring, and alerting to ensure the accuracy and trustworthiness of our data.
* Collaborate and Empower: Work closely with the engineering and product teams to define data requirements and deliver the necessary data infrastructure to support new ad products and features.
* Prepare for the Future: Build the foundational data systems that will enable future ML\-driven optimizations for audience targeting and performance prediction.
**Experience**
* 4\+ years of data engineering experience, with a demonstrated track record of building and maintaining data infrastructure at scale.
* Expert\-level proficiency in SQL and a programming language like Python or Scala for data processing.
* Hands\-on experience with cloud\-based data warehousing solutions (e.g., BigQuery, Snowflake, Redshift).
* Proven success building and operationalizing data pipelines using orchestration tools (e.g., SQLMesh, Airflow, dbt).
* Experience with real\-time data streaming technologies (e.g., Google Pub/Sub, Kafka, Kinesis).
* Strong understanding of data modeling concepts and experience designing schemas for analytical workloads.
* Experience with ad tech, retail media, or large\-scale data systems is strongly preferred.
* Excellent communication skills and an ability to collaborate effectively with both technical and business stakeholders.
* A strong sense of ownership and the ability to operate with a high degree of autonomy in a fast\-paced, entrepreneurial culture.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 Billions of dollars worth of travel and travel fintech are sold through Hopper and HTS’ channels every year.
* Our fintech products – including Cancel for Any Reason and Flight Disruption Assistance – have exceptionally strong CSAT because the terms are always clear, and customers receive instant, no\-questions\-asked resolutions.
*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t>
        </is>
      </c>
    </row>
    <row r="32">
      <c r="A32" t="inlineStr">
        <is>
          <t>li-4326621663</t>
        </is>
      </c>
      <c r="B32" t="inlineStr">
        <is>
          <t>Data Engineer II</t>
        </is>
      </c>
      <c r="C32" t="inlineStr">
        <is>
          <t>The Fresh Market</t>
        </is>
      </c>
      <c r="D32" t="inlineStr">
        <is>
          <t>linkedin</t>
        </is>
      </c>
      <c r="E32" t="inlineStr"/>
      <c r="F32" t="inlineStr"/>
      <c r="G32" t="inlineStr">
        <is>
          <t>Greensboro, NC</t>
        </is>
      </c>
      <c r="H32" t="inlineStr"/>
      <c r="I32" t="inlineStr">
        <is>
          <t>**The Fresh Market \&amp; You**
 Our mission is to make everyday eating extraordinary for our guests. We create a warm, welcoming, memorable experience with exceptional, personal service
 ***.***
 We’re looking for a new team member who strives for excellence and brings positive energy, commitment, and a “can\-do” attitude to work every day
 ***.***
 We value teamwork and celebrate our successes as a team and will value your contribution!
**Added Benefits For Choosing The Fresh Market Team**
* Team member discount up to 40%
* Health, Dental \&amp; Vision insurance available for individual, spouse, partner, and family.
* And much more!
* 401K contribution and match for part\-time and full\-time team members.
* Personal time off and additional time off purchase plans available
**About the Position:**
 The Fresh Market currently has an opening for a Data Engineer in our Store Support Center (099\). The Data Engineer will be designing, developing, and supporting robust data warehouse systems. Expertise in planning, managing databases, and ensuring efficient data storage, access, and security. Proficient in technical administration for data warehouse development and maintenance, with a focus on coordinating data quality, performance, security, and overall management for organizational needs.
**What You'll Do**
* Collaborates with users to design, code, test, debug, and deploy databases that meet requirements and organizational needs.
* Acts as liaison between information technology and business units.
* Evaluate new data sources for adherence to the organization's quality standards and ease of integration.
* Manipulates and combines data from various sources to enlarge and enhance the data warehouse.
* Performs data extraction, ensures data accuracy, troubleshoots, and resolves bugs during data warehouse operations.
* Writes queries, stored procedures and functions for database development.
* Develops strategies for warehouse implementation, data acquisition and access, and data archiving and recovery.
* Plans and executes data warehouse implementations following system requirements and anticipated usage.
* Provides technical support and coordination during warehouse design, testing and movement to production.
* Designs and builds databases for data storage or processing.
* Evaluates existing database design to determine necessary updates, performance tuning, and integration requirements.
* Monitors databases' performance, scalability, and security and modifies procedures to optimize database designs.
* Builds data models and defines the structure, attributes and nomenclature of data elements.
* Understands and utilizes ETL tools like Informatica and programming languages like Python.
* Designs and writes code for ETL data solutions.
* Implements and enforces standards and procedures to ensure data is managed consistently and properly integrated within the warehouse.
* Ensures sufficient data quality is maintained so that the data can
* effectively support the business process.
* Defines data elements and establishes policies and procedures related to the collection and accuracy of data, and performs tests on data systems.
* Possesses comprehensive knowledge of database technologies and solid coding and computer system skills.
* Works on projects indpendently with general supervision.
* Work will be have moderate technicalical complexity.
* Can communicate facts, policies, and practices related to job area.
**Qualifications:**
**At a Minimum, What You’ll Need**
* Bachlors Degree in one of the following disciplines or similar: Computer Science, Database Systems, Information Systems, or equivelent engineering degree.
* Requires 2 \- 5 years of professionsal experience or deemed to possses that level of skill.
* Collaborate with other technical teams to assist in achievement of team agile sprint goals.
* Proficiency with the following technologies:
* SQL Language.
* Snowflake.
* (ETL/ELT) Systems.
* Cloud Data Warehouse Systems.
* Excellent analytical, conceptual thinking, problem solving, planning, and execution skills.
* Ability to identify and evaluation new data management technologies and the business benefits.
* Demonstrated ability to use agile methodology to estimate and plan project outcomes.
* Ability to drive organizational change and build data capabilities that effectively balance the need to continuously exploit capabilities to optimize operational efficiency with the need to deliver innovative and agile infrastructure.
* Ability to communicate ideas in both technical in a user\-friendly language.
* Enthusiastic and willing to work in a team\-oriented, collaborative Agile SCRUM environment.
* Strong customer\-service orientation and a professional demeanor.
* Excellent written and oral communication skills.
* Excellent listening and interpersonal skills.
* Excellent documentation skills.
* Highly self\-motivated and directed.
* After hours and Weekend on call support in a rotating manner.
**Preferred Qualifications**
* Certification in Snowflake, SQL Server, T\-SQL.
**We are proud to be an Equal Opportunity Employer:**
*REASONABLE ACCOMMODATIONS: Consistent with applicable laws, TFM will make reasonable accommodations for qualified applicants and team members, unless doing so would result in an undue hardship to TFM. This guiding principle applies to all aspects of employment, including hiring and job assignment, compensation, discipline, termination, and access to benefits and training.*
 Qualified applicants will receive consideration for employment without regard race, color, creed, religion, age, sex, gender, sexual orientation, gender identity, pregnancy and related medical conditions, national origin, genetic information, uniformed service, veteran status, disability, or any other basis prohibited by federal or state law.
*The statements in this job description are provided to describe the general nature and level of work expected in this role. While these statements include the essential functions of the job, they are not intended to be a complete list of all responsibilities, duties and skills required. As we work as a team, there may be times team members are needed to perform duties outside of their normal responsibilities based on business needs.*
*\#CL\-1*</t>
        </is>
      </c>
    </row>
    <row r="33">
      <c r="A33" t="inlineStr">
        <is>
          <t>li-4341199499</t>
        </is>
      </c>
      <c r="B33" t="inlineStr">
        <is>
          <t>Sr. Data Engineer</t>
        </is>
      </c>
      <c r="C33" t="inlineStr">
        <is>
          <t>Anblicks</t>
        </is>
      </c>
      <c r="D33" t="inlineStr">
        <is>
          <t>linkedin</t>
        </is>
      </c>
      <c r="E33" t="inlineStr"/>
      <c r="F33" t="inlineStr"/>
      <c r="G33" t="inlineStr">
        <is>
          <t>Dallas, TX</t>
        </is>
      </c>
      <c r="H33" t="inlineStr"/>
      <c r="I33" t="inlineStr">
        <is>
          <t>**Design And Development**
* Design, develop, and maintain scalable and optimized ELT/ETL data pipelines using the modern data stack (Snowflake, dbt, and orchestration tools like Airflow).
* Be the primary owner of dbt (data build tool) projects, including developing modular and tested data models, implementing data quality checks, and maintaining comprehensive documentation.
**Data Warehouse Management (Snowflake)**
* Implement advanced data modeling techniques (e.g., dimensional, Data Vault) within Snowflake to create clean, reliable datasets for analytics and business intelligence.
* Optimize Snowflake performance and cost efficiency by tuning SQL queries, managing virtual warehouses, and utilizing advanced features like clustering, caching, and Snowpipe.
**SQL And Problem\-Solving**
* Write complex, performant SQL to transform raw data into high\-value business metrics.
* Proactively identify and resolve complex data\-related issues, bottlenecks, and performance degradation across the data ecosystem.
* Collaboration and Communication:
* Work closely with data analysts, business intelligence developers, and product teams to translate business requirements into technical data solutions.
* Provide technical guidance, participate in code reviews for dbt models and SQL logic, and champion data engineering best practices.</t>
        </is>
      </c>
    </row>
    <row r="34">
      <c r="A34" t="inlineStr">
        <is>
          <t>li-4343161737</t>
        </is>
      </c>
      <c r="B34" t="inlineStr">
        <is>
          <t>Big Data Engineer / Senior Level</t>
        </is>
      </c>
      <c r="C34" t="inlineStr">
        <is>
          <t>CereCore</t>
        </is>
      </c>
      <c r="D34" t="inlineStr">
        <is>
          <t>linkedin</t>
        </is>
      </c>
      <c r="E34" t="inlineStr"/>
      <c r="F34" t="inlineStr"/>
      <c r="G34" t="inlineStr">
        <is>
          <t>Nashville, TN</t>
        </is>
      </c>
      <c r="H34" t="inlineStr"/>
      <c r="I34" t="inlineStr">
        <is>
          <t>**Classification:** 
 Contract
**Contract Length:** 
 6 Months
**Position Summary**
 We are looking for a
 **Big Data Engineer/Senior Level** 
 to join our team in
 **Nashville, TN.** 
 The Big Data Engineer/Senior\-Level serves as a primary development resource for design, writing code, test, implementation, document functionality, and maintain of NextGen solutions for the GCP Cloud enterprise data initiatives. The role requires working closely with data teams, frequently in a matrixed environment as part of a broader project team. Due to the emerging and fast\-evolving nature of technology and practice, the position requires that one stay well\-informed of technological advancements and be proficient at putting new innovations into effective practice. In addition, this position requires a candidate who can analyze business requirements, perform design tasks, construct, test, and implement solutions with minimal supervision. This candidate will have a record of accomplishment of participation in successful projects in a fast\-paced, mixed team environment.
**Responsibilities**
* Work with data engineers, data architects, SIEM Team stakeholders to understand product requirements and then design, build, and monitor streaming platforms and capabilities that meet today's requirements but can gracefully scale.
* Implement automated workflows that lower manual/operational costs, define and uphold SLAs for timely delivery of data, and move the company closer to democratizing streaming data.
* Enable a self\-service SIEM data architecture supporting query exploration, dashboards, data catalog, and rich data discovery.
* Promote a collaborative team environment that prioritizes effective communication, team member growth, and success of the team over success of the individual.
* Design and create real\-time data services using Confluent Kafka and/or Streamsets that accelerate the time from idea to insight.
* Adheres to and supports platform engineering best practices, processes, and standards.
* Produce high quality, modular, reusable code that incorporates best practices
* Helps promote and support security best practices that align with industry standards and regulatory and legal requirements. Help mentor team members on complex data projects and following the Agile process.
* Help lead implementation of unit and integration tests and promote and conduct performance testing where appropriate.
* Be a leader in the HCA data community. Evangelize data and platform engineering best practices and standards, participate or present at community events, and encourage the continual growth and development of others.
* Develop a strong understanding of relevant product area, codebase, and/or systems
* Demonstrate proficiency in data analysis, programming, and software engineering
* Work closely with the Lead Architect and Product Owner to define, design and build new features and improve existing products
* Produce high quality code with good test coverage, using modern abstractions and frameworks
* Work independently, and complete tasks on\-schedule by exercising strong judgment and problem\-solving skills
* Closely collaborates with team members to successfully execute development initiatives using Agile practices and principles
* Participates in the deployment, change, configuration, management, administration and maintenance of deployment process and systems
* Proven experience effectively prioritizing workload to meet deadlines and work objectives
* Works in an environment with rapidly changing business requirements and priorities
* Work collaboratively with Data Scientists and business and IT leaders throughout the company to understand their needs and use cases.
* Work closely with management, architects and other teams to develop and implement the projects.
* Actively participate in technical group discussions and adopt any new technologies to improve the development and operations.
**Requirements**
* This role will provide application development for specific business environments.
* Responsible for building and supporting a GCP based ecosystem designed for enterprise\-wide analysis of structured, semi\-structured, and unstructured data.
* Bring new data sources into GCP, transform and load to databases and support regular requests to move data from one cluster to another
* Develop a strong understanding of relevant product area, codebase, and/or systems
* Demonstrate proficiency in data analysis, programming, and software engineering
* Work closely with the Lead Architect and Product Owner to define, design and build new features and improve existing products
* Produce high quality code with good test coverage, using modern abstractions and frameworks
* Work independently, and complete tasks on\-schedule by exercising strong judgment and problem\-solving skills
* Closely collaborates with team members to successfully execute development initiatives using Agile practices and principles
* Participates in the deployment, change, configuration, management, administration and maintenance of deployment process and systems
* Proven experience effectively prioritizing workload to meet deadlines and work objectives
* Works in an environment with rapidly changing business requirements and priorities
* Work collaboratively with Data Scientists and business and IT leaders throughout the company to understand their needs and use cases.
* Work closely with management, architects and other teams to develop and implement the projects.
* Actively participate in technical group discussions and adopt any new technologies to improve the development and operations.</t>
        </is>
      </c>
    </row>
    <row r="35">
      <c r="A35" t="inlineStr">
        <is>
          <t>li-4332913144</t>
        </is>
      </c>
      <c r="B35" t="inlineStr">
        <is>
          <t>Staff Data Engineer</t>
        </is>
      </c>
      <c r="C35" t="inlineStr">
        <is>
          <t>Bestow</t>
        </is>
      </c>
      <c r="D35" t="inlineStr">
        <is>
          <t>linkedin</t>
        </is>
      </c>
      <c r="E35" t="inlineStr"/>
      <c r="F35" t="inlineStr"/>
      <c r="G35" t="inlineStr"/>
      <c r="H35" t="inlineStr"/>
      <c r="I35" t="inlineStr">
        <is>
          <t>**About Bestow**
 Life insurance is one of the world's most important products. It's also one of the hardest to build, distribute, and modernize. Bestow exists to change that.
 Bestow is a leading vertical technology platform serving some of the largest and most innovative life insurers. Our platform unifies the fragmented, legacy value chain, enabling carriers to launch products in weeks instead of years. Carriers choose us to scale and operate at unprecedented speed, powered by AI and automation.
 Bestow isn't selling policies. We're building the infrastructure that helps an entire industry move faster, reach more people, and deliver on its promise.
 Backed by leading investors (Goldman Sachs, Hedosophia, NEA, Valar, 8VC) and trusted by major carriers, Bestow is powered by a team that moves with precision, purpose, and heart. If you want to help reimagine a centuries\-old industry with lasting impact, join us.
 Bestow offers flexible remote/hybrid work, meaningful benefits, equity, and substantial growth opportunities.
*Bestow participates in the* 
*E\-Verify Program* 
*.*
**About The Team**
 The Bestow Data Engineering team plays a significant role within the organization, working across the entire company to provide scalable data solutions within the platform and toward integrations with external partners. The data engineering team works closely with internal analytics and data science team members in order to improve data architecture, rapidly prototype, and serve data science predictions. In addition, data engineers work closely with stakeholders, members from product, and engineering to design and launch new systems for extracting, transforming and storing data. You’ll be called upon to improve Bestow’s data reliability, efficiency and quality and will be expected to scale your solutions to the cloud environment of a SaaS company, iterate quickly, and make pragmatic choices around what tools and technologies to adopt.
**What You’ll Do**
 As a Staff Data Engineer, you will serve as a technical leader and strategic advisor for Bestow's data infrastructure and architecture. You will drive the long\-term vision for our data platform while mentoring engineers and influencing technical decisions across the organization.
**Technical Leadership \&amp; Strategy**
* Define and drive the technical roadmap for data infrastructure, establishing architectural patterns and standards that scale across the organization
* Lead the design and implementation of complex, multi\-system data architectures that support business\-critical operations and enable innovation (data ingestion \+ export and delivery)
* Evaluate and champion adoption of emerging technologies and best practices in data engineering, MLOps, and GenAI
* Establish data governance frameworks, quality standards, and operational excellence practices across all data workloads
* Drive cross\-functional initiatives that require coordination between data, product, engineering, and business teams
**Architecture \&amp; Systems Design**
* Architect enterprise\-scale data solutions for transferring data from first and third\-party applications to and from our data warehouse
* Design and oversee the development of robust, scalable APIs (REST, GraphQL, gRPC) that enable data access for internal teams and external partners
* Lead the evolution of event\-driven and API\-first data architectures that support real\-time data sharing and integration
* Leverage Google Cloud (GCP) tools (Cloud Run, Cloud Functions, Vertex AI, App Engine, Cloud Storage, IAM, etc.) and services (Astronomer \- Apache Airflow) to architect and bring enterprise data workloads to production
* Design resilient, self\-healing data systems with comprehensive monitoring, alerting, and automated remediation \- and participating as part of an on\-call rotation.
* Lead the evolution of our data platform on Google Cloud (GCP), leveraging advanced services and optimizing for cost, performance, and reliability
* Define patterns for streaming and batch data architectures that serve diverse use cases
* Establish best practices for data contracts, API versioning, CI/CD, documentation, and partner integrations
**MLOps \&amp; AI Leadership**
* Lead MLOps strategy and implementation, establishing patterns for model deployment, monitoring, and governance at scale
* Architect and oversee Generative AI infrastructure, enabling rapid prototyping while ensuring enterprise\-grade security, compliance, and cost management
* Partner with Data Science leadership to translate research initiatives into production\-ready solutions
* Drive innovation in AI/ML tooling and infrastructure, staying ahead of industry trends
**Mentorship \&amp; Team Development**
* Mentor and guide Data Engineers at all levels, conducting design reviews and providing technical feedback
* Establish engineering standards, documentation practices, and knowledge\-sharing processes
* Participate in hiring and onboarding processes, helping to build a world\-class data engineering team
* Foster a culture of engineering excellence, experimentation, and continuous improvement
**Collaboration \&amp; Influence**
* Partner with product, engineering, and business leaders to align data strategy with organizational goals
* Making decisions as a team. The things you build will be maintained and improved upon by others; there is a shared responsibility to make defensible design considerations and high collaboration.
* Communicate complex technical concepts to non\-technical stakeholders, building alignment and driving informed decision\-making
* Represent data engineering in cross\-functional planning and architecture forums
* Build strong relationships with external partners and vendors
**Who You Are**
* 10\+ years working in a data engineering role that supports incoming/outgoing feeds as well as analytics and data science teams
* 5\+ years of advanced Airflow and Python experience writing production\-grade, efficient, testable, and maintainable code
* 3\+ years of experience designing, building, and maintaining production APIs (REST, GraphQL, gRPC) for data access and integration, including API gateway management, rate limiting, authentication/authorization, and versioning strategies
* 3\+ years leading ML/MLOps initiatives, including model deployment, monitoring, and governance at scale
* 3\+ years of hands\-on experience with Google Cloud Platform (GCP) including Cloud Run, Cloud Functions, Vertex AI, Cloud Storage, IAM, and other core services.
* Deep expertise with columnar databases (BigQuery, Snowflake, Redshift) and advanced SQL optimization techniques.
* Demonstrated experience with AI Coding assistants – AI tools are heavily engrained in Bestow culture.
* Proven track record designing an end\-to\-end data pipeline in cloud frameworks (such as GCP, AWS, Azure) with requirements from multiple stakeholders
* Experience with upstream data coordination through data contracts.
* Experience building CICD pipelines for data processing using tools such as Docker, CircleCI, dbt, git, etc
* Extensive experience with infrastructure as code (Terraform, Pulumi) and GitOps practices
* Expert level knowledge of data orchestration frameworks such as Apache Airflow (or similar) to manage SLOs and processing dependencies
* Experience in building streaming / real\-time ingestion pipelines
* Experience with creating alerts and monitoring pipelines which contribute to overall data governance.
* Experience with containerization and container orchestration technologies with cloud architecture and implementation features (single\- and multi\-tenancy, orchestration, elastic scalability)
* Deep understanding of standard IT security practices such as identity and access management (IAM), data protection, encryption, certificate, and key management.
* Adaptability to learn new technologies and products as the job demands.
* Proven ability to mentor engineers and lead technical initiatives across teams
* Nice to have: Familiarity with building tools that draw upon Generative AI (GenAI) integrations (Enterprise\-grade, not simply vibe\-coded).
**TOTAL REWARDS**
 At Bestow, we’re proud to be awarded for our team members, innovative products, and culture. Our standard benefits include:
* Competitive salary and equity based on role
* Policies and managers that support work/life balance, like our flexible paid time off and parental leave programs
* 100% paid\-premium option for medical, dental, and vision insurance
* Lifestyle stipend to support your physical, emotional, and financial wellbeing
* Flexible work\-from\-home policy and open to remote
* Remote and WFH options, as well as a beautiful, state\-of\-the\-art office in Dallas’ Deep Ellum, for those who prefer an office setting
* Employee\-led diversity, equity, and inclusion initiatives
**Recent Employer Awards Include**
* Best Place for Working Parents 2023 \+ 2024 \+ 2025
* Great Place to Work Certified, 2022 \+ 2023 \+ 2024 \+ 2025
* Built In Best Places to Work, 2022 \+ 2023 \+ 2025
* Fortune’s Best Workplaces in Texas 2022 \+ 2023
* Fortune’s Best Workplaces in Financial Services and Insurance 2022 \+ 2023 \+ 2024
 We value diversity at Bestow. The company will hire, recruit, and promote regardless of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team member.
 Thanks for considering a job at Bestow!</t>
        </is>
      </c>
    </row>
    <row r="36">
      <c r="A36" t="inlineStr">
        <is>
          <t>li-4371510535</t>
        </is>
      </c>
      <c r="B36" t="inlineStr">
        <is>
          <t>Senior Data Engineer</t>
        </is>
      </c>
      <c r="C36" t="inlineStr">
        <is>
          <t>LTIMindtree</t>
        </is>
      </c>
      <c r="D36" t="inlineStr">
        <is>
          <t>linkedin</t>
        </is>
      </c>
      <c r="E36" t="inlineStr"/>
      <c r="F36" t="inlineStr"/>
      <c r="G36" t="inlineStr">
        <is>
          <t>Irving, TX</t>
        </is>
      </c>
      <c r="H36" t="inlineStr"/>
      <c r="I36"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Senior Data Engineer
**Work Location** 
 : Irving, Texas
**Job Description:** 
* This role is for Quality Engineering team where 70percent of effort will be for developing automation frameworks for testing Remaining 30percent effort will be on manual testing until its fully automated
* Exp 2 to 4 Years Must have good technical experience and should be able to provide technical solutions for multiple modules in parallel on need basis and bring the task to closure on time
* At least 2 years of development work experience in Hadoop programming HDFS using pyspark Hive based Data warehouse projects and with good Shell Scripting experience
* Responsible for understanding requirements and developing automation solutions to validate the data loaded by Development team
* Expecting to have some UIAngular Power BI experience as well Excellent communication and documentation skill
* Very good at team playing and flexibility to work in different time zones based on project needs
* Should be able to work independently
* Prior Experience to any Databases like Oracle SQL Server ETL will be added advantage
* Nice to Have DQ Experience Autosys Jenkin RLM etc
* Proactive and have good communication skills to articulate technical issues Exposure to Confluence JIRA
**Benefits and Perk** 
 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t>
        </is>
      </c>
    </row>
    <row r="37">
      <c r="A37" t="inlineStr">
        <is>
          <t>li-4364140208</t>
        </is>
      </c>
      <c r="B37" t="inlineStr">
        <is>
          <t>Staff Data Platform Engineer</t>
        </is>
      </c>
      <c r="C37" t="inlineStr">
        <is>
          <t>Machinify</t>
        </is>
      </c>
      <c r="D37" t="inlineStr">
        <is>
          <t>linkedin</t>
        </is>
      </c>
      <c r="E37" t="inlineStr"/>
      <c r="F37" t="inlineStr"/>
      <c r="G37" t="inlineStr"/>
      <c r="H37" t="inlineStr"/>
      <c r="I37" t="inlineStr">
        <is>
          <t>Machinify is a leading healthcare intelligence company with expertise across the payment continuum, delivering unmatched value, transparency, and efficiency to health plan clients across the country. Deployed by over 85 health plans, including many of the top 20, and representing more than 270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We’re seeking a skilled
 **Staff Data Platform Engineer** 
 to join our team!
 The Data Platform Development team builds the internal systems that power and extend the Machinify platform. We focus on creating scalable, reliable infrastructure that enables seamless communication, data processing, and analytics across our products and customer\-facing systems.
 Working closely with the core Machinify platform—written in Scala—we act as internal platform customers, designing and building orchestration and supporting services in Golang that sit on top of the core engine. Our team develops internal products and analytics capabilities that enhance performance, reliability, and extensibility across the organization, ensuring our platform can scale alongside our customers and AI\-driven use cases.
 We are seeking an experienced Staff Data Platform Engineer with a focus on big data systems, orchestration, and ETL processes. In this role, you will architect and implement scalable data infrastructure using both existing and greenfield systems. You will collaborate with cross\-functional teams to ensure our data solutions meet business needs and leverage cloud\-native tools for optimal performance.
 Does this sound like the right opportunity to explore?... Lets connect!
**What You’ll Do**
* Design and build scalable and high\-performance data software solutions using Golang and Python.
* Build and deploy Kubernetes\-based systems to manage containerized applications in cloud\-native environments.
* Collaborate with cross\-functional teams to understand and address customer needs, ensuring our systems evolve to meet future requirements.
* Optimize performance, reliability, and security of our backend infrastructure.
* Work on data modeling and transformation to support machine learning workflows and AI\-powered applications.
**What You Bring**
* 10\+ Years in software development with Python and SQL.
* Strong understanding of ETL processes, big data pipelines, and relational databases (PostgreSQL, SQL Server, etc.).
* Experience with orchestration tools (e.g., Airflow, Prefect, Dagster).
* Knowledge of cloud platforms (AWS, Azure, GCP) and their ecosystem tools.
* Strong problem\-solving skills and clean coding practices.
* Experience with Apache Spark or similar technologies.
* Experience with agentic coding workflows.
* Experience with data modeling, transformation, and integration.
* Experience with data quality, lineage, and modeling tools.
* Experience in software development with Golang.
* Experience with managed data lake systems (e.g., Databricks, Snowflake, AWS Redshift).
* Familiarity with Kubernetes and container orchestration (Docker, Helm, etc.).
* Familiarity with infrastructure\-as\-code systems (e.g., Terraform, Ansible)
* Knowledge of monitoring and logging tools for distributed systems (Prometheus, Grafana, ELK stack).
* Experience with CI/CD pipelines and automated testing.
* Strong understanding of data modeling, ETL workflows, and data transformation techniques.
**What We Offer**
* Work from anywhere in the US! Machinify is digital\-first.
* Full Medical/Dental/Vision for employees \&amp; their families
* Flexible and trusting environment where you’ll feel empowered to do your best work
* Unlimited FTO
* Competitive salary, equity, 401(k) including employer match
 The salary for this position is based on an array of factors unique to each candidate: Such as years and depth of experience, set skills, certifications, etc. The base salary range for this role is $210k\-$250k. We are hiring for different levels, and our Recruiting team will let you know if you qualify for a different role/range. Salary is one component of the total compensation package, which includes meaningful equity, excellent healthcare, flexible time off, and other benefits and perks.
**Equal Employment Opportunity at Machinify**
 We are committed to equal employment opportunity regardless of race, color, ancestry, religion, sex, national origin, sexual orientation, age, citizenship, marital status, disability, gender, gender identity or expression, or veteran status. We are proud to be an equal opportunity workplace. Machinify is an employment at will employer. We participate in E\-Verify as required by applicable law. In accordance with applicable state laws, we do not inquire about salary history during the recruitment process. If you require a reasonable accommodation to complete any part of the application or recruitment process, please let our recruiters know. See our Candidate Privacy Notice at: https://www.machinify.com/candidate\-privacy\-notice/</t>
        </is>
      </c>
    </row>
    <row r="38">
      <c r="A38" t="inlineStr">
        <is>
          <t>li-4371516397</t>
        </is>
      </c>
      <c r="B38" t="inlineStr">
        <is>
          <t>Sr Azure Data Engineer with GenAI</t>
        </is>
      </c>
      <c r="C38" t="inlineStr">
        <is>
          <t>Smart IT Frame LLC</t>
        </is>
      </c>
      <c r="D38" t="inlineStr">
        <is>
          <t>linkedin</t>
        </is>
      </c>
      <c r="E38" t="inlineStr"/>
      <c r="F38" t="inlineStr"/>
      <c r="G38" t="inlineStr">
        <is>
          <t>Mount Laurel, NJ</t>
        </is>
      </c>
      <c r="H38" t="inlineStr"/>
      <c r="I38" t="inlineStr">
        <is>
          <t>**Role: Sr Azure Data Engineer with GenAI** 
**Location: Mount Laurel, NJ (4 days onsite a week)** 
**Job type: Full time/Contract** 
**Domain: Banking (Cards, Payment)** 
**About Smart IT Frame:** 
 At Smart IT Frame, we connect top talent with leading organizations across the USA. With over a decade of staffing excellence, we specialize in IT, healthcare, and professional roles, empowering both clients and candidates to grow together.
**Primary Skills: Azure, Databricks, PySpark, ADF, Synapse, AI/ML, LLM; Python** 
**Job Description:** 
* We are seeking a highly skilled Senior Azure Data Engineer with expertise in Databricks and PySpark to join our dynamic team.
* This role involves designing, developing, and maintaining scalable data solutions on Azure, leveraging modern data engineering tools and frameworks.
* Additionally, 20% of the role will focus on integrating and applying Generative AI (GenAI) technologies to enhance data processing, analytics, and automation capabilities.
**Key Responsibilities** 
* Design, develop, and optimize data pipelines and workflows using Azure Data Factory, Azure Databricks, and PySpark.
* Build and maintain scalable, robust, and secure data architectures on Azure cloud platforms.
* Collaborate with data scientists, analysts, and business stakeholders to integrate data engineering solutions with GenAI models and applications.
* Develop and implement ETL/ELT processes to ingest, transform, and load large volumes of structured and unstructured data.
* Monitor and troubleshoot data pipeline performance, ensuring data quality, integrity, and availability.
* Utilize Azure Synapse Analytics, Azure Data Lake Storage, and related services to support big data and analytics initiatives.
* Lead efforts to incorporate GenAI technologies (e.g., large language models, AI\-driven data augmentation, automated data insights) into existing data workflows.
* Stay current with emerging Azure technologies, Databricks features, PySpark enhancements, and GenAI advancements.
* Mentor junior engineers and contribute to best practices, documentation, and knowledge sharing.
**Required Skills and Qualifications** 
* Proven experience with Azure Data Engineering tools: Azure Databricks, Azure Data Factory, Azure Data Lake Storage, and Azure Synapse Analytics.
* Strong proficiency in PySpark and Python for building and optimizing large\-scale data pipelines.
* Solid understanding of Generative AI concepts, including experience working with large language models, AI\-driven data augmentation, or related GenAI applications.
* Ability to collaborate effectively with AI and data science teams to integrate GenAI models into production data workflows.
* Knowledge of data governance, security best practices, and compliance standards in cloud environments.
* Excellent problem\-solving skills and ability to work in an agile, fast\-paced environment.
* Strong communication skills for cross\-functional collaboration.
 📩 Apply today or share profiles at ajayjoshuva.p@smartitframe.com</t>
        </is>
      </c>
    </row>
    <row r="39">
      <c r="A39" t="inlineStr">
        <is>
          <t>li-4365563254</t>
        </is>
      </c>
      <c r="B39" t="inlineStr">
        <is>
          <t>Senior Data Engineer</t>
        </is>
      </c>
      <c r="C39" t="inlineStr">
        <is>
          <t>Trepp, Inc.</t>
        </is>
      </c>
      <c r="D39" t="inlineStr">
        <is>
          <t>linkedin</t>
        </is>
      </c>
      <c r="E39" t="inlineStr"/>
      <c r="F39" t="inlineStr"/>
      <c r="G39" t="inlineStr"/>
      <c r="H39" t="inlineStr"/>
      <c r="I39" t="inlineStr">
        <is>
          <t>Trepp's Data Platform Team is looking for individuals with strong backgrounds in programming to undertake challenging projects in our NYC office.
 The Data Platform Team powers all products at Trepp by using distributed data technologies built on our datalake. The Core Team is dedicated to establishing a robust foundation through architecture reviews, managing observability frameworks, and continuously assessing our processes and technology. The team oversee the maintenance of data ingestion and pipeline frameworks, while also developing new frameworks to empower developers.
 As a member of the Data Platform Core Team, you’ll be using open source and cloud technologies to drive innovation on our data platform.
 You will get the chance to work with teams across different line of business and other engineering teams to tackle complex problems and design scalable solutions. You will be an integral part of a team which is responsible for platform stability and foundational work.
**Responsibilities:**
* Become a Subject Matter Expert (SME) on our frameworks to assist in developing roadmaps and prioritizing initiatives.
* Identify opportunities to improve the platform through technical discussions and project proposals.
* Leverage project planning skills to transform high\-level ideas into design and implementation.
* Demonstrate leadership ability to back decisions with research and the “why,” and articulate several options, the pros and cons for each, and a recommendation
* Implement best practices in Data Engineering to drive innovation and enhance our platform as we scale.
**Basic Qualifications:**
* Bachelor’s Degree
* At least 5 years of experience in application development
* At least 3 years of experience in big data technologies
* At least 1 year of experience with cloud computing (AWS, Microsoft Azure, Google Cloud)
* Experience with Agile and SDLC, Git workflows, and CI/CD
**Preferred Qualifications:**
* 5 \+ years of experience in application development including Python, SQL, Scala, or Java
* 3\+ years of experience with a public cloud (AWS, Microsoft Azure, Google Cloud)
* 5\+ years of experience with Distributed data/computing tools (MapReduce, Hadoop, Hive, EMR, Kafka, Spark)
* 2\+ years of experience working on real\-time data and streaming applications
* 3\+ years of data warehousing experience (Redshift or Snowflake)
* 2\+ years of experience with UNIX/Linux including basic commands and shell scripting
**Salary Range:**
* Base salary starting from $185k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**Workplace Policy:**
*NYC, PA, and London office\-based positions:* 
 Trepp’s offices follows a 3\-2 hybrid\-working policy with the expectation of in\-office work on Tuesday\-Thursday and the option to work from home on Monday and Friday.
 Applicants for employment in the US must have work authorization that does not now or in the future require sponsorship of a visa for employment authorization in the United States and with Trepp (i.e., H1\-B visa, F\-1 visa (OPT), TN visa or any other non\-immigrant status). Trepp maintains a drug\-free workplace.</t>
        </is>
      </c>
    </row>
    <row r="40">
      <c r="A40" t="inlineStr">
        <is>
          <t>li-4346806371</t>
        </is>
      </c>
      <c r="B40" t="inlineStr">
        <is>
          <t>Senior Data Engineer</t>
        </is>
      </c>
      <c r="C40" t="inlineStr">
        <is>
          <t>RBC</t>
        </is>
      </c>
      <c r="D40" t="inlineStr">
        <is>
          <t>linkedin</t>
        </is>
      </c>
      <c r="E40" t="inlineStr"/>
      <c r="F40" t="inlineStr"/>
      <c r="G40" t="inlineStr">
        <is>
          <t>Minneapolis, MN</t>
        </is>
      </c>
      <c r="H40" t="inlineStr"/>
      <c r="I40" t="inlineStr">
        <is>
          <t>**Job Description**
**What is the opportunity?**
 The Sr. Data Engineer will be responsible for the ingestion, transformation, and maintenance of US Wealth Management data used to serve reporting and analytics needs for the business. Working closely with Data Analyst and Data Architects, you will use your technical skills to understand and execute business requirements.
**What will you do?**
* Develop data ingestion using RBC Integrated Data Pipeline to move data from RBC network to Snowflake
* Build transformation layer following the medallion architecture in Snowflake
* Apply standardization and create facts and dimensions in Snowflake data warehouse
* Create reports and data products for business to consume
* Ensure quality of data pipelines via analysis and unit tests
* Set development standards and lead code reviews
* Mentor other team members to develop their skillsets and abilities
**What do you need to succeed?**
**Must\-have**
* 5\-10 years of experience working with ETL, databases \&amp; data warehouses
* Understanding Snowflake roles and user security
* Familiarity with Snowflake features such as SnowSQL, Snowpipe, Streams, and Tasks
* Experience designing solutions leveraging Snowflake native capabilities
* Hands\-on experience with data ingestion and transformation
* Practical knowledge of SQL and Python
**Nice\-to\-have**
* Experience with cloud platforms such as AWS and Azure
* Automation and scripting experience
* Experience working in other programming languages such as Java \&amp; .NET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 A comprehensive Total Rewards Program including bonuses and flexible benefits, competitive compensation, commissions, and stock where applicable
* Leaders who support your development through coaching and managing opportunities
* Ability to make a difference and lasting impact
* Work in a dynamic, collaborative, progressive, and high\-performing team
* Flexible work/life balance options
* Opportunities to do challenging work
* Opportunities to take on progressively greater accountabilities
* Access to a variety of job opportunities across business
*The good\-faith expected salary range for the above position is $80,000 \- $140,000 depending on factors including but not limited to the candidate’s experience, skills, registration status; market conditions; and business needs. This salary range does not include other elements that comprise our total compensation package, which includes the following: commission sharing eligibility for select roles, a discretionary bonus, a paid time\-off plan, our 401(k) program with company\-matching contributions, and our health, dental, vision, life and disability insurance.*
*RBC’s compensation philosophy and principles recognize the importance of a highly qualified global workforce and plays a critical role in attracting, engaging and retaining talent that:*
* Drives RBC’s high performance culture
* Enables collective achievement of our strategic goals
* Generates sustainable shareholder returns and above market shareholder value
**Job Skills**
 Big Data Management, Cloud Computing, Database Development, Data Mining, Data Warehouse ETL, Data Warehousing (DW), ETL Development, ETL Pipelines, ETL Processing, Extract Transform Load (ETL), Group Problem Solving, Python (Programming Language), Quality Management, Requirements Analysis, Snowflake (Platform), Snowflake Data Warehouse, Snowflake GenAI, Snowflake Schema
**Additional Job Details**
**Address:**
 250 NICOLLET MALL:MINNEAPOLIS
**City:**
 Minneapolis
**Country:**
 United States of America
**Work hours/week:**
 40
**Employment Type:**
 Full time
**Platform:**
 TECHNOLOGY AND OPERATIONS
**Job Type:**
 Regular
**Pay Type:**
 Salaried
**Posted Date:**
 2025\-12\-31
**Application Deadline:**
 2026\-02\-16
**Note** 
**:** 
*Applications will be accepted until 11:59 PM on the day prior to the application deadline date above*
**I** 
****nclusion** 
 and Equal Opportunity Employment**
 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jobs.rbc.com\&lt;/a/span\&gt;
 RBC is presently inviting candidates to apply for this existing vacancy. Applying to this posting allows you to express your interest in this current career opportunity at RBC. Qualified applicants may be contacted to review their resume in more detail.</t>
        </is>
      </c>
    </row>
    <row r="41">
      <c r="A41" t="inlineStr">
        <is>
          <t>li-4351611133</t>
        </is>
      </c>
      <c r="B41" t="inlineStr">
        <is>
          <t>Senior Data Engineer - Fisher Investments</t>
        </is>
      </c>
      <c r="C41" t="inlineStr">
        <is>
          <t>Jobs via eFinancialCareers</t>
        </is>
      </c>
      <c r="D41" t="inlineStr">
        <is>
          <t>linkedin</t>
        </is>
      </c>
      <c r="E41" t="inlineStr"/>
      <c r="F41" t="inlineStr"/>
      <c r="G41" t="inlineStr">
        <is>
          <t>Plano, TX</t>
        </is>
      </c>
      <c r="H41" t="inlineStr"/>
      <c r="I41" t="inlineStr">
        <is>
          <t>It's an exciting time to be a member of the Fisher Investments Technology Department. We are looking for a Senior Data Engineer to support our Enterprise Data Management team. If you are looking for an opportunity to make a difference as we develop scalable and strategic solutions to support our global growth, we want to hear from you!
**The Opportunity:**
 Fisher Investments is looking for a Senior Data Engineer to design and provide modern data solutions using cloud\-based platforms and AI\-driven innovations. You will partner with business, technology, and governance teams to ensure scalable, secure and compliant data platforms that power advanced analytics and AI. You will be the enterprise expert for designing, developing, and optimizing data processing systems and pipelines used to populate data into transactional databases, data warehouses, data marts, or other data repositories. You will also coordinate with other IT teams to configure and implement security, monitoring, tooling, and related capabilities as they apply to their assigned systems.
**The Day\-to\-Day:**
* Use Agile practices to elicit and refine requirements through an iterative process of planning, defining acceptance criteria, prioritizing, developing and delivering enterprise data asset solutions in collaboration with business intelligence teams or other IT teams
* Develop, configure, customize and manage integration tools, databases, warehouses and analytical systems with the use of data related software
* Design, build, and deploy data extraction, transformation, and loading processes and pipelines from various sources including databases, APIs, and data files
* Develop and deploy structured, semi\-structured, and unstructured data storage models such as data vault or dimensional modeling on various platforms to meet requirements
* Coordinate security, application monitoring, development tooling, and related capabilities with responsible teams
* Provide operational support and incident management for data pipelines and data flows, including proactively updating internal clients and relevant parties on status changes and issues encountered
* Author and maintain accurate and up\-to\-date documentation for processes, procedures, and technical designs
* Coach junior data and business intelligence personnel across the company, including developing material and guiding junior personnel on their technical skill growth
**Your Qualifications:**
* 15\+ years' experience developing data\-related solutions and software
* 10\+ years of experience working with relational databases and applying it in various applications, including within the Microsoft Azure platform
* 4\+ years of experience with the following:
+ Multiple cloud technologies in the Microsoft Stack (Azure IaaS and PaaS) along with familiarity with alternative cloud technologies
+ Design and development of on\-premises and cloud\-based (Azure) infrastructure and platform components
+ Hands\-on development and deployment experience with Azure cloud using T\-SQL, Azure SQL, Azure Storage, Azure Data Factory, Azure Synapse, Cosmos DB, GitHub, Azure DevOps, and CI/CD pipelines
* Advanced knowledge of Extract/Transform/Load and Extract/Load/Transform tools, including both batch and real\-time data transmission applications such as SSIS, Informatica, Kafka, Spark, or MuleSoft
* Advanced knowledge of database technologies such as Microsoft SQL Server, Oracle, or NoSQL databases
* Advanced knowledge of multiple programming languages, such as Python, SQL, or Scala
* Advanced knowledge of IT infrastructure standards and tools, such as application performance monitoring, IT service management, or DevOps software
* Bachelor's degree in Computer Science, Information Technology, or other relevant field
 Preferred qualifications:
* Experience with Databricks
* Experience with Power BI
* Experience implementing and supporting multi\-vendor data lake solutions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42">
      <c r="A42" t="inlineStr">
        <is>
          <t>li-4336963100</t>
        </is>
      </c>
      <c r="B42" t="inlineStr">
        <is>
          <t>Senior Master Data Engineer, Supply Chain</t>
        </is>
      </c>
      <c r="C42" t="inlineStr">
        <is>
          <t>Anduril Industries</t>
        </is>
      </c>
      <c r="D42" t="inlineStr">
        <is>
          <t>linkedin</t>
        </is>
      </c>
      <c r="E42" t="inlineStr"/>
      <c r="F42" t="inlineStr"/>
      <c r="G42" t="inlineStr">
        <is>
          <t>Costa Mesa, CA</t>
        </is>
      </c>
      <c r="H42" t="inlineStr"/>
      <c r="I4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Job**
 The Senior Supply Chain Master Data Engineer, (internally known at Anduril as Senior Master Data Analyst, Supply Chain) will play a crucial role in maintaining the integrity, accuracy, and completeness of key supply chain data within our organization. The ideal candidate will be responsible for the centralized governance and control of critical supply chain master data, including supplier vendor records, commodity codes, part lead times, and contractual information. This role will ensure that high\-quality data is available to support supply chain operations, analytics, and decision\-making processes.
**What You'll Do**
* Establish and maintain governance for supply chain master data, ensuring data integrity across supplier records, part information, and contractual data
* Partner with operations, product, and engineering to advocate best practices and build supporting systems and infrastructure for the various data needs
* Collaborate with procurement, logistics, and supply chain teams to standardize and classify commodities and parts with appropriate category codes
* Monitor and manage the master data lifecycle, from creation to retirement, ensuring adherence to data standards and policies
* Analyze supplier performance data to identify trends, discrepancies, and opportunities for improvement
* Support the maintenance of contractual data, including Non\-Disclosure Agreements (NDAs) and Master Service Agreements (MSAs), ensuring that documentation is current and accessible
* Implement and maintain data control mechanisms to prevent unauthorized access or data corruption
* Coordinate with IT and systems teams to ensure that the supply chain data infrastructure meets the needs of the business and is aligned with data governance protocols
* Assist in the development of training materials and procedures related to master data management and ensure users are trained on data\-related best practices
* Conduct regular data audits and cleanup activities to maintain high data quality standards
* Support supply chain analytics and reporting by providing accurate and timely data extracts and insights
* Serve as a point of contact for data\-related queries and issues within the supply chain function
* Develop and maintain documentation for data governance processes and data dictionaries
* Participate in cross\-functional projects to enhance supply chain systems and processes with a focus on data quality and usability
* Contribute to the continuous improvement of data management strategies, including the adoption of new technologies and methodologies for data analysis and visualization
* Liaise with vendors and external partners to ensure that external data feeds and exchanges are accurate, timely, and aligned with internal data standards
**Required Qualifications**
* Bachelor’s degree in supply chain management, data analytics, or related field
* 8\+ years of experience in supply chain data engineering within the aerospace, defense or related manufacturing industry
* Ability to relocate, if not already local to be onsite in Costa Mesa, CA
**Preferred Qualifications**
* Master's degree in data analytics, supply chain management, or related field
* Proficiency in data visualization and reporting tools such as Tableau, Power BI, or similar
* Proficiency in data analysis tools (e.g., Excel, SQL, Python, R), data warehousing, and supply chain intelligence platforms
* Strong analytical and problem\-solving skills with the ability to interpret large datasets
* Knowledge of supply chain processes and how they relate to KPIs and performance metrics
* Excellent communication skills, with the ability to convey complex data in a clear and actionable manner to various audiences
* Attention to detail and commitment to accuracy in data reporting and analysis
* Ability to work independently and collaboratively in a team environment
* Familiarity with ERP systems and their reporting capabilities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43">
      <c r="A43" t="inlineStr">
        <is>
          <t>li-4363231418</t>
        </is>
      </c>
      <c r="B43" t="inlineStr">
        <is>
          <t>Sr. Data Engineer - MFS Investment Management</t>
        </is>
      </c>
      <c r="C43" t="inlineStr">
        <is>
          <t>Jobs via eFinancialCareers</t>
        </is>
      </c>
      <c r="D43" t="inlineStr">
        <is>
          <t>linkedin</t>
        </is>
      </c>
      <c r="E43" t="inlineStr"/>
      <c r="F43" t="inlineStr"/>
      <c r="G43" t="inlineStr">
        <is>
          <t>Boston, MA</t>
        </is>
      </c>
      <c r="H43" t="inlineStr"/>
      <c r="I43" t="inlineStr">
        <is>
          <t>At MFS, you will find a culture that supports you in doing what you do best. Our employees work together to reach better outcomes, favoring the strongest idea over the strongest individual. We put people first and demonstrate care and compassion for our community and each other. Because what we do matters \- to us as valued professionals and to the millions of people and institutions who rely on us to help them build more secure and prosperous futures.
**THE ROLE**
 The Sr. Data Engineer will play a critical role in enhancing and maintaining a data platform for execution and operations research within the trading department. The candidate will be working as a part of a team of Quantitative Trading Strategists to store new data sets, ensure reliability of data pipelines, build out additional capabilities across multiple asset classes. The Sr. Data Engineer will work across vendors and internal teams to ensure seamless, scalable data flows are built in an accessible way throughout the trading ecosystem.
**What You Will Do**
* Design, build, and maintain scalable data pipelines to ingest data from numerous sources.
* Proactively and independently work to enhance reliability of data capture.
* Collaborate with team to develop processes to transform raw data into more usable data sets.
* Find and action opportunities for automation in analytics production.
* Implement robust data quality checks and enhance monitoring for data pipelines.
* Partner with Quantitative Trading Strategists to improve current platform capabilities and performance.
**WHAT WE ARE LOOKING FOR**
* Bachelor's degree in Computer Science or Engineering, with a focus on software engineering. Knowledge of data science or statistics is beneficial.
* Minimum of three to five years of experience in a data intensive field.
* Experience with Python, KDB/Q or other programming languages with a focus on interfacing with high volume data.
* Experience working with large data sets, structured and unstructured
* Experience with data visualization and concepts around display of data
* Equity and fixed income quantitative background, market structure knowledge, plus experience with trading processes and/or transaction cost analysis (TCA).
* Ability to work independently and proactively generate project ideas.
* Strong interpersonal and communication skills.
* Some international travel.
 Base Salary Range: $ 95,500 \- $ 137,500
 This position is eligible for competitive incentive bonus.
 At MFS, we believe in fair and transparent compensation. For that reason, we're including the salary range for this position. This range reflects our good\-faith expectation for what we'll pay depending on the candidate's experience, training and education. In addition to the salary, we also offer significant and competitive incentive compensation based on both individual and company performance. Other components of our Total Rewards Package include:
* MFS contributes an amount equal to 15% of your base salary to your retirement account that is separate from the company \-sponsored 401(k)
* Education Assistance: MFS contributes $100 monthly up to $10,000 lifetime maximum directly to loan provider
* Education Assistance: Tuition reimbursement up to $8,000 annually
* Education Assistance: Access to discounted tutors and college coaches
* Generous time off and fully paid leaves including 20\-weeks for maternity, 12\-weeks for parental and caregiver leaves
* Choice of medical and dental plans and an and an employer contribution into the Health Savings Account
* Tax deferred commuter benefits \&amp; flexible spending accounts (medical \&amp; dependent care)
* Wellness Programs: Robust wellness webinars, employee assistance program with a focus on mental health, subsidized fitness benefit via Wellhub (formerly Gympass), where you can workout at gyms, studios and boutique fitness locations near you, join virtual personal training sessions and access a wide variety of well\-being apps
 Our compensation philosophy is to pay competitively for talent while ensuring equity across employees performing comparable work. We are committed to transparency \- if you have questions about how we arrived at this range or what additional benefits and bonus opportunities come with the role, we'll be happy to discuss them
 At MFS, we are dedicated to building a diverse, inclusive and authentic workplace. If you are excited about this role but your past experience doesn't align perfectly, we encourage you to apply \- you might be just the right candidate for this role or others.
 MFS is a
 **hybrid work environment** 
 (remote/onsite) unless otherwise stated in the job posting.
 If any applicant is unable to complete an application or respond to a job opening because of a disability, please contact MFS at 617\-954\-5000 or email talent\_acquisition@mfs.com for assistance.
 MFS is an Equal Opportunity Employer and it is our policy to not discriminate against any employee or applicant for employment because of race, color, religion, sex, national origin, age, marital status, sexual orientation, gender identity, genetic information, disability, veteran status, or any other status protected by federal, state or local laws. Employees and applicants of MFS will not be subject to harassment on the basis of their status.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Please see the Know Your Rights: Workplace Discrimination is Illegal document, linked for your reference.</t>
        </is>
      </c>
    </row>
    <row r="44">
      <c r="A44" t="inlineStr">
        <is>
          <t>li-4352537417</t>
        </is>
      </c>
      <c r="B44" t="inlineStr">
        <is>
          <t>Senior Data Engineer - Fisher Investments</t>
        </is>
      </c>
      <c r="C44" t="inlineStr">
        <is>
          <t>Jobs via eFinancialCareers</t>
        </is>
      </c>
      <c r="D44" t="inlineStr">
        <is>
          <t>linkedin</t>
        </is>
      </c>
      <c r="E44" t="inlineStr"/>
      <c r="F44" t="inlineStr"/>
      <c r="G44" t="inlineStr">
        <is>
          <t>Camas, WA</t>
        </is>
      </c>
      <c r="H44" t="inlineStr"/>
      <c r="I44" t="inlineStr">
        <is>
          <t>It's an exciting time to be a member of the Fisher Investments Technology Department. We are looking for a Senior Data Engineer to support our Enterprise Data Management team. If you are looking for an opportunity to make a difference as we develop scalable and strategic solutions to support our global growth, we want to hear from you!
**The Opportunity:**
 Fisher Investments is looking for a Senior Data Engineer to design and provide modern data solutions using cloud\-based platforms and AI\-driven innovations. You will partner with business, technology, and governance teams to ensure scalable, secure and compliant data platforms that power advanced analytics and AI. You will be the enterprise expert for designing, developing, and optimizing data processing systems and pipelines used to populate data into transactional databases, data warehouses, data marts, or other data repositories. You will also coordinate with other IT teams to configure and implement security, monitoring, tooling, and related capabilities as they apply to their assigned systems.
**The Day\-to\-Day:**
* Use Agile practices to elicit and refine requirements through an iterative process of planning, defining acceptance criteria, prioritizing, developing and delivering enterprise data asset solutions in collaboration with business intelligence teams or other IT teams
* Develop, configure, customize and manage integration tools, databases, warehouses and analytical systems with the use of data related software
* Design, build, and deploy data extraction, transformation, and loading processes and pipelines from various sources including databases, APIs, and data files
* Develop and deploy structured, semi\-structured, and unstructured data storage models such as data vault or dimensional modeling on various platforms to meet requirements
* Coordinate security, application monitoring, development tooling, and related capabilities with responsible teams
* Provide operational support and incident management for data pipelines and data flows, including proactively updating internal clients and relevant parties on status changes and issues encountered
* Author and maintain accurate and up\-to\-date documentation for processes, procedures, and technical designs
* Coach junior data and business intelligence personnel across the company, including developing material and guiding junior personnel on their technical skill growth
**Your Qualifications:**
* 15\+ years' experience developing data\-related solutions and software
* 10\+ years of experience working with relational databases and applying it in various applications, including within the Microsoft Azure platform
* 4\+ years of experience with the following:
+ Multiple cloud technologies in the Microsoft Stack (Azure IaaS and PaaS) along with familiarity with alternative cloud technologies
+ Design and development of on\-premises and cloud\-based (Azure) infrastructure and platform components
+ Hands\-on development and deployment experience with Azure cloud using T\-SQL, Azure SQL, Azure Storage, Azure Data Factory, Azure Synapse, Cosmos DB, GitHub, Azure DevOps, and CI/CD pipelines
* Advanced knowledge of Extract/Transform/Load and Extract/Load/Transform tools, including both batch and real\-time data transmission applications such as SSIS, Informatica, Kafka, Spark, or MuleSoft
* Advanced knowledge of database technologies such as Microsoft SQL Server, Oracle, or NoSQL databases
* Advanced knowledge of multiple programming languages, such as Python, SQL, or Scala
* Advanced knowledge of IT infrastructure standards and tools, such as application performance monitoring, IT service management, or DevOps software
* Bachelor's degree in Computer Science, Information Technology, or other relevant field
 Preferred qualifications:
* Experience with Databricks
* Experience with Power BI
* Experience implementing and supporting multi\-vendor data lake solutions
**Compensation:**
* $130,000 \- $185,000 base salary per year in the state of WA. New hires should expect to start at the lower end of the range depending on experience
* Eligible for a discretionary bonus based on firm and individual performance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45">
      <c r="A45" t="inlineStr">
        <is>
          <t>li-4356530328</t>
        </is>
      </c>
      <c r="B45" t="inlineStr">
        <is>
          <t>Senior Data Engineer with MDM experience - Synechron Inc.</t>
        </is>
      </c>
      <c r="C45" t="inlineStr">
        <is>
          <t>Jobs via eFinancialCareers</t>
        </is>
      </c>
      <c r="D45" t="inlineStr">
        <is>
          <t>linkedin</t>
        </is>
      </c>
      <c r="E45" t="inlineStr"/>
      <c r="F45" t="inlineStr"/>
      <c r="G45" t="inlineStr">
        <is>
          <t>Iselin, NJ</t>
        </is>
      </c>
      <c r="H45" t="inlineStr"/>
      <c r="I45"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16,400\+, and has 60 offices in 20 countries within key global markets.
**Our challenge**
 We are seeking a highly skilled and experienced Senior Data Engineer specializing in Master Data Management (MDM) to join our data team. The ideal candidate will have a strong background in designing, implementing, and managing end\-to\-end MDM solutions, preferably within the financial sector. Candidate will be responsible for architecting robust data platforms, evaluating MDM tools, and aligning data strategies to meet business needs.
 Additional Information\*
 The base salary for this position will vary based on geography and other factors. In accordance with law, the base salary for this role if filled within Iselin, NJ is $140k \- $155k/year \&amp; benefits (see below).
**The Role**
**Responsibilities:**
* Lead the design, development, and deployment of comprehensive MDM solutions across the organization, with an emphasis on financial data domains.
* Demonstrate extensive experience with multiple MDM implementations, including platform selection, comparison, and optimization.
* Architect and present end\-to\-end MDM architectures, ensuring scalability, data quality, and governance standards are met.
* Evaluate various MDM platforms (e.g., Informatica, Reltio, Talend, IBM MDM, etc.) and provide objective recommendations aligned with business requirements.
* Collaborate with business stakeholders to understand reference data sources and develop strategies for managing reference and master data effectively.
* Implement data integration pipelines leveraging modern data engineering tools and practices.
* Develop, automate, and maintain data workflows using Python, Airflow, or Astronomer.
* Build and optimize data processing solutions using Kafka, Databricks, Snowflake, Azure Data Factory (ADF), and related technologies.
* Design microservices, especially utilizing GraphQL, to enable flexible and scalable data services.
* Ensure compliance with data governance, data privacy, and security standards.
* Support CI/CD pipelines for continuous integration and deployment of data solutions.
**Requirements:**
* 12\+ years of experience in data engineering, with a proven track record of MDM implementations, preferably in the financial services industry.
* Extensive hands\-on experience designing and deploying MDM solutions and comparing MDM platform options.
* Strong functional knowledge of reference data sources and domain\-specific data standards.
* Expertise in Python, Pyspark, Kafka, microservices architecture (particularly GraphQL), Databricks, Snowflake, Azure Data Factory, SQL, and orchestration tools such as Airflow or Astronomer.
* Familiarity with CI/CD practices, tools, and automation pipelines.
* Ability to work collaboratively across teams to deliver complex data solutions.
* Experience with financial systems (capital markets, credit risk, and regulatory compliance applications).
**Preferred, but not required:**
* Familiarity with financial data models and regulatory requirements.
* Experience with Azure cloud platforms
* Knowledge of data governance, data quality frameworks, and metadata management.
**We offer:**
* A highly competitive compensation and benefits package.
* A multinational organization with 60 offices in 20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46">
      <c r="A46" t="inlineStr">
        <is>
          <t>li-4372188905</t>
        </is>
      </c>
      <c r="B46" t="inlineStr">
        <is>
          <t>Director, Data Engineer</t>
        </is>
      </c>
      <c r="C46" t="inlineStr">
        <is>
          <t>The Coca-Cola Company</t>
        </is>
      </c>
      <c r="D46" t="inlineStr">
        <is>
          <t>linkedin</t>
        </is>
      </c>
      <c r="E46">
        <f>HYPERLINK("https://www.linkedin.com/jobs/view/4372188905", "https://www.linkedin.com/jobs/view/4372188905")</f>
        <v/>
      </c>
      <c r="F46" t="inlineStr"/>
      <c r="G46" t="inlineStr">
        <is>
          <t>Atlanta, GA</t>
        </is>
      </c>
      <c r="H46" t="inlineStr"/>
      <c r="I46" t="inlineStr">
        <is>
          <t>**Location:** 
 Atlanta, GA (Global HQ)
**Estimated Travel:** 
 0\-20% (OU, Bottler meetings, industry conferences)
**Direct Reports** 
 : None
 The
 **Global Equipment Platforms (GEP)** 
 team is seeking a highly skilled and experienced Lead Data Engineer to be a core technical contributor to the data backbone for The Coca\-Cola Company's global fleet of 17MM\+ connected equipment. Reporting to the Head of Data within GEP Digital, this role is pivotal in transforming raw telemetry data from beverage vending machines, dispensers, coolers, and retail racks into a strategic asset that fuels real\-time market insights, predictive analytics, and operational efficiencies across our global ecosystem.
 You will be responsible for designing, building, and maintaining robust, secure, and cost\-optimized cloud\-based data pipelines and platforms, primarily leveraging Microsoft Azure. This includes hands\-on development of scalable data ingestion, transformation, and storage solutions capable of handling high\-volume, real\-time data from a diverse fleet of equipment running on the KO Operating System (KOS) and other embedded systems. This role demands a deep technical expert with a proven track record of solving complex data challenges, ensuring data integrity, scalability, and accessibility for both internal stakeholders and our 200\+ global franchise bottlers and OEM partners in a multi\-tenant environment.
**Key Responsibilities**
**Data Pipeline \&amp; Platform Development (40%):**
* Design, develop, and maintain highly scalable, secure, and resilient data pipelines (batch, streaming, real\-time) and data platforms on Microsoft Azure (e.g., Azure Data Factory, Azure Synapse Analytics, Azure Databricks, Event Hubs, IoT Hub, ADLS Gen2, Cosmos DB, Azure SQL).
* Implement robust data ingestion processes to collect high\-volume telemetry data from 17MM\+ connected devices, ensuring data quality and reliability at source.
* Develop efficient data transformation logic and data models to rationalize, cleanse, and enrich raw equipment data, making it ready for consumption by analytics and AI applications.
* Optimize data storage solutions (data lakes, data warehouses) for performance, cost\-efficiency, and accessibility.
* Design and build scalable, resilient data pipelines for real\-time telemetry, ensuring data quality and accessibility that directly fuels the analytical models developed by Data Scientists and the production AI systems deployed by the Lead AI Engineer.
**Data Foundation for AI/ML \&amp; Analytics (25%):**
* Engineer the data foundation required to support advanced analytics, machine learning models (e.g., predictive maintenance, demand forecasting, personalization), and AI Agents.
* Work closely with Data Scientists and Data Analysts to understand their data needs, ensure data quality, and optimize data structures for efficient model training and inference.
* Develop and maintain curated datasets and data marts that simplify data consumption for business intelligence tools and internal/external analytics applications.
* Ensure the seamless flow of rich, rationalized telemetry data from KOS\-powered devices to the core analytics platform.
**Data Governance, Quality \&amp; Compliance (20%):**
* Contribute to the implementation and enforcement of data governance frameworks, data quality standards, and data integrity checks for the equipment data.
* Develop and implement solutions to monitor data pipeline health, identify data anomalies, and proactively address data quality issues.
* Ensure the data platform adheres to global data privacy regulations (e.g., GDPR, CCPA) and TCCC's internal security protocols, especially for multi\-tenant data access by bottlers and OEMs.
* Implement robust logging, monitoring, and alerting for data pipelines and data platform components.
**Cross\-Functional Collaboration \&amp; OEM Integration (15%):**
* Collaborate closely with the Global Product Owner for Unified IoT, GEP Hardware/Software Engineering, Enterprise Digital Technology Solutions (IT), and Experience Design teams to ensure seamless data integration from connected devices.
* Work with equipment OEMs (e.g., Lancer, Cornelius, True, Imbera) to integrate their telemetry systems and ensure data capture adheres to TCCC's standards.
* Contribute to the data requirements and solutions for Over\-The\-Air (OTA) updates of firmware, software, and content to the equipment fleet.
* Participate in code reviews, design discussions, and knowledge sharing within the data engineering team and broader GEP digital organization.
* Work closely with the Product Owner, Unified Ecosystem for new telemetry requirements driven by product features, ensuring seamless integration of new data sources.
* Partner with Data Scientists to optimize data structures and access patterns for efficient model training, feature engineering, and inference, and with Lead AI Engineers for deployment of data\-intensive AI solutions.
**Key Deliverables**
* Well\-architected, highly performant, and reliable data pipelines (batch and streaming).
* Optimized data schemas, models, and curated datasets supporting GEP analytics and AI initiatives.
* Automated data quality checks and monitoring solutions for critical equipment data.
* Clean, accessible, and high\-quality data sets for consumption by data scientists, analysts, and business users.
* Robust and secure data integrations with various equipment types and OEM systems.
* Comprehensive documentation of data pipelines, schemas, and data lineage.
**Decision Rights**
* Technical design and implementation details for assigned data pipelines and data solutions within established architectural guidelines.
* Selection of specific data engineering tools and libraries (within approved Azure ecosystem).
* Prioritization of individual tasks and problem\-solving approaches for specific data challenges.
**Required Experience \&amp; Qualifications**
* Bachelor's degree in Computer Science, Engineering, Information Systems, or a related quantitative field. Master's degree preferred.
* 10\+ years of hands\-on experience in data engineering, with a strong focus on building and operating large\-scale data platforms.
* Expert\-level proficiency in designing, building, and operating data pipelines and data solutions in Microsoft Azure (e.g., Azure Data Factory, Azure Synapse Analytics, Azure Databricks, Event Hubs, IoT Hub, ADLS Gen2\).
* Deep experience with real\-time data streaming architectures and technologies (e.g., Kafka, Azure Event Hubs/IoT Hub).
* Strong programming skills in Python (preferred), Scala, or Java; expert in SQL.
* Extensive experience with big data technologies and distributed computing frameworks (e.g., Spark).
* Solid understanding of data warehousing concepts, dimensional modeling, and data lake architectures.
* Proven track record of implementing robust data quality and security measures.
* Experience with CI/CD practices for data pipelines and infrastructure as code (e.g., Terraform, ARM templates).
* Familiarity with IoT, connected devices, embedded systems, and telemetry data.
**Competencies**
* Technical Mastery: Possesses deep, hands\-on expertise in data engineering principles, tools, and best practices, continuously expanding knowledge.
* Complex Problem Solver: Ability to analyze complex data challenges, identify root causes, and develop effective, scalable solutions.
* Results\-Oriented Execution: Delivers high\-quality data solutions efficiently and effectively, with a strong focus on operational excellence.
* Collaborative Team Player: Works seamlessly with cross\-functional teams (data scientists, product managers, engineers) and external partners.
* Detail\-Oriented \&amp; Accountable: Ensures accuracy, integrity, and reliability of data assets, taking full ownership of assigned tasks and outcomes.
* Continuous Improvement Mindset: Proactively identifies opportunities for process optimization, efficiency gains, and technical enhancements within the data ecosystem.
**Success Is Measured By**
* Data Pipeline Performance \&amp; Reliability: Achievement of SLAs for data pipeline latency, availability (e.g., 99\.9% uptime), and data freshness.
* Data Quality \&amp; Integrity: Accuracy and completeness of critical data sets; reduction in data\-related incidents.
* Scalability \&amp; Efficiency: Contribution to cost optimization of data processing and storage; seamless onboarding of new data sources/equipment types.
* Support for Insights \&amp; AI: Timely and accurate delivery of data to enable the development and deployment of AI/ML models and analytics dashboards.
* Code Quality \&amp; Maintainability: Adherence to coding standards, robust documentation, and ease of maintenance for developed data solutions.
**What We Can Do For You**
* Iconic \&amp; Innovative Brands: Our portfolio represents over 250 products with some of the most popular brands in the world, including Coca\-Cola, Simply, Fairlife \&amp; Topo Chico.
* Expansive \&amp; Diverse Customers: We work with a diversified group of customers which range from retail \&amp; grocery outlets, theme parks, movie theatres, restaurants, and many more each day.
**Skills**
 Python (Programming Language); Big Data Platforms; Microsoft Azure; Azure Data Factory; Data Engineering; Azure Synapse Analytics; Azure IoT Hub; Structured Query Language (SQL)
 All persons hired will be required to verify identity and eligibility to work in the United States and to complete the required employment eligibility verification form (Form I\-9\) upon hire.
 Pay Range:$149,000 \- $173,000
 Base pay offered may vary depending on geography, job\-related knowledge, skills, and experience. A full range of medical, financial, and/or other benefits, dependent on the position, is offered.
 Annual Incentive Reference Value Percentage:30
 Annual Incentive reference value is a market\-based competitive value for your role. It falls in the middle of the range for your role, indicating performance at target.</t>
        </is>
      </c>
    </row>
    <row r="47">
      <c r="A47" t="inlineStr">
        <is>
          <t>li-4372195440</t>
        </is>
      </c>
      <c r="B47" t="inlineStr">
        <is>
          <t>Analytics Engineer – People Data</t>
        </is>
      </c>
      <c r="C47" t="inlineStr">
        <is>
          <t>LinkedIn</t>
        </is>
      </c>
      <c r="D47" t="inlineStr">
        <is>
          <t>linkedin</t>
        </is>
      </c>
      <c r="E47">
        <f>HYPERLINK("https://www.linkedin.com/jobs/view/4372195440", "https://www.linkedin.com/jobs/view/4372195440")</f>
        <v/>
      </c>
      <c r="F47" t="inlineStr"/>
      <c r="G47" t="inlineStr">
        <is>
          <t>Mountain View, CA</t>
        </is>
      </c>
      <c r="H47" t="inlineStr"/>
      <c r="I47"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Sunnyvale, Mountain View, or San Francisco,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We are looking for an Analytics Engineer with experience working with HR – People data, to manage and maintain our semantic layer and data pipelines, while ensuring data quality, integrity, and accuracy. You will work cross\-functionally with engineering, data governance, and business stakeholder teams to advance our data and reporting solutions. You will leverage our data to identify key insights and create operational efficiencies, as well as produce accurate and meaningful analysis to drive business decisions. Your work will directly influence workforce planning, talent strategy, and executive decision\-making.
 To be successful in this role you need to be highly analytical, with a strong intellectual curiosity and be comfortable solving ambiguous challenges. You must be able to prioritize multiple tasks in a fast\-paced environment. Your stakeholders will not always know what is possible, so it is important that you ask effective questions to get clarity in addition to managing expectations on what you can deliver. Exceptional attention to detail, strong analytical and development skills, proactive communication skills, and an ability to meet tight deadlines will be critical for success in this role.
**Responsibilities:**
* Contribute to the design of the ETL process, driving clean and actionable requirements, and translate business logic into reusable and governed data assets while working with our Talent Engineering teams.
* Support, maintain, and enhance our existing HR Data Warehouse, ensuring it scales with evolving business needs and systems changes
* Proven track record of developing enterprise\-level data programs heavily focused on self\-service and multi\-persona management.
* Maintain comprehensive technical documentation and data dictionaries for warehouse structures, transformations, and integrations.
* Use SQL to extract, clean, and organize data from multiple HR systems, ensuring structured, accurate, and governed reporting, dashboards, and analytics products.
* Influence and collaborate on the global strategy for People Reporting at the enterprise level and establish scalable solutions to support end users.
* Bring critical thinking \&amp; problem\-solving skills to a range of challenging problems.
* Stay relevant in technology trends that might be used to resolve complex business problems.
* Advocate for and implement best practices in data engineering, testing, and documentation.
**Qualifications**
**Basic Qualifications:**
* BA/BS degree or equivalent degree in Computer Science, Information Technology, Information Systems, or a related field.
* 5\+ years of experience as an Analytics Engineer, Data Engineer or Analyst / Consultant with an engineering background.
* 5\+ years of database design and semantic layer development.
* 5\+ years of experience and advanced proficiency in SQL, including data modeling, transformation, and query optimization.
* 5\+ years of experience with data visualization tools (e.g., Power BI, Tableau, etc.).
* 1\+ years of experience with Python or scripting languages.
**Preferred Qualifications:**
* 6\+ years of work experience managing stakeholders and engineering teams.
* Familiarity with tools including ALM Toolkit, Tabular Editor, SQL Server Management Studio (SSMS), etc.
* Experience in enterprise integration, primarily focused on HR systems and People Analytics tools (Visier, Workday, SmartRecruiters, etc.), Visier preferred.
* Experience with cloud platforms (e.g., AWS, Azure, GCP) and data warehousing solutions (Databricks).
* Experience and understanding of ETL/ELT frameworks, data validation, and reconciliation techniques.
* Experience building and supporting data warehouses specifically for HR and People Analytics domains.
**Suggested Skills:**
* Design and Systems Thinking
* Problem Solving
* Autonomy, Creativity, and Discretion
 LinkedIn is committed to fair and equitable compensation practices.
 The pay range for this role is $116,000 to $193,000\.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8">
      <c r="A48" t="inlineStr">
        <is>
          <t>li-4363974939</t>
        </is>
      </c>
      <c r="B48" t="inlineStr">
        <is>
          <t>Data Engineer, PAR</t>
        </is>
      </c>
      <c r="C48" t="inlineStr">
        <is>
          <t>Meta</t>
        </is>
      </c>
      <c r="D48" t="inlineStr">
        <is>
          <t>linkedin</t>
        </is>
      </c>
      <c r="E48">
        <f>HYPERLINK("https://www.linkedin.com/jobs/view/4363974939", "https://www.linkedin.com/jobs/view/4363974939")</f>
        <v/>
      </c>
      <c r="F48" t="inlineStr"/>
      <c r="G48" t="inlineStr">
        <is>
          <t>Menlo Park, CA</t>
        </is>
      </c>
      <c r="H48" t="inlineStr"/>
      <c r="I48"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Engineer to join our PAR organization where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PAR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4\+ years of experience with SQL, ETL, data modeling, and at least one programming language (e.g., Python, C\+\+, C\#, Scala, etc.)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9">
      <c r="A49" t="inlineStr">
        <is>
          <t>li-4372166948</t>
        </is>
      </c>
      <c r="B49" t="inlineStr">
        <is>
          <t>Data Engineer</t>
        </is>
      </c>
      <c r="C49" t="inlineStr">
        <is>
          <t>PETADATA</t>
        </is>
      </c>
      <c r="D49" t="inlineStr">
        <is>
          <t>linkedin</t>
        </is>
      </c>
      <c r="E49">
        <f>HYPERLINK("https://www.linkedin.com/jobs/view/4372166948", "https://www.linkedin.com/jobs/view/4372166948")</f>
        <v/>
      </c>
      <c r="F49" t="inlineStr"/>
      <c r="G49" t="inlineStr">
        <is>
          <t>Albany, NY</t>
        </is>
      </c>
      <c r="H49" t="inlineStr"/>
      <c r="I49" t="inlineStr">
        <is>
          <t>**Position: Data Engineer**
**Location: Albany, NY (Onsite/Remote)**
**Experience: 10\+ Years**
**Work type: C2C only**
**Visa Type: H1\-B, GC and US Citizen**
**PETADATA is currently hiring for a Data Engineer for one of their clients.**
**Roles \&amp; Responsibilities**
**Data Pipeline Development**
* Design, build, and maintain scalable data pipelines for ingesting, processing, and transforming data
* Develop batch and real\-time data processing workflows
* Ensure data pipelines are reliable, efficient, and fault\-tolerant
**Data Architecture \&amp; Modeling**
* Design and implement data architectures(data lakes, data warehouses, lakehouses)
* Create and maintain data models, schemas, and metadata
* Optimize data storage and retrieval strategies
**Data Integration**
* Integrate data from multiple sources (databases, APIs, streaming platforms, third\-party tools)
* Handle structured, semi\-structured, and unstructured data
* Implement data validation and quality checks
**Big Data \&amp; Processing Frameworks**
* Work with big data tools such as Apache Spark, Hadoop, Kafka, Flink
* Build streaming and real\-time data processing systems
* Optimize large\-scale data processing performance
**Cloud \&amp; Platform Services**
* Use cloud platforms such as AWS, Azure, or GCP
* Work with services like:
* AWS: S3, Glue, Redshift, EMR, Athena
* Azure: Data Factory, Synapse
* GCP: BigQuery, Dataflow
* Manage cloud\-based data infrastructure
**Database Management**
* Manage and optimize SQL and NoSQL databases
* Implement indexing, partitioning, and performance tuning
* Support data access for analytics, AI, and reporting teams
**Data Quality, Security \&amp; Governance**
* Implement data quality checks, monitoring, and alerts
* Enforce data governance, lineage, and metadata management
* Ensure data security, privacy, and compliance (GDPR, HIPAA, etc.)
**Automation \&amp; Orchestration**
* Automate data workflows using tools like Airflow, Luigi, Prefect
* Schedule, monitor, and troubleshoot data jobs
* Reduce manual processes through automation
**Collaboration \&amp; Support**
* Collaborate with data scientists, analysts, and AI engineers
* Support analytics, BI, and machine learning initiatives
* Translate business requirements into data solutions
**Monitoring \&amp; Optimization**
* Monitor pipeline performance and data freshness
* Identify and resolve data issues and bottlenecks
* Optimize costs and resource usage
**Optional / Senior\-Level Responsibilities**
* Define data engineering standards and best practices
* Lead data platform design and modernization efforts
* Mentor junior data engineers
* Drive data strategy and roadmap planning
**Required Qualifications**
* Bachelor’s or Master’s degree in Computer Science, Engineering, Data Science, or a related field
* Proven experience as a Data Engineer or similar role
* Strong programming skills in Python and SQL (Scala or Java preferred)
* Hands\-on experience with big data frameworks such as Spark, Kafka, Hadoop
* Experience designing and maintaining data pipelines and ETL/ELT processes
* Strong understanding of data modeling, data warehousing, and lakehouse architectures
* Experience with cloud platforms: AWS, Azure, or GCP
* Hands\-on experience with SQL and NoSQL databases
* Experience with workflow orchestration tools (Airflow, Prefect, Luigi)
* Knowledge of data quality, governance, and security best practices
* Strong analytical, troubleshooting, and problem\-solving skills
* Excellent communication and collaboration abilities
**Key Skills \&amp; Tools**
* Languages: Python, SQL, Scala, Java
* Big Data: Spark, Kafka, Hadoop
* Databases: PostgreSQL, MySQL, MongoDB, Cassandra
* Cloud: AWS, Azure, GCP
* Orchestration: Airflow, Prefect
* Data Warehouses: Redshift, Snowflake, BigQuery
**Educational Qualification**
**Bachelor’s or Master’s degree in Computer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keshini@petadata.co**
**After carefully reviewing your experience and skills one of our HR team members will contact you on the next steps.**</t>
        </is>
      </c>
    </row>
    <row r="50">
      <c r="A50" t="inlineStr">
        <is>
          <t>li-4372205742</t>
        </is>
      </c>
      <c r="B50" t="inlineStr">
        <is>
          <t>Analytics Engineer</t>
        </is>
      </c>
      <c r="C50" t="inlineStr">
        <is>
          <t>LiveKit</t>
        </is>
      </c>
      <c r="D50" t="inlineStr">
        <is>
          <t>linkedin</t>
        </is>
      </c>
      <c r="E50">
        <f>HYPERLINK("https://www.linkedin.com/jobs/view/4372205742", "https://www.linkedin.com/jobs/view/4372205742")</f>
        <v/>
      </c>
      <c r="F50" t="inlineStr"/>
      <c r="G50" t="inlineStr"/>
      <c r="H50" t="inlineStr"/>
      <c r="I50" t="inlineStr">
        <is>
          <t>LiveKit is building the infrastructure layer for the voice\-driven era of computing. Our platform gives developers everything they need to build, test, deploy, scale, and observe agents in production. Founded in 2021, LiveKit powers voice AI applications for OpenAI, xAI, Salesforce, Coursera, Spotify, and thousands of others, collectively facilitating billions of calls each year.
**You'll thrive at LiveKit if you:**
* obsess with crafting code that is fast, reliable and practical for the problem
* are known as the go\-to person for tackling tough technical problems
* work hard and can build and ship fast
* can clearly explain complex technical concepts to others
* are a fast learner, frequently picking up new languages and tools
 The best way to impress us is with thoughtful Issues and/or PRs on our Github repos 😊
 About This Role:
 As our first data hire, you'll establish the foundation of LiveKit's analytics practice. You'll translate business concepts into robust data models, create actionable KPIs, and enable data\-driven decision making across a fast\-growing organization. This role requires balancing pragmatic short\-term solutions with building for scale, working in an AI\-first development environment where tooling like Claude Code and skills\-based workflows are core to how we operate.
 What You’ll Do:
**AI\-First Development** 
 : You'll be expected to use AI coding assistants extensively and evolve our AI development workflows. This includes creating reusable skills, establishing quality checks, and documenting processes that work for both humans and AI agents.
**Start Simple, Stay Focused** 
 : Resist the urge to over\-engineer. Get core business metrics right and adopted before expanding. We value working models over perfect architectures.
**Business Partnership** 
 : You'll spend significant time with stakeholders memorializing business logic and creating trusted metrics. Building relationships and business expertise is as important as technical execution.
**Documentation\-Driven** 
 : Everything you build needs clear documentation that serves both human users and AI systems.
**Engineering Standards** 
 : This role reports into Engineering and follows eng best practices. Expect PR reviews, automated testing, and production\-grade standards.
**Startup Pace** 
 : Priorities shift quickly. What you're building tomorrow might differ from today. Comfort with ambiguity and rapid iteration is essential.
 Who You Are:
* 8\+ years experience in analytics or analytics engineering
* Deep expertise with dbt: data modeling, testing, documentation, project architecture, and establishing best practices
* Strong experience implementing and scaling BI platforms (Lightdash, Sigma, Omni, Hex, or similar)
* Proven ability to work directly with business stakeholders to define metrics and requirements
* Experience building analytics practices in startup or high\-growth environments
* Strong SQL and Python skills
* Comfortable with software engineering practices: Git workflows, CI/CD, code review, change management
* Self\-directed and adaptable—able to switch between building for the long\-term and pragmatic short\-term solutions
* Strong communication skills for both technical and non\-technical audiences
* Located in US or Canada
**Nice to Have:**
* Experience with Lightdash or BI\-as\-code platforms
* Background with AI coding agents (Claude Code, GitHub Copilot, Cursor)
* Prior experience as an early data hire (first 1\-3 on the team)
* Understanding of modern data stack and lakehouse concepts
**Our Commitment to You:**
* An opportunity to build something truly impactful to the world
* Contribute to open source alongside world\-class engineers
* Competitive salary and equity package
* Health, dental, and vision benefits
* Flexible vacation policy
 Compensation Range: $150K \- $250K</t>
        </is>
      </c>
    </row>
    <row r="51">
      <c r="A51" t="inlineStr">
        <is>
          <t>li-4368286695</t>
        </is>
      </c>
      <c r="B51" t="inlineStr">
        <is>
          <t>Senior Data Engineer</t>
        </is>
      </c>
      <c r="C51" t="inlineStr">
        <is>
          <t>StockX</t>
        </is>
      </c>
      <c r="D51" t="inlineStr">
        <is>
          <t>linkedin</t>
        </is>
      </c>
      <c r="E51">
        <f>HYPERLINK("https://www.linkedin.com/jobs/view/4368286695", "https://www.linkedin.com/jobs/view/4368286695")</f>
        <v/>
      </c>
      <c r="F51" t="inlineStr"/>
      <c r="G51" t="inlineStr">
        <is>
          <t>Detroit, MI</t>
        </is>
      </c>
      <c r="H51" t="inlineStr"/>
      <c r="I51" t="inlineStr">
        <is>
          <t>**Help empower our global customers to connect to culture through their passions.** 
**Why you'll love this role** 
 As a Senior Data Engineer, you will be empowered to leverage data to drive amazing customer experiences and business results. You will own the end to end development of data engineering solutions to support analytical needs of the business. The ideal candidate will be passionate about working with disparate datasets and be someone who loves to bring data together to answer business questions at speed. You should have deep expertise in the creation and management of datasets and the proven ability to translate the data into meaningful insights through collaboration with analysts, data scientists and business stakeholders.You will partner with accounting and finance business teams in expanding Financial Data Repository to support new business initiatives. Sr Data Engineer of Finance Data Repository is most challenging and exciting role to work for, with new business initiative launches in payments, finance , tax and ordering platform. Its highly critical to manage the changes on daily basis for proper accounting to keep our books clean and accurate. 
**What you'll do** 
* Design and build mission critical data pipelines with a highly scalable distributed architecture \- including data ingestion (streaming, events and batch), data integration, data curation
* Help continually improve ongoing reporting and analysis processes, simplifying self\-service support for business stakeholders
* Build and support reusable framework to ingest, integration and provision data
* Automation of end to end data pipeline with metadata, data quality checks and audit
* Build and support a big data platform on the cloud
* Define and implement automation of jobs and testing
* Optimize the data pipeline to support ML workloads and use cases
* Support mission critical applications and near real time data needs from the data platform
* Capture and publish metadata and new data to subscribed users
* Work collaboratively with business analysts, product managers, data scientists as well as business partners and actively participate in design thinking session
* Participate in design and code reviews
* Motivate, coach, and serve as a role model and mentor for other development team associates/members that leverage the platform
**About you** 
* 3 to 5 years' experience in data warehouse / data lake house technical architecture
* 3\+ years of experience in using programming languages (Python / Scala / Java / C\#) Minimum
* 3 years of Big Data and Big Data tools in one or more of the following: Batch Processing (e.g. Hadoop distributions, Spark), Real time processing (e.g. Kafka, Flink/Spark Streaming)
* Minimum of 2 years' experience with AWS or engineering in other cloud environments
* Strong Knowledge of Databricks SQL/Scala \- Data Engineering Pipelines
* Experience with Database Architecture/Schema design
* Strong familiarity with batch processing and workflow tools such as dbt, AirFlow, NiFi
* Ability to work independently with business partners and management to understand their needs and exceed expectations in delivering tools/solutions
* Strong interpersonal, verbal and written communication skills and ability to present complex technical/analytical concepts to executive audience
* Strong business mindset with customer obsession; ability to collaborate with business partners to identify needs and opportunities for improved data management and delivery
* Experience providing technical leadership and mentoring other engineers for best practices on data engineering
* Bachelor's degree in Computer Science, or a related technical field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*Pursuant to the Colorado Fair Pay Act, the base salary range in Colorado for this position is $140,000 to $160,000, plus opportunities for benefits (e.g., medical, dental), equity and discretionary bonuses. Compensation in other geographies may vary.* 
 **About StockX**
 StockX is proud to be a Detroit\-based technology leader focused on the large and growing online market for sneakers, apparel, accessories, electronics, collectibles, trading cards, and more. StockX's powerful platform connects buyers and sellers of high\-demand consumer goods from around the world using dynamic pricing mechanics. This approach affords access and market visibility powered by real\-time data that empowers buyers and sellers to determine and transact based on market value. The StockX platform features hundreds of brands across verticals including Jordan Brand, adidas, Nike, Supreme, BAPE, Off\-White, Louis Vuitton, Gucci; collectibles from brands including LEGO, KAWS, Bearbrick, and Pop Mart; and electronics from industry\-leading manufacturers Sony, Microsoft, Meta, and Apple. Launched in 2016, StockX employs 1,000 people across offices and verification centers around the world. Learn more at www.stockx.com.  
 *We are an equal opportunity employer and value diversity at our company. We do not discriminate on the basis of race, religion, color, national origin, gender, sexual orientation, age, marital status, veteran status, or disability status. This job description is intended to convey information essential to understanding the scope of the job and the general nature and level of work performed by job holders within this job. However, this job description is not intended to be an exhaustive list of qualifications, skills, efforts, duties, responsibilities or working conditions associated with the position. StockX reserves the right to amend this job description at any time.
 *StockX may utilize AI to rank job applicant submissions against the position requirements to assist in determining candidate alignment.**</t>
        </is>
      </c>
    </row>
    <row r="52">
      <c r="A52" t="inlineStr">
        <is>
          <t>li-4372192739</t>
        </is>
      </c>
      <c r="B52" t="inlineStr">
        <is>
          <t>Data Engineer 1</t>
        </is>
      </c>
      <c r="C52" t="inlineStr">
        <is>
          <t>Lensa</t>
        </is>
      </c>
      <c r="D52" t="inlineStr">
        <is>
          <t>linkedin</t>
        </is>
      </c>
      <c r="E52">
        <f>HYPERLINK("https://www.linkedin.com/jobs/view/4372192739", "https://www.linkedin.com/jobs/view/4372192739")</f>
        <v/>
      </c>
      <c r="F52" t="inlineStr"/>
      <c r="G52" t="inlineStr">
        <is>
          <t>San Francisco, CA</t>
        </is>
      </c>
      <c r="H52" t="inlineStr"/>
      <c r="I5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Indeed. Clicking "Apply Now" or "Read more" on Lensa redirects you to the job board/employer site. Any information collected there is subject to their terms and privacy notice.
**Our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The Data Engineer’s role is to integrate data from a variety of sources into common data domain models. The purpose is to support data and analytics activities across Glassdoor and Indeed’s global business functions. This is a technical role that involves defining changes to the data lake data model and building scalable and efficient processes to populate or modify data lake data. You will have practical data processing and data modeling experience in a “big data” environment. Also, experience in data modeling, test automation, and building reliable, trusted, and efficient data pipelines. This work contributes to our mission of helping people get jobs by providing insight into the global job market and supporting product innovation. That makes it easier for job seekers and employers to find each other.
**Responsibilities**
* Designing and implementing data pipelines (ETLs) to integrate data from a variety of sources into the Glassdoor (Indeed) Data Warehouse
* Designing and implementing data model changes, working cross\-functionally with various product and data teams
* Providing documentation, training, and consulting for data warehouse users
* Participating in on\-call rotation supporting critical business data pipelines
**Skills/Competencies**
* B.S. degree in Computer Science, Computer Engineering, Electrical Engineering, Mathematics, Statistics
* 1\+ years of experience with big data and streaming technologies (Snowflake, Redshift, Hive, Kafka, Spark, Flink or similar technologies)
* Exposure to workflow orchestration and pipeline tools such as Airflow
* 2\+ years coding experience (Python or Scala preferred)
* Passionate about data and learning new skills and technologies
**Salary Range Transparency**
 US Remote 95,000 \- 137,000 USD per year
 Austin Metro Area 95,000 \- 137,000 USD per year
 NYC Metro Area 111,000 \- 161,000 USD per year
 Seattle Metro Area 104,000 \- 152,000 USD per year
 Scottsdale Metro Area 83,200 \- 103,500 USD per year
 San Francisco Bay Area 111,000 \- 161,000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11 paid holidays a year and up to 26 weeks of paid parental leave. For more information, select your country and learn more about our employee benefits, program, \&amp; perks at https://www.indeed.com/careers/benefits!
**Equal Opportunities and Accommodations Statement**
 Indeed is deeply committed to building a workplace and global community where inclusion is not only valued, but prioritized. We’re proud to be an equal opportunity employer, seeking to create a welcoming and diverse environment. All qualified applicants will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Indeed provides reasonable accommodations to qualified individuals with disabilities in the employment application process. To request an accommodation, please visit https://www.indeed.com/careers/accommodations. If you are requesting accommodation for an interview, please reach out at least one week in advance of your interview.
 For more information about our commitment to equal opportunity/affirmative action, please visit our Careers page (https://www.indeed.com/careers).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an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 we also want to make you aware of our recruitment specific privacy policy found at https://www.indeed.com/legal/indeed\-jobs .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**Reference ID:** 
**46469**
**The deadline to apply to this position is \[2/18/2026]. Job postings may be extended at the hiring team’s discretion based on applicant volume.**
 It is unlawful in Massachusetts to require or administer a lie detector test as a condition of employment or continued employment. An employer who violates this law shall be subject to criminal penalties and civil liability.
 Reference ID: 46469
 If you have questions about this posting, please contact support@lensa.com</t>
        </is>
      </c>
    </row>
    <row r="53">
      <c r="A53" t="inlineStr">
        <is>
          <t>li-4372195682</t>
        </is>
      </c>
      <c r="B53" t="inlineStr">
        <is>
          <t>Data Engineer 1</t>
        </is>
      </c>
      <c r="C53" t="inlineStr">
        <is>
          <t>Lensa</t>
        </is>
      </c>
      <c r="D53" t="inlineStr">
        <is>
          <t>linkedin</t>
        </is>
      </c>
      <c r="E53">
        <f>HYPERLINK("https://www.linkedin.com/jobs/view/4372195682", "https://www.linkedin.com/jobs/view/4372195682")</f>
        <v/>
      </c>
      <c r="F53" t="inlineStr"/>
      <c r="G53" t="inlineStr">
        <is>
          <t>Denver, CO</t>
        </is>
      </c>
      <c r="H53" t="inlineStr"/>
      <c r="I5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Indeed. Clicking "Apply Now" or "Read more" on Lensa redirects you to the job board/employer site. Any information collected there is subject to their terms and privacy notice.
**Our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The Data Engineer's role is to integrate data from a variety of sources into common data domain models. The purpose is to support data and analytics activities across Glassdoor and Indeed's global business functions. This is a technical role that involves defining changes to the data lake data model and building scalable and efficient processes to populate or modify data lake data. You will have practical data processing and data modeling experience in a "big data" environment. Also, experience in data modeling, test automation, and building reliable, trusted, and efficient data pipelines. This work contributes to our mission of helping people get jobs by providing insight into the global job market and supporting product innovation. That makes it easier for job seekers and employers to find each other.
**Responsibilities**
* Designing and implementing data pipelines (ETLs) to integrate data from a variety of sources into the Glassdoor (Indeed) Data Warehouse
* Designing and implementing data model changes, working cross\-functionally with various product and data teams
* Providing documentation, training, and consulting for data warehouse users
* Participating in on\-call rotation supporting critical business data pipelines
**Skills/Competencies**
* B.S. degree in Computer Science, Computer Engineering, Electrical Engineering, Mathematics, Statistics
* 1\+ years of experience with big data and streaming technologies (Snowflake, Redshift, Hive, Kafka, Spark, Flink or similar technologies)
* Exposure to workflow orchestration and pipeline tools such as Airflow
* 2\+ years coding experience (Python or Scala preferred)
* Passionate about data and learning new skills and technologies
**Salary Range Transparency**
 US Remote 95,000 \- 137,000 USD per year
 Austin Metro Area 95,000 \- 137,000 USD per year
 NYC Metro Area 111,000 \- 161,000 USD per year
 Seattle Metro Area 104,000 \- 152,000 USD per year
 Scottsdale Metro Area 83,200 \- 103,500 USD per year
 San Francisco Bay Area 111,000 \- 161,000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11 paid holidays a year and up to 26 weeks of paid parental leave. For more information, select your country and learn more about our employee benefits, program, \&amp; perks at https://www.indeed.com/careers/benefits!
**Equal Opportunities and Accommodations Statement**
 Indeed is deeply committed to building a workplace and global community where inclusion is not only valued, but prioritized. We're proud to be an equal opportunity employer, seeking to create a welcoming and diverse environment. All qualified applicants will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Indeed provides reasonable accommodations to qualified individuals with disabilities in the employment application process. To request an accommodation, please visit https://www.indeed.com/careers/accommodations. If you are requesting accommodation for an interview, please reach out at least one week in advance of your interview.
 For more information about our commitment to equal opportunity/affirmative action, please visit our Careers page (https://www.indeed.com/careers).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an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 we also want to make you aware of our recruitment specific privacy policy found at https://www.indeed.com/legal/indeed\-jobs .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**Reference ID:** 
**46469**
**The deadline to apply to this position is \[2/18/2026]. Job postings may be extended at the hiring team's discretion based on applicant volume.**
 It is unlawful in Massachusetts to require or administer a lie detector test as a condition of employment or continued employment. An employer who violates this law shall be subject to criminal penalties and civil liability.
 Reference ID: 46469
 If you have questions about this posting, please contact support@lensa.com</t>
        </is>
      </c>
    </row>
    <row r="54">
      <c r="A54" t="inlineStr">
        <is>
          <t>li-4372205279</t>
        </is>
      </c>
      <c r="B54" t="inlineStr">
        <is>
          <t>Data Engineer 1</t>
        </is>
      </c>
      <c r="C54" t="inlineStr">
        <is>
          <t>Lensa</t>
        </is>
      </c>
      <c r="D54" t="inlineStr">
        <is>
          <t>linkedin</t>
        </is>
      </c>
      <c r="E54">
        <f>HYPERLINK("https://www.linkedin.com/jobs/view/4372205279", "https://www.linkedin.com/jobs/view/4372205279")</f>
        <v/>
      </c>
      <c r="F54" t="inlineStr"/>
      <c r="G54" t="inlineStr">
        <is>
          <t>Charlotte, NC</t>
        </is>
      </c>
      <c r="H54" t="inlineStr"/>
      <c r="I5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Indeed. Clicking "Apply Now" or "Read more" on Lensa redirects you to the job board/employer site. Any information collected there is subject to their terms and privacy notice.
**Our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The Data Engineer's role is to integrate data from a variety of sources into common data domain models. The purpose is to support data and analytics activities across Glassdoor and Indeed's global business functions. This is a technical role that involves defining changes to the data lake data model and building scalable and efficient processes to populate or modify data lake data. You will have practical data processing and data modeling experience in a "big data" environment. Also, experience in data modeling, test automation, and building reliable, trusted, and efficient data pipelines. This work contributes to our mission of helping people get jobs by providing insight into the global job market and supporting product innovation. That makes it easier for job seekers and employers to find each other.
**Responsibilities**
* Designing and implementing data pipelines (ETLs) to integrate data from a variety of sources into the Glassdoor (Indeed) Data Warehouse
* Designing and implementing data model changes, working cross\-functionally with various product and data teams
* Providing documentation, training, and consulting for data warehouse users
* Participating in on\-call rotation supporting critical business data pipelines
**Skills/Competencies**
* B.S. degree in Computer Science, Computer Engineering, Electrical Engineering, Mathematics, Statistics
* 1\+ years of experience with big data and streaming technologies (Snowflake, Redshift, Hive, Kafka, Spark, Flink or similar technologies)
* Exposure to workflow orchestration and pipeline tools such as Airflow
* 2\+ years coding experience (Python or Scala preferred)
* Passionate about data and learning new skills and technologies
**Salary Range Transparency**
 US Remote 95,000 \- 137,000 USD per year
 Austin Metro Area 95,000 \- 137,000 USD per year
 NYC Metro Area 111,000 \- 161,000 USD per year
 Seattle Metro Area 104,000 \- 152,000 USD per year
 Scottsdale Metro Area 83,200 \- 103,500 USD per year
 San Francisco Bay Area 111,000 \- 161,000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11 paid holidays a year and up to 26 weeks of paid parental leave. For more information, select your country and learn more about our employee benefits, program, \&amp; perks at https://www.indeed.com/careers/benefits!
**Equal Opportunities and Accommodations Statement**
 Indeed is deeply committed to building a workplace and global community where inclusion is not only valued, but prioritized. We're proud to be an equal opportunity employer, seeking to create a welcoming and diverse environment. All qualified applicants will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Indeed provides reasonable accommodations to qualified individuals with disabilities in the employment application process. To request an accommodation, please visit https://www.indeed.com/careers/accommodations. If you are requesting accommodation for an interview, please reach out at least one week in advance of your interview.
 For more information about our commitment to equal opportunity/affirmative action, please visit our Careers page (https://www.indeed.com/careers).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an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 we also want to make you aware of our recruitment specific privacy policy found at https://www.indeed.com/legal/indeed\-jobs .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**Reference ID:** 
**46469**
**The deadline to apply to this position is \[2/18/2026]. Job postings may be extended at the hiring team's discretion based on applicant volume.**
 It is unlawful in Massachusetts to require or administer a lie detector test as a condition of employment or continued employment. An employer who violates this law shall be subject to criminal penalties and civil liability.
 Reference ID: 46469
 If you have questions about this posting, please contact support@lensa.com</t>
        </is>
      </c>
    </row>
    <row r="55">
      <c r="A55" t="inlineStr">
        <is>
          <t>li-4372167280</t>
        </is>
      </c>
      <c r="B55" t="inlineStr">
        <is>
          <t>Analytics Engineer II</t>
        </is>
      </c>
      <c r="C55" t="inlineStr">
        <is>
          <t>Alma</t>
        </is>
      </c>
      <c r="D55" t="inlineStr">
        <is>
          <t>linkedin</t>
        </is>
      </c>
      <c r="E55">
        <f>HYPERLINK("https://www.linkedin.com/jobs/view/4372167280", "https://www.linkedin.com/jobs/view/4372167280")</f>
        <v/>
      </c>
      <c r="F55" t="inlineStr"/>
      <c r="G55" t="inlineStr"/>
      <c r="H55" t="inlineStr"/>
      <c r="I55" t="inlineStr">
        <is>
          <t>Alma is on a mission to simplify access to high\-quality, affordable mental health care. We do this by making it easy and financially rewarding for therapists to accept insurance and offer in\-network care. When a provider joins Alma, they gain access to a suite of tools that not only help them better run their business, but also grow it sustainably and develop as a provider. Alma is available in all 50 states, with over 20,000 therapists in our growing network. Anyone looking for a therapist can browse Alma’s free directory. Alma has raised $220\.5M in funding from Insight Partners, Optum Ventures, Tusk Venture Partners, Primary Venture Partners, First Round Capital, Sound Ventures, BoxGroup, Cigna Ventures, and Rainfall Ventures. Alma was also named one of Inc’s Best Workplaces in 2022 and 2023\.
 Website
 Job Board
 Values
 Candidate Interview Guide
 Analytics Engineer II
 Alma is seeking a mission\-oriented Analytics Engineer to join our team. This person will work to build out and maintain Alma’s information systems that collect, manage and convert raw data standardized models for use by analysts and stakeholders across the company. This person will play an integral role in making data accessible to the organization so it can evaluate and operate effectively and successfully.
**What you’ll do:**
* Build models and queries to transform data into standardized formats that power our business analytics.
* Maintain and develop Alma’s data pipeline architecture
* Proactively identify, diagnose, and resolve data quality, reliability, and performance issues across the data lifecycle.
* Collaborate with stakeholders to define requirements and implement robust processes for ingesting data from diverse internal and external sources.
* Implement data governance best practices and ensure compliance with data policies.
* Work with the data team and cross\-team stakeholders to evaluate the priorities and needs of the company.
**Who you are:**
* You have 3\+ years of progressive experience in data engineering or analytics engineering, with a strong emphasis on building and optimizing data pipelines and data warehouses.
* You possess advanced SQL skills, with proven experience in writing complex, performant queries and optimizing them in a data warehouse environment like Redshift.
* You have a strong understanding of data warehousing and business intelligence tools.
* Experience with dbt is highly desirable; familiarity with BI tools (e.g., Looker, Metabase) is a plus.
* You enjoy exploring data sets and have technical expertise in data transformation and data modeling.
* You have some experience with Python
* You feel a passion for Alma's mission – to improve the experience of therapy for providers and their clients and simplify access to care.
*Tech Stack: Python, SQL, Redshift, dbt, Singer.io; (Familiarity with: Stitch, Lightdash, Metabase)*
**Benefits:**
* We’re a remote\-first company
* Health insurance plans through Aetna (medical and dental) and MetLife (vision), including FSA and HSA plans
* 401K plan (ADP)
* Lifestyle Spending Account for health, wellness, and family care
* Monthly co\-working space membership stipend
* Monthly work\-from\-home stipend
* Financial wellness benefits through Northstar
* Pet discount program through United Pet Care
* Financial perks and rewards through PerkSpot
* EAP access through Aetna
* One\-time home office stipend to set up your home office
* Inclusive family and medical leave plans
* 12 paid holidays and 1 Alma Give Back Day
* Flexible PTO
 Salary Band: $124,600\- $160,000
 Alma’s compensation philosophy is driven by our company value of building equity. To best ensure pay equity, we typically bring in new hires near the middle of our listed salary bands and we do not negotiate our compensation (i.e. all people hired at the same level \&amp; role are brought in at the same salary, equity, and benefits). The recruiter you work with can provide more details on our philosophy.
 All Alma jobs are listed on our careers page. We do not use outside applications or automated text messaging in our recruiting process. We will not ask for any sensitive financial or identification information throughout the recruiting process. Any communication during the recruitment process, including interview requests or job offers, will come directly from a recruiting team member with a helloalma.com email address.
 Learn more about how Alma handles applicant data by reading Alma's Applicant Privacy Notice.</t>
        </is>
      </c>
    </row>
    <row r="56">
      <c r="A56" t="inlineStr">
        <is>
          <t>li-4371418359</t>
        </is>
      </c>
      <c r="B56" t="inlineStr">
        <is>
          <t>Data Engineer IV -Remote-6057</t>
        </is>
      </c>
      <c r="C56" t="inlineStr">
        <is>
          <t>itD</t>
        </is>
      </c>
      <c r="D56" t="inlineStr">
        <is>
          <t>linkedin</t>
        </is>
      </c>
      <c r="E56">
        <f>HYPERLINK("https://www.linkedin.com/jobs/view/4371418359", "https://www.linkedin.com/jobs/view/4371418359")</f>
        <v/>
      </c>
      <c r="F56" t="inlineStr"/>
      <c r="G56" t="inlineStr"/>
      <c r="H56" t="inlineStr"/>
      <c r="I56" t="inlineStr">
        <is>
          <t>**Data Engineer IV**
 itD is seeking a
 **Data Engineer IV** 
 to build and scale real\-time data infrastructure supporting Company’s SBG Marketing Science team. This role will design and optimize high\-performance data pipelines that power advertising performance insights across millions of advertisers. The ideal candidate will bring deep experience in large\-scale data engineering, real\-time pipeline development, and marketing data systems, along with a proven track record of delivering scalable, production\-grade data solutions that drive measurable business impact.
**Location:** 
 Remote – Open to all U.S. time zones
**Duration:** 
 ASAP through 12/31/2026
**Schedule:** 
 40 hours/week, Monday–Friday (no overtime)
**Travel:** 
 None
 We provide comprehensive medical benefits, a 401(k) plan, paid holidays, and more.
 Please note that we are only considering direct W2 candidates at this time, as we are unable to offer sponsorship.
**About The Team**
 The SBG Marketing Science team focuses on optimizing advertising performance and maximizing customer value across Company’s ecosystem. The team is evolving from validating performance\-driving solutions to understanding the “why” behind them—building foundational data systems that enable contextualized recommendations, advanced feedback mechanisms, and large\-scale marketing insights. This role directly contributes to strengthening the data foundation that supports millions of advertisers globally.
**Responsibilities**
* Develop and optimize real\-time data pipelines from existing data sources to support marketing science initiatives.
* Structure and organize large\-scale datasets to ensure high performance, scalability, and reliability.
* Build and maintain production\-grade data tables powering 20–50 marketing signals across \~20 million advertisers.
* Collaborate closely with cross\-functional partners to translate business signals into scalable production solutions.
* Serve as the subject matter expert on marketing data infrastructure and provide technical guidance on data modeling and architecture.
* Improve pipeline efficiency, minimize errors, and ensure high accuracy of marketing signals.
* Act quickly on feedback and continuously enhance data systems in a fast\-paced environment.
**Internal Responsibilities**
* Attend regular internal practice community meetings.
* Collaborate with your itD practice team on industry thought leadership.
* Complete client case studies and learning materials (blogs, media material).
* Build out material to contribute to the Digital Transformation practice.
* Attend internal itD networking events (in person and virtual).
* Work with leadership on career fast\-track opportunities.
**Required Qualifications And Skills**
* 5\+ years of experience in data engineering or related technical roles.
* Proven experience building and optimizing large\-scale data pipelines and infrastructure.
* Strong proficiency in Python (preferred) and SQL.
* Experience designing scalable data models for high\-performance querying.
* Experience working with large datasets (millions of rows or more).
* Ability to structure data creatively for performance, scalability, and reliability.
* Experience deploying data solutions into production environments.
* Strong collaboration skills and ability to incorporate feedback quickly.
**Preferred Qualifications And Skills**
* Experience with marketing data tables, customer lifecycle management, or CRM data systems.
* Experience working in advertising or marketing analytics environments.
* Experience supporting real\-time or near real\-time data processing systems.
* Prior experience in large\-scale technology organizations.
* Familiarity with advanced marketing measurement frameworks.
**Education**
 Bachelor’s degree in Computer Science, Computer Engineering, Data Analytics, or a related technical field required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57">
      <c r="A57" t="inlineStr">
        <is>
          <t>li-4372214265</t>
        </is>
      </c>
      <c r="B57" t="inlineStr">
        <is>
          <t>Senior Data Engineer</t>
        </is>
      </c>
      <c r="C57" t="inlineStr">
        <is>
          <t>Deep Sync</t>
        </is>
      </c>
      <c r="D57" t="inlineStr">
        <is>
          <t>linkedin</t>
        </is>
      </c>
      <c r="E57">
        <f>HYPERLINK("https://www.linkedin.com/jobs/view/4372214265", "https://www.linkedin.com/jobs/view/4372214265")</f>
        <v/>
      </c>
      <c r="F57" t="inlineStr"/>
      <c r="G57" t="inlineStr">
        <is>
          <t>Redmond, WA</t>
        </is>
      </c>
      <c r="H57" t="inlineStr"/>
      <c r="I57" t="inlineStr">
        <is>
          <t>**Description**
 Deep Sync is the industry leader in deterministic identity and AI\-powered data solutions. Leveraging our 35\-year foundation of compiling direct mail\-grade datasets, Deep Sync develops data\-first technologies that power marketing, measurement, AI, and business intelligence for agencies and brands with our fully deterministic identity graph, privacy\-first audiences, comprehensive data solutions, and integrations with leading platforms and cloud providers.
**Position Overview:** 
 We are seeking a Senior Data Engineer with a robust background in data engineering to join our team in
 **Hyderabad, India** 
 . The ideal candidate will be pivotal in designing, developing, and maintaining our data infrastructure. This role emphasizes on building machine learning models but on integrating and deploying these models into our data pipelines to enhance our capabilities in advanced analytics and machine learning processes. The successful candidate will contribute expertise to improve and scale our data engineering practices, ensuring the seamless incorporation of machine learning models into our operational workflows.
**Key Responsibilities**
 Data Pipeline Development:
* Design, implement, and maintain scalable data pipelines to collect, process, and store data from various sources.
* Ensure data quality, accuracy, and consistency throughout the pipeline.
**Data Modeling Integration**
* Design and implement existing data models for predictive analytics, machine learning, and data exploration.
* Optimize data structures and storage to support predictive analytics/machine learning processes.
**Data Integration**
* Work closely with cross\-functional teams to integrate data from diverse sources, including databases, APIs, and external data providers.
* Develop and maintain ETL processes to transform and enrich raw data into actionable insights.
**Performance Tuning**
* Monitor and optimize the performance of data pipelines and databases to meet business requirements.
* Identify and resolve bottlenecks and performance issues.
**Continuous Learning And Mentoring**
* Stay up\-to\-date with the latest advancements in data engineering and data science technologies.
* Share knowledge and mentor junior team members.
**Requirements** 
* Bachelor's or Master's degree in Computer Science, Engineering, or a related field.
* 5\+ years of software engineering experience.
* Proven experience in developing and delivering large\-scale software products.
* Strong experience in AI/ML technologies and building AI\-powered applications.
* Strong programming skills in languages such as Python, Java, or C\+\+.
* Experience with cloud platforms (e.g., AWS, Azure, GCP) and containerization technologies (e.g., Docker, Kubernetes).
* Excellent problem\-solving skills and a passion for innovation.
* Tech Stack:
+ Cloud Provider Experience: AWS
+ Data Storage and Warehousing Analytics Engine
- Snowflake
+ Amazon Services
- AWS Glue
- AWS Elastic MapReduce (EMR)
- AWS Lambda
+ Data Processing and Computation
- Apache Spark
+ Workflow \&amp; DataOps
- Apache Airflow® DAGs (Directed Acyclic Graph) for orchestration
**Benefits:** 
 We are proud to offer a best\-in\-class benefits package designed to support the well\-being and professional growth of our team members. Our comprehensive benefits are highly competitive and considered to be among the best offered by companies in India, ensuring you are well\-cared for as part of the Deep Sync family.</t>
        </is>
      </c>
    </row>
    <row r="58">
      <c r="A58" t="inlineStr">
        <is>
          <t>li-4372217035</t>
        </is>
      </c>
      <c r="B58" t="inlineStr">
        <is>
          <t>Senior Data Engineer</t>
        </is>
      </c>
      <c r="C58" t="inlineStr">
        <is>
          <t>DOMA Technologies</t>
        </is>
      </c>
      <c r="D58" t="inlineStr">
        <is>
          <t>linkedin</t>
        </is>
      </c>
      <c r="E58">
        <f>HYPERLINK("https://www.linkedin.com/jobs/view/4372217035", "https://www.linkedin.com/jobs/view/4372217035")</f>
        <v/>
      </c>
      <c r="F58" t="inlineStr"/>
      <c r="G58" t="inlineStr">
        <is>
          <t>Annapolis Junction, MD</t>
        </is>
      </c>
      <c r="H58" t="inlineStr"/>
      <c r="I58" t="inlineStr">
        <is>
          <t>**Description**
 At Commence, we’re the start of a new age of data\-centric transformation, elevating health outcomes and powering better, more efficient process to program and patient health. We combine quality data\-driven solutions that fuel answers, technology that advances performance, and clinical expertise that builds trust to create a more efficient path to quality care.
 With human\-centered, healthcare\-relevant, and value\-based solutions, we create new possibilities with data. We provide proof beyond the concept and performance beyond the scope with a focus on efficiencies that transform the lives of those we serve. With a culture driven by purpose, straightforward communication and clinical domain expertise, Commence cuts straight to better care.
**Requirements**
 As a Sr. Data Engineer you will be responsible for designing, building, and maintaining efficient, scalable, and fully automated data pipelines and architectures that support various business needs ranging from operational reporting to sophisticated AI/ML analytics. The ideal candidate will have a strong background in data engineering, cloud technologies, and data management practices at scale using modern data platforms and tools.
* Design, develop, and maintain scalable data pipelines to collect, process, and transform data from various sources.
* Integrate data from multiple sources, ensuring data quality and consistency across the organization.
* Build and maintain data storage solutions, including data warehouses and data lakes, ensuring optimal performance and reliability.
* Implement data transformation and enrichment processes to prepare data for analytics and reporting.
* Leverage cloud technologies, particularly AWS, to optimize and manage data infrastructure.
* Work closely with data scientists, analysts, and other stakeholders to understand data requirements and deliver high\-quality data solutions.
* Create and maintain comprehensive documentation for data pipelines, data models, and related processes.
* Mentors and guides junior data engineers/ analysts on data engineering best practices and industry standards.
* Other duties as assigned.
**Essential Knowledge**
* Minimum of 4 years of experience in data engineering or a related field.
* Strong experience with data pipeline/ orchestration and ETL development using tools such as Apache Airflow, Kubernetes, Databricks Workflows or similar.
* Demonstrated experience in designing highly efficient programs capable of processing terabytes of data.
* Strong Proficiency in SQL and experience with relational databases (e.g., SQLServer, PostgreSQL) and NoSQL databases (e.g., MongoDB, OpenSearch).
* Experience with cloud technologies, particularly AWS (e.g., S3, Redshift, Glue, Lambda, Athena).
* Proficient in writing data programs in R, Python, Scala, or similar language.
* Familiarity with big data technologies such as Apache Spark, Databricks, or similar.
* Familiarity with data visualization tools and data migration methods.
* Excellent problem\-solving skills and attention to detail.
* Strong communication and interpersonal skills, with the ability to work effectively with diverse teams and stakeholders.
**Essential Education**
* Bachelor’s degree in computer science, Information Technology, or a related field.
**Essential Skills**
* Familiarity with data governance and data quality best practices is a plus.
* Familiarity with healthcare data standards i.e. (FHIR, HL7\)
* Familiarity working with unstructured data i.e. pdfs, free\-text, etc.
* Databricks Data Engineering certifications.
* Data Visualization/ Reporting skills (i.e. PowerBI, Tableau, or Quicksight)
*Commence.AI is committed to* 
*providing* 
*equal employment opportunities to all applicants, including individuals with disabilities. If you require a reasonable accommodation to* 
*participate* 
*in the application process due to a disability, please contact Human Resources at (757\) 306\-4920 or* 
*hr@commence.ai.* 
***Please***
***note that unless you are requesting accommodation, all applications must be***
***submitted***
***through our online application system.***</t>
        </is>
      </c>
    </row>
    <row r="59">
      <c r="A59" t="inlineStr">
        <is>
          <t>li-4363310218</t>
        </is>
      </c>
      <c r="B59" t="inlineStr">
        <is>
          <t>Data Engineer, Ads</t>
        </is>
      </c>
      <c r="C59" t="inlineStr">
        <is>
          <t>Roblox</t>
        </is>
      </c>
      <c r="D59" t="inlineStr">
        <is>
          <t>linkedin</t>
        </is>
      </c>
      <c r="E59">
        <f>HYPERLINK("https://www.linkedin.com/jobs/view/4363310218", "https://www.linkedin.com/jobs/view/4363310218")</f>
        <v/>
      </c>
      <c r="F59" t="inlineStr"/>
      <c r="G59" t="inlineStr">
        <is>
          <t>San Mateo, CA</t>
        </is>
      </c>
      <c r="H59" t="inlineStr"/>
      <c r="I59"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**About The Role**
 With Roblox’s daily active users growing at a record pace, we are seeking a senior data engineer to help build the next generation of Ad Data and ML feature infrastructure. Our team sits at the core of advertising systems at Roblox, powering high\-scale, high\-throughput data systems that shape ads personalization, ranking, and measurement. As a Senior Data Engineer, you will architect and build foundational data pipelines, real\-time streaming systems, and scalable feature computation frameworks. Your work will enable rapid experimentation, empower ranking models, and support personalized ad delivery at massive scale. You will collaborate closely with engineers across ML, backend, and analytics to shape the future of ads data infrastructure at Roblox. This role is a great fit for you if you are proficient in managing large scale systems and data\-driven applications and have a zeal for developing inspiring, easily maintainable, and reusable code. Join our highly skilled and rapidly growing team and make a significant impact at Roblox.
**You Will**
* Build high\-performance data pipelines and real\-time streaming systems that support both online and offline ML features, training data and statistical computation at scale.
* Design and scale robust data infrastructure for powering retrieval and ranking of various ads systems across Roblox
* Ensure data systems are reliable, observable, privacy\-compliant, and performant under heavy concurrency and high throughput.
* Partner with ML and backend engineers to define scalable interfaces and enable rapid iteration for model development and experimentation.
* Partner with our Data Platform and Data Infra teams to build our high quality data processing workflows.
* Contribute to internal platforms and tools that abstract complexity, improve developer productivity, and accelerate innovation.
* Be a tech lead and mentor junior engineers
* Self\-organize and take ownership of projects throughout their full lifecycle.
**You Have**
* 7\+ years of work experience building production\-grade, scalable, and reliable data systems
* Solid programming skills in languages such as Python and strong knowledge of SQL
* Strong expertise in developing large\-scale data pipelines (batch and streaming) and big\-data processing technologies such as Spark, Apache Druid, Flink, Ray, Kubeflow, etc
* Excellent cross\-functional collaboration skills; enjoy building systems that enable and accelerate team productivity
* Data\-driven focus for quality metrics and monitoring
* Approach data as a product—prioritizing quality, discoverability, and reusability
* B.S. equivalent in CS or sufficient experience.
**Nice To Have**
* Knowledge about advertising and the technology which powers it is preferred
* Experience building data pipelines at TB\+ scale.
* Experience leveraging AI tooling to build simplified, human\-centric experiences for internal customers.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60">
      <c r="A60" t="inlineStr">
        <is>
          <t>li-4364181466</t>
        </is>
      </c>
      <c r="B60" t="inlineStr">
        <is>
          <t>Data Engineer</t>
        </is>
      </c>
      <c r="C60" t="inlineStr">
        <is>
          <t>Detroit Public Schools Community District</t>
        </is>
      </c>
      <c r="D60" t="inlineStr">
        <is>
          <t>linkedin</t>
        </is>
      </c>
      <c r="E60">
        <f>HYPERLINK("https://www.linkedin.com/jobs/view/4364181466", "https://www.linkedin.com/jobs/view/4364181466")</f>
        <v/>
      </c>
      <c r="F60" t="inlineStr"/>
      <c r="G60" t="inlineStr">
        <is>
          <t>Detroit, MI</t>
        </is>
      </c>
      <c r="H60" t="inlineStr"/>
      <c r="I60" t="inlineStr">
        <is>
          <t>**Job Description**
**Job Title**
**Position Title:** 
 Data Engineer
**Location:** 
 Strategy, Data, and Accountability
**Salary:** 
 $99,486 \- $134,599
**Reports to:** 
 Senior Data Engineer \&amp; Infrastructure Architect
**Bargaining Unit:** 
 N/A
**Benefits Eligible:** 
 Yes
**Telecommuting Eligibility:** 
 Eligible for telecommuting up to 40% (2 days per week)
**Position Summary**
 The Data Services department is seeking a Data Engineer to modernize and expand our data infrastructure serving over 50,000 students. In this role, you will serve as the primary owner for data pipelines and domains. You will be expected to lead development and maintenance to data pipelines, understanding how changes affect downstream business processes and school\-level users, and incorporating that context into design, testing, and deployment decisions.
 This role offers the opportunity to work on meaningful technical problems while collaborating with a skilled team of engineers, analysts, and BI developers. You'll help shape our data strategy and contribute to best practices that will¿scale with¿the district's growing needs.
**Minimum Qualifications**
* Bachelor's degree in Computer Science, Data Analytics, or a related technical field, and/or equivalent experience
**Required Experience \&amp; Skills**
* 3\-5 years of experience building and maintaining production data pipelines
* Strong¿proficiency in Python for data engineering workflows (pandas, SQL integration, API development)
* Expert command of SQL with experience in query optimization and database design in Microsoft SQL Server environments
* Experience implementing data quality frameworks and validation processes
* Demonstrated ability to write and maintain unit tests for both Python and SQL code
* Experience with version control systems (Git) and¿development best practices
* Strong documentation skills and ability to communicate technical approaches clearly
**Preferred Experience \&amp; Skills**
* Experience migrating legacy ETL processes (SSIS, stored procedures) to modern Python\-based pipelines.
* Familiarity with educational data systems or urban public school districts.
* Experience with Continuous Integration / Continuous Development (CI/CD) practices for data pipelines.
* Knowledge of data architecture patterns (bronze/silver/gold, medallion architecture).
* Experience working in hybrid cloud/on\-premises environments (Azure preferred).
* Demonstrated experience working in a multi\-engineer agile or iterative development environment with regular sprints, stand\-ups, and retrospectives with shared ownership, iterative handoffs, and production change management.
**Essential Functions**
 Under the direction of the Senior Data Engineer \&amp; Infrastructure Architect, the Data Engineer will:
 Pipeline Development and Modernization
* Contribute to the redesign and migration of legacy SSIS pipelines to Python\-based solutions, improving maintainability, performance, and scalability.
* Lead the design and developmen of scalable data pipelines that extract, transform, and load data from multiple sources into our enterprise data warehouse.
* Implement workflow orchestration for complex, multi\-step data processes with appropriate monitoring, alerting, and error handling.
 Data Quality and Testing
* Implement data validation frameworks throughout the data processing lifecycle, with particular attention to how data accuracy, timing, and availability affect downstream reporting, school operations, and end users.
* Develop and maintain unit testing practices for both Python and SQL codebases, ensuring reliability and preventing regressions.
* Monitor and optimize pipeline performance, query efficiency, and resource utilization.
 Collaboration and Documentation
* Collaborate with other data engineers and contract resources on shared initiatives, including coordinating handoffs, reviewing work for quality and consistency, and ensuring alignment with established architectural patterns.
* Create and maintain clear technical documentation for pipelines, business logic, and data transformations.
* Support urgent data requests and investigations as needed.
**Additional Responsibilities**
* Perform other duties as assigned by the Senior Data Engineer \&amp; Infrastructure Architect
**Security Clearance**
 Internal Applicants
 If you are a current Detroit Public Schools Community District employee, you do not have to submit to a new security clearance, unless your new role requires a different type of criminal background check.
 External Applicants
 In alignment with Michigan law, if you are hired to fill a position, you will be required to submit to a Detroit Public Schools Community District criminal background check. Information regarding required background checks will be shared at point of hire.
**Method Of Application**
 Applicants must apply through the online application system. Only applications submitted through the online application system will be considered for any posted position and all applications require a resume to be considered.
 Successful candidates are required to submit official transcript(s) at point of offer to hire. Teaching service outside of the Detroit Public Schools Community District must be verified by the applicant's prior employer(s) prior to hire. It is the applicant's responsibility to provide all documentation (including copies) as requested.
 Applicants requesting assistance during the application process should contact the Office of Human Resources via email at \[email protected] or phone at (313\) 873\-6897\.
*DPSCD does not discriminate based on race, color, national origin, sex, disability and/or religion. Contact the Civil Rights Coordinator for more information at (313\) 240\-4377 or detroitk12\.org/compliance.*</t>
        </is>
      </c>
    </row>
    <row r="61">
      <c r="A61" t="inlineStr">
        <is>
          <t>li-4362645594</t>
        </is>
      </c>
      <c r="B61" t="inlineStr">
        <is>
          <t>Senior Data Engineer</t>
        </is>
      </c>
      <c r="C61" t="inlineStr">
        <is>
          <t>Rockstar Games</t>
        </is>
      </c>
      <c r="D61" t="inlineStr">
        <is>
          <t>linkedin</t>
        </is>
      </c>
      <c r="E61">
        <f>HYPERLINK("https://www.linkedin.com/jobs/view/4362645594", "https://www.linkedin.com/jobs/view/4362645594")</f>
        <v/>
      </c>
      <c r="F61" t="inlineStr"/>
      <c r="G61" t="inlineStr">
        <is>
          <t>Manhattan, NY</t>
        </is>
      </c>
      <c r="H61" t="inlineStr"/>
      <c r="I61" t="inlineStr">
        <is>
          <t>At Rockstar Games, we create world\-class entertainment experiences.
 Become part of a team working on some of the most rewarding, large\-scale creative projects to be found in any entertainment medium \- all within an inclusive, highly\-motivated environment where you can learn and collaborate with some of the most talented people in the industry.
 Rockstar is seeking a Senior Data Engineer to join a team building a cutting\-edge game analytics platform and tools to better understand our players and enhance their experience across our titles.
 The ideal candidate will be skilled in developing complex ingestions and transformation processes with an emphasis on reliability and performance. In collaboration with other Data Engineers, Machine Learning Engineers, and Software Engineers, the candidate will empower the team of Analysts and Data Scientists to deliver data driven insights and applications across the company.
 This is a full\-time, in\-office position based out of Rockstar’s NYC headquarters in Downtown Manhattan.
**What We Do**
* The Rockstar Data Engineering team provides insights and actionable results to a wide variety of teams across the organization in support of their decision making.
* We work with petabyte\-scale data in Azure and Databricks, building both real\-time and batch pipelines that power analytics, machine learning, and player experience improvements.
**Responsibilities**
* Design, build, and own real\-time and batch data pipelines in Azure Databricks using Spark, Airflow, and modern orchestration and build tools.
* Drive engineering excellence by implementing robust testing practices (unit, integration), code review standards, and CI/CD automation.
* Architect Data Models for massive\-scale MPP engines (Databricks/Spark, SQL, Snowflake) that balance performance, maintainability, and analytical flexibility.
* Collaborate with Data Scientists, Analysts, and ML Engineers to gather requirements, understand use cases, and deliver reliable data products.
* Identify and implement improvements to our data platform, pipelines, and development processes with autonomy to POC new approaches and technologies.
* Mentor, elevate, and learn with the team by sharing insights, maintaining documentation, and establishing engineering best practices.
* Own projects end\-to\-end, from gathering requirements and technical design through implementation, testing, and production support.
**Requirements**
* 5\+ years of work experience with designing and development of modern data pipelines.
* 4\+ years of experience with Python for data engineering (building maintainable, testable code) and Spark for large\-scale data processing.
* Strong software engineering fundamentals – design patterns, testing strategies (unit, integration) code review practices, system design thinking.
* Expert\-level SQL and deep understanding of query optimization, data structures, and performance tuning.
* Track record of building and optimizing terabyte or petabyte\-scale data warehouses.
* Ability to work independently on loosely\-defined projects – gathering requirements, making architectural decisions, and following through completion.
* Experience building Real\-Time and/or Near\-Real\-Time data pipelines.
* Outstanding communication and interpersonal skills, including the ability to tailor communication style to technical and non\-technical audiences.
**PLUSES**
 Please note that these are desirable skills and are not required to apply for the position.
* Databricks platform experience (Delta Lake, Unity Catalog, Workflows).
* Experience with Data warehouses (such as data modeling and technical architectures) and infrastructure components.
* Containerization and orchestration (Docker, Kubernetes).
* Experience with Java or Scala.
* Experience with CI/CD (TeamCity, Octopus).
* RESTful API design, usage, and consumption.
* Gaming industry experience or passion for games.
* Experience in Machine Learning pipelines and popular libraries.
**Additional Information**
**HOW TO APPLY**
 Please apply with a resume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notify your recruiter during the interview process.
 If you’ve got the right skills for the job, we want to hear from you. We encourage applications from all suitable candidates regardless of age, disability, gender identity, sexual orientation, religion, belief, race, or any other protected category.
 The pay range for this position in New York State (inclusive of New York City) at the start of employment is expected to be between the range below\*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 NY Base Pay Range
 $121,400—$161,800 USD</t>
        </is>
      </c>
    </row>
    <row r="62">
      <c r="A62" t="inlineStr">
        <is>
          <t>li-4363994137</t>
        </is>
      </c>
      <c r="B62" t="inlineStr">
        <is>
          <t>Data Engineer- Snowflake</t>
        </is>
      </c>
      <c r="C62" t="inlineStr">
        <is>
          <t>Oran Inc</t>
        </is>
      </c>
      <c r="D62" t="inlineStr">
        <is>
          <t>linkedin</t>
        </is>
      </c>
      <c r="E62">
        <f>HYPERLINK("https://www.linkedin.com/jobs/view/4363994137", "https://www.linkedin.com/jobs/view/4363994137")</f>
        <v/>
      </c>
      <c r="F62">
        <f>HYPERLINK("https://oran.catsone.com/careers/73942-General/jobs/16774039-Data-Engineer-Snowflake/&amp;urlHash=2mBp", "https://oran.catsone.com/careers/73942-General/jobs/16774039-Data-Engineer-Snowflake/&amp;urlHash=2mBp")</f>
        <v/>
      </c>
      <c r="G62" t="inlineStr">
        <is>
          <t>Herndon, VA</t>
        </is>
      </c>
      <c r="H62" t="inlineStr"/>
      <c r="I62" t="inlineStr">
        <is>
          <t>**Overview**
 Oran Inc. is seeking a Junior Snowflake Data Engineer to support a federal data modernization initiative. This role focuses on migrating legacy SAS ETL processes into a Snowflake ELT architecture on AWS. You will collaborate with senior engineers to develop ingestion frameworks, ensure data quality, and support production environments.
**Key Responsibilities**
**Snowflake Development**
* Develop and maintain tables (RAW, TARGET), views, stored procedures, tasks, and streams
* Implement COPY INTO for file ingestion
* Support incremental and historical data loads
* Assist with schema validation and evolution
**AWS \&amp; Data Integration**
* Work with Amazon S3 for data ingestion and storage
* Understand IAM role basics
* Support file processing (CSV, pipe\-delimited, fixed\-width, GZIP/ZIP)
**Data Engineering \&amp; ELT**
* Load and transform data across Bronze (RAW), Silver, and Gold layers
* Perform data validation (row counts, duplicates, schema checks)
* Support metadata tracking and run documentation
**Data Quality \&amp; Support**
* Reconcile Snowflake outputs against legacy SAS datasets
* Troubleshoot data discrepancies and load failures
**DevOps \&amp; Deployment**
* Use Azure DevOps Git for version control
* Support deployments across DEV, STG, and PROD
* Follow structured branching and folder standards
**Required Qualifications**
* 1–3 years of data engineering or ETL experience
* Strong SQL skills (joins, aggregations, window functions)
* Experience with Snowflake or similar cloud data warehouse
* Experience with AWS S3
* Understanding of incremental load concepts and relational modeling
**Preferred**
* Experience migrating legacy ETL (SAS, Informatica)
* Snowflake Tasks, Streams, and Stored Procedures
* AWS Glue familiarity
* Exposure to CI/CD and data quality frameworks</t>
        </is>
      </c>
    </row>
    <row r="63">
      <c r="A63" t="inlineStr">
        <is>
          <t>li-4372204320</t>
        </is>
      </c>
      <c r="B63" t="inlineStr">
        <is>
          <t>REMOTE- Junior Data Engineer</t>
        </is>
      </c>
      <c r="C63" t="inlineStr">
        <is>
          <t>Lensa</t>
        </is>
      </c>
      <c r="D63" t="inlineStr">
        <is>
          <t>linkedin</t>
        </is>
      </c>
      <c r="E63">
        <f>HYPERLINK("https://www.linkedin.com/jobs/view/4372204320", "https://www.linkedin.com/jobs/view/4372204320")</f>
        <v/>
      </c>
      <c r="F63" t="inlineStr"/>
      <c r="G63" t="inlineStr">
        <is>
          <t>Fort Worth, TX</t>
        </is>
      </c>
      <c r="H63" t="inlineStr"/>
      <c r="I6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64">
      <c r="A64" t="inlineStr">
        <is>
          <t>li-4321054730</t>
        </is>
      </c>
      <c r="B64" t="inlineStr">
        <is>
          <t>Data Engineer</t>
        </is>
      </c>
      <c r="C64" t="inlineStr">
        <is>
          <t>On-Demand Group</t>
        </is>
      </c>
      <c r="D64" t="inlineStr">
        <is>
          <t>linkedin</t>
        </is>
      </c>
      <c r="E64">
        <f>HYPERLINK("https://www.linkedin.com/jobs/view/4321054730", "https://www.linkedin.com/jobs/view/4321054730")</f>
        <v/>
      </c>
      <c r="F64" t="inlineStr"/>
      <c r="G64" t="inlineStr">
        <is>
          <t>Bloomington, MN</t>
        </is>
      </c>
      <c r="H64" t="inlineStr"/>
      <c r="I64" t="inlineStr">
        <is>
          <t>**Job Title: Data Engineer** 
**Job Location: Hybrid (2x/month \- Bloomington, MN)** 
**Job Type: 6\-Month CTH** 
* **Key Responsibilities:**
* Design, build, and maintain scalable data pipelines for ingesting, cleaning, and transforming provider data.
* Develop and optimize workflows in
 **Databricks** 
 for large\-scale data processing.
* Implement and manage data storage solutions using the
 **Microsoft Azure** 
 suite, including
 **Azure Data Lake** 
 ,
 **Blob Storage** 
 , and
 **Azure SQL** 
 .
* Collaborate with API developers and data consumers to ensure seamless
 **API** 
 data consumption.
* Work closely with data scientists, analysts, and product owners to ensure data quality, consistency, and availability.
* Contribute to the evolution of our data lake and warehouse architecture to support current and future analytics needs.
* **Required Qualifications:**
* Hands\-on experience with
 **Databricks** 
 and
 **Apache Spark** 
 .
* Proficient in SQL, Python, PySpark, Git
* Strong proficiency with
 **Microsoft Azure** 
 cloud services, especially in data storage and compute.
* Proven experience with
 **data lakes** 
 and/or
 **data warehouses** 
 .
* Solid understanding of
 **REST APIs** 
 and experience consuming them in data workflows.
* Experience with
 **data ingestion** 
 ,
 **ETL/ELT pipelines** 
 , and
 **data cleaning** 
 techniques.
* **Preferred Qualifications:**
* Hands\-On Experience with
 **PowerBI**
* Experience building or maintaining
 **GraphQL APIs** 
 .
* Experience designing and developing
 **REST APIs** 
 .
* Familiarity with
 **AI/ML integration** 
 in data pipelines or analytics workflows.
* Knowledge of healthcare data standards and provider data models is a plus.
*The projected hourly range for this position is $65 to $85\.* 
*On\-Demand Group (ODG) provides employee benefits which includes healthcare, dental, and vision insurance. ODG is an equal opportunity employer that does not discriminate on the basis of race, color, religion, gender, sexual orientation, age, national origin, disability, or any other characteristic protected by law.*</t>
        </is>
      </c>
    </row>
    <row r="65">
      <c r="A65" t="inlineStr">
        <is>
          <t>li-4371704231</t>
        </is>
      </c>
      <c r="B65" t="inlineStr">
        <is>
          <t>Analytics &amp; BI Engineer, Finance</t>
        </is>
      </c>
      <c r="C65" t="inlineStr">
        <is>
          <t>Anthropic</t>
        </is>
      </c>
      <c r="D65" t="inlineStr">
        <is>
          <t>linkedin</t>
        </is>
      </c>
      <c r="E65">
        <f>HYPERLINK("https://www.linkedin.com/jobs/view/4371704231", "https://www.linkedin.com/jobs/view/4371704231")</f>
        <v/>
      </c>
      <c r="F65" t="inlineStr"/>
      <c r="G65" t="inlineStr"/>
      <c r="H65" t="inlineStr"/>
      <c r="I65"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Finance Analytics and Business Intelligence team, you will play an instrumental role in our company’s mission of building safe and beneficial artificial intelligence by establishing robust analytics engineering and business intelligence capabilities for our Finance \&amp; Accounting organization. In this unique company, technology, and moment in history, your work will be critical to ensuring accurate financial reporting, streamlining accounting processes, and supporting our financial operations as we deploy safe, frontier AI at scale to the world.
 In your role, you will use advanced analytics to drive strategic decision\-making and sound operations for our accounting teams. You'll work at the intersection of finance, analytics, and data infrastructure to develop automated reporting systems, data quality frameworks, and scaled insights that support our various business models and entities. You’ll partner closely with Data Infrastructure, Finance Systems, Data/Analytics Engineering, and Finance \&amp; Accounting. You've worked in cultures of excellence in the past and are eager to apply that experience to building robust and scalable systems and processes as our company goes through a phase of rapid growth.
*Note: we are hiring for multiple positions within the team, and you will be considered for all openings by applying to this role.*
**Responsibilities**
* Create processes and best practices for financial data management, governance, and reporting
* Build and maintain auditable, automated financial reporting systems, dashboards, and solutions that provide real\-time insights to accounting and finance leadership
* Develop sophisticated revenue recognition analytics and monitoring to support our subscription\- and consumption\-based business model
* Partner with Finance \&amp; Strategy and Accounting teams to streamline close processes and financial reporting
* Partner with Data Infrastructure, Analytics Engineering, and Financial Systems teams to develop scalable data pipelines and infrastructure supporting key financial processes for revenue recognition, compute allocation, and consolidated reporting
* Champion data\-informed decision making across the organization
**You May Be a Good Fit If You**
* Have 8\+ years of experience in finance analytics, data engineering, or business intelligence with demonstrated experience partnering with Finance, Accounting, Data Infrastructure, and Finance Systems teams
* Are highly proficient in SQL and Python for data manipulation, analysis, and automation
* Have extensive experience with BI visualization tools such as Looker or Tableau; and have experience with cloud platforms (AWS, GCP) and modern data stack tools (dbt, Airflow, etc.)
* Have a proven track record of collaborating with finance stakeholders to deliver impactful analytical solutions and process improvements
* Excel at translating complex business requirements into technical solutions and can communicate effectively with both technical and non\-technical stakeholders
* Are detail\-oriented with a commitment to data accuracy and have experience building robust, scalable analytical solutions
* Thrive in fast\-paced environments and can manage multiple priorities while maintaining high\-quality deliverables
* Have experience with data modeling, ETL processes, and building automated reporting solutions
**Strong Candidates May Have**
* Relevant certifications in financial systems or business intelligence platforms
* Prior experience in high\-growth technology companies or startups
* Knowledge of statistical analysis and advanced analytics techniques
* Experience with financial planning and analysis (FP\&amp;A) processes and systems
* Experience with complex compute attribution models
* Experience with GAAP vs. non\-GAAP financial reporting
* Familiarity with data governance best practices and experience implementing data quality frameworks
 The annual compensation range for this role is listed below.
 For sales roles, the range provided is the role’s On Target Earnings ("OTE") range, meaning that the range includes both the sales commissions/sales bonuses target and annual base salary for the role.
**Annual Salary**
 $270,000—$320,000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66">
      <c r="A66" t="inlineStr">
        <is>
          <t>li-4362587385</t>
        </is>
      </c>
      <c r="B66" t="inlineStr">
        <is>
          <t>Senior Data Engineer</t>
        </is>
      </c>
      <c r="C66" t="inlineStr">
        <is>
          <t>Rockstar Games</t>
        </is>
      </c>
      <c r="D66" t="inlineStr">
        <is>
          <t>linkedin</t>
        </is>
      </c>
      <c r="E66">
        <f>HYPERLINK("https://www.linkedin.com/jobs/view/4362587385", "https://www.linkedin.com/jobs/view/4362587385")</f>
        <v/>
      </c>
      <c r="F66" t="inlineStr"/>
      <c r="G66" t="inlineStr">
        <is>
          <t>Carlsbad, CA</t>
        </is>
      </c>
      <c r="H66" t="inlineStr"/>
      <c r="I66" t="inlineStr">
        <is>
          <t>At Rockstar Games, we create world\-class entertainment experiences.
 Become part of a team working on some of the most rewarding, large\-scale creative projects to be found in any entertainment medium \- all within an inclusive, highly\-motivated environment where you can learn and collaborate with some of the most talented people in the industry.
 Rockstar is seeking a Senior Data Engineer to join a team building a cutting\-edge game analytics platform and tools to better understand our players and enhance their experience across our titles.
 The ideal candidate will be skilled in developing complex ingestions and transformation processes with an emphasis on reliability and performance. In collaboration with other Data Engineers, Machine Learning Engineers, and Software Engineers, the candidate will empower the team of Analysts and Data Scientists to deliver data driven insights and applications across the company.
 This is a full\-time, in\-office position based out of Rockstar’s new state\-of\-the\-art game development studio in Carlsbad, CA.
**What We Do**
* The Rockstar Data Engineering team provides insights and actionable results to a wide variety of teams across the organization in support of their decision making.
* We work with petabyte\-scale data in Azure and Databricks, building both real\-time and batch pipelines that power analytics, machine learning, and player experience improvements.
**Responsibilities**
* Design, build, and own real\-time and batch data pipelines in Azure Databricks using Spark, Airflow, and modern orchestration and build tools.
* Drive engineering excellence by implementing robust testing practices (unit, integration), code review standards, and CI/CD automation.
* Architect Data Models for massive\-scale MPP engines (Databricks/Spark, SQL, Snowflake) that balance performance, maintainability, and analytical flexibility.
* Collaborate with Data Scientists, Analysts, and ML Engineers to gather requirements, understand use cases, and deliver reliable data products.
* Identify and implement improvements to our data platform, pipelines, and development processes with autonomy to POC new approaches and technologies.
* Mentor, elevate, and learn with the team by sharing insights, maintaining documentation, and establishing engineering best practices.
* Own projects end\-to\-end, from gathering requirements and technical design through implementation, testing, and production support.
**Requirements**
* 5\+ years of work experience with designing and development of modern data pipelines.
* 4\+ years of experience with Python for data engineering (building maintainable, testable code) and Spark for large\-scale data processing.
* Strong software engineering fundamentals – design patterns, testing strategies (unit, integration) code review practices, system design thinking.
* Expert\-level SQL and deep understanding of query optimization, data structures, and performance tuning.
* Track record of building and optimizing terabyte or petabyte\-scale data warehouses.
* Ability to work independently on loosely\-defined projects – gathering requirements, making architectural decisions, and following through completion.
* Experience building Real\-Time and/or Near\-Real\-Time data pipelines.
* Outstanding communication and interpersonal skills, including the ability to tailor communication style to technical and non\-technical audiences.
**PLUSES**
 Please note that these are desirable skills and are not required to apply for the position.
* Databricks platform experience (Delta Lake, Unity Catalog, Workflows).
* Experience with Data warehouses (such as data modeling and technical architectures) and infrastructure components.
* Containerization and orchestration (Docker, Kubernetes).
* Experience with Java or Scala.
* Experience with CI/CD (TeamCity, Octopus).
* RESTful API design, usage, and consumption.
* Gaming industry experience or passion for games.
* Experience in Machine Learning pipelines and popular libraries.
**Additional Information**
**HOW TO APPLY**
 Please apply with a resume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notify your recruiter during the interview process.
 If you’ve got the right skills for the job, we want to hear from you. We encourage applications from all suitable candidates regardless of age, disability, gender identity, sexual orientation, religion, belief, race, or any other protected category.
 The pay range for this position in San Diego at the start of employment is expected to be between the range below\*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 San Diego Base Pay Range
 $121,400—$161,800 USD</t>
        </is>
      </c>
    </row>
    <row r="67">
      <c r="A67" t="inlineStr">
        <is>
          <t>li-4372213460</t>
        </is>
      </c>
      <c r="B67" t="inlineStr">
        <is>
          <t>Data Engineer</t>
        </is>
      </c>
      <c r="C67" t="inlineStr">
        <is>
          <t>Guidehouse</t>
        </is>
      </c>
      <c r="D67" t="inlineStr">
        <is>
          <t>linkedin</t>
        </is>
      </c>
      <c r="E67">
        <f>HYPERLINK("https://www.linkedin.com/jobs/view/4372213460", "https://www.linkedin.com/jobs/view/4372213460")</f>
        <v/>
      </c>
      <c r="F67" t="inlineStr"/>
      <c r="G67" t="inlineStr">
        <is>
          <t>District of Columbia, United States</t>
        </is>
      </c>
      <c r="H67" t="inlineStr"/>
      <c r="I67" t="inlineStr">
        <is>
          <t>**Job Family**
 Data Science \&amp; Analysis
**Travel Required**
 None
**Clearance Required**
 Ability to Obtain Secret
**What You Will Do**
 Guidehouse is seeking an experienced Data Engineer to join our Technology AI and Data practice with a dedicated focus on military clients in the Defense \&amp; Security segment. This individual will have a strong data engineering background and be a hands\-on technical contributor, responsible for designing, implementing, and maintaining scalable data pipelines and interactive dashboards than enable federal clients to achieve mission outcomes, operational efficiency, and digital transformation. This is an exciting opportunity for someone who thrives at the intersection of data engineering, cloud platforms, and public sector modernization. The Data Engineer will collaborate with cross\-functional teams and client stakeholders to modernize legacy environments, implement scalable data pipelines, and support advanced analytics initiatives for our federal client.
**Client Leadership \&amp; Delivery**
* Collaborate with military clients to understand data architecture, data pipeline and reporting requirements.
* Lead the development of ETL pipelines and dashboard integrations using Databricks and Microsoft Power Platform tools (i.e. Power BI).
* Ensure delivery excellence and measurable outcomes across data migration and visualization efforts.
* Ensure solutions support auditability, internal controls, and statutory compliance requirements. This includes strict financial data controls.
**Solution Development \&amp; Innovation**
* Design and implement scalable ETL/ELT pipelines using Databricks, SQL, and Python.
* Develop and optimize dashboards aligned with federal reporting standards, as needed.
* Apply AI/ML tools to automate metadata extraction, clustering, and dashboard scripting.
* Optimize data pipelines for performance with large data sets for both analytics and transactional load use cases (e.g., OLAP, OLTP). Enable downstream BI via clean data.
* Ensure compliance with federal data governance, security, and performance standards.
* Design and document enterprise data models, metadata strategies, data lineage frameworks, and other relevant documentation, as needed.
* Align data from multiple discrete data sets into a cohesive, interoperable architecture, identifying opportunities for linkages between datasets, normalization, field standardization, etc.
* Assist with cleanup of existing data and models, including use of ETL.
**Practice \&amp; Team Leadership**
* Work closely with data architects, analysts, and cloud engineers to deliver integrated solutions.
* Support documentation, testing, and deployment of data products.
* Mentor junior team members and contribute to reusable frameworks and accelerators.
* Contribute to thought leadership and best practice development across the AI \&amp; Data team.
**What You Will Need**
* Must be able to OBTAIN and MAINTAIN a Federal or DoD "SECRET" security clearance; candidates must obtain approved adjudication of clearance prior to onboarding with Guidehouse. Candidates with an ACTIVE "SECRET" or higher\-level clearance are preferred.
* Bachelor’s degree is required
* TWO (2\) or more years of experience in data engineering and dashboard development.
**What Would Be Nice To Have**
* Experience with ADVANA.
* Proven experience with Databricks, business intelligence tools, and cloud platforms (AWS, Azure.)
* Strong proficiency in SQL, Python, and Spark.
* Experience building ETL pipelines and integrating data sources into reporting platforms.
* Familiarity with data governance, metadata, and compliance frameworks.
* Excellent communication, facilitation, and stakeholder engagement skills.
* Databricks Data Engineer Associate or Professional certification
* Experience working with military clients.
* Experience working with financial management data.
* Familiarity with federal contracting and procurement processes.
 The annual salary range for this position is $102,000\.00\-$170,000\.00\.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68">
      <c r="A68" t="inlineStr">
        <is>
          <t>li-4369776334</t>
        </is>
      </c>
      <c r="B68" t="inlineStr">
        <is>
          <t>Senior Data Engineer</t>
        </is>
      </c>
      <c r="C68" t="inlineStr">
        <is>
          <t>PropertyPilot</t>
        </is>
      </c>
      <c r="D68" t="inlineStr">
        <is>
          <t>linkedin</t>
        </is>
      </c>
      <c r="E68">
        <f>HYPERLINK("https://www.linkedin.com/jobs/view/4369776334", "https://www.linkedin.com/jobs/view/4369776334")</f>
        <v/>
      </c>
      <c r="F68" t="inlineStr"/>
      <c r="G68" t="inlineStr">
        <is>
          <t>New York, NY</t>
        </is>
      </c>
      <c r="H68" t="inlineStr"/>
      <c r="I68" t="inlineStr">
        <is>
          <t>**About PropertyPilot**
 PropertyPilot is building a new, app\-first product for property investors. The product foundation is in place, and we are entering the phase where early users, real feedback, and market momentum matter most.
 We are operating before product\-market fit. Growth at PropertyPilot is not about brand campaigns or long planning cycles — it’s about getting the right users in the door, learning from real usage, and iterating quickly. We believe the strongest growth engines are built through disciplined experimentation and tight feedback loops between growth, product, and engineering.
 This is a hands\-on environment by design. Leaders at PropertyPilot execute. You will be directly responsible for driving early adoption, recruiting and activating beta users, testing acquisition channels, and turning data into insight. There is no team to manage at the start — and that’s intentional.
**About This Role**
 We are looking for a Senior Data Engineer to design and maintain scalable data pipelines and analytics platforms. You will play a key role in transforming raw data into reliable, high\-quality datasets.
 Key Responsibilities
* Design and maintain scalable data ingestion pipelines, including the compliant extraction of data from APIs and publicly available web sources.
* Design, build, and maintain ETL/ELT pipelines
* Manage large\-scale data ingestion and transformation
* Work with cloud\-native data solutions on AWS
* Ensure data quality, reliability, and performance
* Collaborate with analytics, product, and engineering teams
* Optimize data workflows for scalability and cost
**Required Skills \&amp; Experience**
* Strong experience with ETL pipelines
* Expertise with AWS data tools (e.g. S3, Glue, Athena, Redshift, EMR)
* Proficiency in SQL and data modeling
* Experience handling large and complex datasets
* Strong problem\-solving and debugging skills
 Nice to Have
* Experience with GIS / geospatial data processing
* Knowledge of spatial databases or geospatial formats
* Experience with data orchestration tools (e.g. Airflow)</t>
        </is>
      </c>
    </row>
    <row r="69">
      <c r="A69" t="inlineStr">
        <is>
          <t>li-4371555859</t>
        </is>
      </c>
      <c r="B69" t="inlineStr">
        <is>
          <t>Data Engineer</t>
        </is>
      </c>
      <c r="C69" t="inlineStr">
        <is>
          <t>Confie</t>
        </is>
      </c>
      <c r="D69" t="inlineStr">
        <is>
          <t>linkedin</t>
        </is>
      </c>
      <c r="E69">
        <f>HYPERLINK("https://www.linkedin.com/jobs/view/4371555859", "https://www.linkedin.com/jobs/view/4371555859")</f>
        <v/>
      </c>
      <c r="F69" t="inlineStr"/>
      <c r="G69" t="inlineStr"/>
      <c r="H69" t="inlineStr"/>
      <c r="I69" t="inlineStr">
        <is>
          <t>***Pay Range:***
* *$120000 \- $150000 / year*
**Our Perks:**
* Generous PTO plans, sick pay and health benefits
* Annual bonus based on employment standing\*
* Work from home and hybrid model employment
* Confie Enablement Fund/ Scholarship Program
* I\-Care Recognition Program
* Corporate Social Responsibility Program
* Diversity, Equity and Inclusion Initiatives
* Confie Hub and Discount Programs (Gym Membership)
**Purpose**
 Work under the guidance and supervision of the Director of Enterprise Architecture to build Confie's next\-generation Enterprise Data Solutions. Requires expertise in implementing and maintaining data solutions on Snowflake data cloud environments that drive critical business insights and operations. Responsible for developing robust data models, creating efficient ELT processes, and optimizing performance to support the organization's data needs
**Essential Duties \&amp; Responsibilities**
 Design and develop data pipelines, ETL workflows to populate the cloud Data Lake and Data Warehouse on Snowflake with transformation tools (e.g., Coalesce, WhereScape, Azure Data Factory) and replication tools (e.g., Fivetran, Airbyte, etc.)
 Translate business requirements into technical specifications; establish and define details, definitions, and requirements of applications, components, and enhancements
 Design and develop robust and scalable data pipelines to support data integrations using Snowflake, Coalesce, Python, Airflow, and Fivetran
 Design and develop Snowflake data objects (tables, views, stored procedures, udf's, etc.)
 Implement ELT (Extract, Load, Transform) processes using Snowflake's features, such as SnowPipe, Streams, and Tasks
 Perform data cleaning, analysis, and integration using Python
 Ability to work with multiple data sources and types (structured/semi\-structured/unstructured)
 Design and implement efficient data models and schemas within Snowflake to support reporting, analytics, and business intelligence needs
 Monitor and optimize query performance and resource utilization within Snowflake using query profilling, query optimization techniques, and workload management features
 Identify and resolve performance bottlenecks and optimize data warehouse configurations for maximum efficiency
 Implement processes and systems to monitor data quality. ensuring production data is always accurate and available for key stakeholders and business processes that depend on it
 Monitor data pipelines for timely and accurate completion
 Stay up\-to\-date with industry trends and advancements in data engineering, continuously improving the team's technical knowledge and skills
 On\-call support
**Qualifications and Education Requirements**
 4\+ years of professional experience in data engineering, designing and implementing data pipelines, and building data infrastructure
 4\+ years of strong experience required in Snowflake data cloud and ETL development, including Snowflake procedures, udf's in Python and SQL, streams, tasks, Snowpipe, and working with semi\-structured data
 3\+ years of strong experience with Python programming and extensively used frameworks/packages like Snowpark, pandas, numpy, and requests for Data Analysis and integration
 Solid understanding of data warehousing concepts, dimensional modeling, and data integration techniques
 2\+ years of strong experience with data integration and transformation tools like Coalesce, WhereScape, and Azure Data Factory
 Experience with data quality and observability concepts is a plus
 Bachelor's degree in Computer Science, Engineering, or a related field
 Snowflake Advanced Certification is a plus
 Additional certifications related to data platforms are a plus
**Other Duties**
 This job description is not designed to cover or contain a comprehensive listing of activities, duties, and responsibilities that are required of the employee for this job. Duties, responsibilities, and activities may change at any time with or without notice
**Notice**
 As permitted by applicable law and from time\-to\-time, Confie may use a computer system that has elements of artificial intelligence to help make decisions about your employment, including recruitment, hiring, renewal of employment, or the terms and conditions of your employment. Employees with questions about Confie’s use of these computer systems should contact Human Resources at employeerelations@confie.com</t>
        </is>
      </c>
    </row>
    <row r="70">
      <c r="A70" t="inlineStr">
        <is>
          <t>li-4368430732</t>
        </is>
      </c>
      <c r="B70" t="inlineStr">
        <is>
          <t>Senior Data Engineer</t>
        </is>
      </c>
      <c r="C70" t="inlineStr">
        <is>
          <t>U.S. Bank</t>
        </is>
      </c>
      <c r="D70" t="inlineStr">
        <is>
          <t>linkedin</t>
        </is>
      </c>
      <c r="E70">
        <f>HYPERLINK("https://www.linkedin.com/jobs/view/4368430732", "https://www.linkedin.com/jobs/view/4368430732")</f>
        <v/>
      </c>
      <c r="F70" t="inlineStr"/>
      <c r="G70" t="inlineStr">
        <is>
          <t>Charlotte, NC</t>
        </is>
      </c>
      <c r="H70" t="inlineStr"/>
      <c r="I70"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Key Responsibilities:
 Data Lake Architecture and Experience:
* Guide team to migrate from on Prem Cloudera to Azure cloud environment.
* Designed and implemented scalable data lake solutions using Snowflake and Databricks, Developed and optimized data pipelines for ingestion, transformation, and storage.
* Managed data governance, quality, and security across cloud environments and Implemented performance tuning, automation, and CI/CD for data workflows.
* Collaborated with cross\-functional teams to support cloud migration activities
 Cloudera Cluster Management:
* Install, configure, manage, and monitor Cloudera Hadoop clusters, ensuring high availability, performance, and security. This includes managing HDFS, YARN, and other ecosystem components.
 Performance Optimization:
* Tune Hadoop, Hive, and Spark jobs and configurations for optimal performance, efficiency, and resource utilization. This includes optimizing queries, managing partitions, and leveraging in\-memory capabilities.
 Troubleshooting and Support:
* Diagnose and resolve issues related to Linux servers, networks, cluster health, job failures, and performance bottlenecks. Provide on\-call support and collaborate with other teams to ensure smooth operations.
 Security, Governance, and Secrets Management:
* Implement and manage security measures within the Cloudera environment, including Kerberos, Apache Ranger, and Atlas, to ensure data governance and compliance.
* Setup and manage HashiCorp Vault for secure keys and secrets management.
* Utilize CyberArk for privileged access management and secure administrative tasks on the cluster.
 Data and Application Migration:
* Migrate Hadoop, Hive, and Spark data and applications to Azure cloud services such as Azure Synapse Analytics, Azure Databricks, or Snowflake. Ensure data integrity, performance tuning, and validation.
* Automation and Scripting: Develop scripts (e.g., shell, Ansible, Python) for automating administrative tasks, deployments, and monitoring. Work with users to develop, debug, optimize Hive/Spark/Python programs that connect to the Cloudera environment.
 Documentation:
* Create and maintain documentation for system configurations, operational procedures, and troubleshooting knowledge bases.
 Vendor Collaboration:
* Work closely with the Cloudera vendor to stay current with the latest releases, perform upgrades, and address vulnerabilities.
**Basic Qualifications**
* Advanced degree in Computer Science, Engineering, or related field.
* Deep expertise in Data Engineering and Management technologies, synthetic data, automation, advanced analytics.
* 7\+ years of hands\-on experience in Data engineering, Cloud platform management, and performance optimization.
* Hands\-on experience with Hadoop, Hive, Spark, and migration of Big Data into Azure cloud services.
* Working knowledge and hands\-on experience in Data Integration and Data Lake Architectures with Databricks and Snowflake platforms.
* Working knowledge of Microsoft Azure cloud and big data migration to cloud platforms.
* Proficiency in Linux, clustering, and distributed systems.
* Expertise in Hive and Spark for data processing and analytics.
* Expertise in Hadoop ecosystem components such as HDFS, YARN, Hive, Spark, and Sqoop.
* Proficiency in languages such as shell, Python, Pyspark for automating workflows, deployments, and monitoring.
* Expertise in Linux, Network, Python scripting, DNS, Kerberos, LDAP/AD, JupyterHub.
* Experience in creating and maintaining documentation for system configurations, operational procedures, and troubleshooting knowledge bases.
* Strong problem\-solving skills and the ability to diagnose and resolve system failures and performance bottlenecks.
* Excellent communication and collaboration skills to work effectively with cross\-functional teams
* Preferred Skills and Experience:
* Strong experience with Cloudera Hadoop distribution administration.
* Strong problem\-solving, analytical skills.
* Deep understanding of banking, operations, risk, and compliance—pairing technical fluency with business and regulatory acumen.
* Experience on change management process and addressing PCI and PII data requirements.
* Experience in cloud\-native architectures (Azure/AWS), Kubernetes, Docker, and containerized workflows.
* Experience in implementing secure systems with secure API design, IAM integration, Kerberos, Active Directory, and Azure SSO
*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71">
      <c r="A71" t="inlineStr">
        <is>
          <t>li-4368421907</t>
        </is>
      </c>
      <c r="B71" t="inlineStr">
        <is>
          <t>Senior Data Engineer</t>
        </is>
      </c>
      <c r="C71" t="inlineStr">
        <is>
          <t>U.S. Bank</t>
        </is>
      </c>
      <c r="D71" t="inlineStr">
        <is>
          <t>linkedin</t>
        </is>
      </c>
      <c r="E71">
        <f>HYPERLINK("https://www.linkedin.com/jobs/view/4368421907", "https://www.linkedin.com/jobs/view/4368421907")</f>
        <v/>
      </c>
      <c r="F71">
        <f>HYPERLINK("https://careers.usbank.com/global/en/job/UBNAGLOBAL20250026832EXTERNALENGLOBAL/Senior-Data-Engineer?utm_source=linkedin&amp;utm_medium=phenom-feeds&amp;urlHash=tXLO", "https://careers.usbank.com/global/en/job/UBNAGLOBAL20250026832EXTERNALENGLOBAL/Senior-Data-Engineer?utm_source=linkedin&amp;utm_medium=phenom-feeds&amp;urlHash=tXLO")</f>
        <v/>
      </c>
      <c r="G71" t="inlineStr">
        <is>
          <t>Chicago, IL</t>
        </is>
      </c>
      <c r="H71" t="inlineStr"/>
      <c r="I71"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Key Responsibilities:
 Data Lake Architecture and Experience:
* Guide team to migrate from on Prem Cloudera to Azure cloud environment.
* Designed and implemented scalable data lake solutions using Snowflake and Databricks, Developed and optimized data pipelines for ingestion, transformation, and storage.
* Managed data governance, quality, and security across cloud environments and Implemented performance tuning, automation, and CI/CD for data workflows.
* Collaborated with cross\-functional teams to support cloud migration activities
 Cloudera Cluster Management:
* Install, configure, manage, and monitor Cloudera Hadoop clusters, ensuring high availability, performance, and security. This includes managing HDFS, YARN, and other ecosystem components.
 Performance Optimization:
* Tune Hadoop, Hive, and Spark jobs and configurations for optimal performance, efficiency, and resource utilization. This includes optimizing queries, managing partitions, and leveraging in\-memory capabilities.
 Troubleshooting and Support:
* Diagnose and resolve issues related to Linux servers, networks, cluster health, job failures, and performance bottlenecks. Provide on\-call support and collaborate with other teams to ensure smooth operations.
 Security, Governance, and Secrets Management:
* Implement and manage security measures within the Cloudera environment, including Kerberos, Apache Ranger, and Atlas, to ensure data governance and compliance.
* Setup and manage HashiCorp Vault for secure keys and secrets management.
* Utilize CyberArk for privileged access management and secure administrative tasks on the cluster.
 Data and Application Migration:
* Migrate Hadoop, Hive, and Spark data and applications to Azure cloud services such as Azure Synapse Analytics, Azure Databricks, or Snowflake. Ensure data integrity, performance tuning, and validation.
* Automation and Scripting: Develop scripts (e.g., shell, Ansible, Python) for automating administrative tasks, deployments, and monitoring. Work with users to develop, debug, optimize Hive/Spark/Python programs that connect to the Cloudera environment.
 Documentation:
* Create and maintain documentation for system configurations, operational procedures, and troubleshooting knowledge bases.
 Vendor Collaboration:
* Work closely with the Cloudera vendor to stay current with the latest releases, perform upgrades, and address vulnerabilities.
**Basic Qualifications**
* Advanced degree in Computer Science, Engineering, or related field.
* Deep expertise in Data Engineering and Management technologies, synthetic data, automation, advanced analytics.
* 7\+ years of hands\-on experience in Data engineering, Cloud platform management, and performance optimization.
* Hands\-on experience with Hadoop, Hive, Spark, and migration of Big Data into Azure cloud services.
* Working knowledge and hands\-on experience in Data Integration and Data Lake Architectures with Databricks and Snowflake platforms.
* Working knowledge of Microsoft Azure cloud and big data migration to cloud platforms.
* Proficiency in Linux, clustering, and distributed systems.
* Expertise in Hive and Spark for data processing and analytics.
* Expertise in Hadoop ecosystem components such as HDFS, YARN, Hive, Spark, and Sqoop.
* Proficiency in languages such as shell, Python, Pyspark for automating workflows, deployments, and monitoring.
* Expertise in Linux, Network, Python scripting, DNS, Kerberos, LDAP/AD, JupyterHub.
* Experience in creating and maintaining documentation for system configurations, operational procedures, and troubleshooting knowledge bases.
* Strong problem\-solving skills and the ability to diagnose and resolve system failures and performance bottlenecks.
* Excellent communication and collaboration skills to work effectively with cross\-functional teams
* Preferred Skills and Experience:
* Strong experience with Cloudera Hadoop distribution administration.
* Strong problem\-solving, analytical skills.
* Deep understanding of banking, operations, risk, and compliance—pairing technical fluency with business and regulatory acumen.
* Experience on change management process and addressing PCI and PII data requirements.
* Experience in cloud\-native architectures (Azure/AWS), Kubernetes, Docker, and containerized workflows.
* Experience in implementing secure systems with secure API design, IAM integration, Kerberos, Active Directory, and Azure SSO
*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72">
      <c r="A72" t="inlineStr">
        <is>
          <t>li-4368441645</t>
        </is>
      </c>
      <c r="B72" t="inlineStr">
        <is>
          <t>Senior Data Engineer</t>
        </is>
      </c>
      <c r="C72" t="inlineStr">
        <is>
          <t>U.S. Bank</t>
        </is>
      </c>
      <c r="D72" t="inlineStr">
        <is>
          <t>linkedin</t>
        </is>
      </c>
      <c r="E72">
        <f>HYPERLINK("https://www.linkedin.com/jobs/view/4368441645", "https://www.linkedin.com/jobs/view/4368441645")</f>
        <v/>
      </c>
      <c r="F72" t="inlineStr"/>
      <c r="G72" t="inlineStr">
        <is>
          <t>Minneapolis, MN</t>
        </is>
      </c>
      <c r="H72" t="inlineStr"/>
      <c r="I72"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Key Responsibilities:
 Data Lake Architecture and Experience:
* Guide team to migrate from on Prem Cloudera to Azure cloud environment.
* Designed and implemented scalable data lake solutions using Snowflake and Databricks, Developed and optimized data pipelines for ingestion, transformation, and storage.
* Managed data governance, quality, and security across cloud environments and Implemented performance tuning, automation, and CI/CD for data workflows.
* Collaborated with cross\-functional teams to support cloud migration activities
 Cloudera Cluster Management:
* Install, configure, manage, and monitor Cloudera Hadoop clusters, ensuring high availability, performance, and security. This includes managing HDFS, YARN, and other ecosystem components.
 Performance Optimization:
* Tune Hadoop, Hive, and Spark jobs and configurations for optimal performance, efficiency, and resource utilization. This includes optimizing queries, managing partitions, and leveraging in\-memory capabilities.
 Troubleshooting and Support:
* Diagnose and resolve issues related to Linux servers, networks, cluster health, job failures, and performance bottlenecks. Provide on\-call support and collaborate with other teams to ensure smooth operations.
 Security, Governance, and Secrets Management:
* Implement and manage security measures within the Cloudera environment, including Kerberos, Apache Ranger, and Atlas, to ensure data governance and compliance.
* Setup and manage HashiCorp Vault for secure keys and secrets management.
* Utilize CyberArk for privileged access management and secure administrative tasks on the cluster.
 Data and Application Migration:
* Migrate Hadoop, Hive, and Spark data and applications to Azure cloud services such as Azure Synapse Analytics, Azure Databricks, or Snowflake. Ensure data integrity, performance tuning, and validation.
* Automation and Scripting: Develop scripts (e.g., shell, Ansible, Python) for automating administrative tasks, deployments, and monitoring. Work with users to develop, debug, optimize Hive/Spark/Python programs that connect to the Cloudera environment.
 Documentation:
* Create and maintain documentation for system configurations, operational procedures, and troubleshooting knowledge bases.
 Vendor Collaboration:
* Work closely with the Cloudera vendor to stay current with the latest releases, perform upgrades, and address vulnerabilities.
**Basic Qualifications**
* Advanced degree in Computer Science, Engineering, or related field.
* Deep expertise in Data Engineering and Management technologies, synthetic data, automation, advanced analytics.
* 7\+ years of hands\-on experience in Data engineering, Cloud platform management, and performance optimization.
* Hands\-on experience with Hadoop, Hive, Spark, and migration of Big Data into Azure cloud services.
* Working knowledge and hands\-on experience in Data Integration and Data Lake Architectures with Databricks and Snowflake platforms.
* Working knowledge of Microsoft Azure cloud and big data migration to cloud platforms.
* Proficiency in Linux, clustering, and distributed systems.
* Expertise in Hive and Spark for data processing and analytics.
* Expertise in Hadoop ecosystem components such as HDFS, YARN, Hive, Spark, and Sqoop.
* Proficiency in languages such as shell, Python, Pyspark for automating workflows, deployments, and monitoring.
* Expertise in Linux, Network, Python scripting, DNS, Kerberos, LDAP/AD, JupyterHub.
* Experience in creating and maintaining documentation for system configurations, operational procedures, and troubleshooting knowledge bases.
* Strong problem\-solving skills and the ability to diagnose and resolve system failures and performance bottlenecks.
* Excellent communication and collaboration skills to work effectively with cross\-functional teams
* Preferred Skills and Experience:
* Strong experience with Cloudera Hadoop distribution administration.
* Strong problem\-solving, analytical skills.
* Deep understanding of banking, operations, risk, and compliance—pairing technical fluency with business and regulatory acumen.
* Experience on change management process and addressing PCI and PII data requirements.
* Experience in cloud\-native architectures (Azure/AWS), Kubernetes, Docker, and containerized workflows.
* Experience in implementing secure systems with secure API design, IAM integration, Kerberos, Active Directory, and Azure SSO
*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73">
      <c r="A73" t="inlineStr">
        <is>
          <t>li-4372176926</t>
        </is>
      </c>
      <c r="B73" t="inlineStr">
        <is>
          <t>AWS Data Engineer</t>
        </is>
      </c>
      <c r="C73" t="inlineStr">
        <is>
          <t>REE Medical</t>
        </is>
      </c>
      <c r="D73" t="inlineStr">
        <is>
          <t>linkedin</t>
        </is>
      </c>
      <c r="E73">
        <f>HYPERLINK("https://www.linkedin.com/jobs/view/4372176926", "https://www.linkedin.com/jobs/view/4372176926")</f>
        <v/>
      </c>
      <c r="F73" t="inlineStr"/>
      <c r="G73" t="inlineStr"/>
      <c r="H73" t="inlineStr"/>
      <c r="I73" t="inlineStr">
        <is>
          <t>As the AWS Data Engineer, you will be instrumental in building, optimizing, and maintaining scalable data pipelines and lakehouse architectures on AWS to enable reliable, high\-performance data flows for analytics and reporting. Your primary focus will be designing robust data models, implementing lakehouse solutions using AWS services, and ensuring efficient ingestion, transformation, and storage of data from diverse sources. This is an excellent opportunity to shape a modern data ecosystem using cutting\-edge AWS technologies. This position reports directly to the Manager of Engineering.
**What is expected in this role:**
* Data Modeling: Design and implement dimensional and normalized data models optimized for analytical workloads in lakehouse environments.
* Lakehouse Architecture: Build and manage modern data lakehouse solutions using AWS services including Amazon S3, AWS Glue, Amazon Redshift Spectrum, and Lake Formation for governance, cataloging, and fine\-grained access control.
* ETL/ELT Pipelines: Develop, monitor, and optimize batch and near\-real\-time data pipelines using AWS Glue, AWS Lambda, Amazon Kinesis, and Step Functions.
* Data Ingestion \&amp; Integration: Ingest structured, semi\-structured, and unstructured data from APIs, databases, streaming sources, and third\-party systems into the lakehouse.
* Infrastructure as Code \&amp; Automation: Define and manage data infrastructure using AWS CloudFormation, CDK, with CI/CD pipelines
* Support model training and analytics initiatives by preparing datasets, performing analysis with strong attention to detail, and creating visualizations using AWS Quick Suite.
* Perform other duties as assigned.
**How success is measured in this role:**
* Deliver scalable, maintainable data models that support evolving analytical and reporting needs.
* Implement secure, governed lakehouse architecture with centralized metadata, access controls, and auditability via AWS Lake Formation.
* Build high\-throughput, fault\-tolerant data pipelines with monitoring, alerting, and automated recovery using Amazon CloudWatch and EventBridge.
* Optimize query performance and cost using Redshift, Athena, and S3 partitioning/compression strategies.
* Ensure data quality, lineage, and documentation through automated testing and catalog integration.
* Collaborate effectively with analytics engineers, data scientists, and business stakeholders to align data solutions with organizational objectives.
**Requirements**
**What you need in this role to be successful:**
* 3\+ Years Experience with AWS data services including S3, AWS Glue, Lake Formation, Amazon Redshift, Athena, and IAM for fine\-grained access.
* 4\+ Years Experience in data modeling for data warehouses and lakehouses.
* 4\+ Years Experience building and orchestrating ETL/ELT pipelines using AWS Glue, Lambda, Step Functions.
* Proficiency with SQL and Python.
* Hands\-on experience with infrastructure as code (CloudFormation/CDK/Terraform) and CI/CD for data workloads.
* Strong understanding of data governance, security, and compliance in cloud environments.
* Excellent communication and interpersonal abilities, facilitating effective collaboration across technical and business teams.
* Experience working in a remote environment.
* Proficiency in data visualization tools (Tableau/Power BI) and project management software (Jira, Confluence).
**Benefits**
****What REE Offers you:****
 At REE, we believe in empowering our employees to thrive both personally and professionally. When you join our team, you become part of a dynamic and inclusive work environment where innovation and collaboration are celebrated.
**Comprehensive Benefits Package**
* Competitive Salary: $110,000 \- $130,000/yr
* Health, dental, and vision insurance with Company\-sponsored Life Insurance
* Retirement savings plan with company match
* Vacation time off, sick time off, and holidays
**Career Development Opportunities**
* Ongoing training and development programs
* Opportunities for advancement within the company
**Work\-Life Balance**
* Flexible work schedules
* Remote first environment with companywide conferences annually
* Employee assistance program for personal and family well\-being
**Perks and Rewards**
* Employee discounts on products and services through Insperity
* Recognition programs for outstanding performance
* Company\-sponsored social events and activities
 Join us and discover a rewarding career where you can make a difference and grow professionally.
*REE is only able to hire US citizens or those who are authorized to work in the US as full time employees (we do not provide visa sponsorship).*
*Employment is contingent upon successful completion of reference checks, verification on prior employment and credentials, and any other background screening required by law and applicable to the position. Any background screening will be conducted in compliance with applicable federal, state, and local laws.*
*This information is provided in compliance with Equal Pay Regulations across the US and is the company's good faith and reasonable estimate of the compensation range and benefits offered for this position. The compensation offered to the successful applicant may vary based on factors including experience, skills, education, location, and other job\-related reasons.*
*REE Medical participates in E\-verify and will provide the federal government with your Form I\-9 information to confirm that you are authorized to work in the U.S.
 Not open to 3rd party recruiters or submissions.*
*REE will never ask for personal information or to purchase anything during the interview process, only communications from a @reemedical.com domain are representative of REE Medical, LLC.*</t>
        </is>
      </c>
    </row>
    <row r="74">
      <c r="A74" t="inlineStr">
        <is>
          <t>li-4354207057</t>
        </is>
      </c>
      <c r="B74" t="inlineStr">
        <is>
          <t>Staff Data Engineer</t>
        </is>
      </c>
      <c r="C74" t="inlineStr">
        <is>
          <t>Sony Interactive Entertainment</t>
        </is>
      </c>
      <c r="D74" t="inlineStr">
        <is>
          <t>linkedin</t>
        </is>
      </c>
      <c r="E74">
        <f>HYPERLINK("https://www.linkedin.com/jobs/view/4354207057", "https://www.linkedin.com/jobs/view/4354207057")</f>
        <v/>
      </c>
      <c r="F74">
        <f>HYPERLINK("https://job-boards.greenhouse.io/sonyinteractiveentertainmentglobal/jobs/5767962004?gh_src=sgp49gfz4us&amp;urlHash=216j", "https://job-boards.greenhouse.io/sonyinteractiveentertainmentglobal/jobs/5767962004?gh_src=sgp49gfz4us&amp;urlHash=216j")</f>
        <v/>
      </c>
      <c r="G74" t="inlineStr">
        <is>
          <t>San Mateo, CA</t>
        </is>
      </c>
      <c r="H74" t="inlineStr"/>
      <c r="I74"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**Staff Data Engineer (ICDS)**
**San Mateo, CA**
 PlayStation® is for The Players.
 With over 150 million customers in 109 countries, Sony Interactive Entertainment (SIE) is committed to using data to understand The Players: our customers, better than anyone else. Using the amazing networked power of PlayStation®5 and our other PlayStation systems, we learn how they use them for gaming, and also how they use the networked services like streamed games, music, video, and how they pay, and how we can improve their customer experience. We work with game developers, marketing, R\&amp;D, PlayStation®Store, and many other parts of Sony to constantly improve our customer experience and maximize our business potential.
 The ICDS DE team has grown rapidly over recent years in response to an increasing need for the business to leverage data to inform and shape key decisions, and to identify new opportunities. Currently, there are approximately 170 staff within the ICDS DE team, split between London and California, made up of high\-quality data professionals covering architecture and platform support, data processing, and technical program management
 Due to team expansion, ICDS DE is looking to recruit talented, highly driven individuals who have excelled in previous roles and are looking for a new challenge in a dynamic and rewarding environment.
 ICDS delivers data that powers Analytics, Data sciences, Marketing, ML, and multiple other teams across the companies and offices that make up the PlayStation business: high quality, valuable to the user, accessible, and continuously improving.
**ICDS Staff Data Engineer**
 We are looking for a Staff Data Engineer to join the ICDS Player DE team within the Sony PlayStation environment.
 A Staff Data Engineer is required to own and evolve large\-scale streaming and batch data platforms, providing technical leadership and architectural direction across the data ecosystem.
 Based in our San Mateo offices, the team provides data services for various global business units associated with Sony PlayStation.
**Responsibilities**
**Technical Leadership \&amp; Architecture**
* Lead the design and evolution of large\-scale batch and real\-time data platforms using Apache Spark, Flink, and Databricks
* Define streaming and event\-driven architectures (low\-latency, exactly\-once, high\-throughput) using Flink and Scala
* Set architectural standards for data reliability, scalability, observability, and cost efficiency
* Own end\-to\-end system design for mission\-critical data products, from ingestion to consumption
**Data Pipeline Development**
* Build and maintain high\-performance data pipelines in Scala and Python for both batch and streaming workloads
* Develop real\-time processing jobs (windowing, stateful processing, joins) using Flink
* Optimize Spark jobs for performance, cost, and data correctness on Databricks
* Implement robust data quality checks, schema evolution, and fault tolerance
**Platform \&amp; Operations Excellence**
* Drive best practices for CI/CD, automated testing, and deployment of data pipelines
* Establish monitoring, alerting, and SLAs for data systems
* Lead efforts in capacity planning, performance tuning, and cost optimization
* Partner with SRE / Platform teams on reliability, scaling, and incident response
* Ensure code is fully scalable, maintainable, and performant
**Cross\-Functional Collaboration**
* Work closely with product managers, analytics, ML, and backend teams to translate business requirements into scalable data solutions
* Enable downstream use cases including analytics, reporting, experimentation, and machine learning
* Influence data modeling and contract design to ensure long\-term platform sustainability
* Work proactively to address project requirements, and articulate issues and challenges with enough lead time to address project delivery risk
* Requires the ability to work in a global and multi\-cultural environment. Team members are in multiple geographies, resulting in time constraints due to time zones differences and a requirement for occasional travel
**Mentorship \&amp; Influence**
* Mentor senior and mid\-level data engineers; raise the technical bar across the organization
* Lead technical reviews, design discussions, and post\-incident analyses
* Influence data engineering strategy across multiple teams or domains
* Act as a go\-to expert for streaming systems, Spark optimization, and distributed data processing
**Governance, Security \&amp; Compliance**
* Ensure data platforms adhere to security, privacy, and compliance requirements
* Define best practices for data access control, lineage, and auditing
* Drive standardization around data formats, schemas, and lifecycle management
**Experience**
* BS Degree in Engineering or Masters, Computer Science or equivalent experience
* 3\-5\+ years in a technical leadership or staff\-level role (design ownership, mentoring, architecture decisions)
* 10\-12\+ years of hands\-on experience building and operating large\-scale data pipelines and platforms
* 10\-12\+ years of relevant industry experience, including ownership of complex, high\-impact data systems used at scale
* 10\-12\+ years of experience in database development, programming (Scala,Python) design, and analysis
* 10\-12\+ years of experience with distributed framework like Spark, Flink
* 5\-7\+ years of experience with streaming services – Flink, Kafka
* 10\-12\+ years of experience with data and ETL programming (Databricks, Ab Initio)
* 7\-10\+ years of experience with AWS services (EKS, S3, EC2, Kinesis, DynamoDB, Glue, Deequ, etc)
* 7\-10\+ years of experience in SQL and a variety of database technologies – Snowflake, Teradata and Oracle.
* Experience in designing and architecting medium to complex systems, well versed with design standards \&amp; framework
* Expertise in data modeling for analytics and operational use cases
* Experience with data lakes / lakehouse architectures (e.g., Delta Lake)
* Strong understanding of schema evolution, data versioning, and data governance
* Experience with automation, configuration management, orchestration, enterprise schedulers
**Skills Required (essential):**
* Recognized as a technical authority in data engineering within one or more domains (batch, streaming, lakehouse, analytics platforms)
* Deep hands\-on expertise with Scala, Python, Spark, Flink, and Databricks, applied to production systems at SIE scale
* Strong understanding of distributed systems design, trade\-offs, and failure modes
* Ability to independently design complex, ambiguous systems with long\-term sustainability in mind
* Demonstrates end\-to\-end ownership of critical data platforms or services, from design through production operations
* Drives engineering best practices for reliability, performance, cost efficiency, and data correctness
* Anticipates risks and proactively addresses scalability, operational, and data quality concerns
* Holds a high operational bar, ensuring systems meet SLAs and business expectations
* Leads or significantly influences architecture and design decisions across teams or programs
* Sets technical direction and standards for data platforms, pipelines, and tooling
* Evaluates and introduces new technologies when they provide clear business or platform value
* Ensures architectural decisions align with SIE platform, security, and compliance standards
* Works effectively across multiple teams, disciplines, and organizations (product, analytics, ML, platform, finance)
* Translates business and product strategy into scalable data solutions that enable revenue, engagement, and operational insights
* Acts as a trusted technical partner for stakeholders beyond the immediate team
* Mentors’ senior and mid\-level engineers; raises the overall technical bar
* Leads design reviews, technical forums, and incident postmortems
* Influences outcomes through technical credibility, data\-driven decision\-making, and clear communication
* Models SIE engineering values and best practices
* Establishes standards for monitoring, alerting, observability, and on\-call readiness
* Drives improvements in CI/CD, automation, and developer productivity for data engineering
* Champions cost\-awareness and efficiency across data platforms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$216,200—$324,400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75">
      <c r="A75" t="inlineStr">
        <is>
          <t>li-4371708316</t>
        </is>
      </c>
      <c r="B75" t="inlineStr">
        <is>
          <t>Principal Data Engineer</t>
        </is>
      </c>
      <c r="C75" t="inlineStr">
        <is>
          <t>JourneyTeam</t>
        </is>
      </c>
      <c r="D75" t="inlineStr">
        <is>
          <t>linkedin</t>
        </is>
      </c>
      <c r="E75">
        <f>HYPERLINK("https://www.linkedin.com/jobs/view/4371708316", "https://www.linkedin.com/jobs/view/4371708316")</f>
        <v/>
      </c>
      <c r="F75" t="inlineStr"/>
      <c r="G75" t="inlineStr">
        <is>
          <t>Draper, UT</t>
        </is>
      </c>
      <c r="H75" t="inlineStr"/>
      <c r="I75" t="inlineStr">
        <is>
          <t>JourneyTeam’s Data \&amp; AI practice is growing, and we’re looking for a hungry, humble, and smart Principal Data Engineer to join our world\-class team. This is a great opportunity for someone with 8\+ years of experience who’s ready to take the next step—building modern Microsoft data solutions and working directly with clients. If you’re passionate about solving real business problems with data and want to be part of a collaborative, values\-driven team, we’d love to hear from you.
**About JourneyTeam**
 At JourneyTeam, people are at the center of everything we do. Our purpose as a company is to help others effectively use technology to create a positive, lasting impact on the world. With 30 years of technology experience, we are 100% focused on delivering Microsoft business applications and technologies that empower organizations to reach new heights of business success. We deeply understand the transformative value of Microsoft solutions and are dedicated to helping our customers unlock their full potential. Our experienced team specializes in driving success across Dynamics 365, Microsoft 365, AI and Copilot, Azure, modern data solutions—all leveraging Microsoft’s comprehensive security platform.
**Responsibilities**
 As a Principal Data Engineer, you will be a thought leader and trusted advisor to our clients, driving innovation, technical excellence, and measurable business outcomes. You will own the design, engineering, and oversight of complex data solutions within the Microsoft ecosystem, while mentoring team members and shaping JourneyTEAM’s Data \&amp; AI practice.
* Architect and engineer data platforms using Microsoft Azure and Fabric, including lakehouse, medallion, dimensional warehouse, and real\-time architectures.
* Own end\-to\-end data platform design across ingestion, transformation, storage, semantic modeling, and governance.
* Establish and enforce engineering standards for data pipelines, modeling practices, testing frameworks, CI/CD, infrastructure\-as\-code, and deployment processes.
* Design scalable, secure, high\-performance data systems optimized for reliability, cost efficiency, observability, lineage, and lifecycle management.
* Lead architectural decision\-making across client engagements, ensuring technical consistency, long\-term maintainability, and alignment with enterprise best practices.
* Build, review, and optimize complex production\-grade pipelines and transformations using Azure Data Factory, Databricks, Synapse, Fabric, SQL, and Python.
* Optimize distributed processing workloads (e.g., Spark) and high\-volume SQL environments for performance and scalability.
* Serve as the senior technical escalation point for complex engineering challenges and distributed system troubleshooting.
* Translate business requirements into durable, scalable technical architectures grounded in strong engineering principles.
* Lead technical design sessions, architecture reviews, and solution workshops with both technical and executive stakeholders.
* Stay current with Microsoft’s evolving Data \&amp; AI ecosystem and drive pragmatic adoption of emerging capabilities.
**Qualifications**
* 8\+ years of progressive experience in data engineering, including at least 5 years designing and implementing enterprise\-scale data platforms on Microsoft Azure.
* Proven experience architecting and engineering modern data platforms (lakehouse, medallion, dimensional warehouse, batch and real\-time processing).
* Deep hands\-on expertise with Azure data services, including Data Factory, ADLS, Synapse Analytics, Databricks, Azure SQL Database, Event Hubs, Stream Analytics, Logic Apps, and Microsoft Fabric.
* Demonstrated ability to design, build, and optimize systems that support high\-volume, high\-velocity, and distributed workloads.
* Advanced proficiency in SQL and Python, with experience designing, reviewing, and optimizing complex production\-grade codebases.
* Strong command of dimensional modeling (star/snowflake schemas), semantic modeling, and enterprise data architecture patterns.
* Experience implementing CI/CD pipelines, DevOps practices, and infrastructure\-as\-code for modern data platforms.
* Expertise in performance tuning, cost optimization, scalability planning, and reliability engineering within cloud data environments.
* Experience leading technical design across multi\-engineer teams and serving as the senior technical authority on complex engagements.
* Ability to translate business requirements into scalable, durable technical architectures grounded in sound engineering principles.
* Strong communication skills with the ability to explain complex technical concepts to both engineering teams and executive stakeholders.
* Experience working in consulting or professional services environments delivering enterprise data transformation initiatives.
* Familiarity with AI/ML workload integration and enterprise Power BI deployments.
* Embody JourneyTeam’s values:
+ A Caring Mindset
+ Exceptional Performance
+ Being OneTeam
+ Making \&amp; Keeping Commitments
+ Taking Ownership
+ Effective Communication
+ A Growth Mindset
**Certification Requirements**
 Applicants for this role must have the following certifications or a plan to attain them within the first year of employment:
* DP\-900: Microsoft Azure Data Fundamentals
* Certification: DP\-700 Microsoft Fabric Data Engineer Associate
* Certification: DP\-600 Microsoft Fabric Analytics Engineer Associate
**Preferred Skills And Certifications (not Required)**
* Experience with real\-time or near\-real\-time analytics pipelines using tools like Azure Stream Analytics, Event Hubs, or Kafka.
* Hands\-on experience with Azure Databricks, including building and orchestrating Spark\-based data pipelines and notebooks for large\-scale data processing.
* Experience with Microsoft Purview
* Experience with project delivery methodologies (Agile/Scrum, Kanban, Waterfall, hybrid)
* Knowledge of change management practices to support Data \&amp; AI adoption
* Experience delivering projects involving Power BI, AI/ML adoption, or advanced analytics.
* Experience with Dynamics 365 (Project Service Automation or Project Operations)
* Experience with Azure DevOp
 JOB CODE: 1000097</t>
        </is>
      </c>
    </row>
    <row r="76">
      <c r="A76" t="inlineStr">
        <is>
          <t>li-4368435736</t>
        </is>
      </c>
      <c r="B76" t="inlineStr">
        <is>
          <t>Senior Data Engineer</t>
        </is>
      </c>
      <c r="C76" t="inlineStr">
        <is>
          <t>U.S. Bank</t>
        </is>
      </c>
      <c r="D76" t="inlineStr">
        <is>
          <t>linkedin</t>
        </is>
      </c>
      <c r="E76">
        <f>HYPERLINK("https://www.linkedin.com/jobs/view/4368435736", "https://www.linkedin.com/jobs/view/4368435736")</f>
        <v/>
      </c>
      <c r="F76">
        <f>HYPERLINK("https://careers.usbank.com/global/en/job/UBNAGLOBAL20250026832EXTERNALENGLOBAL/Senior-Data-Engineer?utm_source=linkedin&amp;utm_medium=phenom-feeds&amp;urlHash=tXLO", "https://careers.usbank.com/global/en/job/UBNAGLOBAL20250026832EXTERNALENGLOBAL/Senior-Data-Engineer?utm_source=linkedin&amp;utm_medium=phenom-feeds&amp;urlHash=tXLO")</f>
        <v/>
      </c>
      <c r="G76" t="inlineStr">
        <is>
          <t>Atlanta, GA</t>
        </is>
      </c>
      <c r="H76" t="inlineStr"/>
      <c r="I76"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Key Responsibilities:
 Data Lake Architecture and Experience:
* Guide team to migrate from on Prem Cloudera to Azure cloud environment.
* Designed and implemented scalable data lake solutions using Snowflake and Databricks, Developed and optimized data pipelines for ingestion, transformation, and storage.
* Managed data governance, quality, and security across cloud environments and Implemented performance tuning, automation, and CI/CD for data workflows.
* Collaborated with cross\-functional teams to support cloud migration activities
 Cloudera Cluster Management:
* Install, configure, manage, and monitor Cloudera Hadoop clusters, ensuring high availability, performance, and security. This includes managing HDFS, YARN, and other ecosystem components.
 Performance Optimization:
* Tune Hadoop, Hive, and Spark jobs and configurations for optimal performance, efficiency, and resource utilization. This includes optimizing queries, managing partitions, and leveraging in\-memory capabilities.
 Troubleshooting and Support:
* Diagnose and resolve issues related to Linux servers, networks, cluster health, job failures, and performance bottlenecks. Provide on\-call support and collaborate with other teams to ensure smooth operations.
 Security, Governance, and Secrets Management:
* Implement and manage security measures within the Cloudera environment, including Kerberos, Apache Ranger, and Atlas, to ensure data governance and compliance.
* Setup and manage HashiCorp Vault for secure keys and secrets management.
* Utilize CyberArk for privileged access management and secure administrative tasks on the cluster.
 Data and Application Migration:
* Migrate Hadoop, Hive, and Spark data and applications to Azure cloud services such as Azure Synapse Analytics, Azure Databricks, or Snowflake. Ensure data integrity, performance tuning, and validation.
* Automation and Scripting: Develop scripts (e.g., shell, Ansible, Python) for automating administrative tasks, deployments, and monitoring. Work with users to develop, debug, optimize Hive/Spark/Python programs that connect to the Cloudera environment.
 Documentation:
* Create and maintain documentation for system configurations, operational procedures, and troubleshooting knowledge bases.
 Vendor Collaboration:
* Work closely with the Cloudera vendor to stay current with the latest releases, perform upgrades, and address vulnerabilities.
**Basic Qualifications**
* Advanced degree in Computer Science, Engineering, or related field.
* Deep expertise in Data Engineering and Management technologies, synthetic data, automation, advanced analytics.
* 7\+ years of hands\-on experience in Data engineering, Cloud platform management, and performance optimization.
* Hands\-on experience with Hadoop, Hive, Spark, and migration of Big Data into Azure cloud services.
* Working knowledge and hands\-on experience in Data Integration and Data Lake Architectures with Databricks and Snowflake platforms.
* Working knowledge of Microsoft Azure cloud and big data migration to cloud platforms.
* Proficiency in Linux, clustering, and distributed systems.
* Expertise in Hive and Spark for data processing and analytics.
* Expertise in Hadoop ecosystem components such as HDFS, YARN, Hive, Spark, and Sqoop.
* Proficiency in languages such as shell, Python, Pyspark for automating workflows, deployments, and monitoring.
* Expertise in Linux, Network, Python scripting, DNS, Kerberos, LDAP/AD, JupyterHub.
* Experience in creating and maintaining documentation for system configurations, operational procedures, and troubleshooting knowledge bases.
* Strong problem\-solving skills and the ability to diagnose and resolve system failures and performance bottlenecks.
* Excellent communication and collaboration skills to work effectively with cross\-functional teams
* Preferred Skills and Experience:
* Strong experience with Cloudera Hadoop distribution administration.
* Strong problem\-solving, analytical skills.
* Deep understanding of banking, operations, risk, and compliance—pairing technical fluency with business and regulatory acumen.
* Experience on change management process and addressing PCI and PII data requirements.
* Experience in cloud\-native architectures (Azure/AWS), Kubernetes, Docker, and containerized workflows.
* Experience in implementing secure systems with secure API design, IAM integration, Kerberos, Active Directory, and Azure SSO
*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77">
      <c r="A77" t="inlineStr">
        <is>
          <t>li-4365388644</t>
        </is>
      </c>
      <c r="B77" t="inlineStr">
        <is>
          <t>Senior Data Engineer, Personalization</t>
        </is>
      </c>
      <c r="C77" t="inlineStr">
        <is>
          <t>Posh</t>
        </is>
      </c>
      <c r="D77" t="inlineStr">
        <is>
          <t>linkedin</t>
        </is>
      </c>
      <c r="E77">
        <f>HYPERLINK("https://www.linkedin.com/jobs/view/4365388644", "https://www.linkedin.com/jobs/view/4365388644")</f>
        <v/>
      </c>
      <c r="F77">
        <f>HYPERLINK("https://jobs.ashbyhq.com/posh/6b69b6ff-8d88-4b01-ba1b-b70cc0f8bd01?%22source=Linkedin%22&amp;urlHash=CNPJ", "https://jobs.ashbyhq.com/posh/6b69b6ff-8d88-4b01-ba1b-b70cc0f8bd01?%22source=Linkedin%22&amp;urlHash=CNPJ")</f>
        <v/>
      </c>
      <c r="G77" t="inlineStr"/>
      <c r="H77" t="inlineStr"/>
      <c r="I77" t="inlineStr">
        <is>
          <t>**About Posh**
 We are all social creatures, but the dominant “social” companies today have evolved into digital loneliness machines, driving isolation, anxiety, and mental health challenges around the world.
 Human connection is lost. Posh is a beacon guiding us back.
 Posh enables anyone to build an IRL community based on shared interests, while connecting consumers with the communities of people just like them. Founded by event organizers who were frustrated with the growing loneliness epidemic and the tools available to build their own event brand, we’ve built the ultimate platform for launching, monetizing, and finding IRL communities of people just like you. In just 5 years, Posh has grown to a team of 65, expanded to 7M\+ users, secured $70m in venture funding, and facilitated over $300M in transactions.
**About The Role**
 At Posh, you'll help shape our platform that brings people together through live events. Your work will directly impact how event organizers create experiences and how attendees discover and enjoy them.
 We're looking for someone who excels in both technical skills and leadership. You'll tackle exciting projects that push our platform forward. Some recent work includes building a system for users to follow each other, creating curated event playlists, and tools for affiliate event promotion. If you enjoy solving real\-world problems and working in a fast\-paced environment, you'll fit right in.
**This is an in\-person role based in our New York City office in the heart of SoHo** 
 . Building live experiences and building with soul are important for our customers, and we believe being and working together as a team is the best way for Posh to feel and achieve this. Events on Posh should be fun, alive, and driven with passion and we want to mirror this in our teams every day!
**Key Responsibilities**
* Lead the productionalization of personalization and classification algorithms.
* Build with data and analytics in mind, to ensure continued accuracy and relevance of personalization, classification, and ranking algorithms.
* Translate experimental outputs (from AWS Sagemaker/Personalize) into production\-ready systems, ensuring efficiency and reproducibility.
* Demonstrate full stack experience with specialization in backend or infrastructure while contributing to broader projects.
* Collaborate on architecture and technical decisions that influence the direction of the platform, ensuring scalability, performance, and user\-focused improvements.
* Design and maintain model\-serving infrastructure, including APIs, batch pipelines, or streaming systems required to deploy ML models reliably.
* Build with data and analytics in mind, to ensure continued accuracy and relevance of personalization and classification algorithms.
* Focus on performance optimization and system reliability, especially as our user base grows.
* Drive experimentation with MVPs, balancing rapid iteration with long\-term sustainable growth and developer experience.
* Provide mentorship to engineers, fostering a culture of growth and collaboration.
**Ideal Candidate**
* 5\+ years of experience leading complex technical projects with significant business impact.
* Experience integrating LLM or ML outputs into core product features.
* Possesses strong specialization in backend or infrastructure systems while maintaining broad knowledge of the full stack.
* Proficiency in relevant technologies (IaC, AWS, Java, Python, Typescript), with experience in backend systems.
* Experience with scalability, performance optimization, and building tools that support data\-driven decision\-making.
* Strong problem\-solving skills and a passion for creating products that connect people in the real world.
* Ability to lead initiatives, mentor others, and communicate effectively across technical and non\-technical teams.
* Experience working at consumer, social, or marketplace companies is a plus, as it speaks to our user\-centric values at Posh.
 Posh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Posh is committed to providing reasonable accommodations for qualified individuals with disabilities in our job application procedures. Please let us know if you need assistance or accommodation due to a disability</t>
        </is>
      </c>
    </row>
    <row r="78">
      <c r="A78" t="inlineStr">
        <is>
          <t>li-4372196564</t>
        </is>
      </c>
      <c r="B78" t="inlineStr">
        <is>
          <t>Software Developer/Data Engineer - Entry Level</t>
        </is>
      </c>
      <c r="C78" t="inlineStr">
        <is>
          <t>Lensa</t>
        </is>
      </c>
      <c r="D78" t="inlineStr">
        <is>
          <t>linkedin</t>
        </is>
      </c>
      <c r="E78">
        <f>HYPERLINK("https://www.linkedin.com/jobs/view/4372196564", "https://www.linkedin.com/jobs/view/4372196564")</f>
        <v/>
      </c>
      <c r="F78">
        <f>HYPERLINK("https://lensa.com/cgw/65261ea15dea4be9b4f82c7120a9464btjo1?jpsi=directemployers_no_redirect&amp;publisher_preference=easier_apply&amp;utm_campaign=Computer%20Occupations&amp;utm_medium=slot&amp;utm_source=linkedin&amp;utm_term=jse&amp;urlHash=jBsM", "https://lensa.com/cgw/65261ea15dea4be9b4f82c7120a9464btjo1?jpsi=directemployers_no_redirect&amp;publisher_preference=easier_apply&amp;utm_campaign=Computer%20Occupations&amp;utm_medium=slot&amp;utm_source=linkedin&amp;utm_term=jse&amp;urlHash=jBsM")</f>
        <v/>
      </c>
      <c r="G78" t="inlineStr">
        <is>
          <t>Birmingham, AL</t>
        </is>
      </c>
      <c r="H78" t="inlineStr"/>
      <c r="I7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Alabama, Birmingham
**Position ID:** 
 J0825\-1365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Birmingham, AL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79">
      <c r="A79" t="inlineStr">
        <is>
          <t>li-4371567576</t>
        </is>
      </c>
      <c r="B79" t="inlineStr">
        <is>
          <t>Lead Data Engineer</t>
        </is>
      </c>
      <c r="C79" t="inlineStr">
        <is>
          <t>XCUTIVES INC.</t>
        </is>
      </c>
      <c r="D79" t="inlineStr">
        <is>
          <t>linkedin</t>
        </is>
      </c>
      <c r="E79">
        <f>HYPERLINK("https://www.linkedin.com/jobs/view/4371567576", "https://www.linkedin.com/jobs/view/4371567576")</f>
        <v/>
      </c>
      <c r="F79" t="inlineStr"/>
      <c r="G79" t="inlineStr">
        <is>
          <t>Dallas, TX</t>
        </is>
      </c>
      <c r="H79" t="inlineStr"/>
      <c r="I79" t="inlineStr">
        <is>
          <t>**It's an Full\-time/Permanent Position \&amp; Looking for US Citizens \&amp; GreenCard Holders Only**
**Location \- Only from Raleigh, NC \| Phoenix, AZ \| Dallas, TX \- Hybrid** 
**Lead Data Engineer \- Snowflake, DBT and Qlik**
 • Design, develop, and maintain robust and scalable data transformation pipelines using dbt on the Snowflake platform.
 • DBT Macro Development to Create and utilize Jinja\-based DBT macros to promote code reusability, modularity, and dynamic SQL generation within DBT projects.
 • Data Transformation \&amp; Orchestration to Implement and manage data transformation pipelines using DBT, integrating with various data sources and ensuring efficient data flow.
 • Utilize advanced dbt concepts, including macros, materializations (e.g., incremental, view, table), snapshots, and configurations to build efficient data models.
 • Write highly optimized and complex SQL queries for data manipulation, cleaning, aggregation, and transformation within dbt models.
 • Implement and enforce best practices for dbt project structure, version control (Git), documentation, and testing.
 • Collaborate with data analysts, engineers, and business stakeholders to understand data requirements and translate them into effective data models (e.g., star schema, snowflake schema).
 • Design and implement logical and physical data models within dbt to support analytical and reporting needs.
 • Leverage Snowflake features and functionalities for performance optimization, including virtual warehouses, clustering, caching, and query optimization.
 • Manage and optimize data ingestion and integration processes from various sources into Snowflake.
 • Ensure data quality, integrity, and lineage throughout the data transformation process.
 • Implement and maintain DBT tests to ensure data quality, integrity, and adherence to business rules.
 • Implement and maintain data governance policies and procedures within the dbt environment.
 • Develop and execute automated tests for dbt models to ensure data accuracy and reliability.
 Required Skills:
 • Proven hands\-on experience with dbt in a production environment, including extensive use of macros and advanced modeling techniques.
 • Expert\-level proficiency in SQL for data querying, manipulation, and transformation.
 • Strong experience with Snowflake, including performance tuning and optimization.
 • Solid understanding of data warehousing concepts and ETL/ELT processes.
 • Experience with version control systems, particularly Git.
 • Familiarity with data modeling principles (star schema, snowflake schema).</t>
        </is>
      </c>
    </row>
    <row r="80">
      <c r="A80" t="inlineStr">
        <is>
          <t>li-4365378239</t>
        </is>
      </c>
      <c r="B80" t="inlineStr">
        <is>
          <t>Data Engineer II – Qlik, DBT, Snowflake</t>
        </is>
      </c>
      <c r="C80" t="inlineStr">
        <is>
          <t>First Citizens Bank</t>
        </is>
      </c>
      <c r="D80" t="inlineStr">
        <is>
          <t>linkedin</t>
        </is>
      </c>
      <c r="E80">
        <f>HYPERLINK("https://www.linkedin.com/jobs/view/4365378239", "https://www.linkedin.com/jobs/view/4365378239")</f>
        <v/>
      </c>
      <c r="F80">
        <f>HYPERLINK("https://jobs.firstcitizens.com/jobs/32664?lang=en-us&amp;iis=Social+Media/Job+Boards&amp;iisn=LinkedIn&amp;urlHash=hGHo", "https://jobs.firstcitizens.com/jobs/32664?lang=en-us&amp;iis=Social+Media/Job+Boards&amp;iisn=LinkedIn&amp;urlHash=hGHo")</f>
        <v/>
      </c>
      <c r="G80" t="inlineStr">
        <is>
          <t>Texas, United States</t>
        </is>
      </c>
      <c r="H80" t="inlineStr"/>
      <c r="I80" t="inlineStr">
        <is>
          <t>**Overview**
 This is a remote role that may only be hired in the following locations: NC, TX, AZ
 The position is responsible for designing, developing, and maintaining data pipelines and infrastructure. This role implements data integration, processing, and analytics solutions in an agile environment while collaborating with cross\-functional teams to deliver efficient and scalable data systems.
**Responsibilities**
* Data Pipelines \- Design, develop, and maintain data pipelines for efficient data processing and integration for real\-time and batch\-processing. Implement and optimize ETL processes to extract, load, transform and integrate data from various sources. Enhance data flows and storage solutions for improved performance
* Data Warehousing \- Design and implement data warehouse structures. Ensure data quality and consistency within the data warehouse. Apply data modeling techniques for efficient data storage and retrieval
* Data Governance, Quality \&amp; Compliance \- Implement data governance policies and procedures. Implement data quality frameworks, standards and documentation. Ensure compliance with relevant data regulations and standards
* Security \&amp; Access Management \- Implement data security measures and access controls. Maintain data protection protocols
* Performance Optimization and Troubleshooting \- Analyze and optimize system performance for large\-scale data operations. Troubleshoot data issues and implement robust solutions
* Testing \&amp; Automation – Write unit test cases, validate the data integrity \&amp; consistency requirements, adopt automated data pipelines using GitLab, Github, CICD tools.
* Code Deployment \&amp; Release Management \- Adopt release management processes to promote code deployment to various environments including production, disaster recovery, and support activities.
* Cross\-Functional Collaboration \- Collaborate with data scientists, analysts, and other teams to understand and meet data requirements. Participate in cross\-functional projects to support data\-driven initiatives
**Qualifications**
 Bachelor's Degree and 2 years of experience in Data engineering, database management, or related field OR High School Diploma or GED and 6 years of experience in Data engineering, database management, or related field
**Preferred Experience**
**Technical/Business Skills:**
* Hands\-on experience in building robust metadata\-driven, automated data pipeline solutions leveraging modern cloud\-based data technologies, tools for large data platforms.
* Hands\-on experience leveraging data security, governance methodologies meeting data compliance requirements.
* Experience building automated ELT data pipelines, snowpipe frameworks leveraging Qlik Replicate, DBT Cloud, snowflake with CICD.
* Hands\-on experience building data integrity solutions across multiple data sources and targets like SQL Server, Oracle, Mainframe\-DB2, files, Snowflake.
* Experience working with various structured \&amp; semi\-structured data files \- CSV, fixed‑width, JSON, XML, Excel, and mainframe VSAM.
* Experience using S3, Lambda, SQS, SNS, Glue, RDS AWS services.
* Proficiency in Python, Pyspark, advanced SQL for ingestion frameworks and automation.
* Hands\-on data orchestration experience using DBT cloud, Astronomer Airflow.
* Experience in implementing logging, monitoring, alerting, observability, performance tuning techniques.
* Implement and maintain sensitive data protection strategies – tokenization, snowflake data masking policies, dynamic \&amp; conditional masking, and role‑based masking rules.
* Strong experience designing, implementing RBAC, data access controls, adopting governance standards across Snowflake and supporting systems.
* Strong experience in adopting release management guidelines, code deployment to various environments, implementing disaster recovery strategies, leading production activities.
* Experience implementing schema drift detection and schema evolution patterns.
* Must have one or more certifications in the relevant technology fields.
* Nice to have Financial banking experience.
**Functional Skills**
* Team Player: Support peers, team, and department management.
* Communication: Excellent verbal, written, and interpersonal communication skills.
* Problem Solving: Excellent problem\-solving skills, incident management, root cause analysis, and proactive solutions to improve quality.
* Partnership and Collaboration: Develop and maintain partnership with business and IT stakeholders
* Attention to Detail: Ensure accuracy and thoroughness in all tasks.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81">
      <c r="A81" t="inlineStr">
        <is>
          <t>li-4330088109</t>
        </is>
      </c>
      <c r="B81" t="inlineStr">
        <is>
          <t>Sr. Data Engineer</t>
        </is>
      </c>
      <c r="C81" t="inlineStr">
        <is>
          <t>Software Guidance &amp; Assistance, Inc. (SGA, Inc.)</t>
        </is>
      </c>
      <c r="D81" t="inlineStr">
        <is>
          <t>linkedin</t>
        </is>
      </c>
      <c r="E81">
        <f>HYPERLINK("https://www.linkedin.com/jobs/view/4330088109", "https://www.linkedin.com/jobs/view/4330088109")</f>
        <v/>
      </c>
      <c r="F81" t="inlineStr"/>
      <c r="G81" t="inlineStr">
        <is>
          <t>Hartford, CT</t>
        </is>
      </c>
      <c r="H81" t="inlineStr"/>
      <c r="I81" t="inlineStr">
        <is>
          <t>Software Guidance \&amp; Assistance, Inc., (SGA), is searching for a
 **Sr. Data Engineer** 
 for a
 **contract** 
 assignment with one of our premier
 **Insurance** 
 clients in
 **Hartford, CT or Charlotte, NC** 
 .
**Responsibilities** 
 :
* Modernize legacy data assets by migrating and re\-engineering them into modern cloud solutions (AWS, GCP, Snowflake) for scalability, security, and cost efficiency.
* Design, develop, and optimize ETL/ELT pipelines for structured and unstructured data, ensuring resilience and high performance.
* Build and manage data pipelines leveraging cloud services such as AWS Glue, EMR, Redshift; GCP BigQuery, Dataflow; and Snowflake.
* Curate and publish Data Products to support analytics, visualization, machine learning, and Generative AI use cases.
* Implement DataOps practices for automated deployments, CI/CD integration, and continuous delivery of data solutions.
* Apply best practices for data modeling, governance, and security, ensuring compliance with enterprise standards and regulatory requirements.
* Establish and enforce Data Governance frameworks, including:
+ Data Quality Management
+ Metadata Management
+ Data Lineage Tracking
* Integrate AI/ML models into data pipelines, enabling real\-time scoring, feature engineering, and model retraining workflows.
* Enable Generative AI capabilities by embedding LLMs into data workflows for intelligent automation and advanced insights.
* Develop and deploy AI Agents for automated decision\-making and conversational analytics.
* Lead Proof of Concepts (POCs) and pilot initiatives for emerging technologies—beyond GenAI—such as real\-time streaming, AI agents, and next\-gen data platforms.
* Develop and maintain BI dashboards and visualization solutions using tools like Power BI or Tableau to deliver actionable insights.
* Monitor and fine\-tune data pipelines for performance, scalability, and reliability using advanced observability tools.
* Automate auditing, reconciliation, and data quality checks to maintain high data integrity.
* Develop self\-healing pipelines with robust re\-startability mechanisms for resilience.
* Schedule and orchestrate complex workflows using tools like MWAA, Autosys, or Control\-M.
* Champion continuous improvement and innovation by adopting emerging technologies in DataOps, AI/ML, and cloud engineering.
**Required** 
**Skills** 
 :
* Bachelor's or master's degree in computer science or a related discipline.
* 7\+ years of experience in data analysis, transformation, and development, with ideally 2\+ years in the insurance or a related industry.
* 5\+ years of strong proficiency in SQL, Python, and ETL tools such as Informatica IDMC for data integration and transformation.
* 3\+ years of experience developing and deploying large\-scale data and analytics applications on cloud platforms such as AWS, GCP and Snowflake.
* Experience in small or medium\-scale Generative AI (GenAI) integration within data workflows or enterprise solutions.
* 3\+ years of expertise in designing and optimizing data models for Data Warehouses, Data Marts, and Data Fabric, including dimensional modeling, semantic layers, metadata management, and integration for scalable, governed, and high\-performance analytics.
* 3\+ years of experience processing large\-scale structured and unstructured data in both batch and near\-real\-time environments, leveraging distributed computing frameworks and streaming technologies for high\-performance data pipelines.
* 3\+ years of experience in Agile methodologies, including Scrum and Kanban frameworks.
* 2\+ years of experience in leveraging DevOps pipelines for automated testing and deployment, ensuring continuous integration and delivery of data solutions.
* Experience accessing and retrieving data from disparate large data sources.
* Proficient in data visualization tools such as Tableau and Power BI, with expertise in creating interactive dashboards, reports, and visual analytics to support data\-driven decision\-making.
* Ability to analyze source systems, provide business solutions, and translate these solutions into actionable steps.
**Preferred** 
**Skills** 
 :
* Knowledge of data observability (metrics, tracing, logs) and monitoring frameworks.
* Exposure to metadata management (catalogs, glossary) and data lineage tools.
* Familiarity with containerization \&amp; orchestration (Docker, Kubernetes).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82">
      <c r="A82" t="inlineStr">
        <is>
          <t>li-4341155653</t>
        </is>
      </c>
      <c r="B82" t="inlineStr">
        <is>
          <t>Senior Data Engineer</t>
        </is>
      </c>
      <c r="C82" t="inlineStr">
        <is>
          <t>eSimplicity</t>
        </is>
      </c>
      <c r="D82" t="inlineStr">
        <is>
          <t>linkedin</t>
        </is>
      </c>
      <c r="E82">
        <f>HYPERLINK("https://www.linkedin.com/jobs/view/4341155653", "https://www.linkedin.com/jobs/view/4341155653")</f>
        <v/>
      </c>
      <c r="F82" t="inlineStr"/>
      <c r="G82" t="inlineStr">
        <is>
          <t>Columbia, MD</t>
        </is>
      </c>
      <c r="H82" t="inlineStr"/>
      <c r="I82" t="inlineStr">
        <is>
          <t>Job Type
 Full\-time
**Description**
**About Us:**
 eSimplicity is a modern digital services company that partners with government agencies to improve the lives and protect the well\-being of all Americans, from veterans and service members to children, families, and seniors. Our engineers, designers, and strategists cut through complexity to create intuitive products and services that equip federal agencies with solutions to courageously transform today for a better tomorrow.
 We are seeking a highly skilled Senior Data Engineer to help evaluate and design robust data integration solutions for large\-scale, disparate datasets spanning multiple platforms and infrastructure types, including cloud\-based and potentially undefined or evolving environments. This role is critical in identifying optimal data ingestion, normalization, and transformation strategies while collaborating with cross\-functional teams to ensure data accessibility, reliability, and security across systems.
**Responsibilities**
* Responsible for developing, expanding and optimizing our data and data pipeline architecture, as well as optimizing data flow and collection for cross functional teams.
* Support software developers, database architects, data analysts and data scientists on data initiatives and ensure optimal data delivery architecture is consistent throughout ongoing projects.
* Creates new pipeline and maintains existing pipeline, updates Extract, Transform, Load (ETL) process, creates new ETL feature , builds PoCs with Redshift Spectrum, Databricks, AWS EMR, SageMaker, etc.;
* Implements, with support of project data specialists, large dataset engineering: data augmentation, data quality analysis, data analytics (anomalies and trends), data profiling, data algorithms, and (measure/develop) data maturity models and develop data strategy recommendations.
* Operate large\-scale data processing pipelines and resolve business and technical issues pertaining to the processing and data quality.
* Assemble large, complex sets of data that meet non\-functional and functional business requirements
* Identify, design, and implement internal process improvements including re\-designing data infrastructure for greater scalability, optimizing data delivery, and automating manual processes ?
* Building required infrastructure for optimal extraction, transformation and loading of data from various data sources using AWS and SQL technologies
* Building analytical tools to utilize the data pipeline, providing actionable insight into key business performance metrics including operational efficiency and customer acquisition?
* Working with stakeholders including data, design, product and government stakeholders and assisting them with data\-related technical issues
* Write unit and integration tests for all data processing code.
* Work with DevOps engineers on CI, CD, and IaC.
* Read specs and translate them into code and design documents.
* Perform code reviews and develop processes for improving code quality.
* Perform other duties as assigned.
**Requirements**
 All candidates must pass public trust clearance through the U.S. Federal Government. This requires candidates to either be U.S. citizens or pass clearance through the Foreign National Government System which will require that candidates have lived within the United States for at least 3 out of the previous 5 years, have a valid and non\-expired passport from their country of birth and appropriate VISA/work permit documentation.
* Bachelor's degree in Computer Science, Software Engineering, Data Science, Statistics, or related technical field.
* 10\+ years of experience in software/data engineering, including data pipelines, data modeling, data integration, and data management.
* Expertise in data lakes, data warehouses, data meshes, data modeling and data schemas (star, snowflake…).
* Strong expertise in SQL, Python, and/or R, with applied experience in Apache Spark and large\-scale processing using PySpark or Sparklyr.
* Experience with Databricks in a production environment.
* Strong experience with AWS cloud\-native data services, including S3, Glue, Athena, and Lambda.
* Strong proficiency with GitHub and GitHub Actions, including test\-driven development.
* Proven ability to work with incomplete or ambiguous data infrastructure and design integration strategies.
* Excellent analytical, organizational, and problem\-solving skills.
* Strong communication skills, with the ability to translate complex concepts across technical and business teams.
* Proven experience working with petabyte\-level data systems.
**Preferred Qualifications**
* Experience working with healthcare data, especially CMS (Centers for Medicare \&amp; Medicaid Services) datasets.
* CMS and Healthcare Expertise: In\-depth knowledge of CMS regulations and experience with complex healthcare projects; in particular, data infrastructure related projects or similar.
* Demonstrated success providing support within the CMS OIT environment, ensuring alignment with organizational goals and technical standards.
* Demonstrated experience and familiarity with CMS OIT data systems (e.g. IDR\-C, CCW, EDM, etc.)
* Experience with cloud platform services: AWS and Azure.
* Experience with streaming data (Kafka, Kinesis, Pub/Sub).
* Familiarity with data governance, metadata management, and data quality practices.
**Working Environment**
 eSimplicity supports a
 **hybrid** 
 work environment operating within the Eastern time zone so we can work with and respond to our government clients. Expected hours are 9:00 AM to 5:00 PM Eastern unless otherwise directed by your manager.
 Occasional travel for training and project meetings. It is estimated to be less than 5% per year.
**Benefits**
 We offer highly competitive salaries and full healthcare benefits.
**Equal Employment Opportunity**
 eSimplicity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Salary Description
 $132,400 \- $133,000</t>
        </is>
      </c>
    </row>
    <row r="83">
      <c r="A83" t="inlineStr">
        <is>
          <t>li-4371555863</t>
        </is>
      </c>
      <c r="B83" t="inlineStr">
        <is>
          <t>Sr. Data Engineer</t>
        </is>
      </c>
      <c r="C83" t="inlineStr">
        <is>
          <t>Grand Circle Corporation</t>
        </is>
      </c>
      <c r="D83" t="inlineStr">
        <is>
          <t>linkedin</t>
        </is>
      </c>
      <c r="E83">
        <f>HYPERLINK("https://www.linkedin.com/jobs/view/4371555863", "https://www.linkedin.com/jobs/view/4371555863")</f>
        <v/>
      </c>
      <c r="F83" t="inlineStr"/>
      <c r="G83" t="inlineStr">
        <is>
          <t>Boston, MA</t>
        </is>
      </c>
      <c r="H83" t="inlineStr"/>
      <c r="I83" t="inlineStr">
        <is>
          <t>Senior Data Engineer
**Location:** 
 Boston, MA (Hybrid, 3x/wk onsite)
**Department:** 
 Technology
**Reports To:** 
 Data Engineering Manager
**About Grand Circle Corporation**
 Grand Circle Corporation is the leader in international travel, adventure and discovery for Americans aged 50\+. Headquartered in Boston, MA, and with more than 45 offices globally, more than two million Americans have traveled with our award\-winning travel brands: Grand Circle Cruise Line, Overseas Adventure Travel and Grand Circle Travel.
 Position Summary
 We are seeking an experienced
 **Senior Data Engineer** 
 to design, build, and maintain scalable, secure, and high\-performing data platforms that support analytics, marketing, and business intelligence initiatives across the organization. This role will play a critical part in modernizing legacy data workflows, enabling cloud\-native architectures, and partnering closely with analytics, marketing, and business stakeholders to deliver trusted, actionable data.
 Key Responsibilities
* Design, develop, and maintain scalable data pipelines using Snowflake, Azure, dbt, and Apache Airflow
* Lead migration and modernization of legacy ETL workflows (Informatica, Oracle, SQL Server) into cloud\-native architectures
* Build and optimize ELT/ETL processes for structured and semi\-structured data from multiple internal and external sources
* Develop and manage Snowflake data models, including performance tuning, clustering, and cost optimization
* Implement dbt models following analytics engineering best practices (testing, documentation, and version control)
* Orchestrate workflows and dependencies using Apache Airflow
* Integrate and support marketing data pipelines, including Adobe Campaign and related marketing analytics tools
* Partner with data analysts, data scientists, marketing teams, and business stakeholders to deliver reliable data solutions
* Ensure data quality, lineage, and observability through monitoring, validation, and alerting frameworks
* Mentor junior data engineers and contribute to engineering standards, best practices, and architecture decisions
**Qualifications \&amp; Experience**
* Bachelor’s degree required
* 8\+ years of experience supporting data warehouse and data engineering environments
* Strong understanding of data warehousing concepts, dimensional modeling, and ELT architectures
* Experience working in hybrid environments (legacy systems and modern cloud platforms)
* Hands\-on experience with Informatica for legacy ETL workflows
* Experience integrating external vendor data via web services, APIs, and XML data sources
* Proficiency with Git, CI/CD pipelines, and agile development methodologies
* Experience working with Azure DevOps, Jira, TFS, or similar agile project management tools
* Ability to thrive in fast\-paced, changing environments with a flexible and collaborative work style
 Total Rewards
 The base salary range for this role is $140,000 – $150,000 annually for employees based in Boston, MA. Final compensation may vary and will be determined based on factors such as relevant experience, skills, internal equity, and geographic location. In addition to base pay, this role is eligible for an annual incentive bonus and first\-class benefits, which include:
* Health \&amp; wellness: Comprehensive and heavily subsidized medical, dental, and vision plans, plus on\-site gym access, holistic wellness sessions, and group fitness classes
* Time for you: Substantial Paid Time Off (PTO), and 11 paid holidays — including Juneteenth, Memorial Day, and Labor Day — and Summer Fridays. Plus, extensive parental leave with up to 12–16 weeks paid leave at 100% base salary
* Travel more, spend less: 50% off our trips for you and a companion, 25% for additional immediate family members, and exclusive quarterly associate travel deals
* Your future, secured: 401(k) with company match, life insurance, and disability coverage
* Continuous growth: Tuition assistance for both professional and personal development, opportunities for professional development through overseas travel, and direct access to Pinnacle Leadership \&amp; Team Development
* Extra perks: Commuter benefits, FSA options, pet insurance, home \&amp; auto discounts, and paid volunteer time off to give back to the community
- 
 To learn more, please visit our websites at
 **www.gct.com** 
**,** 
**www.oattravel.com** 
**and** 
**www.grandcirclefoundation.com** 
**.**</t>
        </is>
      </c>
    </row>
    <row r="84">
      <c r="A84" t="inlineStr">
        <is>
          <t>li-4372162914</t>
        </is>
      </c>
      <c r="B84" t="inlineStr">
        <is>
          <t>Senior Data Engineer - Cost Platform</t>
        </is>
      </c>
      <c r="C84" t="inlineStr">
        <is>
          <t>Spotify</t>
        </is>
      </c>
      <c r="D84" t="inlineStr">
        <is>
          <t>linkedin</t>
        </is>
      </c>
      <c r="E84">
        <f>HYPERLINK("https://www.linkedin.com/jobs/view/4372162914", "https://www.linkedin.com/jobs/view/4372162914")</f>
        <v/>
      </c>
      <c r="F84" t="inlineStr"/>
      <c r="G84" t="inlineStr">
        <is>
          <t>New York, NY</t>
        </is>
      </c>
      <c r="H84" t="inlineStr"/>
      <c r="I84" t="inlineStr">
        <is>
          <t>The Platform team builds the technology that enables Spotify to learn quickly and scale easily, enabling rapid growth in our users and our business around the globe. Spanning many disciplines, we work to make the business work; crafting the infrastructure, tooling, frameworks, and capabilities needed to welcome a billion customers.
 We are looking for a Senior Data Engineer to join the
 **Cost Engineering Product Area** 
 , whose mission is to drive sustainability through cost and climate intelligence, amplifying Spotify's ability to deliver creativity to the world. Cost Engineering is responsible for optimizing the cost and carbon footprint of our infrastructure and software. Our team operates at the intersection of technology, product, procurement, and finance, making it one of the most dynamic and impactful places to work at Spotify.
 As a Data Engineer in Cost Engineering, you’ll influence decisions that build Spotify’s technology and financial future. By crafting and implementing the data systems that power our cost practices, you’ll provide the foundations that enable us to optimize its cost and carbon footprint, enabling Spotify to grow sustainably while reducing our climate impact.
 What You Will Do
* Be responsible for the design, implementation, and evolution of scalable, reliable data infrastructure that underpins Spotify’s cost and carbon intelligence.
* Own end\-to\-end data pipelines for cloud cost, usage, and emissions data: spanning ingestion, transformation, modeling, and serving layers.
* Partner deeply with Data Scientists, Engineering, Finance, and Procurement to translate sophisticated analytical and business needs into robust data architectures.
* Set technical direction and standards for data modeling, orchestration, testing, and observability within the Cost Engineering domain.
* Build and maintain curated, analytics\-ready datasets that power executive reporting, forecasting, and optimization initiatives.
* Ensure data accuracy, consistency, and timeliness for high\-stakes cost and emissions reporting used to guide strategic infrastructure investments.
* Proactively identify opportunities to improve the scalability, reliability, and cost efficiency of the data platform itself.
* Mentor other engineers and act as a technical sounding board, raising the overall bar for data engineering perfection on the team.
* Work across all Missions at Spotify to embed cost and climate awareness into decision\-making, with a focus on accurate attribution of spend and carbon impact.
 Who You Are
* A senior data engineer with a strong track record of owning and operating production\-critical data systems end to end.
* Hold a degree in computer science, engineering, or a related technical field, or equivalent proven experience.
* Experienced in designing data architectures that scale with both data volume and organizational complexity.
* Comfortable leading technical discussions, influencing build decisions, and aligning partners around long\-term solutions.
* Thrive in environments with evolving requirements, balancing speed of delivery with adaptability and correctness.
* Strong communicator who can explain sophisticated technical concepts clearly to both technical and non\-technical audiences.
* Familiar with financial, billing, or usage data, and able to connect infrastructure metrics to real business and sustainability impact.
* Hands\-on experience with cloud data platforms (GCP preferred).
* Highly proficient with Python, SQL, DBT, and modern orchestration frameworks and experienced with data quality and observability tooling.
* Experience with at least one data processing framework such as Spark, Flink, or Dataflow
 Where You Will Be
* This role is based in NYC
* We offer you the flexibility to work where you work best! There will be some in\-person meetings, but still allows for flexibility to work from home.
 The United States base range for this position is $164,448\-234,926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85">
      <c r="A85" t="inlineStr">
        <is>
          <t>li-4371559954</t>
        </is>
      </c>
      <c r="B85" t="inlineStr">
        <is>
          <t>Senior Data Engineer (GenAI &amp; LLM Infrastructure)</t>
        </is>
      </c>
      <c r="C85" t="inlineStr">
        <is>
          <t>Proscia</t>
        </is>
      </c>
      <c r="D85" t="inlineStr">
        <is>
          <t>linkedin</t>
        </is>
      </c>
      <c r="E85">
        <f>HYPERLINK("https://www.linkedin.com/jobs/view/4371559954", "https://www.linkedin.com/jobs/view/4371559954")</f>
        <v/>
      </c>
      <c r="F85" t="inlineStr"/>
      <c r="G85" t="inlineStr">
        <is>
          <t>Philadelphia, PA</t>
        </is>
      </c>
      <c r="H85" t="inlineStr"/>
      <c r="I85" t="inlineStr">
        <is>
          <t>This position is on\-site 2\-3 days in Philadelphia
**About Proscia**
 Pathology is at the center of medicine and is undergoing a profound transformation as the final frontier of digitization in healthcare. We started Proscia to accelerate pathology’s transition from microscope to images, and to use AI to change the way we think about cancer. We can’t change medicine alone. That’s why we’re looking for curious thinkers. Big dreamers. Developers, evangelists, pathologists, and scientists. Exceptional talent to help us use AI for good and advance humankind.
 At Proscia, we push the limits of medicine and technology, solving problems the world has never solved before. We build software used by thousands of scientists and pathologists, who work on the front lines of fighting cancer for patients globally. To accelerate our vision, Proscia has raised over $100M in capital from world\-class healthcare and technology investors.
**About This Position**
 As a Senior Engineer, you will contribute to Proscia’s growing Real World Data (RWD) business, which operates as a “startup within a startup.” In this entrepreneurial environment, you will help build and scale data \+ AI systems that drive better outcomes for cancer patients and support cutting\-edge research into therapies and drug regimens.
 Success in this role requires independence, adaptability, and close collaboration with cross\-functional teams—bringing a “build the plane while flying it” mindset while staying aligned with broader engineering initiatives.
 What You’ll Do
 Working at a startup like Proscia means wearing many hats. In this role, you will focus on:
* Build and deploy LLM\-enabled data products/workflows that turn structured \+ unstructured inputs into curated, research\-ready outputs.
* Develop and refine data pipelines and warehouse layers (raw → curated → marts) to support both analytics and AI workflows.
* Implement LLMOps/MLOps foundations: evaluation, versioning, monitoring/observability, and safe release processes for model/prompt changes.
* Deliver traceable and reproducible outputs (evidence references, run metadata, input/version tracking) so results can be explained and debugged.
* Identify and implement process improvements—automation, reliability controls, and quality checks—to accelerate delivery and reduce manual effort.
* Collaborate with core engineering, AI, and RWD stakeholders to align technical strategy and integrate solutions into the broader Proscia platform.
 What We’re Seeking
 We’re looking for people who are smart, nice, and get stuff done. Proscia thrives on entrepreneurial thinkers who excel in fast\-paced, challenging environments.
**We’re Looking For Someone With**
* Strong experience building production systems in Python.
* Demonstrated experience delivering GenAI/LLM solutions into production (beyond experimentation), such as structured extraction pipelines, retrieval/embedding\-based systems, or LLM\-powered analytics workflows.
* Experience owning the LLM lifecycle in production: prompt/model versioning, evaluation/regression testing, monitoring, and controlled releases.
* Experience shipping an LLM\-enabled workflow end\-to\-end (design → build → deploy → operate).
* Experience building systems where outputs are testable, traceable, and reproducible (evidence references, versioning, run logs).
* A pragmatic approach to reliability—handling ambiguity, conflicts, and change without breaking downstream analytics.
* Solid fundamentals in SQL, data modeling, and data warehouse patterns; experience with Snowflake or similar platforms.
* Software engineering practices: unit/integration testing, CI/CD, and containerization (Docker; Kubernetes).
* Experience with cloud platforms (AWS preferred).
* Comfort selecting and integrating the right tools to build, evaluate, deploy, and operate LLM workflows in production (we’re tooling\-agnostic and prioritize end\-to\-end delivery over specific frameworks).
* The ability to work independently, move quickly, and collaborate effectively across teams.
 Education / Bonus
* Bachelor’s degree in Computer Science, Computer Engineering, Electrical Engineering, or related field (Master’s preferred).
* Experience in life sciences/biopharma is a plus (domain experience is helpful, but not required)
 Beyond Just Work
 At Proscia, we want our people to thrive inside and outside the office. Along with competitive pay, we provide comprehensive benefits, flexible schedules, and insurance options to promote long\-term health and personal growth.
 Our creative, collaborative office environment in Philadelphia is designed for agility, complete with writable walls and breakout spaces. Remote teammates stay connected through innovative collaboration tools and regular opportunities for in\-person interaction.
 We celebrate diversity and foster a culture where everyone belongs. Proscia is proud to be an equal\-opportunity workplace.</t>
        </is>
      </c>
    </row>
    <row r="86">
      <c r="A86" t="inlineStr">
        <is>
          <t>li-4365318504</t>
        </is>
      </c>
      <c r="B86" t="inlineStr">
        <is>
          <t>Senior Data Engineer</t>
        </is>
      </c>
      <c r="C86" t="inlineStr">
        <is>
          <t>Wipfli</t>
        </is>
      </c>
      <c r="D86" t="inlineStr">
        <is>
          <t>linkedin</t>
        </is>
      </c>
      <c r="E86">
        <f>HYPERLINK("https://www.linkedin.com/jobs/view/4365318504", "https://www.linkedin.com/jobs/view/4365318504")</f>
        <v/>
      </c>
      <c r="F86" t="inlineStr"/>
      <c r="G86" t="inlineStr"/>
      <c r="H86" t="inlineStr"/>
      <c r="I86" t="inlineStr">
        <is>
          <t>At Wipfli, people count.
 At Wipfli, our people are core to everything we do—the catalyst behind our ability to create exceptional impact and extraordinary results.
 We believe in flexibility. We focus on relationships. We encourage each individual to follow their own path.
 People truly matter and they feel it. For those looking to make a difference and find a professional home, Wipfli offers a career\-defining opportunity.
**Requisition Number: 2025\-7427**
**Position Overview**
 This role will take direction from the Information Team Director and will be responsible for contributing to the continuous advancement of a modern data lakehouse built to support a rapidly growing firm’s desire to democratize its data asset.
**Responsibilities**
* Lead influence and consensus building efforts for recommended solutions
* Support and document the continued evolution of the firm’s data lakehouse using the medallion architecture
* Translate requirements into effective data models to support visualizations, AI\\ML models, etc. leveraging design best practices and team standards using approved tools
* Develop in data technologies such as Databricks, Microsoft Azure Data Factory, Python, t\-SQL
* Manage the execution of project life cycle activities in accordance with the Information Team scrum processes and tools such as Microsoft Azure DevOps
* Achieve/maintain proficiency in required skills identified by the Information Team to effectively deliver defined products
* Collaborate with team members to evolve products and internal processes
* Mentor other Engineers and other IT associates as needed.
* Perform on\-call support for after business hours as needed.
**Qualifications**
* Demonstrated success in working on a modern data platform with Databricks experience being preferred. Accredited certification(s) and/or 5\+ years hands on desired.
* Naturally curious with the ability to learn and implement new concepts quickly.
* A mastery of extracting and landing data from source systems via all access methods. Extra credit for Workday RaaS and/or Microsoft Dynamics/Dataverse skills.
* A commitment to operational standards, quality, and accountability for testing, code reviews/management and documentation.
* Engaged in the virtual team experience leveraging video conferencing (cameras on) and a focus on relationship building. Travel is rare, but we do occasionally organize in\-person events.
 Benjamin Dzanic, from our recruiting team, will be guiding you through this process. Visit his LinkedIn page to connect!
**Additional Details**
 Wipfli is an equal opportunity/affirmative action employer. All candidates will receive consideration for employment without regards to race, creed, color, religion, national origin, sex, age, marital status, sexual orientation, gender identify, veteran status, disability, or any other characteristics protected by federal, state, or local laws.
 Wipfli is committed to providing reasonable accommodations for people with disabilities. If you require a reasonable accommodation to complete an application, interview, or participate in our recruiting process, please send us an email at hr@wipfli.com
 Wipfli values fair, transparent, and competitive compensation, considering each candidate's unique skills and experiences. The estimated base pay range for this role is $107,000 to $144,000, with offers typically not made at the maximum, allowing for future salary increases. The actual salary at the time of offer depends on business related factors like location, skills, experience, training/education, licensure, certifications, business needs, current associate pay, and relevant employment laws.
 Individuals may be eligible for an annual discretionary bonus, subject to participation rules and based on a variety of factors including, but not limited to, individual and Firm performance.
 Wipfli cares about our associates and offers a variety of benefits to support their well\-being. Highlights include 8 health plan options (both HMO \&amp; PPO plans), dental and vision coverage, opportunity to enroll in HSA with potential Firm contribution and an Employee Assistance Program. Other benefits include firm\-sponsored basic life and short and long\-term disability coverage, a 401(k) savings plan \&amp; profit share as well as Firm matching contribution, well\-being incentive, education \&amp; certification assistance, flexible time off, family care leave, parental leave, family formation benefits, cell phone reimbursement, and travel rewards. Voluntary benefit offerings include critical illness \&amp; accident insurance, hospital indemnity insurance, legal, long\-term care, pet insurance, ID theft protection, and supplemental life/AD\&amp;D. Eligibility for all benefits programs is dependent on annual hours expectation, position status/level and location.
 "Wipfli" is the brand name under which Wipfli LLP and Wipfli Advisory LLC and its respective subsidiary entities provide professional services. Wipfli LLP and Wipfli Advisory LLC (and its respective subsidiary entities) practice in an alternative practice structure in accordance with the AICPA Code of Professional Conduct and applicable law, regulations, and professional standards. Wipfli LLP is a licensed independent CPA firm that provides attest services to its clients, and Wipfli Advisory LLC provides tax and business consulting services to its clients. Wipfli Advisory LLC and its subsidiary entities are not licensed CPA firms.</t>
        </is>
      </c>
    </row>
    <row r="87">
      <c r="A87" t="inlineStr">
        <is>
          <t>li-4353506199</t>
        </is>
      </c>
      <c r="B87" t="inlineStr">
        <is>
          <t>Associate Data Engineer 2026 – Data Services</t>
        </is>
      </c>
      <c r="C87" t="inlineStr">
        <is>
          <t>IBM</t>
        </is>
      </c>
      <c r="D87" t="inlineStr">
        <is>
          <t>linkedin</t>
        </is>
      </c>
      <c r="E87">
        <f>HYPERLINK("https://www.linkedin.com/jobs/view/4353506199", "https://www.linkedin.com/jobs/view/4353506199")</f>
        <v/>
      </c>
      <c r="F87" t="inlineStr"/>
      <c r="G87" t="inlineStr">
        <is>
          <t>Houston, TX</t>
        </is>
      </c>
      <c r="H87" t="inlineStr"/>
      <c r="I87" t="inlineStr">
        <is>
          <t>**Introduction**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
 As an Associate Consultant, you will develop and apply analytical, interpersonal, creative thinking, problem\-solving, and leadership skills from day one. This generalist role allows you to learn and apply foundational skills in data analytics and data engineering while working closely with some of the best professionals in the industry.
**Your Role And Responsibilities**
* Works with clients to advocate business process transformation, analyzes the application portfolio across ecosystem to understand the process optimization and automation opportunity and proposes end\-to\-end process transformation journey, including reimagined process/workflow models, improving business value and outcomes that meet the client objectives, with agility and flexibility.
* Prioritizes and translates Client requirements and defines current and future operational scenarios (processes, models, use cases, plans and solutions) and works with Client business and the Architect to ensure proper translation of business requirements to solution requirements.
 These positions are anticipated to start in 2026\. We have positions open in these locations:
* Atlanta, GA
* Austin, TX
* Chicago, IL
* Dallas, TX
* Houston, TX
**Key Responsibilities May Include**
* Assist in designing and implementing scalable data architecture and management systems tailored for modern cloud environments.
* Work on optimizing existing data pipelines and processes for improved performance.
* Work with ETL/ELT ingestion pipelines
* Collect and analyze data to identify trends, providing clients with actionable insights to enhance marketing, operational, and business practices.
* Participate in troubleshooting data\-related issues, working to solve challenges and data inconsistencies.
* Create visually compelling and user\-friendly data visualizations, dashboards, and reports to effectively communicate findings to both technical and non\-technical stakeholders.
* Ensure the integrity, accuracy, and reliability of data through rigorous data cleaning, validation, and preprocessing procedures.
* Work with project team to prioritize and translate Client requirements and define current and future operational scenarios (processes, models, use cases, plans and solutions). Work collaboratively with Client and the Architect to ensure proper translation of business requirements to solution requirements.
* Present analytical findings and recommendations clearly and concisely, demonstrating the value of data\-driven decision\-making to clients.
* Work with cross\-functional teams to tackle complex business problems, utilizing your data expertise to drive innovative solutions.
* Stay informed about the latest trends and advancements in the modern data stack, bringing new ideas and best practices to the team.
* Consulting Skills:
* Works with clients to advocate business process transformation, analyzes the application portfolio across ecosystem to understand the process optimization and automation opportunity.
* Strong communication skills and ability to articulate thoughts clearly and concisely.
* Problem\-solving mindset with the ability to ask questions, seek to understand, and recommend solutions.
* Curious and eager to learn new skills, with the ability to adapt to changes easily.
* Planning capabilities with an understanding of basic project management skills and Agile methodology.
* Strong teamwork orientation, contributing positively to a collaborative environment.
**Preferred Education**
 Bachelor's Degree
**Required Technical And Professional Expertise**
* Experience: ETL/ELT projects, data warehouse design, analytics pipelines, capstone data engineering
* Skills/Tech: SQL, Python, dbt, Snowflake, BigQuery, Airflow, data modeling, CI/CD basics
* Skills include a range of package workflow tool experience including on one of the following IBM BAW, Lombardi, iLog, Appian, Pega etc.
* Data Engineer skills\- pipeline design, infrastructure, vector databases, deployment, and scalability.
* Other: strong analytical mindset, data governance, or data quality exposure
* Willingness to travel up to 100%, based on project requirements
**Preferred Technical And Professional Experience**
* Bachelor’s degree in a related field (Computer Science, Data Science, Statistics, Math, MIS, Engineering).
* Minimum of 1 year of practical project experience or relevant training.
* Certifications: SnowPro Core, Google Associate Cloud Engineer or Data Engineer coursework
* General skills: GenAI literacy \- prompt engineering, RAG, fine\-tuning, and evaluation of generative models.</t>
        </is>
      </c>
    </row>
    <row r="88">
      <c r="A88" t="inlineStr">
        <is>
          <t>li-4345885445</t>
        </is>
      </c>
      <c r="B88" t="inlineStr">
        <is>
          <t>Data Engineer (UAP, EEB)</t>
        </is>
      </c>
      <c r="C88" t="inlineStr">
        <is>
          <t>ECS</t>
        </is>
      </c>
      <c r="D88" t="inlineStr">
        <is>
          <t>linkedin</t>
        </is>
      </c>
      <c r="E88">
        <f>HYPERLINK("https://www.linkedin.com/jobs/view/4345885445", "https://www.linkedin.com/jobs/view/4345885445")</f>
        <v/>
      </c>
      <c r="F88">
        <f>HYPERLINK("https://myjobs.adp.com/ecsfederal/cx/job-details?reqId=5001170015006&amp;rb=LINKEDIN&amp;urlHash=0CSP", "https://myjobs.adp.com/ecsfederal/cx/job-details?reqId=5001170015006&amp;rb=LINKEDIN&amp;urlHash=0CSP")</f>
        <v/>
      </c>
      <c r="G88" t="inlineStr"/>
      <c r="H88" t="inlineStr"/>
      <c r="I88" t="inlineStr">
        <is>
          <t>**Job Description**
 ECS is seeking a
 ***Data Engineer***
 to work
 ***remotely***
 .
 **Please Note:** 
**This position is contingent upon additional funding.**
 ECS is currently seeking a Data Engineer that develops, implements, and maintains architecture solutions across a large enterprise data warehouse to support effective and efficient data management and enterprise\-wide business intelligence analytics.
**Responsibilities**
* Implement, and optimize data pipeline architectures for data sourcing, ingestion, transformation, and extraction processes, ensuring data integrity, consistency, and compliance with organizational standards.
* Develop and maintain scalable database schemas, data models, and data warehouse structures; perform data mapping, schema evolution, and integration between source systems, staging areas, and data marts.
* Automate data extraction workflows and develop comprehensive technical documentation for ETL/ELT procedures; collaborate with cross\-functional teams to translate business requirements into technical specifications and data schemas.
* Establish and enforce data governance standards, including data quality metrics, validation rules, and best practices for data warehouse design, architecture, and tooling.
* Develop, test, and deploy ETL/ELT scripts and programs using SQL, Python, Spark, or other relevant languages; optimize code for performance, scalability, and resource utilization.
* Implement and tune data warehouse systems, focusing on query performance, batch processing efficiency, and resource management; utilize indexing, partitioning, and caching strategies.
* Perform advanced data analysis, validation, and profiling using SQL and scripting languages; develop data models, dashboards, and reports in collaboration with stakeholders.
* Conduct testing and validation of ETL workflows to ensure data loads meet scheduled SLAs and business quality standards; document testing protocols, results, and remediation steps.
* Perform root cause analysis for data processing failures, troubleshoot production issues, and implement corrective actions; validate data accuracy and consistency across systems; support iterative development and continuous improvement of data pipelines.
 Salary Range: $140,000 \- $165,000
**General Description Of Benefits**
 Required Skills
* 5\-10\+ years of experience
* US Citizen or Green Card holder and must be able to obtain a Public Trust clearance.
* Detail oriented with strong analytical and problem\-solving skills
* Ability to use database tools, techniques, and applications (e.g., Teradata, Oracle, Non\-Relational) to develop complex SQL statements (e.g., multi\-join), and to tune and troubleshoot queries for optimal performance.
* Skill using Unix/Linux shell scripting to develop and implement automation scripts for Extract, Transfer Load (ETL) processes.
* Communications skills (both verbal \&amp; written) \- ability to work and communicate with all levels in team structure
* Team player with the ability to prioritize and multi\-task, work in a fast\-paced environment, and effectively manage time.
* Java/J2EE and REST APIs, Web Services and building event\-driven Micro Services and Kafka streaming using Schema registry, OAuth authentication.
* Spring Framework and GCP Services in public cloud infrastructure, Git, CI/CD pipeline and containerization, data ingestion/data modeling
* Develop Microservices using Java/J2EE Spring for ingesting large volume real\-time events into Kafka topics. Architect solutions that make the data available to consumers in real time
 Desired Skills
* Familiarity with Databricks concepts and terminology, such as workspace, catalog
* Python, Spark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89">
      <c r="A89" t="inlineStr">
        <is>
          <t>li-4353552151</t>
        </is>
      </c>
      <c r="B89" t="inlineStr">
        <is>
          <t>Associate Data Engineer – Client Innovation Center (Entry Level)</t>
        </is>
      </c>
      <c r="C89" t="inlineStr">
        <is>
          <t>IBM</t>
        </is>
      </c>
      <c r="D89" t="inlineStr">
        <is>
          <t>linkedin</t>
        </is>
      </c>
      <c r="E89">
        <f>HYPERLINK("https://www.linkedin.com/jobs/view/4353552151", "https://www.linkedin.com/jobs/view/4353552151")</f>
        <v/>
      </c>
      <c r="F89">
        <f>HYPERLINK("https://ibmglobal.avature.net/en_US/careers/JobDetail?jobId=87015&amp;src=SN_LinkedIn&amp;urlHash=36aQ", "https://ibmglobal.avature.net/en_US/careers/JobDetail?jobId=87015&amp;src=SN_LinkedIn&amp;urlHash=36aQ")</f>
        <v/>
      </c>
      <c r="G89" t="inlineStr">
        <is>
          <t>Lansing, MI</t>
        </is>
      </c>
      <c r="H89" t="inlineStr"/>
      <c r="I89" t="inlineStr">
        <is>
          <t>**Introduction**
 IBM Consulting Client Innovation Centers (CICs) are high\-delivery, team\-based environments where technologists work onsite to build real solutions for real clients.
 At CIC, associates collaborate closely with peers and experienced practitioners to design, build, test, and support enterprise applications at scale. Our delivery centers are built for learning through delivery, combining hands\-on project work, structured training, mentorship, and teamwork to help early\-career professionals develop strong technical foundations and grow with confidence.
 This role is ideal for individuals who enjoy problem\-solving, learning quickly, and working in an in\-person, collaborative delivery environment.
**Your Role And Responsibilities**
 The Associate Data Engineer role is entry\-level and focuses on supporting the development, operation, and improvement of data pipelines and platforms within a broader delivery team.
 This role is not about owning data platforms on day one. It is about applying strong programming and data fundamentals, learning how enterprise data systems are built and operated, and contributing to data engineering work under the guidance of experienced practitioners.
 Associates are expected to contribute to established delivery teams and progressively assume greater responsibility and ownership as their skills and experience develop.
**As An Associate Data Engineer, You Will**
* Support the development and maintenance of data pipelines used for analytics, reporting, and machine learning
* Assist with extracting, transforming, and loading (ETL/ELT) data from multiple sources into data platforms
* Contribute to data cleansing, validation, and transformation activities using Python and SQL
* Help prepare datasets for downstream consumption by analytics and data science teams
* Support batch and, where applicable, near\-real\-time data processing workflows under guidance
* Collaborate with data engineers, data scientists, and other team members in Agile delivery environments
* Build data engineering skills through training, mentorship, and hands\-on delivery experience
* Work with functional and technical team members to help integrate data solutions into client business environments
**Preferred Education**
 Master's Degree
**Required Technical And Professional Expertise**
 These qualifications are essential for success in the role.
 Core Foundations
* Strong foundation in computer science fundamentals, including data structures and algorithms
* Strong analytical and problem\-solving skills with attention to data quality and reliability
* Comfortable working onsite in a collaborative, team\-based environment
* Ability to work effectively in a technology\-driven consulting environment where tools, platforms, and client needs evolve over time
* Strong analytical and problem\-solving skills, with the ability to approach complex tasks using structured, logical thinking
* Ability to learn new systems and technologies quickly and apply them in a delivery setting
 Programming \&amp; Data Skills
* Proficiency in Python (preferred) or another programming language used for data processing
* Hands\-on experience using data manipulation tools such as pandas, NumPy, and SQL, gained through coursework, labs, projects, or internships
* Ability to write clear, maintainable code for data transformation and processing tasks
 Data Engineering Fundamentals
* Understanding of ETL/ELT concepts and how data moves from source systems to consumption layers
* Familiarity with relational databases and SQL for querying and data manipulation
* Basic understanding of data modeling concepts such as schemas, normalization, or dimensional models
 Platform \&amp; Cloud Awareness
* Exposure to cloud\-based data or analytics platforms (e.g., AWS, Azure, or Google Cloud) through coursework, labs, or projects
* Familiarity with core cloud data services such as object storage, databases, or analytics services
 Business \&amp; Delivery Skills
* Ability to translate business or functional requirements into technical solutions, with guidance from senior team members
* Comfortable working onsite in a collaborative, team\-based environment
* Strong willingness to learn, accept feedback, and continuously improve
 Emerging Technology Awareness
* Familiarity with generative AI concepts, including basic modeling approaches, responsible use, and ethical considerations, gained through coursework, projects, or self\-study
**Preferred Technical And Professional Experience**
* Exposure to distributed data processing tools such as Apache Spark or PySpark
* Familiarity with modern data warehouse technologies (e.g., Snowflake, Redshift, BigQuery)
* Exposure to streaming or event\-based data concepts
* Familiarity with version control tools such as Git
* Basic awareness of how data engineering supports machine learning workflows</t>
        </is>
      </c>
    </row>
    <row r="90">
      <c r="A90" t="inlineStr">
        <is>
          <t>li-4353663594</t>
        </is>
      </c>
      <c r="B90" t="inlineStr">
        <is>
          <t>Associate Data Engineer 2026 – Data Services</t>
        </is>
      </c>
      <c r="C90" t="inlineStr">
        <is>
          <t>IBM</t>
        </is>
      </c>
      <c r="D90" t="inlineStr">
        <is>
          <t>linkedin</t>
        </is>
      </c>
      <c r="E90">
        <f>HYPERLINK("https://www.linkedin.com/jobs/view/4353663594", "https://www.linkedin.com/jobs/view/4353663594")</f>
        <v/>
      </c>
      <c r="F90" t="inlineStr"/>
      <c r="G90" t="inlineStr">
        <is>
          <t>Atlanta, GA</t>
        </is>
      </c>
      <c r="H90" t="inlineStr"/>
      <c r="I90" t="inlineStr">
        <is>
          <t>**Introduction**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
 As an Associate Consultant, you will develop and apply analytical, interpersonal, creative thinking, problem\-solving, and leadership skills from day one. This generalist role allows you to learn and apply foundational skills in data analytics and data engineering while working closely with some of the best professionals in the industry.
**Your Role And Responsibilities**
* Works with clients to advocate business process transformation, analyzes the application portfolio across ecosystem to understand the process optimization and automation opportunity and proposes end\-to\-end process transformation journey, including reimagined process/workflow models, improving business value and outcomes that meet the client objectives, with agility and flexibility.
* Prioritizes and translates Client requirements and defines current and future operational scenarios (processes, models, use cases, plans and solutions) and works with Client business and the Architect to ensure proper translation of business requirements to solution requirements.
 These positions are anticipated to start in 2026\. We have positions open in these locations:
* Atlanta, GA
* Austin, TX
* Chicago, IL
* Dallas, TX
* Houston, TX
**Key Responsibilities May Include**
* Assist in designing and implementing scalable data architecture and management systems tailored for modern cloud environments.
* Work on optimizing existing data pipelines and processes for improved performance.
* Work with ETL/ELT ingestion pipelines
* Collect and analyze data to identify trends, providing clients with actionable insights to enhance marketing, operational, and business practices.
* Participate in troubleshooting data\-related issues, working to solve challenges and data inconsistencies.
* Create visually compelling and user\-friendly data visualizations, dashboards, and reports to effectively communicate findings to both technical and non\-technical stakeholders.
* Ensure the integrity, accuracy, and reliability of data through rigorous data cleaning, validation, and preprocessing procedures.
* Work with project team to prioritize and translate Client requirements and define current and future operational scenarios (processes, models, use cases, plans and solutions). Work collaboratively with Client and the Architect to ensure proper translation of business requirements to solution requirements.
* Present analytical findings and recommendations clearly and concisely, demonstrating the value of data\-driven decision\-making to clients.
* Work with cross\-functional teams to tackle complex business problems, utilizing your data expertise to drive innovative solutions.
* Stay informed about the latest trends and advancements in the modern data stack, bringing new ideas and best practices to the team.
* Consulting Skills:
* Works with clients to advocate business process transformation, analyzes the application portfolio across ecosystem to understand the process optimization and automation opportunity.
* Strong communication skills and ability to articulate thoughts clearly and concisely.
* Problem\-solving mindset with the ability to ask questions, seek to understand, and recommend solutions.
* Curious and eager to learn new skills, with the ability to adapt to changes easily.
* Planning capabilities with an understanding of basic project management skills and Agile methodology.
* Strong teamwork orientation, contributing positively to a collaborative environment.
**Preferred Education**
 Bachelor's Degree
**Required Technical And Professional Expertise**
* Experience: ETL/ELT projects, data warehouse design, analytics pipelines, capstone data engineering
* Skills/Tech: SQL, Python, dbt, Snowflake, BigQuery, Airflow, data modeling, CI/CD basics
* Skills include a range of package workflow tool experience including on one of the following IBM BAW, Lombardi, iLog, Appian, Pega etc.
* Data Engineer skills\- pipeline design, infrastructure, vector databases, deployment, and scalability.
* Other: strong analytical mindset, data governance, or data quality exposure
* Willingness to travel up to 100%, based on project requirements
**Preferred Technical And Professional Experience**
* Bachelor’s degree in a related field (Computer Science, Data Science, Statistics, Math, MIS, Engineering).
* Minimum of 1 year of practical project experience or relevant training.
* Certifications: SnowPro Core, Google Associate Cloud Engineer or Data Engineer coursework
* General skills: GenAI literacy \- prompt engineering, RAG, fine\-tuning, and evaluation of generative models.</t>
        </is>
      </c>
    </row>
    <row r="91">
      <c r="A91" t="inlineStr">
        <is>
          <t>li-4365361223</t>
        </is>
      </c>
      <c r="B91" t="inlineStr">
        <is>
          <t>Principal Data Engineer</t>
        </is>
      </c>
      <c r="C91" t="inlineStr">
        <is>
          <t>HHAeXchange</t>
        </is>
      </c>
      <c r="D91" t="inlineStr">
        <is>
          <t>linkedin</t>
        </is>
      </c>
      <c r="E91">
        <f>HYPERLINK("https://www.linkedin.com/jobs/view/4365361223", "https://www.linkedin.com/jobs/view/4365361223")</f>
        <v/>
      </c>
      <c r="F91" t="inlineStr"/>
      <c r="G91" t="inlineStr"/>
      <c r="H91" t="inlineStr"/>
      <c r="I91" t="inlineStr">
        <is>
          <t>HHAeXchange is the leading technology platform for home and community\-based care. Founded in 2008, HHAeXchange was born out of an idea to create a fully comprehensive end\-to\-end homecare solution to help people who are aging or have disabilities thrive in their homes and communities. Our employees are passionate about transforming the healthcare space by building the only homecare ecosystem that fully connects patients, personal care providers, managed care organizations, and states.
 The Principal Data Engineer will lead the design, development, and optimization of our data platforms and advanced analytics applications. This senior technical role will collaborate closely with engineering, product, operations, and customer success teams to define architectural direction, drive best practices, and guide cross\-functional efforts to build scalable, reliable, and high\-performance data platforms. This role will directly power advanced analytics, machine learning, and mission\-critical business operations across the organization with significant impact on our customers and patients.
 To perform this job successfully, an individual must be able to perform each essential job duty satisfactorily with or without reasonable accommodation. Reasonable accommodations may be made to enable individuals with disabilities to perform the essential functions.
**This is a fully remote opportunity for candidates located in the EST or CST time zones within the US only.**
**Essential Job Duties**
* Design end\-to\-end data architectures, frameworks, and pipelines that support large\-scale and complex data ingestion, processing, transformations, reporting, and analytics.
* Collaborate with stakeholders to ensure alignment with business and product strategies.
* Build and optimize robust ETL/ELT workflows, data models, and distributed data processing jobs.
* Implement best\-in\-class solutions using technologies such as Python, SQL, dbt, DMS, AWS Glue, Airflow, Docker/Kubernetes, Snowflake, and other cloud\-native services.
* Develop best practices to ensure data quality, integrity, lineage, governance, performance, and reliability across all pipelines, data platforms, and analytics applications.
* Establish and maintain SLAs, monitoring, and alerting for mission\-critical data services with observability design and implementation.
* Identify and resolve performance bottlenecks to ensure scalable and cost\-efficient data processing.
* Provide technical leadership and mentorship to senior and junior engineers across the organization.
* Promote engineering excellence and best practices in data engineering and developer experience —including CI/CD, infrastructure as code (IaC), automated testing, observability, security/privacy, and AI assistant tools.
* Lead complex problem\-solving initiatives and guide decisions on tools, technologies, and design patterns.
* Partner with data engineers, software engineers, QA, product managers, customer success, and business leaders to define data requirements and deliver high\-impact solutions.
**Other Job Dutes**
* Other duties as assigned by supervisor or HHAeXchange leader.
**Travel Requirements**
* Travel up to 10%, including overnight travel
**Required Education, Experience, Certifications And Skills**
* Bachelor’s or Master’s degree in Computer Science, Engineering, Data Science, or a related field highly desirable.
* 8\+ years of combined software and data engineering experience with a strong focus on distributed data processing and data\-intensive applications.
* 5\+ years of experience architecting, implementing, and maintaining reporting and analytics tools (e.g., Looker, Power BI, Tableau), with knowledge of data visualization best practices.
* 3\+ years of experience working in highly regulated industries, with a preference for healthcare or homecare.
* Proven expertise in Python, SQL, query and database optimization, data pipelines, data modeling, data governance, data catalog/data lineage management, and privacy/security best practices.
* Deep experience with cloud platforms (AWS, Azure, or GCP) and modern data warehousing technologies (Snowflake, BigQuery, Redshift, etc.).
* Demonstrated ability to lead large\-scale data initiatives and influence architectural decisions across teams.
* Excellent communication and collaboration skills, with the ability to translate complex technical concepts for diverse stakeholders.
* Experience designing data platforms that support ML/AI workflows preferred.
* Hands\-on experience in AI/ML, LLMs, agentic development, and AI assistant tools preferred.
* Experience in healthcare or homecare technology (EHR, HL7/FHIR) and product development preferred
* Willingness to explore and adopt AI tools responsibly to enhance productivity and innovation in your role
 The base salary range for this US\-based, full\-time, and exempt position is $155,000\-184,000/yr, not including variable compensation. An employee’s exact starting salary will be based on various factors including but not limited to experience, education, training, merit, location, and the ability to exemplify the HHAeXchange core values.
 This is a benefits\-eligible position. HHAeXchange offers competitive health plans, paid time\-off, company paid holidays, 401K retirement program with a Company elected match, including other company sponsored programs.
*HHAeXchange is an equal\-opportunity employer. The Company offers employment opportunities to all applicants and employees without regard to race, color, religion, national origin, sex, sexual orientation, gender identity or expression, age, disability, medical condition, marital status, veteran status, citizenship, genetic information, hairstyles, or any other status protected by local or federal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2">
      <c r="A92" t="inlineStr">
        <is>
          <t>li-4371588837</t>
        </is>
      </c>
      <c r="B92" t="inlineStr">
        <is>
          <t>Data Engineer</t>
        </is>
      </c>
      <c r="C92" t="inlineStr">
        <is>
          <t>Jobs via Dice</t>
        </is>
      </c>
      <c r="D92" t="inlineStr">
        <is>
          <t>linkedin</t>
        </is>
      </c>
      <c r="E92">
        <f>HYPERLINK("https://www.linkedin.com/jobs/view/4371588837", "https://www.linkedin.com/jobs/view/4371588837")</f>
        <v/>
      </c>
      <c r="F92" t="inlineStr"/>
      <c r="G92" t="inlineStr"/>
      <c r="H92" t="inlineStr"/>
      <c r="I92" t="inlineStr">
        <is>
          <t>Dice is the leading career destination for tech experts at every stage of their careers. Our client, SGS Consulting, is seeking the following. Apply via Dice today!
**Summary.**
 The main function of the Data Engineer is to develop, evaluate, test and maintain architectures and data solutions within our organization. The typical Data Engineer executes plans, policies, and practices that control, protect, deliver, and enhance the value of the organization s data assets.
***Job Responsibilities:***
* Design, construct, install, test and maintain highly scalable data management systems.
* Ensure systems meet business requirements and industry practices.
* Design, implement, automate and maintain large scale enterprise data ETL processes.
* Build high\-performance algorithms, prototypes, predictive models and proof of concepts.
***Required Skills:***
* Ability to work as part of a team, as well as work independently or with minimal direction.
* Excellent written, presentation, and verbal communication skills.
* Collaborate with data architects, modelers and IT team members on project goals.
* Strong PC skills including knowledge of Microsoft SharePoint.
***Education/Experience:***
* Bachelor's degree in technical fields such as computer science, computer engineering or related field required.
**Candidate Requirements:**
***Must\-Have Hard Skills:***
* experience with Machine learning models (hands on) with creation/development of predictive models
* SQL \+ Python
* Cross\-functional teams experience (engineers/stakeholders)</t>
        </is>
      </c>
    </row>
    <row r="93">
      <c r="A93" t="inlineStr">
        <is>
          <t>li-4371718720</t>
        </is>
      </c>
      <c r="B93" t="inlineStr">
        <is>
          <t>Sr. Biometrics Data Engineer</t>
        </is>
      </c>
      <c r="C93" t="inlineStr">
        <is>
          <t>Syneos Health</t>
        </is>
      </c>
      <c r="D93" t="inlineStr">
        <is>
          <t>linkedin</t>
        </is>
      </c>
      <c r="E93">
        <f>HYPERLINK("https://www.linkedin.com/jobs/view/4371718720", "https://www.linkedin.com/jobs/view/4371718720")</f>
        <v/>
      </c>
      <c r="F93">
        <f>HYPERLINK("https://jobs.talemetry.com/syneoshealthcrm/jobs/apply?job_list_id=7238&amp;returnUrl=https%3A%2F%2Fsyneoshealth.wd12.myworkdayjobs.com%2FSyneos_Health_External_Site%2Fjob%2FUSA-DE-Remote%2FSr-Biometrics-Data-Engineer_25105623%2Fapply&amp;tm_job=25105623-OTHLOC-1500-2DCO-2DR&amp;tm_event=view&amp;tm_company=44859&amp;bid=0&amp;urlHash=bptK", "https://jobs.talemetry.com/syneoshealthcrm/jobs/apply?job_list_id=7238&amp;returnUrl=https%3A%2F%2Fsyneoshealth.wd12.myworkdayjobs.com%2FSyneos_Health_External_Site%2Fjob%2FUSA-DE-Remote%2FSr-Biometrics-Data-Engineer_25105623%2Fapply&amp;tm_job=25105623-OTHLOC-1500-2DCO-2DR&amp;tm_event=view&amp;tm_company=44859&amp;bid=0&amp;urlHash=bptK")</f>
        <v/>
      </c>
      <c r="G93" t="inlineStr"/>
      <c r="H93" t="inlineStr"/>
      <c r="I93" t="inlineStr">
        <is>
          <t>**Description**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94">
      <c r="A94" t="inlineStr">
        <is>
          <t>li-4371718718</t>
        </is>
      </c>
      <c r="B94" t="inlineStr">
        <is>
          <t>Sr. Biometrics Data Engineer</t>
        </is>
      </c>
      <c r="C94" t="inlineStr">
        <is>
          <t>Syneos Health</t>
        </is>
      </c>
      <c r="D94" t="inlineStr">
        <is>
          <t>linkedin</t>
        </is>
      </c>
      <c r="E94">
        <f>HYPERLINK("https://www.linkedin.com/jobs/view/4371718718", "https://www.linkedin.com/jobs/view/4371718718")</f>
        <v/>
      </c>
      <c r="F94" t="inlineStr"/>
      <c r="G94" t="inlineStr"/>
      <c r="H94" t="inlineStr"/>
      <c r="I94" t="inlineStr">
        <is>
          <t>**Description**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95">
      <c r="A95" t="inlineStr">
        <is>
          <t>li-4371717714</t>
        </is>
      </c>
      <c r="B95" t="inlineStr">
        <is>
          <t>Sr. Biometrics Data Engineer</t>
        </is>
      </c>
      <c r="C95" t="inlineStr">
        <is>
          <t>Syneos Health</t>
        </is>
      </c>
      <c r="D95" t="inlineStr">
        <is>
          <t>linkedin</t>
        </is>
      </c>
      <c r="E95">
        <f>HYPERLINK("https://www.linkedin.com/jobs/view/4371717714", "https://www.linkedin.com/jobs/view/4371717714")</f>
        <v/>
      </c>
      <c r="F95" t="inlineStr"/>
      <c r="G95" t="inlineStr"/>
      <c r="H95" t="inlineStr"/>
      <c r="I95" t="inlineStr">
        <is>
          <t>**Description**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96">
      <c r="A96" t="inlineStr">
        <is>
          <t>li-4371709830</t>
        </is>
      </c>
      <c r="B96" t="inlineStr">
        <is>
          <t>Sr. Biometrics Data Engineer</t>
        </is>
      </c>
      <c r="C96" t="inlineStr">
        <is>
          <t>Syneos Health</t>
        </is>
      </c>
      <c r="D96" t="inlineStr">
        <is>
          <t>linkedin</t>
        </is>
      </c>
      <c r="E96">
        <f>HYPERLINK("https://www.linkedin.com/jobs/view/4371709830", "https://www.linkedin.com/jobs/view/4371709830")</f>
        <v/>
      </c>
      <c r="F96" t="inlineStr"/>
      <c r="G96" t="inlineStr"/>
      <c r="H96" t="inlineStr"/>
      <c r="I96" t="inlineStr">
        <is>
          <t>**Description**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97">
      <c r="A97" t="inlineStr">
        <is>
          <t>li-4371708867</t>
        </is>
      </c>
      <c r="B97" t="inlineStr">
        <is>
          <t>Sr. Biometrics Data Engineer</t>
        </is>
      </c>
      <c r="C97" t="inlineStr">
        <is>
          <t>Syneos Health</t>
        </is>
      </c>
      <c r="D97" t="inlineStr">
        <is>
          <t>linkedin</t>
        </is>
      </c>
      <c r="E97">
        <f>HYPERLINK("https://www.linkedin.com/jobs/view/4371708867", "https://www.linkedin.com/jobs/view/4371708867")</f>
        <v/>
      </c>
      <c r="F97" t="inlineStr"/>
      <c r="G97" t="inlineStr"/>
      <c r="H97" t="inlineStr"/>
      <c r="I97" t="inlineStr">
        <is>
          <t>**Description**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98">
      <c r="A98" t="inlineStr">
        <is>
          <t>li-4371706861</t>
        </is>
      </c>
      <c r="B98" t="inlineStr">
        <is>
          <t>Sr. Biometrics Data Engineer</t>
        </is>
      </c>
      <c r="C98" t="inlineStr">
        <is>
          <t>Syneos Health</t>
        </is>
      </c>
      <c r="D98" t="inlineStr">
        <is>
          <t>linkedin</t>
        </is>
      </c>
      <c r="E98">
        <f>HYPERLINK("https://www.linkedin.com/jobs/view/4371706861", "https://www.linkedin.com/jobs/view/4371706861")</f>
        <v/>
      </c>
      <c r="F98">
        <f>HYPERLINK("https://jobs.talemetry.com/syneoshealthcrm/jobs/apply?job_list_id=7238&amp;returnUrl=https%3A%2F%2Fsyneoshealth.wd12.myworkdayjobs.com%2FSyneos_Health_External_Site%2Fjob%2FUSA-DE-Remote%2FSr-Biometrics-Data-Engineer_25105623%2Fapply&amp;tm_job=25105623-OTHLOC-1500-2DWA-2DR&amp;tm_event=view&amp;tm_company=44859&amp;bid=0&amp;urlHash=oUlR", "https://jobs.talemetry.com/syneoshealthcrm/jobs/apply?job_list_id=7238&amp;returnUrl=https%3A%2F%2Fsyneoshealth.wd12.myworkdayjobs.com%2FSyneos_Health_External_Site%2Fjob%2FUSA-DE-Remote%2FSr-Biometrics-Data-Engineer_25105623%2Fapply&amp;tm_job=25105623-OTHLOC-1500-2DWA-2DR&amp;tm_event=view&amp;tm_company=44859&amp;bid=0&amp;urlHash=oUlR")</f>
        <v/>
      </c>
      <c r="G98" t="inlineStr"/>
      <c r="H98" t="inlineStr"/>
      <c r="I98" t="inlineStr">
        <is>
          <t>**Description**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99">
      <c r="A99" t="inlineStr">
        <is>
          <t>li-4371706860</t>
        </is>
      </c>
      <c r="B99" t="inlineStr">
        <is>
          <t>Sr. Biometrics Data Engineer</t>
        </is>
      </c>
      <c r="C99" t="inlineStr">
        <is>
          <t>Syneos Health</t>
        </is>
      </c>
      <c r="D99" t="inlineStr">
        <is>
          <t>linkedin</t>
        </is>
      </c>
      <c r="E99">
        <f>HYPERLINK("https://www.linkedin.com/jobs/view/4371706860", "https://www.linkedin.com/jobs/view/4371706860")</f>
        <v/>
      </c>
      <c r="F99" t="inlineStr"/>
      <c r="G99" t="inlineStr"/>
      <c r="H99" t="inlineStr"/>
      <c r="I99" t="inlineStr">
        <is>
          <t>**Description**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100">
      <c r="A100" t="inlineStr">
        <is>
          <t>li-4371705963</t>
        </is>
      </c>
      <c r="B100" t="inlineStr">
        <is>
          <t>Sr. Biometrics Data Engineer</t>
        </is>
      </c>
      <c r="C100" t="inlineStr">
        <is>
          <t>Syneos Health</t>
        </is>
      </c>
      <c r="D100" t="inlineStr">
        <is>
          <t>linkedin</t>
        </is>
      </c>
      <c r="E100">
        <f>HYPERLINK("https://www.linkedin.com/jobs/view/4371705963", "https://www.linkedin.com/jobs/view/4371705963")</f>
        <v/>
      </c>
      <c r="F100">
        <f>HYPERLINK("https://jobs.talemetry.com/syneoshealthcrm/jobs/apply?job_list_id=7238&amp;returnUrl=https%3A%2F%2Fsyneoshealth.wd12.myworkdayjobs.com%2FSyneos_Health_External_Site%2Fjob%2FUSA-DE-Remote%2FSr-Biometrics-Data-Engineer_25105623%2Fapply&amp;tm_job=25105623-OTHLOC-1500-2DPA-2DR&amp;tm_event=view&amp;tm_company=44859&amp;bid=0&amp;urlHash=5nr0", "https://jobs.talemetry.com/syneoshealthcrm/jobs/apply?job_list_id=7238&amp;returnUrl=https%3A%2F%2Fsyneoshealth.wd12.myworkdayjobs.com%2FSyneos_Health_External_Site%2Fjob%2FUSA-DE-Remote%2FSr-Biometrics-Data-Engineer_25105623%2Fapply&amp;tm_job=25105623-OTHLOC-1500-2DPA-2DR&amp;tm_event=view&amp;tm_company=44859&amp;bid=0&amp;urlHash=5nr0")</f>
        <v/>
      </c>
      <c r="G100" t="inlineStr"/>
      <c r="H100" t="inlineStr"/>
      <c r="I100" t="inlineStr">
        <is>
          <t>**Description**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101">
      <c r="A101" t="inlineStr">
        <is>
          <t>li-4371705962</t>
        </is>
      </c>
      <c r="B101" t="inlineStr">
        <is>
          <t>Sr. Biometrics Data Engineer</t>
        </is>
      </c>
      <c r="C101" t="inlineStr">
        <is>
          <t>Syneos Health</t>
        </is>
      </c>
      <c r="D101" t="inlineStr">
        <is>
          <t>linkedin</t>
        </is>
      </c>
      <c r="E101">
        <f>HYPERLINK("https://www.linkedin.com/jobs/view/4371705962", "https://www.linkedin.com/jobs/view/4371705962")</f>
        <v/>
      </c>
      <c r="F101" t="inlineStr"/>
      <c r="G101" t="inlineStr"/>
      <c r="H101" t="inlineStr"/>
      <c r="I101" t="inlineStr">
        <is>
          <t>**Description**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102">
      <c r="A102" t="inlineStr">
        <is>
          <t>li-4371723660</t>
        </is>
      </c>
      <c r="B102" t="inlineStr">
        <is>
          <t>Sr. Biometrics Data Engineer</t>
        </is>
      </c>
      <c r="C102" t="inlineStr">
        <is>
          <t>Syneos Health</t>
        </is>
      </c>
      <c r="D102" t="inlineStr">
        <is>
          <t>linkedin</t>
        </is>
      </c>
      <c r="E102">
        <f>HYPERLINK("https://www.linkedin.com/jobs/view/4371723660", "https://www.linkedin.com/jobs/view/4371723660")</f>
        <v/>
      </c>
      <c r="F102">
        <f>HYPERLINK("https://jobs.talemetry.com/syneoshealthcrm/jobs/apply?job_list_id=7238&amp;returnUrl=https%3A%2F%2Fsyneoshealth.wd12.myworkdayjobs.com%2FSyneos_Health_External_Site%2Fjob%2FUSA-DE-Remote%2FSr-Biometrics-Data-Engineer_25105623%2Fapply&amp;tm_job=25105623-OTHLOC-1500-2DRI-2DR&amp;tm_event=view&amp;tm_company=44859&amp;bid=0&amp;urlHash=a10b", "https://jobs.talemetry.com/syneoshealthcrm/jobs/apply?job_list_id=7238&amp;returnUrl=https%3A%2F%2Fsyneoshealth.wd12.myworkdayjobs.com%2FSyneos_Health_External_Site%2Fjob%2FUSA-DE-Remote%2FSr-Biometrics-Data-Engineer_25105623%2Fapply&amp;tm_job=25105623-OTHLOC-1500-2DRI-2DR&amp;tm_event=view&amp;tm_company=44859&amp;bid=0&amp;urlHash=a10b")</f>
        <v/>
      </c>
      <c r="G102" t="inlineStr"/>
      <c r="H102" t="inlineStr"/>
      <c r="I102" t="inlineStr">
        <is>
          <t>**Description**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103">
      <c r="A103" t="inlineStr">
        <is>
          <t>li-4371582886</t>
        </is>
      </c>
      <c r="B103" t="inlineStr">
        <is>
          <t>Databricks Data Engineer with DevOps Skills</t>
        </is>
      </c>
      <c r="C103" t="inlineStr">
        <is>
          <t>Jobs via Dice</t>
        </is>
      </c>
      <c r="D103" t="inlineStr">
        <is>
          <t>linkedin</t>
        </is>
      </c>
      <c r="E103">
        <f>HYPERLINK("https://www.linkedin.com/jobs/view/4371582886", "https://www.linkedin.com/jobs/view/4371582886")</f>
        <v/>
      </c>
      <c r="F103">
        <f>HYPERLINK("https://click.appcast.io/t/ByNkXByyodk_u-PGMdCXDRjxFi0S81CTZwolQy2OGYk=&amp;urlHash=3C-n", "https://click.appcast.io/t/ByNkXByyodk_u-PGMdCXDRjxFi0S81CTZwolQy2OGYk=&amp;urlHash=3C-n")</f>
        <v/>
      </c>
      <c r="G103" t="inlineStr">
        <is>
          <t>Los Angeles, CA</t>
        </is>
      </c>
      <c r="H103" t="inlineStr"/>
      <c r="I103" t="inlineStr">
        <is>
          <t>Dice is the leading career destination for tech experts at every stage of their careers. Our client, Tror, is seeking the following. Apply via Dice today!
**Job Title: Databricks Data Engineer with DevOps Skills**
**Job Location: Los Angeles CA (Hybrid)**
**Hire type: FTE / CTH**
**Note: Need Only Locals to California**
**Job Summary**
 We are looking for an experienced Databricks Data Engineer with strong DevOps expertise to join our data engineering team. The ideal candidate will design, build, and optimize large\-scale pipelines on the Databricks Lakehouse Platform on AWS, while driving automated CI/CD and deployment practices. This role requires strong skills in PySpark, SQL, AWS cloud services, and modern DevOps tooling. You will collaborate closely with cross\-functional teams to deliver scalable, secure, and high\-performance data solutions.
**Must Demonstrate (Critical Skills \&amp; Architectural Competencies)**
* Designing and implementing Databricks\-based Lakehouse architectures on AWS
* Clear separation of compute vs. serving layers
* Ability to design low\-latency data/API access strategies (beyond Spark\-only patterns)
* Strong understanding of caching strategies for performance and cost optimization
* Data partitioning, storage optimization, and file layout strategy
* Ability to handle multi\-terabyte structured or time\-series datasets
* Skill in requirement probing, identifying what matters architecturally
* A player\-coach mindset: hands\-on engineering \+ technical leadership
**Key Responsibilities**
* Data Pipeline Development
* Design, build, and maintain scalable ETL/ELT pipelines using Databricks on AWS.
* Develop high\-performance data processing workflows using PySpark/Spark and SQL.
* Integrate data from Amazon S3, relational databases, and semi/non structured sources.
* Implement Delta Lake best practices including schema evolution, ACID, OPTIMIZE, ZORDER, partitioning, and file\-size tuning.
* Ensure architectures support high\-volume, multi\-terabyte workloads.
* DevOps \&amp; CI/CD
* Implement CI/CD pipelines for Databricks using Git, GitLab, GitHub Actions, or AWS\-native tools.
* Build and manage automated deployments using Databricks Asset Bundles.
* Manage version control for notebooks, workflows, libraries, and environment configuration.
* Automate cluster policies, job creation, environment provisioning, and configuration management.
* Support infrastructure\-as\-code via Terraform (preferred) or CloudFormation.
* Collaboration \&amp; Business Support
* Work with data analysts and BI teams to prepare curated datasets for reporting and analytics.
* Collaborate closely with product owners, engineering teams, and business partners to translate requirements into scalable implementations.
* Document data flows, technical architecture, and DevOps/deployment workflows.
* Performance \&amp; Optimization
* Tune Spark clusters, workflows, and queries for cost efficiency and compute performance.
* Monitor pipelines, troubleshoot failures, and maintain high reliability.
* Implement logging, monitoring, and observability across workflows and jobs.
* Apply caching strategies and workload optimization techniques to support low\-latency consumption patterns.
* Governance \&amp; Security
* Implement and maintain data governance using Unity Catalog.
* Enforce access controls, security policies, and data compliance requirements.
* Ensure lineage, quality checks, and auditability across data flows.
**Technical Skills** 
* Strong hands\-on experience with Databricks, including:
+ Delta Lake
+ Unity Catalog
+ Lakehouse Architecture
+ Delta Live Pipelines
+ Databricks Runtime
+ Table Triggers
+ Databricks Workflows
* Proficiency in PySpark, Spark, and advanced SQL.
* Expertise with AWS cloud services, including:
+ S3
+ IAM
+ Glue / Glue Catalog
+ Lambda
+ Kinesis (optional but beneficial)
+ Secrets Manager
* Strong understanding of DevOps tools:
+ Git / GitLab
+ CI/CD pipelines
+ Databricks Asset Bundles
* Familiarity with Terraform is a plus.
* Experience with relational databases and data warehouse concepts.
**Preferred Experience**
* Knowledge of streaming technologies like Structured Streaming/Spark Streaming.
* Experience building real\-time or near real\-time pipelines.
* Exposure to advanced Databricks runtime configurations and performance tuning.
**Certifications (Optional)**
* Databricks Certified Data Engineer Associate / Professional
* AWS Data Engineer or AWS Solutions Architect certification.
 Thanks \&amp; Regards
 Akhil</t>
        </is>
      </c>
    </row>
    <row r="104">
      <c r="A104" t="inlineStr">
        <is>
          <t>li-4371580548</t>
        </is>
      </c>
      <c r="B104" t="inlineStr">
        <is>
          <t>Senior Data Engineer - Substantiation Platform Team *Hybrid*</t>
        </is>
      </c>
      <c r="C104" t="inlineStr">
        <is>
          <t>GEICO</t>
        </is>
      </c>
      <c r="D104" t="inlineStr">
        <is>
          <t>linkedin</t>
        </is>
      </c>
      <c r="E104">
        <f>HYPERLINK("https://www.linkedin.com/jobs/view/4371580548", "https://www.linkedin.com/jobs/view/4371580548")</f>
        <v/>
      </c>
      <c r="F104" t="inlineStr"/>
      <c r="G104" t="inlineStr">
        <is>
          <t>Seattle, WA</t>
        </is>
      </c>
      <c r="H104" t="inlineStr"/>
      <c r="I10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**Senior Data Engineer** 
 within our
 **Financial Data Integrity Substantiation Platform** 
 , you will play an important role in building and managing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Follow and help improve best practices for code quality, testing, and deployment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 5\+ years of experience in Data and/or Software engineering
* 5\+ years of experience in one or more relevant backend programming languages, such as Java and/or Go
* 2\+ years of experience building products in modern architecture (SOA \&amp; microservices) and extensible REST APIs
* 3\+ years of experience with tools like Git, Docker, Kubernetes, and CI/CD pipelines
* 3\+ years of experience with cloud platforms like AWS, Azure, or Google Cloud
* Experience in SQL, NoSQL, relational database design and efficient methods for data retrieval and preparation at scale
* Proven ability to collect and process raw data at scale, including scripting, API integration, and SQL querying
* Experience with data modeling, ETL processes and query languages (Python, PySpark, and SQL) with data warehouse
* Experience with Agile development practices
 \*This is a Hybrid position working out of any of the below offices\*
 Seattle, WA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5">
      <c r="A105" t="inlineStr">
        <is>
          <t>li-4371583446</t>
        </is>
      </c>
      <c r="B105" t="inlineStr">
        <is>
          <t>Senior Data Engineer - Substantiation Platform Team *Hybrid*</t>
        </is>
      </c>
      <c r="C105" t="inlineStr">
        <is>
          <t>GEICO</t>
        </is>
      </c>
      <c r="D105" t="inlineStr">
        <is>
          <t>linkedin</t>
        </is>
      </c>
      <c r="E105">
        <f>HYPERLINK("https://www.linkedin.com/jobs/view/4371583446", "https://www.linkedin.com/jobs/view/4371583446")</f>
        <v/>
      </c>
      <c r="F105" t="inlineStr"/>
      <c r="G105" t="inlineStr">
        <is>
          <t>Chevy Chase, MD</t>
        </is>
      </c>
      <c r="H105" t="inlineStr"/>
      <c r="I10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**Senior Data Engineer** 
 within our
 **Financial Data Integrity Substantiation Platform** 
 , you will play an important role in building and managing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Follow and help improve best practices for code quality, testing, and deployment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 5\+ years of experience in Data and/or Software engineering
* 5\+ years of experience in one or more relevant backend programming languages, such as Java and/or Go
* 2\+ years of experience building products in modern architecture (SOA \&amp; microservices) and extensible REST APIs
* 3\+ years of experience with tools like Git, Docker, Kubernetes, and CI/CD pipelines
* 3\+ years of experience with cloud platforms like AWS, Azure, or Google Cloud
* Experience in SQL, NoSQL, relational database design and efficient methods for data retrieval and preparation at scale
* Proven ability to collect and process raw data at scale, including scripting, API integration, and SQL querying
* Experience with data modeling, ETL processes and query languages (Python, PySpark, and SQL) with data warehouse
* Experience with Agile development practices
 \*This is a Hybrid position working out of any of the below offices\*
 Seattle, WA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6">
      <c r="A106" t="inlineStr">
        <is>
          <t>li-4371701267</t>
        </is>
      </c>
      <c r="B106" t="inlineStr">
        <is>
          <t>IT-Data Engineer</t>
        </is>
      </c>
      <c r="C106" t="inlineStr">
        <is>
          <t>Jobs via Dice</t>
        </is>
      </c>
      <c r="D106" t="inlineStr">
        <is>
          <t>linkedin</t>
        </is>
      </c>
      <c r="E106">
        <f>HYPERLINK("https://www.linkedin.com/jobs/view/4371701267", "https://www.linkedin.com/jobs/view/4371701267")</f>
        <v/>
      </c>
      <c r="F106">
        <f>HYPERLINK("https://click.appcast.io/t/Pt1tnRg5ypUTMX1f8TJWBUVYl3Gu_dMZ1SpUn8RhNPs=&amp;urlHash=oXNl", "https://click.appcast.io/t/Pt1tnRg5ypUTMX1f8TJWBUVYl3Gu_dMZ1SpUn8RhNPs=&amp;urlHash=oXNl")</f>
        <v/>
      </c>
      <c r="G106" t="inlineStr">
        <is>
          <t>Minneapolis, MN</t>
        </is>
      </c>
      <c r="H106" t="inlineStr"/>
      <c r="I106" t="inlineStr">
        <is>
          <t>job summary:
 Enterprise Healthcare client has an immediate opening for a highly motivated IT\-Data Engineer to join their dynamic and growing team. All qualified candidates are encouraged to apply!
 location: Telecommute
 job type: Contract
 salary: $23 \- 28 per hour
 work hours: 8am to 5pm
 education: Bachelors
 responsibilities:
 Description:
 Can you please provide a summary of the project/initiative which describes what's being done? We are modernizing a SQL Server data environment to Azure/Snowflake, Databricks we are looking for 1 expert in Snowflake, 1 in Azure Datalake and 1 in SQL Server. We are seeking a skilled Data Engineer to join our team and help design, build, and optimize data solutions on Azure Cloud, Snowflake, Databricks and SQL Server. This role focuses on developing scalable data pipelines, ensuring data quality, and enabling advanced analytics across the organization. We seek 1 strong in Snowflake, 1 strong in Azure data lake, and 1 strong in SQL Server and optimization All should be familiar in Databricks if possible.
 qualifications:
 Bachelors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t>
        </is>
      </c>
    </row>
    <row r="107">
      <c r="A107" t="inlineStr">
        <is>
          <t>li-4371597697</t>
        </is>
      </c>
      <c r="B107" t="inlineStr">
        <is>
          <t>IT-Data Engineer</t>
        </is>
      </c>
      <c r="C107" t="inlineStr">
        <is>
          <t>Jobs via Dice</t>
        </is>
      </c>
      <c r="D107" t="inlineStr">
        <is>
          <t>linkedin</t>
        </is>
      </c>
      <c r="E107">
        <f>HYPERLINK("https://www.linkedin.com/jobs/view/4371597697", "https://www.linkedin.com/jobs/view/4371597697")</f>
        <v/>
      </c>
      <c r="F107" t="inlineStr"/>
      <c r="G107" t="inlineStr">
        <is>
          <t>Minneapolis, MN</t>
        </is>
      </c>
      <c r="H107" t="inlineStr"/>
      <c r="I107" t="inlineStr">
        <is>
          <t>job summary:
 Enterprise Healthcare client has an immediate opening for a highly motivated IT\-Data Engineer to join their dynamic and growing team. All qualified candidates are encouraged to apply!
 location: Telecommute
 job type: Contract
 salary: $23 \- 28 per hour
 work hours: 8am to 5pm
 education: Bachelors
 responsibilities:
 Description:
 Can you please provide a summary of the project/initiative which describes what's being done? We are modernizing a SQL Server data environment to Azure/Snowflake, Databricks we are looking for 1 expert in Snowflake, 1 in Azure Datalake and 1 in SQL Server. We are seeking a skilled Data Engineer to join our team and help design, build, and optimize data solutions on Azure Cloud, Snowflake, Databricks and SQL Server. This role focuses on developing scalable data pipelines, ensuring data quality, and enabling advanced analytics across the organization. We seek 1 strong in Snowflake, 1 strong in Azure data lake, and 1 strong in SQL Server and optimization All should be familiar in Databricks if possible.
 qualifications:
 Bachelors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t>
        </is>
      </c>
    </row>
    <row r="108">
      <c r="A108" t="inlineStr">
        <is>
          <t>li-4371597701</t>
        </is>
      </c>
      <c r="B108" t="inlineStr">
        <is>
          <t>IT-Data Engineer</t>
        </is>
      </c>
      <c r="C108" t="inlineStr">
        <is>
          <t>Jobs via Dice</t>
        </is>
      </c>
      <c r="D108" t="inlineStr">
        <is>
          <t>linkedin</t>
        </is>
      </c>
      <c r="E108">
        <f>HYPERLINK("https://www.linkedin.com/jobs/view/4371597701", "https://www.linkedin.com/jobs/view/4371597701")</f>
        <v/>
      </c>
      <c r="F108">
        <f>HYPERLINK("https://click.appcast.io/t/-Cu_duPr_jq-1MxIeYjmW3BtjIzT_jJhIyg17CjOw4g=&amp;urlHash=Y8Qt", "https://click.appcast.io/t/-Cu_duPr_jq-1MxIeYjmW3BtjIzT_jJhIyg17CjOw4g=&amp;urlHash=Y8Qt")</f>
        <v/>
      </c>
      <c r="G108" t="inlineStr">
        <is>
          <t>Minneapolis, MN</t>
        </is>
      </c>
      <c r="H108" t="inlineStr"/>
      <c r="I108" t="inlineStr">
        <is>
          <t>job summary:
 Enterprise Healthcare client has an immediate opening for a highly motivated IT\-Data Engineer to join their dynamic and growing team. All qualified candidates are encouraged to apply!
 location: Telecommute
 job type: Contract
 salary: $23 \- 28 per hour
 work hours: 8am to 5pm
 education: Bachelors
 responsibilities:
 Description:
 Can you please provide a summary of the project/initiative which describes what's being done? We are modernizing a SQL Server data environment to Azure/Snowflake, Databricks we are looking for 1 expert in Snowflake, 1 in Azure Datalake and 1 in SQL Server. We are seeking a skilled Data Engineer to join our team and help design, build, and optimize data solutions on Azure Cloud, Snowflake, Databricks and SQL Server. This role focuses on developing scalable data pipelines, ensuring data quality, and enabling advanced analytics across the organization. We seek 1 strong in Snowflake, 1 strong in Azure data lake, and 1 strong in SQL Server and optimization All should be familiar in Databricks if possible.
 qualifications:
 Bachelors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t>
        </is>
      </c>
    </row>
    <row r="109">
      <c r="A109" t="inlineStr">
        <is>
          <t>li-4371702106</t>
        </is>
      </c>
      <c r="B109" t="inlineStr">
        <is>
          <t>Senior Data Engineer</t>
        </is>
      </c>
      <c r="C109" t="inlineStr">
        <is>
          <t>Jobs via Dice</t>
        </is>
      </c>
      <c r="D109" t="inlineStr">
        <is>
          <t>linkedin</t>
        </is>
      </c>
      <c r="E109">
        <f>HYPERLINK("https://www.linkedin.com/jobs/view/4371702106", "https://www.linkedin.com/jobs/view/4371702106")</f>
        <v/>
      </c>
      <c r="F109" t="inlineStr"/>
      <c r="G109" t="inlineStr">
        <is>
          <t>Minneapolis, MN</t>
        </is>
      </c>
      <c r="H109" t="inlineStr"/>
      <c r="I109" t="inlineStr">
        <is>
          <t>RESPONSIBILITIES:
 Kforce has a client that is seeking a hybrid Senior Data Engineer to join their team in Minneapolis, MN.
 Summary:
 They are looking for a Senior Data Engineer that can hit the ground running with a growing team. This team is focused on an individual aspect at the client and are in the process of a huge project. They are focused on migrating from Hadoop to AWS Athena and Snowflake and need someone who can drive this initiative and be strong in Python, SQL, Snowflake and AWS Athena and have expertise in data modeling. They use Power BI for visualization and take the data from SAP. They need a talented engineer with Hadoop experience but are flexible if they have a Google Cloud Platform or AWS background.
 REQUIREMENTS:
* 5\+ years of data engineering experience
* Expert in Snowflake
* Expert in AWS Athena (they are open to similar platforms)
* Expert in Python
* Expert in SQL
* Expert in Data modeling
* Familiarity in business reporting (Power BI)
* Strong communication and collaboration skills and ability to act as a lead and work independently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10">
      <c r="A110" t="inlineStr">
        <is>
          <t>li-4371599256</t>
        </is>
      </c>
      <c r="B110" t="inlineStr">
        <is>
          <t>Senior Data Engineer - Substantiation Platform Team *Hybrid*</t>
        </is>
      </c>
      <c r="C110" t="inlineStr">
        <is>
          <t>GEICO</t>
        </is>
      </c>
      <c r="D110" t="inlineStr">
        <is>
          <t>linkedin</t>
        </is>
      </c>
      <c r="E110">
        <f>HYPERLINK("https://www.linkedin.com/jobs/view/4371599256", "https://www.linkedin.com/jobs/view/4371599256")</f>
        <v/>
      </c>
      <c r="F110" t="inlineStr"/>
      <c r="G110" t="inlineStr">
        <is>
          <t>Dallas, TX</t>
        </is>
      </c>
      <c r="H110" t="inlineStr"/>
      <c r="I11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**Senior Data Engineer** 
 within our
 **Financial Data Integrity Substantiation Platform** 
 , you will play an important role in building and managing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Follow and help improve best practices for code quality, testing, and deployment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 5\+ years of experience in Data and/or Software engineering
* 5\+ years of experience in one or more relevant backend programming languages, such as Java and/or Go
* 2\+ years of experience building products in modern architecture (SOA \&amp; microservices) and extensible REST APIs
* 3\+ years of experience with tools like Git, Docker, Kubernetes, and CI/CD pipelines
* 3\+ years of experience with cloud platforms like AWS, Azure, or Google Cloud
* Experience in SQL, NoSQL, relational database design and efficient methods for data retrieval and preparation at scale
* Proven ability to collect and process raw data at scale, including scripting, API integration, and SQL querying
* Experience with data modeling, ETL processes and query languages (Python, PySpark, and SQL) with data warehouse
* Experience with Agile development practices
 \*This is a Hybrid position working out of any of the below offices\*
 Seattle, WA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1">
      <c r="A111" t="inlineStr">
        <is>
          <t>li-4363287386</t>
        </is>
      </c>
      <c r="B111" t="inlineStr">
        <is>
          <t>Data Engineering Scientist with AI/ML - Remote</t>
        </is>
      </c>
      <c r="C111" t="inlineStr">
        <is>
          <t>ChatGPT Jobs</t>
        </is>
      </c>
      <c r="D111" t="inlineStr">
        <is>
          <t>linkedin</t>
        </is>
      </c>
      <c r="E111">
        <f>HYPERLINK("https://www.linkedin.com/jobs/view/4363287386", "https://www.linkedin.com/jobs/view/4363287386")</f>
        <v/>
      </c>
      <c r="F111" t="inlineStr"/>
      <c r="G111" t="inlineStr">
        <is>
          <t>Minnetonka, MN</t>
        </is>
      </c>
      <c r="H111" t="inlineStr"/>
      <c r="I111" t="inlineStr">
        <is>
          <t>**Job Description**
 Data Engineering Scientist with AI/ML \- Remote
**Company:** 
 UnitedHealth Group
**Location:** 
 Minnetonka, MN
* On\-site, Remote
**Job Type:** 
 Full\-time
**Benefits:** 
 Retirement
**Posted:** 
 5 hours ago
**Job Description**
 Optum Tech is seeking a highly skilled and motivated AI/ML Engineer to lead innovation in claims adjudication through advanced Generative AI solutions. This role emphasizes Large Language Models (LLMs), agentic frameworks, and prompt engineering to automate complex workflows. You will design and deploy secure, scalable, and responsible AI systems while collaborating across teams to deliver measurable impact.
 You'll enjoy the flexibility to work remotely\* from anywhere within the U.S. For all hires in the Minneapolis or Washington, D.C. area, you will be required to work in the office a minimum of four days per week.
**Primary Responsibilities**
* Design, develop, and deploy AI/ML and Generative AI models for predictive, prescriptive, and generative analytics across healthcare datasets.
* Implement advanced architectures including LLMs (GPT, Gemini, LLaMA), Retrieval\-Augmented Generation (RAG), and Agentic Frameworks.
* Build and optimize end\-to\-end pipelines using Python (Sci\-kit Learn, Pandas, Flask, LangChain), PySpark, T\-SQL and SQL.
* Develop and fine\-tune multiple GenAI models for NLP, summarization, prompt engineering, and conversational AI.
* Apply MLOps best practices: model versioning, drift analysis, quantization, MLFlow, containerization with Docker, and CI/CD pipelines.
* Work with cloud platforms: Azure (Databricks, ML Studio, Data Factory, Data Lake, Delta Tables), AWS, and GCP for scalable deployments.
* Integrate data warehousing solutions like Snowflake and manage large\-scale data pipelines.
* Collaborate in an Agile environment, participate in sprint planning, and maintain code repositories using GitHub/Git.
* Ensure compliance with security and governance standards for healthcare data
* Coach and mentor junior team members
**Technical Skillset**
 AI/ML Foundations
* Design and implement machine learning and deep learning models for classification, NLP tasks
* Build and maintain end\-to\-end ML pipelines including data preprocessing, model training, evaluation, and deployment
 Generative AI \&amp; LLM Engineering
* Develop and fine\-tune LLM\-based applications using LangChain, LangGraph, and other GenAI frameworks
* Build Multi Agentic workflows and RAG (Retrieval\-Augmented Generation) pipelines for enterprise use cases
* Leverage AWS Bedrock and Google Vertex AI for scalable and production\-grade GenAI deployments
 LLM Security \&amp; Responsible AI
* Implement guardrails to prevent prompt injection, reduce hallucinations, and ensure safe model outputs
* Apply best practices for LLM security, including output moderation, access control, and auditability
* Ensure compliance with Responsible AI principles\-fairness, transparency, and explainability
 Cloud\-Native AI Development
* Deploy and manage GenAI solutions on AWS and Google Suite, utilizing services like Bedrock, SageMaker, Vertex AI
* Integrate LLMs with enterprise systems using REST APIs, SDKs, and orchestration tools
 Collaboration \&amp; Mentorship
* Work closely with product managers, data scientists, and platform teams to translate business needs into GenAI solutions
* Mentor junior engineers and contribute to internal knowledge\-sharing initiatives
**Required Qualifications**
* 5 years of hands\-on experience in AI/ML techniques like Prompt Engineering , RAG (Retrieval Augmented Generation) and Agentic AI
* Solid expertise in Python, PySpark, T\-SQL, SQL, and big data technologies (Hadoop, Spark)
* Proven deep knowledge of statistics, data modeling, and simulation
* Hands\-on experience with Generative AI frameworks/architectures (LangChain, HuggingFace, OpenAI APIs)
* Proficiency in cloud technologies: Azure (Databricks, ML Studio), AWS Bedrock, Azure Foundry, Kafka, and cloud\-native AI services
* Demonstrated familiarity with CI/CD pipelines, GitHub Actions, and containerization tools
* Proven excellent problem\-solving skills and ability to handle ambiguity
* Proven solid understanding of LLM security, prompt engineering, and responsible AI practices
**Preferred Qualifications**
* Experience with LLMs (GPT, Gemini, LLaMA) and prompt\-based learning
* Knowledge of Kafka, TensorFlow, and advanced deep learning architectures (CNNs, Autoencoders)
* Solid understanding of Agile methodologies and DevOps practices
* Internal Data management and Big data handling experience
* All employees working remotely will be required to adhere to UnitedHealth Group's Telecommuter Policy.
**Salary:** 
 The salary for this role will range from $71,200 to $127,200 annually based on full\-time employment.
**Application Deadline:** 
 This will be posted for a minimum of 2 business days or until a sufficient candidate pool has been collected. Job posting may come down early due to volume of applicants.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2026-02-13T04:03:22Z</dcterms:created>
  <dcterms:modified xsi:type="dcterms:W3CDTF">2026-02-13T04:03:22Z</dcterms:modified>
</cp:coreProperties>
</file>