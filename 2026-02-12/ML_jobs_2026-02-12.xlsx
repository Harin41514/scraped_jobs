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in-a2cd83b9ed29d2d5</t>
        </is>
      </c>
      <c r="B2" t="inlineStr">
        <is>
          <t>Senior AI Engineer - Multi-Agent Frameworks</t>
        </is>
      </c>
      <c r="C2" t="inlineStr">
        <is>
          <t>ClickUp</t>
        </is>
      </c>
      <c r="D2" t="inlineStr">
        <is>
          <t>indeed</t>
        </is>
      </c>
      <c r="E2" t="inlineStr"/>
      <c r="F2" t="inlineStr"/>
      <c r="G2" t="inlineStr">
        <is>
          <t>US</t>
        </is>
      </c>
      <c r="H2" s="2" t="n">
        <v>46064</v>
      </c>
      <c r="I2" t="inlineStr">
        <is>
          <t>Location
United States of America
Employment Type
Full time
Location Type
Remote
Department
Engineering
Compensation
$200K – $250K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**Role Overview:**
We are seeking a highly skilled and experienced Senior AI Engineer \- Multi\-Agent Frameworks to join our AI Platform team. In this role, you will play a pivotal part in building a cutting\-edge platform that empowers our users to create and deploy sophisticated intelligent agents, with a key focus on enabling **collaborative and multi\-agentic behaviors**. This is a backend\-focused role that requires deep expertise in AI, large language models (LLMs), and orchestration software.
**Key Responsibilities:**
* Design, develop, and maintain a robust platform to enable users to create and manage AI agents and their interactions.
* Integrate and work with multiple LLMs, ensuring seamless orchestration and scalability for both individual and coordinated agent operations.
* Leverage orchestration frameworks like LangGraph and others to build complex workflows and pipelines that support diverse agent functionalities, including **frameworks for multi\-agent coordination**.
* Develop and implement evaluation frameworks for testing AI agents in challenging and complex scenarios, focusing on individual performance and system\-level dynamics.
* Stay at the forefront of AI advancements, incorporating the latest research and technologies into our platform to enhance agent capabilities and collaboration.
* Collaborate with cross\-functional teams, including product managers, designers, and frontend engineers, to deliver a seamless user experience for building and deploying intelligent systems.
* Address challenging AI privacy scenarios, ensuring compliance with data protection regulations and best practices within agent\-based applications.
* Contribute to improving search capabilities and integrating them into the AI platform to provide agents with essential information access.
**Qualifications:**
* Proven experience working with multiple LLMs (e.g., OpenAI, Anthropic, Cohere, etc.) and understanding their strengths and limitations.
* Expertise in orchestration software like LangGraph or similar frameworks used for building and managing agent workflows.
* Strong background in developing evaluation frameworks for AI systems, particularly in complex testing environments.
* Deep understanding of AI and machine learning fundamentals, with a focus on backend engineering.
* Passion for staying updated with the latest developments in AI and applying them to real\-world problems, particularly in the realm of agent technologies.
* Experience with challenging AI privacy scenarios, including data anonymization, secure data handling, and compliance.
* Experience with search technologies and their integration into AI systems.
* **Experience building or deploying Multi\-Agent Frameworks or Multi\-Agent Systems.**
\#LI\-REMOTE
\#LI\-AK2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3">
      <c r="A3" t="inlineStr">
        <is>
          <t>in-91be3ab30002ac14</t>
        </is>
      </c>
      <c r="B3" t="inlineStr">
        <is>
          <t>Staff AI Engineer - AI Product</t>
        </is>
      </c>
      <c r="C3" t="inlineStr">
        <is>
          <t>ClickUp</t>
        </is>
      </c>
      <c r="D3" t="inlineStr">
        <is>
          <t>indeed</t>
        </is>
      </c>
      <c r="E3" t="inlineStr"/>
      <c r="F3" t="inlineStr"/>
      <c r="G3" t="inlineStr">
        <is>
          <t>US</t>
        </is>
      </c>
      <c r="H3" s="2" t="n">
        <v>46064</v>
      </c>
      <c r="I3" t="inlineStr">
        <is>
          <t>Location
United States of America
Employment Type
Full time
Location Type
Remote
Department
Engineering
Compensation
Estimated Compensation $250K – $300K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**Role Overview:**
We are seeking a highly skilled and innovative **Staff AI Engineer – AI Product** to join our ClickUp Engineering team. In this role, you will drive the development of intelligent, user\-facing features that leverage the latest advancements in AI and large language models (LLMs). You will work closely with product, design, and engineering teams to deliver seamless, impactful AI\-powered experiences that delight our users and differentiate ClickUp in the productivity space. This is a product\-focused engineering role requiring deep expertise in AI, LLMs, and building scalable, production\-ready applications.
**Key Responsibilities:**
* Lead the design, development, and deployment of AI\-powered features and products that directly impact ClickUp users.
* Collaborate with product managers, designers, and engineers to identify opportunities for AI\-driven innovation and translate user needs into technical solutions.
* Integrate and orchestrate multiple LLMs and AI models to deliver robust, context\-aware, and personalized user experiences.
* Prototype, test, and iterate on new AI features, leveraging user feedback and data to drive continuous improvement.
* Ensure the reliability, scalability, and performance of AI\-powered features in production environments.
* Stay at the forefront of AI research and product trends, incorporating the latest advancements into ClickUp’s product roadmap.
* Address AI privacy, security, and compliance challenges, ensuring responsible and ethical use of AI in user\-facing applications.
* Mentor and guide other engineers in best practices for building AI\-powered products.
**Qualifications:**
* Proven experience building and shipping AI\-powered features or products in a production environment.
* Deep understanding of LLMs and AI models, including their strengths, limitations, and integration strategies.
* Experience working with orchestration frameworks and integrating multiple AI models to deliver cohesive user experiences.
* Experience developing evaluation frameworks and metrics for AI features, with a focus on user impact and business value.
* Familiarity with AI privacy, security, and compliance best practices.
* 5\+ years of backend and/or full\-stack engineering experience, with proficiency in Python, JavaScript/TypeScript, or similar languages.
* 5\+ years of experience with PostgresDB, MySQL, or other related DBs.
* 5\+ years of experience with Elasticsearch or other related technologies.
* Experience setting up production\-ready observability and logging.
* Demonstrated ability to collaborate cross\-functionally and translate product requirements into technical solutions.
* Passion for staying updated with the latest AI research and applying it to solve real\-world user problems.
* Excellent communication and mentorship skills, with a track record of influencing product direction and engineering best practices.
\#LI\-REMOTE
\#LI\-AK2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4">
      <c r="A4" t="inlineStr">
        <is>
          <t>in-2b20c056e588996c</t>
        </is>
      </c>
      <c r="B4" t="inlineStr">
        <is>
          <t>Staff AI Engineer - Multi-Agent Frameworks</t>
        </is>
      </c>
      <c r="C4" t="inlineStr">
        <is>
          <t>ClickUp</t>
        </is>
      </c>
      <c r="D4" t="inlineStr">
        <is>
          <t>indeed</t>
        </is>
      </c>
      <c r="E4" t="inlineStr"/>
      <c r="F4" t="inlineStr"/>
      <c r="G4" t="inlineStr">
        <is>
          <t>US</t>
        </is>
      </c>
      <c r="H4" s="2" t="n">
        <v>46064</v>
      </c>
      <c r="I4" t="inlineStr">
        <is>
          <t>Location
United States of America
Employment Type
Full time
Location Type
Remote
Department
Engineering
Compensation
Estimated Compensation $250K – $300K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**Role Overview:**
We are seeking a highly skilled and experienced Staff AI Engineer \- Multi\-Agent Frameworks to join our AI Platform team. In this role, you will play a pivotal part in building a cutting\-edge platform that empowers our users to create and deploy sophisticated intelligent agents, with a key focus on enabling **collaborative and multi\-agentic behaviors**. This is a backend\-focused role that requires deep expertise in AI, large language models (LLMs), and orchestration software.
**Key Responsibilities:**
* Design, develop, and maintain a robust platform to enable users to create and manage AI agents and their interactions.
* Integrate and work with multiple LLMs, ensuring seamless orchestration and scalability for both individual and coordinated agent operations.
* Leverage orchestration frameworks like LangGraph and others to build complex workflows and pipelines that support diverse agent functionalities, including **frameworks for multi\-agent coordination**.
* Develop and implement evaluation frameworks for testing AI agents in challenging and complex scenarios, focusing on individual performance and system\-level dynamics.
* Stay at the forefront of AI advancements, incorporating the latest research and technologies into our platform to enhance agent capabilities and collaboration.
* Collaborate with cross\-functional teams, including product managers, designers, and frontend engineers, to deliver a seamless user experience for building and deploying intelligent systems.
* Address challenging AI privacy scenarios, ensuring compliance with data protection regulations and best practices within agent\-based applications.
* Contribute to improving search capabilities and integrating them into the AI platform to provide agents with essential information access.
**Qualifications:**
* Proven experience working with multiple LLMs (e.g., OpenAI, Anthropic, Cohere, etc.) and understanding their strengths and limitations.
* Expertise in orchestration software like LangGraph or similar frameworks used for building and managing agent workflows.
* Strong background in developing evaluation frameworks for AI systems, particularly in complex testing environments.
* Deep understanding of AI and machine learning fundamentals, with a focus on backend engineering.
* Passion for staying updated with the latest developments in AI and applying them to real\-world problems, particularly in the realm of agent technologies.
* Experience with challenging AI privacy scenarios, including data anonymization, secure data handling, and compliance.
* Experience with search technologies and their integration into AI systems.
* **Experience building or deploying Multi\-Agent Frameworks or Multi\-Agent Systems.**
\#LI\-REMOTE
\#LI\-AK2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5">
      <c r="A5" t="inlineStr">
        <is>
          <t>in-dd97661c20836081</t>
        </is>
      </c>
      <c r="B5" t="inlineStr">
        <is>
          <t>Senior AI Engineer - AI Product</t>
        </is>
      </c>
      <c r="C5" t="inlineStr">
        <is>
          <t>ClickUp</t>
        </is>
      </c>
      <c r="D5" t="inlineStr">
        <is>
          <t>indeed</t>
        </is>
      </c>
      <c r="E5" t="inlineStr"/>
      <c r="F5" t="inlineStr"/>
      <c r="G5" t="inlineStr">
        <is>
          <t>US</t>
        </is>
      </c>
      <c r="H5" s="2" t="n">
        <v>46064</v>
      </c>
      <c r="I5" t="inlineStr">
        <is>
          <t>Location
United States of America
Employment Type
Full time
Location Type
Remote
Department
Engineering
Compensation
$200K – $250K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**Role Overview:**
We are seeking a highly skilled and innovative **Senior AI Engineer – AI Product** to join our ClickUp Engineering team. In this role, you will drive the development of intelligent, user\-facing features that leverage the latest advancements in AI and large language models (LLMs). You will work closely with product, design, and engineering teams to deliver seamless, impactful AI\-powered experiences that delight our users and differentiate ClickUp in the productivity space. This is a product\-focused engineering role requiring deep expertise in AI, LLMs, and building scalable, production\-ready applications.
**Key Responsibilities:**
* Lead the design, development, and deployment of AI\-powered features and products that directly impact ClickUp users.
* Collaborate with product managers, designers, and engineers to identify opportunities for AI\-driven innovation and translate user needs into technical solutions.
* Integrate and orchestrate multiple LLMs and AI models to deliver robust, context\-aware, and personalized user experiences.
* Prototype, test, and iterate on new AI features, leveraging user feedback and data to drive continuous improvement.
* Ensure the reliability, scalability, and performance of AI\-powered features in production environments.
* Stay at the forefront of AI research and product trends, incorporating the latest advancements into ClickUp’s product roadmap.
* Address AI privacy, security, and compliance challenges, ensuring responsible and ethical use of AI in user\-facing applications.
* Mentor and guide other engineers in best practices for building AI\-powered products.
**Qualifications:**
* Proven experience building and shipping AI\-powered features or products in a production environment.
* Deep understanding of LLMs and AI models, including their strengths, limitations, and integration strategies.
* Experience working with orchestration frameworks and integrating multiple AI models to deliver cohesive user experiences.
* Experience developing evaluation frameworks and metrics for AI features, with a focus on user impact and business value.
* Familiarity with AI privacy, security, and compliance best practices.
* 5\+ years of backend and/or full\-stack engineering experience, with proficiency in Python, JavaScript/TypeScript, or similar languages.
* 5\+ years of experience with PostgresDB, MySQL, or other related DBs.
* 5\+ years of experience with Elasticsearch or other related technologies.
* Experience setting up production\-ready observability and logging.
* Demonstrated ability to collaborate cross\-functionally and translate product requirements into technical solutions.
* Passion for staying updated with the latest AI research and applying it to solve real\-world user problems.
* Excellent communication and mentorship skills, with a track record of influencing product direction and engineering best practices.
\#LI\-REMOTE
\#LI\-AK2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6">
      <c r="A6" t="inlineStr">
        <is>
          <t>in-d64a542370aa526e</t>
        </is>
      </c>
      <c r="B6" t="inlineStr">
        <is>
          <t>AI Engineer</t>
        </is>
      </c>
      <c r="C6" t="inlineStr">
        <is>
          <t>MassMutual</t>
        </is>
      </c>
      <c r="D6" t="inlineStr">
        <is>
          <t>indeed</t>
        </is>
      </c>
      <c r="E6" t="inlineStr"/>
      <c r="F6" t="inlineStr"/>
      <c r="G6" t="inlineStr">
        <is>
          <t>Boston, MA, US</t>
        </is>
      </c>
      <c r="H6" s="2" t="n">
        <v>46063</v>
      </c>
      <c r="I6" t="inlineStr">
        <is>
          <t>**Job Description**
 **AI Engineer**
 **Full Time Hybrid (Boston, NYC, Springfield)**
 **The Opportunity**
This is a unique opportunity to work alongside experts in applied mathematics, statistics, computer science, and physics—collaborating on initiatives that shape the future of MassMutual and the life insurance industry at large.
 **The Team**
MassMutual’s Data Science team is seeking an impact\-driven AI Engineer to join our high\-performing, cross\-functional team. In this role, you will develop and deploy advanced AI solutions that drive strategic decision\-making and business transformation. You’ll apply cutting\-edge techniques in machine learning, generative AI, and large language models (LLMs) to solve complex, high\-value problems across the enterprise.
 **The Impact**
* Develop and deploy end\-to\-end ML/AI solutions supporting various use cases for a large enterprise using LLMs, deep learning, and probabilistic modeling—from ideation to production.
* Deploy scalable GenAI and Agentic AI systems that directly support business goals.
* Establish and promote best practices in AI development and responsible AI deployment.
* Collaborate with engineering teams to build robust, production\-grade AI pipelines and APIs.
* Prototype and deliver AI\-powered applications (e.g., web apps, dashboards, visualizations) that enable data\-driven decisions.
 **Minimum Requirements:**
* 5\+ years proficiency in SQL and database design; familiarity with cloud\-native data platforms, vector databases, and semantic search is a plus.
* 5\+ years skills in Python. Proficiency in R is a plus.
* 5\+ years experience Deep understanding of machine learning, statistics, NLP, optimization, and LLMs.
* 3\+ years of experience in data science, machine learning, or AI engineering roles.
* 2\+ years experience Hands\-on with AI deployment and orchestration frameworks and protocols (e.g., agentcore, strands, langchain, MCP, A2A).
* 2\+ years extensive experience and background in AI agents and LLM systems, including tool use, multi\-step workflows, RAG, prompt management, and evaluating LLM and agentic behavior across a variety of foundation models and benchmarks.
* 2\+ years experience building AI\-powered applications and collaborating with software engineers and product managers.
* 2\+ years experience with cloud\-native development, containerization, and orchestration technologies such as Docker and Kubernetes
* M.S. in Computer Science, Statistics, Applied Mathematics, Electrical Engineering, Physics, or a related quantitative field.
 **Ideal Qualifications**
* Track record of delivering impactful solutions.
* Exceptional communication skills, with the ability to explain complex concepts to non\-technical stakeholders.
\#LI\-SC1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7">
      <c r="A7" t="inlineStr">
        <is>
          <t>in-437b8be778237b4a</t>
        </is>
      </c>
      <c r="B7" t="inlineStr">
        <is>
          <t>Principal Applied Scientist (GenAI)</t>
        </is>
      </c>
      <c r="C7" t="inlineStr">
        <is>
          <t>Oracle</t>
        </is>
      </c>
      <c r="D7" t="inlineStr">
        <is>
          <t>indeed</t>
        </is>
      </c>
      <c r="E7" t="inlineStr"/>
      <c r="F7" t="inlineStr"/>
      <c r="G7" t="inlineStr">
        <is>
          <t>US</t>
        </is>
      </c>
      <c r="H7" s="2" t="n">
        <v>46063</v>
      </c>
      <c r="I7" t="inlineStr">
        <is>
          <t>We are seeking a visionary leader to spearhead post training model research and development efforts. As the post training science lead, you will be responsible for driving the development and implementation of cutting\-edge methodologies around improving model performance based on human feedback.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Stay Updated: Maintain a deep understanding of industry trends and advancements in code generation.  
*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t>
        </is>
      </c>
    </row>
    <row r="8">
      <c r="A8" t="inlineStr">
        <is>
          <t>in-f034192dd4c53b9f</t>
        </is>
      </c>
      <c r="B8" t="inlineStr">
        <is>
          <t>Principal Applied Scientist</t>
        </is>
      </c>
      <c r="C8" t="inlineStr">
        <is>
          <t>Microsoft</t>
        </is>
      </c>
      <c r="D8" t="inlineStr">
        <is>
          <t>indeed</t>
        </is>
      </c>
      <c r="E8" t="inlineStr"/>
      <c r="F8" t="inlineStr"/>
      <c r="G8" t="inlineStr">
        <is>
          <t>Redmond, WA, US</t>
        </is>
      </c>
      <c r="H8" s="2" t="n">
        <v>46055</v>
      </c>
      <c r="I8"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It is an incredible time for AI initiatives at Microsoft. We're pushing the boundaries of AI and Machine Learning across multiple domains to advance Microsoft’s ambitious AI goals. Microsoft Copilot Studio is our comprehensive agent building platform that lets its customers create conversational and autonomous agents using natural language or a graphical interface. Copilot Studio makes it simple to design, test, and deploy solutions tailored to its customers’ industry, company, department, or role, whether they need agents for internal or external use cases.  
The Microsoft Copilot Studio Applied Science and Research organization seeks a seasoned **Principal Applied Scientist**, a machine learning engineer to contribute to the development and integration of cutting\-edge AI technologies into Microsoft Copilot Studio, ensuring they are inclusive, ethical, and impactful.  
You will collaborate across product, design, research and engineering teams to bring innovative solutions to life, applying your expertise in machine learning, data science, and software engineering to solve complex problems. Your work will directly influence product quality and customer experiences.  
This role will combine machine learning and AI knowledge with software engineering expertise, while demonstrating a growth mindset and customer empathy. Join us in shaping the future of AI agents.  
You will play a crucial role in developing the Copilot Studio Applied Science and Research team’s direction in machine learning, Generative AI model fine\-tuning, Agent creation and deployment, AI evaluation and scaling.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experiment with AI architectures for improving Large Language Models (LLM) inference systems. This includes design patterns pertaining, but not limited to, Retrieval Agumented Generation (RAG), Context Engineering, Multi\-Agent architectures, tool design etc.
* Develop robust evaluation frameworks to assess model performance, monitor model behavior, conduct systematic benchmarking, and address identified weaknesses while ensuring compliance with customer standards.
* Build and maintain internal tools to streamline model fine\-tuning and evaluation workflows and automate repetitive tasks within secure development environments.
* Prepare and analyze data for machine learning, identifying optimal features and addressing data gaps.
* Implement machine learning algorithms, large\-scale model fine\-tuning, especially with closed and open source LLMs, Small Language Models (SLMs), multimodal or task\-specific models to solve real\-world customer problems and deliver measurable product and customer impact.
* Contribute to or enhance existing innovations by continuously refining well\-established models and training techniques through iterative improvements.
* Write efficient, high quality production code and debug complex distributed systems.
* Provide deep subject matter expertise in AI subfields (e.g., deep learning, Generative AI, Natural Language Processing(NLP), muti\-modal models, reinforcement learning) to help translate cutting\-edge research into practical, real\-world solutions that drive product innovation and business impact.
* Demonstrate deep understanding of small and large language models (SLMs and LLMs) architecture and optimization techniques to adapt out\-of\-the\-box solutions to particular business problems.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Statistics, Electrical/Computer Engineering, Physics, Mathematics or related field AND 9\+ years of experience in AI/ML, predictive analytics, software engineering or research
	+ OR Master’s degree AND 7\+ years of relevant experience
	+ OR PhD AND 5\+ year of relevant experience
	+ OR equivalent experience
* Experience with MLOps Workflows, including CI/CD, monitoring, and retraining pipelines.
* Familiarity with modern LLMOps frameworks (e.g., LangChain, PromptFlow).
* Familiar with AI coding assistant, AI IDE, Agentic coding assistant such as GitHub Copilot, and Cursor.
* 3\+ years of experience conducting applied AI or NLP research in academic or industry settings.
* 3\+ year of experience developing and deploying live production systems or AI services.
* 2\+ years of experience working with Generative AI or large\-scale deep learning models and ML stacks.
* Experience across the product lifecycle from ideation to shipping.
\#BICJOBS
\#MCSJobs
\#CopilotStudio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in-8043f4ef2766f7eb</t>
        </is>
      </c>
      <c r="B9" t="inlineStr">
        <is>
          <t>Applied Scientist</t>
        </is>
      </c>
      <c r="C9" t="inlineStr">
        <is>
          <t>Microsoft</t>
        </is>
      </c>
      <c r="D9" t="inlineStr">
        <is>
          <t>indeed</t>
        </is>
      </c>
      <c r="E9" t="inlineStr"/>
      <c r="F9" t="inlineStr"/>
      <c r="G9" t="inlineStr">
        <is>
          <t>Reston, VA, US</t>
        </is>
      </c>
      <c r="H9" s="2" t="n">
        <v>46050</v>
      </c>
      <c r="I9" t="inlineStr">
        <is>
          <t>**Overview**  
The **Microsoft Discovery and Quantum** (MDQ) division develops and delivers advanced Artificial Intelligence (AI), cloud capabilities, and strategic infrastructure to help solve the world’s major challenges. From accelerated scientific discovery through AI, to breakthroughs in quantum computing, to unique AI and edge platforms for bio\-intelligence and biosecurity, and to advanced robotics and AI capabilities to accelerate positive impact in the physical world, joining MDQ means building the future, partnering with government, and working in an exhilarating impact\-focused environment.
MDQ’s **Discovery Labs** brings together researchers, advanced AI systems, and high\-impact science partners to transform how science is done. We build and deploy novel AI systems that operate across the full scientific lifecycle, from early hypothesis generation to data generation in complex real‑world environments and laboratories to translation of novel discoveries into products, spanning the biological, chemical, and material science domains.
As an **Applied Scientist in Discovery Labs**, you will help design and build **new AI systems for biological discovery**, working at the intersection of large language models, agentic workflows, autonomous systems, and applied biological sciences. You will contribute to platforms that autonomously generate multi\-modal biological data and analyze structured and unstructured data to produce actionable scientific insights. You will contribute to critical research on the biosecurity and trustworthiness of these AI systems. This role focuses on translating cutting‑edge research into real‑world impact, supporting scientists, engineers, and partners in solving some of the world’s most complex biological challenges.
Microsoft’s mission is to empower every person and every organization on the planet to achieve more. In Discovery Labs, that mission extends to empowering the scientific community with AI systems that accelerate discovery, improve health and biosecurity, and deepen our understanding of the living world.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and mission every day.
 **Responsibilities**  
* Establish and maintain collaborative relationships with relevant research, product, and business groups within and outside of Microsoft, providing expertise or technology to drive meaningful business impact.
* Apply research efforts to solve immediate product needs by bridging the gap between researchers and development teams.
* Serve as a domain specialist on a wide range of industry and market trends, sharing knowledge of emerging products and applied research areas to guide business decisions and empower product teams.
* Regularly review product requirements, selecting and integrating the most effective research\-based solutions to meet or exceed business objectives.
* Provide mentorship to less experienced team members, sharing insights, onboarding support, and technical guidance that fosters collaboration and nurtures future talent.
* Document ongoing research, experimentation outcomes, and future plans, sharing findings internally and externally.
* Embody Microsoft’s culture and values.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2\+ years of experience applying statistics, data science, or bioinformatics skills in academic biological research settings, clinical settings, or in the pharmaceutical industry.
* 2\+ years of experience authoring peer\-reviewed publications, summaries of research outcomes to senior leadership and key stakeholders, or technical documents used by decision makers and engineering teams.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
      <c r="A10" t="inlineStr">
        <is>
          <t>in-9524cf24a243356d</t>
        </is>
      </c>
      <c r="B10" t="inlineStr">
        <is>
          <t>Senior Applied Scientist</t>
        </is>
      </c>
      <c r="C10" t="inlineStr">
        <is>
          <t>Microsoft</t>
        </is>
      </c>
      <c r="D10" t="inlineStr">
        <is>
          <t>indeed</t>
        </is>
      </c>
      <c r="E10" t="inlineStr"/>
      <c r="F10" t="inlineStr"/>
      <c r="G10" t="inlineStr">
        <is>
          <t>Redmond, WA, US</t>
        </is>
      </c>
      <c r="H10" s="2" t="n">
        <v>46028</v>
      </c>
      <c r="I10" t="inlineStr">
        <is>
          <t>**Overview**  
As a Senior Applied Scientist, you will design and implement research\-driven solutions that enhance agent transparency, task grouping, and adaptive learning. You’ll explore methods for integrating memory, knowledge graphs, evaluations, and AI judges into our platform to improve agent performance and user experience. This role offers opportunities to deepen your expertise in applied AI, contribute to scalable systems, and shape the future of human\-AI collaboration. You will work closely with internal and external stakeholders to develop algorithms that analyze interactions and generate actionable insights. Your contributions will help create teaching and learning moments for agent makers, driving continuous improvement. This position provides a flexible work environment and the chance to accelerate your career while influencing next\-generation AI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one or more subareas and gain expertise in a broad area of research, including applicable research techniques. You’ll also gain deep knowledge of a service, platform, or domain, and identify product needs by sharing the latest industry trends and applied technologies.
* You will review business requirements and incorporate research to meet business goals. You‘ll provide strategic direction for the kinds of data used to solve problems and apply deep subject matter knowledge to support business impact.
* You will participate in onboarding of junior team members and assist in developing academics to be members of multidiscipline teams. You’ll identify new research talent to join Microsoft and collaborate with the academic community to develop the recruiting pipeline.
* You will document work in progress and experimentation results and share findings to promote innovation. You’ll also use your deep understanding of fairness and bias to contribute to ethics and privacy policies related to research processes and data collection.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creating publications (e.g., patents, libraries, peer\-reviewed academic papers).
* Experience presenting at conferences or other events in the outside research/industry community as an invited speaker.
* 3\+ years experience conducting research as part of a research program (in academic or industry settings).
* 1\+ year(s) experience developing and deploying live production systems, as part of a product team. Coding in languages including C\#, Java, JavaScript, or Python
* 1\+ year(s) experience developing and deploying products or systems at multiple points in the product cycle from ideation to shipping.
\#BICJobs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
      <c r="A11" t="inlineStr">
        <is>
          <t>in-3169477ea549d1d8</t>
        </is>
      </c>
      <c r="B11" t="inlineStr">
        <is>
          <t>Senior Speech AI Engineer - S2S (Accent Softening &amp; Voice Translation, On-Device)</t>
        </is>
      </c>
      <c r="C11" t="inlineStr">
        <is>
          <t>EmpireOne Travel Inc.</t>
        </is>
      </c>
      <c r="D11" t="inlineStr">
        <is>
          <t>indeed</t>
        </is>
      </c>
      <c r="E11" t="inlineStr"/>
      <c r="F11" t="inlineStr"/>
      <c r="G11" t="inlineStr">
        <is>
          <t>Remote, US</t>
        </is>
      </c>
      <c r="H11" s="2" t="n">
        <v>46065</v>
      </c>
      <c r="I11" t="inlineStr">
        <is>
          <t>We are developing a real\-time **speech\-to\-speech (S2S) accent softening system** designed for **on\-device deployment**, with a strong emphasis on **ultra\-low latency, prosody control, and phoneme\-level manipulation.**
The primary goal of this work is to **convert Filipino\-accented English into a softened, neutral American accent** while preserving the speaker’s **natural voice, identity, and expressiveness.**
In addition to this, we are also building a **separate on\-device voice translation feature**, which will require similar expertise in S2S modeling, low\-latency inference, and speaker identity preservation.
We are seeking a **Senior Speech AI Engineer** with hands\-on experience in **direct S2S models (not STT\+TTS pipelines).** You will lead the design, experimentation, and optimization of **voice\-to\-voice accent conversion systems**, and contribute to the architecture of the **on\-device voice translation module**, both operating in real time on CPU.
The target system performance for accent softening is **end\-to\-end latency under 200 ms**, requiring highly optimized models and inference infrastructure.
This is a deep technical role focused on **speech modeling, phonetics, prosody, and efficient inference**, rather than application\-level integration.
**Key Responsibilities**
The selected candidate will:
* Lead the design and optimization of **direct S2S accent conversion models**
* Architect and contribute to a **separate on\-device voice translation system** based on S2S principles
* Work at the **phoneme and prosody level** to adjust rhythm, stress, and intonation toward a softened American accent
* Preserve **speaker timbre and identity** during both accent transformation and voice translation
* Optimize models for **CPU\-only, on\-device inference**
* Achieve **end\-to\-end latency under 200 ms** for real\-time accent softening
* Experiment with **neural vocoders and latent speech representations**
* Improve robustness across different Filipino speakers, speech styles, and environments
* Guide technical direction and mentor junior engineers where applicable
**Required Skills \&amp; Experience**
Candidates should have practical experience with:
* **Speech\-to\-Speech (S2S) modeling** (NOT STT \+ TTS pipelines)
* **Voice\-to\-voice translation architectures** or related research
* Prosody modeling and **phoneme\-level speech manipulation**
* Latent speech models such as **HuBERT, Encodec, or similar architectures**
* **PyTorch** for model development and experimentation
* Model optimization and quantization (**ONNX, FP16, INT8**)
* **Edge / on\-device inference on CPU**
* Performance optimization for real\-time audio systems
* Proficient in C\+\+ and Python.
**Preferred Background**
Ideal candidates will have:
* Research or industry experience in **voice conversion, accent modification, or speech synthesis**
* Experience with **speech\-to\-speech translation or zero\-shot voice translation**
* Experience working with **real\-time audio or streaming speech systems**
* Demonstrated work on **low\-latency AI systems in production**
* Familiarity with constraints of on\-device deployment
Job Type: Full\-time
Pay: $600\.00 \- $1,200\.00 per month
Work Location: Remote</t>
        </is>
      </c>
    </row>
    <row r="12">
      <c r="A12" t="inlineStr">
        <is>
          <t>in-e9114853740420aa</t>
        </is>
      </c>
      <c r="B12" t="inlineStr">
        <is>
          <t>Staff AI Engineer - AI Platform</t>
        </is>
      </c>
      <c r="C12" t="inlineStr">
        <is>
          <t>ClickUp</t>
        </is>
      </c>
      <c r="D12" t="inlineStr">
        <is>
          <t>indeed</t>
        </is>
      </c>
      <c r="E12" t="inlineStr"/>
      <c r="F12" t="inlineStr"/>
      <c r="G12" t="inlineStr">
        <is>
          <t>US</t>
        </is>
      </c>
      <c r="H12" s="2" t="n">
        <v>46064</v>
      </c>
      <c r="I12" t="inlineStr">
        <is>
          <t>Location
United States of America
Employment Type
Full time
Location Type
Remote
Department
Engineering
Compensation
Estimated Compensation $250K – $300K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**Role Overview:**
We are seeking a highly skilled and experienced Staff AI Engineer – AI Platform to join our ClickUp Engineering team. In this role, you will play a critical part in both building the core AI platform and directly applying large language models (LLMs) to deliver intelligent features across ClickUp. You will focus on backend systems that enable scalable, reliable, and secure AI\-powered capabilities, while also working hands\-on with LLMs to solve real user problems and drive product innovation.
**Key Responsibilities:**
* Architect, design, and implement scalable AI platform services that support the deployment, orchestration, and lifecycle management of LLMs and other AI models.
* Apply LLMs and other AI technologies directly to build and enhance ClickUp’s intelligent features, working closely with product and engineering teams to deliver impactful solutions.
* Build and maintain robust APIs and backend systems that enable seamless integration of AI\-powered features into ClickUp’s core platform.
* Develop infrastructure for model serving, monitoring, logging, and automated evaluation to ensure high reliability and performance of AI services in production.
* Integrate with multiple LLM providers (e.g., OpenAI, Anthropic, Google) and manage model selection, routing, and fallback strategies for optimal performance and cost.
* Drive the adoption of best practices in AI privacy, security, and compliance, including data anonymization, secure data handling, and regulatory adherence.
* Optimize platform performance, scalability, and cost\-efficiency, leveraging cloud\-native technologies and distributed systems.
* Stay current with advancements in AI infrastructure, MLOps, and LLM applications, and proactively incorporate relevant innovations into ClickUp’s AI platform.
* Collaborate cross\-functionally with product, frontend, and data teams to deliver seamless, reliable, and user\-centric AI experiences.
**Qualifications:**
* Extensive experience designing and building scalable AI/ML platforms or infrastructure in a production environment.
* Proven track record of applying LLMs and AI models to real\-world product features and user\-facing solutions.
* Deep expertise in backend engineering, distributed systems, and cloud\-native technologies (e.g., Kubernetes, Docker, AWS/GCP/Azure).
* Proven experience integrating and managing multiple LLMs and AI models, with a strong understanding of their operational requirements and limitations.
* Proficiency in orchestration frameworks and workflow engines (e.g., LangGraph, Airflow, Kubeflow, Ray, or similar).
* Strong programming skills in Python, Go, TypeScript or similar languages used for backend and AI platform development.
* Experience with MLOps best practices, including model deployment, monitoring, logging, and automated evaluation.
* Demonstrated ability to address AI privacy and security challenges, including data anonymization and compliance with data protection regulations.
* Familiarity with search technologies and their integration into AI\-driven applications.
* Excellent collaboration and communication skills, with a track record of working effectively in cross\-functional teams.
* Passion for staying at the forefront of AI infrastructure and applying new technologies to solve real\-world problems at scale.
\#LI\-REMOTE
\#LI\-AK2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13">
      <c r="A13" t="inlineStr">
        <is>
          <t>in-c454e5d7c283898b</t>
        </is>
      </c>
      <c r="B13" t="inlineStr">
        <is>
          <t>Senior AI Engineer - AI Platform</t>
        </is>
      </c>
      <c r="C13" t="inlineStr">
        <is>
          <t>ClickUp</t>
        </is>
      </c>
      <c r="D13" t="inlineStr">
        <is>
          <t>indeed</t>
        </is>
      </c>
      <c r="E13" t="inlineStr"/>
      <c r="F13" t="inlineStr"/>
      <c r="G13" t="inlineStr">
        <is>
          <t>US</t>
        </is>
      </c>
      <c r="H13" s="2" t="n">
        <v>46064</v>
      </c>
      <c r="I13" t="inlineStr">
        <is>
          <t>Location
United States of America
Employment Type
Full time
Location Type
Remote
Department
Engineering
Compensation
$200K – $250K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**Role Overview:**
We are seeking a highly skilled and experienced Senior AI Engineer – AI Platform to join our ClickUp Engineering team. In this role, you will play a critical part in both building the core AI platform and directly applying large language models (LLMs) to deliver intelligent features across ClickUp. You will focus on backend systems that enable scalable, reliable, and secure AI\-powered capabilities, while also working hands\-on with LLMs to solve real user problems and drive product innovation.
**Key Responsibilities:**
* Architect, design, and implement scalable AI platform services that support the deployment, orchestration, and lifecycle management of LLMs and other AI models.
* Apply LLMs and other AI technologies directly to build and enhance ClickUp’s intelligent features, working closely with product and engineering teams to deliver impactful solutions.
* Build and maintain robust APIs and backend systems that enable seamless integration of AI\-powered features into ClickUp’s core platform.
* Develop infrastructure for model serving, monitoring, logging, and automated evaluation to ensure high reliability and performance of AI services in production.
* Integrate with multiple LLM providers (e.g., OpenAI, Anthropic, Google) and manage model selection, routing, and fallback strategies for optimal performance and cost.
* Drive the adoption of best practices in AI privacy, security, and compliance, including data anonymization, secure data handling, and regulatory adherence.
* Optimize platform performance, scalability, and cost\-efficiency, leveraging cloud\-native technologies and distributed systems.
* Stay current with advancements in AI infrastructure, MLOps, and LLM applications, and proactively incorporate relevant innovations into ClickUp’s AI platform.
* Collaborate cross\-functionally with product, frontend, and data teams to deliver seamless, reliable, and user\-centric AI experiences.
**Qualifications:**
* Extensive experience designing and building scalable AI/ML platforms or infrastructure in a production environment.
* Proven track record of applying LLMs and AI models to real\-world product features and user\-facing solutions.
* Deep expertise in backend engineering, distributed systems, and cloud\-native technologies (e.g., Kubernetes, Docker, AWS/GCP/Azure).
* Proven experience integrating and managing multiple LLMs and AI models, with a strong understanding of their operational requirements and limitations.
* Proficiency in orchestration frameworks and workflow engines (e.g., LangGraph, Airflow, Kubeflow, Ray, or similar).
* Strong programming skills in Python, Go, TypeScript or similar languages used for backend and AI platform development.
* Experience with MLOps best practices, including model deployment, monitoring, logging, and automated evaluation.
* Demonstrated ability to address AI privacy and security challenges, including data anonymization and compliance with data protection regulations.
* Familiarity with search technologies and their integration into AI\-driven applications.
* Excellent collaboration and communication skills, with a track record of working effectively in cross\-functional teams.
* Passion for staying at the forefront of AI infrastructure and applying new technologies to solve real\-world problems at scale.
\#LI\-REMOTE
\#LI\-AK2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14">
      <c r="A14" t="inlineStr">
        <is>
          <t>in-0ec9f7a283ec7b11</t>
        </is>
      </c>
      <c r="B14" t="inlineStr">
        <is>
          <t>Senior Machine Learning Engineer</t>
        </is>
      </c>
      <c r="C14" t="inlineStr">
        <is>
          <t>Capital One</t>
        </is>
      </c>
      <c r="D14" t="inlineStr">
        <is>
          <t>indeed</t>
        </is>
      </c>
      <c r="E14" t="inlineStr"/>
      <c r="F14" t="inlineStr"/>
      <c r="G14" t="inlineStr">
        <is>
          <t>McLean, VA, US</t>
        </is>
      </c>
      <c r="H14" s="2" t="n">
        <v>46063</v>
      </c>
      <c r="I14" t="inlineStr">
        <is>
          <t>Senior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
      <c r="A15" t="inlineStr">
        <is>
          <t>in-ffd1f6b9981298bf</t>
        </is>
      </c>
      <c r="B15" t="inlineStr">
        <is>
          <t>Applied scientist</t>
        </is>
      </c>
      <c r="C15" t="inlineStr">
        <is>
          <t>Tata Consultancy Services (TCS)</t>
        </is>
      </c>
      <c r="D15" t="inlineStr">
        <is>
          <t>indeed</t>
        </is>
      </c>
      <c r="E15">
        <f>HYPERLINK("https://www.indeed.com/viewjob?jk=ffd1f6b9981298bf", "https://www.indeed.com/viewjob?jk=ffd1f6b9981298bf")</f>
        <v/>
      </c>
      <c r="F15">
        <f>HYPERLINK("https://ibegin.tcsapps.com/candidate/jobs/shared-job/Mzk2NTY0Sg==", "https://ibegin.tcsapps.com/candidate/jobs/shared-job/Mzk2NTY0Sg==")</f>
        <v/>
      </c>
      <c r="G15" t="inlineStr">
        <is>
          <t>Seattle, WA, US</t>
        </is>
      </c>
      <c r="H15" s="3" t="n">
        <v>46064</v>
      </c>
      <c r="I15" t="inlineStr">
        <is>
          <t>* 5\+ years of building models for business application experience
* PhD, or Master's degree and 6\+ years of CS, CE, ML or related field experience
* Experience programming in Java, C\+\+, Python or related language
* Practical experience with LLM pre\-training or post\-training, and experience working with organic, synthetic, agentic, or reasoning data for LLMs
* Published research in top conferences (e.g., NeurIPS, ICML, ICLR, ACL, EMNLP, NAACL) and/or demonstrated significant industry influence in the field of AI
* Experience using Unix/Linux
* Experience in professional software development
* Experience working on SOTA LLMs.
* Multiple first\-author LLM\-related publications in top\-tier conferences (e.g., NeurIPS, ICLR, ACL, EMNLP, NAACL)
Preferred qualifications:
* 5\+ years of experience building and deploying machine learning models or developing algorithms for business applications.
* A strong track record of publications at top\-tier, peer\-reviewed conferences or journals (e.g., NeurIPS, ICML, ACL, KDD, CVPR).
* Proven ability to transition research to production\-grade, scalable systems.
* Experience with Generative AI tools, Large Language Models (LLMs), Transformers, Reinforcement Learning, or advanced Computer Vision/NLP techniques.
* Expertise in Python, Java, or C\+\+, as well as experience with distributed machine learning frameworks (e.g., Spark, Hadoop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\#LI\-RJ2
Salary Range\-$120,000\-$150,000 a year
**Location**
Seattle, WA
**Job Function**
TECHNOLOGY
**Role**
Scientist
**Job Id**
396564
**Desired Skills**
Python
**Salary Range**
$120,000\-$150,000 a year</t>
        </is>
      </c>
    </row>
    <row r="16">
      <c r="A16" t="inlineStr">
        <is>
          <t>in-10b01cf0a3470492</t>
        </is>
      </c>
      <c r="B16" t="inlineStr">
        <is>
          <t>Sr. AI Engineer</t>
        </is>
      </c>
      <c r="C16" t="inlineStr">
        <is>
          <t>RealPage Inc</t>
        </is>
      </c>
      <c r="D16" t="inlineStr">
        <is>
          <t>indeed</t>
        </is>
      </c>
      <c r="E16">
        <f>HYPERLINK("https://www.indeed.com/viewjob?jk=10b01cf0a3470492", "https://www.indeed.com/viewjob?jk=10b01cf0a3470492")</f>
        <v/>
      </c>
      <c r="F16">
        <f>HYPERLINK("https://careers-realpagepms.icims.com/jobs/12925/job?utm_source=indeed_integration&amp;iis=Job%20Board&amp;iisn=Indeed&amp;indeed-apply-token=73a2d2b2a8d6d5c0a62696875eaebd669103652d3f0c2cd5445d3e66b1592b0f", "https://careers-realpagepms.icims.com/jobs/12925/job?utm_source=indeed_integration&amp;iis=Job%20Board&amp;iisn=Indeed&amp;indeed-apply-token=73a2d2b2a8d6d5c0a62696875eaebd669103652d3f0c2cd5445d3e66b1592b0f")</f>
        <v/>
      </c>
      <c r="G16" t="inlineStr">
        <is>
          <t>Richardson, TX, US</t>
        </is>
      </c>
      <c r="H16" s="3" t="n">
        <v>46064</v>
      </c>
      <c r="I16" t="inlineStr">
        <is>
          <t>Overview:
RealPage is at the forefront of the Generative AI revolution, dedicated to shaping the future of artificial intelligence within the Property Tech domain. Our Agentic AI team is focused on driving innovation by building next generation AI applications and enhancing existing systems with Generative AI capabilities.
We are seeking a Lead AI Engineer who is a senior technical leader responsible for driving the strategy, architecture, and delivery of Agentic and Generative AI solutions across our PropTech portfolio. You will define and implement the technical roadmap for AI systems, mentor the AI engineering team, and collaborate with executives and product leaders to identify high\-impact AI opportunities.
You will design robust, scalable AI platforms that leverage foundation models, RAG, multi\-agent systems, and emerging technologies to create differentiated experiences for our customers.
Responsibilities:
* **Technical Strategy \&amp; Architecture**
* Own the end\-to\-end architecture for AI products and platforms:
* + Model selection strategy (Google vs. OpenAI, small vs. large models)
	+ Multi\-agent and workflow orchestration patterns (responder/thinker pattern, tool calling, agentic frameworks)
	+ Data and retrieval architecture (RAG, hybrid search, knowledge graphs, semantic caching)
* Evaluate and introduce emerging technologies such as:
* + Next\-generation LLMs and multimodal models
	+ Real\-time streaming infrastructures
	+ Advanced agent frameworks, workflow engines (e.g., Agents SDK, Google ADK, LangGraph, etc.)
* **Platformization \&amp; Reusable Capabilities**
* Design and lead the implementation of shared AI services and SDKs:
* + Reusable RAG pipelines and ingestion frameworks
	+ Common UI components and design patterns for AI copilots and agents
	+ Modular reusable coding practices for agentic back\-end processes
* Establish standards and best practices for:
* + Prompt design and versioning
	+ Model and retrieval evaluation
	+ Observability, logging, and incident response for AI systems.
* **Leadership \&amp; Mentoring**
* Provide hands\-on technical leadership to AI Engineers, ML Engineers, and Data Scientists:
* + Guide architectural decisions and code quality
	+ Conduct thorough design and code reviews
	+ Mentor team members in LLMs, RAG, agentic design, and production AI practices
* Help define and grow the AI engineering culture, focusing on innovation, quality, and responsible AI.
* **Delivery \&amp; Stakeholder Management**
* Partner closely with Product, Design, and Business stakeholders to:
* + Identify high\-value AI use cases aligned with company strategy and PropTech domain needs
	+ Shape product roadmaps and define measurable success criteria for AI initiatives
* Lead complex, cross\-functional AI projects from concept to production, ensuring:
* + Clear requirement definitions and project plans
	+ On\-time delivery with high quality and reliability
	+ Ongoing iteration based on user feedback and metrics.
* **Evaluation, Governance \&amp; Responsible AI**
* Define robust evaluation frameworks:
* + Offline and online metrics for relevance, safety, user satisfaction, and business impact
	+ Human evaluation workflows for complex or sensitive tasks
* Drive AI governance and responsible AI practices:
* + Content safety, bias and fairness considerations, PII handling
	+ Compliance with internal policies and external regulations (e.g., GDPR\-like requirements, data residency)
* Collaborate with security, privacy, and legal teams to ensure compliant AI solutions.
* **Performance, Reliability \&amp; Cost Management**
* Lead performance and cost optimization for AI systems:
* + Model routing, distillation, and caching strategies
	+ Right\-sizing infrastructure and making build\-vs\-buy decisions
	+ SLAs/SLOs for key AI services, including latency, uptime, and error budgets.
* Proactively identify and mitigate technical risks related to scalability, data quality, or vendor lock\-in.
Qualifications:
**Required Knowledge / Skills / Abilities**  
* Typically **8\+ years** of experience in Software Engineering, ML Engineering, or Data Science, with 3**\+ years** hands\-on in Applied AI/LLMs and at least **2\+ years** in a senior/lead role.
* Deep expertise in:
* + Python and TypeScript/JavaScript in production environments
	+ Designing and operating distributed, cloud\-native systems (GCP, Azure, or AWS)
	+ Containerization and orchestration (Docker, Kubernetes) and modern CI/CD.
* Working with coding assistants like Windsurf, Cursor, Codex, etc.
* Proven track record of:
* + Architecting and shipping complex AI systems to production at scale
	+ Leading multi\-engineer initiatives and mentoring others
	+ Making data\-driven tradeoffs between speed, quality, and cost.
* Advanced experience with:
* + LLM\-based application design (prompting, tool use, function calling, multi\-agent workflows)
	+ RAG architectures, vector databases, and retrieval optimization techniques
	+ AI observability, monitoring, and evaluation frameworks.
* Excellent communication and stakeholder management skills:
* + Ability to communicate complex AI concepts to executives and non\-technical partners
	+ Comfortable representing AI strategy and progress to leadership and cross\-functional teams.
**Nice\-to\-Have Skills / Abilities*** Experience with:
* + Working with coding assistants like Windsurf, Cursor, Codex, etc.
	+ Multimodal and real\-time agents (voice \+ text \+ UI control, streaming interactions).
* Background in:
* + AI experiment tracking and evaluation frameworks (e.g., OpenAI Evals, Langsmith Evals, etc.)
	+ Data platforms (data lakes/warehouses, feature stores, event streams like Kafka)
	+ Browser automation software such as PlayWright
	+ Designing AI products in domains with strong regulatory or privacy constraints.
* Experience building organizational AI strategies, setting standards, and helping define AI hiring and capability roadmaps.
 ***SALARY AND BENEFITS**** *RealPage provides a competitive salary package along with a comprehensive benefit plan that includes:*
* *Health, dental, and vision insurance.*
* *Retirement savings plan with company match.*
* *Paid time off and holidays.*
* *Professional development opportunities.*
* *Performance\-based bonus based on position.* *\#LI\-HYBRID \#LI\-REMOTE*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*Equal Opportunity Employer: RealPage Company is an equal opportunity employer and committed to creating an inclusive environment for all employees.*  
Pay Range: USD $125,700\.00 \- USD $213,900\.00 /Yr.</t>
        </is>
      </c>
    </row>
    <row r="17">
      <c r="A17" t="inlineStr">
        <is>
          <t>in-8c034934832ecd5a</t>
        </is>
      </c>
      <c r="B17" t="inlineStr">
        <is>
          <t>AI/ML Engineer</t>
        </is>
      </c>
      <c r="C17" t="inlineStr">
        <is>
          <t>Prometheus Federal Services</t>
        </is>
      </c>
      <c r="D17" t="inlineStr">
        <is>
          <t>indeed</t>
        </is>
      </c>
      <c r="E17">
        <f>HYPERLINK("https://www.indeed.com/viewjob?jk=8c034934832ecd5a", "https://www.indeed.com/viewjob?jk=8c034934832ecd5a")</f>
        <v/>
      </c>
      <c r="F17">
        <f>HYPERLINK("https://prometheusfederalservices.applytojob.com/apply/8w435LsvR9/AIML-Engineer?source=INDE&amp;~", "https://prometheusfederalservices.applytojob.com/apply/8w435LsvR9/AIML-Engineer?source=INDE&amp;~")</f>
        <v/>
      </c>
      <c r="G17" t="inlineStr">
        <is>
          <t>Fairfax, VA, US</t>
        </is>
      </c>
      <c r="H17" s="3" t="n">
        <v>46064</v>
      </c>
      <c r="I17" t="inlineStr">
        <is>
          <t>**Position Summary**  
Prometheus Federal Services (PFS) is a trusted partner of federal health agencies, seeking a Data Scientist and AI/ML Engineer to join our team and support mission\-critical client initiatives. This role required deep expertise across data engineering, analytics, and AI/ML solution delivery, combined with hands\-on leadership of technical teams. This incumbent will lead the design, development, and delivery of secure, scalable data and analytics solutions, apply modern DataOps, MLOps, and DevOps practices to improve automation, reliability, and performance. This role serves as a technical advisor to clients, helping identify strategic opportunities and translate complex business needs into differentiated technology solutions.  
**Essential Duties and Responsibilities*** Lead and oversee technical teams to design, develop, and deliver data management, analytics, and AI/ML solutions
* Lead engagement with the Department of Veterans Affairs (VA) and other federal health clients to provide thought leadership around advanced data, analytics, and AI/ML solutions that meet key mission challenges
* Identify strategic opportunities to enhance technical delivery and collaborate with clients to design, develop, and deliver differentiated technology solutions
* Apply DataOps, MLOps, and DevOps tools and frameworks to deliver enhanced automation and reliability across data and analytics products
* Contribute and lead key growth initiatives across the capture and proposal response lifecycle
* Lead design and development for internal investments, including organizational initiatives to deliver enhanced efficiencies and prototyping/demo efforts centered around areas of key client demand.
**Minimum Qualifications*** Bachelor's degree in Computer Science, Information Systems, or related field
* Six (6\) \+ years of experience working across data engineering, analytics, and AI/ML development efforts
* Three (3\) \+ years of experience leading technical teams to deliver advanced data and analytics solutions
* Three (3\) \+ years of experience utilizing languages such as SQL, R, Python, and PySpark
* Experience working with DataOps, MLOps, and DevOps/DevSecOps tools and frameworks, including Continuous Integration/Continuous Delivery (CI/CD), model deployment, and monitoring,g and automated data pipeline development
* Experience with GitHub, GitLab, and GitHub Actions
* Excellent written and verbal communication skills with both technical and non\-technical stakeholders
* Authorized to work in the U.S. indefinitely without sponsorship
* Ability to obtain a public trust
**Preferred Qualification*** Experience working with VA and federal health clients to deliver data and analytics products
* Knowledge and experience applying AI/ML, data governance, and data quality management tools, frameworks, and best practices
* Knowledge and experience contributing to capture and proposal efforts across the business development lifecycle
* Amazon or Azure cloud certifications
**Compensation \&amp; Benefits**
PFS offers a benefits package that may include health, dental, and vision coverage; flexible spending accounts; disability and life insurance; retirement plan; paid time off; and other programs to support employees and their families. Learn more about PFS Benefits.
PFS benefits, compensation, and bonuses are determined by various factors, including but not limited to location, the individual's particular combination of education, knowledge, skills, competencies, and experience, as well as contract\-specific affordability and organizational requirements.
**Equal Employment Opportunity**
All qualified applicants will receive consideration for employment without regard to race, color, religion, sex, parental status, national origin, age, disability, genetic information, political affiliation, military service, or other status protected by law.
**Accommodations**
PFS is committed to providing equal employment opportunities to all applicants. If you require a reasonable accommodation during the application or interview process, please contact us at recruiting@pfs.us. Reasonable accommodations are available to ensure applicants with disabilities have equal access to the hiring process, in accordance with the Americans with Disabilities Act (ADA) and applicable laws.
**Workplace Health, Safety, and Compliance**
This position may be subject to client‑specific or government‑mandated vaccination, health, or safety requirements, which may change over time.
**Texting Privacy Policy and Information:**
* Message type: Informational; you will receive text messages regarding your application and potentially regarding interview scheduling.
* No mobile information will be shared with third parties/affiliates for marketing/promotional purposes.
* Message frequency will vary depending on the application process.
* Msg \&amp; data rates may apply.
* Opt out at any time by texting "stop".
8w435LsvR9</t>
        </is>
      </c>
    </row>
    <row r="18">
      <c r="A18" t="inlineStr">
        <is>
          <t>in-4f8cf34a164e0425</t>
        </is>
      </c>
      <c r="B18" t="inlineStr">
        <is>
          <t>Staff Machine Learning Engineer</t>
        </is>
      </c>
      <c r="C18" t="inlineStr">
        <is>
          <t>GEICO</t>
        </is>
      </c>
      <c r="D18" t="inlineStr">
        <is>
          <t>indeed</t>
        </is>
      </c>
      <c r="E18">
        <f>HYPERLINK("https://www.indeed.com/viewjob?jk=4f8cf34a164e0425", "https://www.indeed.com/viewjob?jk=4f8cf34a164e0425")</f>
        <v/>
      </c>
      <c r="F18">
        <f>HYPERLINK("https://click.appcast.io/t/OnuXC_rwR_aLAWbNXyi0iP8niISQxJ4pAwZqmTQ25Wc=", "https://click.appcast.io/t/OnuXC_rwR_aLAWbNXyi0iP8niISQxJ4pAwZqmTQ25Wc=")</f>
        <v/>
      </c>
      <c r="G18" t="inlineStr">
        <is>
          <t>Dallas, TX, US</t>
        </is>
      </c>
      <c r="H18" s="3" t="n">
        <v>46064</v>
      </c>
      <c r="I1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Staff Machine Learning Engineer to help shape how Generative AI enhances customer and associate experiences across the enterprise. This is a hands\-on technical role who will be leading the strategy, architecture, and delivery of ML systems for the Claims organization—designing predictive models, robust data/feature pipelines, and production\-grade MLOps to drive measurable business outcomes.  
You will work alongside engineering teams, data scientists, and product leaders to design, build, and integrate AI\-powered capabilities that automate workflows, improve decision\-making, and elevate user experience. You will contribute to a culture of learning, curiosity, and innovation while growing your expertise in cutting\-edge AI technologies
About the role
* Staff\+ individual contributor role focused on end\-to\-end ML: data and feature engineering, modeling, deployment, monitoring, and continuous improvement.
* Partner with Claims Operations, Product, and Engineering to deliver ML capabilities such as severity/triage predictions, claim outcome forecasting, and automation accelerators.
* GenAI (e.g., LLMs and agentic workflows) may be leveraged where it augments ML systems; strong ML depth is primary.
What you’ll do
* Work on the ML platform architecture: data/feature pipelines, experiment tracking, model registries, serving layers, offline/online evaluation, and observability.
* Define standards for reliability, performance, cost efficiency, security, governance, and model risk management across ML services.
* Lead design and implementation of models across classical ML and deep learning (e.g., gradient boosted trees, sequence models, Transformers for tabular/time\-series/NLP where relevant).
* Translate business goals into measurable ML objectives and experiment plans; ensure robust offline metrics and real\-world impact.
* Build scalable training and inference pipelines; establish CI/CD for ML, automated evaluations, canary releases, and rollback strategies.
* Implement monitoring for data quality, drift, fairness, latency, reliability, and cost; lead incident response and postmortems.
* Partner with Claims, Product, Data Science, Platform/SRE, Security, and Legal/Compliance to gather requirements, define scope, and prioritize backlogs.
* Maintain pragmatic technical roadmaps balancing business outcomes, release timelines, and engineering excellence.
* Own build\-vs\-buy decisions and tooling/service selection (speed to market, extensibility, TCO); guide platform evolution with clear architectural principles.
* Lead experienced engineers through complex platform implementations; drive system\-wide architectural improvements and reliability practices.
* Mentor engineers and junior tech leads; codify best practices; contribute to internal documentation and promote enterprise\-wide ML standards.
* Where appropriate, collaborate on retrieval\-augmented workflows, prompt/context management, and LLM evaluation and safety guardrails to complement ML systems.
Minimum qualifications
* Bachelor’s degree or above in Computer Science, Engineering, Statistics, or related field.
* 5\+ years of professional software development experience using at least two general\-purpose languages (e.g., Java, C\+\+, Python, C\#).
* 5\+ years architecting, designing, and building multi\-component ML platforms leveraging open\-source/cloud\-agnostic components:
	+ Search/vector: ElasticSearch, Qdrant (as applicable to ML features and retrieval)
	+ Data warehouse/lakehouse: Snowflake; familiarity with Parquet/Delta/Iceberg
	+ Streaming: Kafka; plus Flink/Spark Streaming experience
	+ Datastores: PostgreSQL; NoSQL (MongoDB, Cassandra)
	+ Distributed compute: Spark, Ray
	+ Workflow orchestration: Airflow, Temporal
* 5\+ years managing end\-to\-end SDLC for ML systems: version control, CI/CD, Kubernetes, testing (unit/integration/data/ML eval), monitoring/alerting, production support.
* 5\+ years working with cloud providers (Azure and/or AWS) in production ML contexts.
Preferred qualifications (GenAI as a plus)
* Experience leveraging or fine\-tuning LLMs (e.g., GPT, Llama, Mistral, Claude) to augment ML workflows, retrieval, or claims\-facing tooling.
* Hands\-on with MLOps tooling: MLflow/Kubeflow, model registries, feature stores (e.g., Feast), experiment tracking, A/B testing and online evaluation frameworks.
* Observability: Prometheus/Grafana, OpenTelemetry; SLO\-driven operations and incident management.
* Model safety, fairness, explainability (e.g., SHAP/LIME), and regulatory compliance; familiarity with model risk management practices.
* Insurance/financial services domain experience: claims automation, fraud detection, risk modeling, subrogation, severity/triage, and regulatory stewardship.
* Experience with high\-throughput, low\-latency inference and real\-time feature pipelines.
\#LI\-JK1
 **Annual Salary**
$120,000\.00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
      <c r="A19" t="inlineStr">
        <is>
          <t>in-3efed15f1ca3b882</t>
        </is>
      </c>
      <c r="B19" t="inlineStr">
        <is>
          <t>Staff Machine Learning Engineer</t>
        </is>
      </c>
      <c r="C19" t="inlineStr">
        <is>
          <t>GEICO</t>
        </is>
      </c>
      <c r="D19" t="inlineStr">
        <is>
          <t>indeed</t>
        </is>
      </c>
      <c r="E19">
        <f>HYPERLINK("https://www.indeed.com/viewjob?jk=3efed15f1ca3b882", "https://www.indeed.com/viewjob?jk=3efed15f1ca3b882")</f>
        <v/>
      </c>
      <c r="F19">
        <f>HYPERLINK("https://click.appcast.io/t/efY9P7IsHfZgEwyv7gR273cJryQNanIFbpcQ2sHQxvU=", "https://click.appcast.io/t/efY9P7IsHfZgEwyv7gR273cJryQNanIFbpcQ2sHQxvU=")</f>
        <v/>
      </c>
      <c r="G19" t="inlineStr">
        <is>
          <t>New York, NY, US</t>
        </is>
      </c>
      <c r="H19" s="3" t="n">
        <v>46064</v>
      </c>
      <c r="I1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Staff Machine Learning Engineer to help shape how Generative AI enhances customer and associate experiences across the enterprise. This is a hands\-on technical role who will be leading the strategy, architecture, and delivery of ML systems for the Claims organization—designing predictive models, robust data/feature pipelines, and production\-grade MLOps to drive measurable business outcomes.  
You will work alongside engineering teams, data scientists, and product leaders to design, build, and integrate AI\-powered capabilities that automate workflows, improve decision\-making, and elevate user experience. You will contribute to a culture of learning, curiosity, and innovation while growing your expertise in cutting\-edge AI technologies
About the role
* Staff\+ individual contributor role focused on end\-to\-end ML: data and feature engineering, modeling, deployment, monitoring, and continuous improvement.
* Partner with Claims Operations, Product, and Engineering to deliver ML capabilities such as severity/triage predictions, claim outcome forecasting, and automation accelerators.
* GenAI (e.g., LLMs and agentic workflows) may be leveraged where it augments ML systems; strong ML depth is primary.
What you’ll do
* Work on the ML platform architecture: data/feature pipelines, experiment tracking, model registries, serving layers, offline/online evaluation, and observability.
* Define standards for reliability, performance, cost efficiency, security, governance, and model risk management across ML services.
* Lead design and implementation of models across classical ML and deep learning (e.g., gradient boosted trees, sequence models, Transformers for tabular/time\-series/NLP where relevant).
* Translate business goals into measurable ML objectives and experiment plans; ensure robust offline metrics and real\-world impact.
* Build scalable training and inference pipelines; establish CI/CD for ML, automated evaluations, canary releases, and rollback strategies.
* Implement monitoring for data quality, drift, fairness, latency, reliability, and cost; lead incident response and postmortems.
* Partner with Claims, Product, Data Science, Platform/SRE, Security, and Legal/Compliance to gather requirements, define scope, and prioritize backlogs.
* Maintain pragmatic technical roadmaps balancing business outcomes, release timelines, and engineering excellence.
* Own build\-vs\-buy decisions and tooling/service selection (speed to market, extensibility, TCO); guide platform evolution with clear architectural principles.
* Lead experienced engineers through complex platform implementations; drive system\-wide architectural improvements and reliability practices.
* Mentor engineers and junior tech leads; codify best practices; contribute to internal documentation and promote enterprise\-wide ML standards.
* Where appropriate, collaborate on retrieval\-augmented workflows, prompt/context management, and LLM evaluation and safety guardrails to complement ML systems.
Minimum qualifications
* Bachelor’s degree or above in Computer Science, Engineering, Statistics, or related field.
* 5\+ years of professional software development experience using at least two general\-purpose languages (e.g., Java, C\+\+, Python, C\#).
* 5\+ years architecting, designing, and building multi\-component ML platforms leveraging open\-source/cloud\-agnostic components:
	+ Search/vector: ElasticSearch, Qdrant (as applicable to ML features and retrieval)
	+ Data warehouse/lakehouse: Snowflake; familiarity with Parquet/Delta/Iceberg
	+ Streaming: Kafka; plus Flink/Spark Streaming experience
	+ Datastores: PostgreSQL; NoSQL (MongoDB, Cassandra)
	+ Distributed compute: Spark, Ray
	+ Workflow orchestration: Airflow, Temporal
* 5\+ years managing end\-to\-end SDLC for ML systems: version control, CI/CD, Kubernetes, testing (unit/integration/data/ML eval), monitoring/alerting, production support.
* 5\+ years working with cloud providers (Azure and/or AWS) in production ML contexts.
Preferred qualifications (GenAI as a plus)
* Experience leveraging or fine\-tuning LLMs (e.g., GPT, Llama, Mistral, Claude) to augment ML workflows, retrieval, or claims\-facing tooling.
* Hands\-on with MLOps tooling: MLflow/Kubeflow, model registries, feature stores (e.g., Feast), experiment tracking, A/B testing and online evaluation frameworks.
* Observability: Prometheus/Grafana, OpenTelemetry; SLO\-driven operations and incident management.
* Model safety, fairness, explainability (e.g., SHAP/LIME), and regulatory compliance; familiarity with model risk management practices.
* Insurance/financial services domain experience: claims automation, fraud detection, risk modeling, subrogation, severity/triage, and regulatory stewardship.
* Experience with high\-throughput, low\-latency inference and real\-time feature pipelines.
\#LI\-JK1
 **Annual Salary**
$120,000\.00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0">
      <c r="A20" t="inlineStr">
        <is>
          <t>in-c3d7bffbd8c83821</t>
        </is>
      </c>
      <c r="B20" t="inlineStr">
        <is>
          <t>Staff Machine Learning Engineer</t>
        </is>
      </c>
      <c r="C20" t="inlineStr">
        <is>
          <t>GEICO</t>
        </is>
      </c>
      <c r="D20" t="inlineStr">
        <is>
          <t>indeed</t>
        </is>
      </c>
      <c r="E20">
        <f>HYPERLINK("https://www.indeed.com/viewjob?jk=c3d7bffbd8c83821", "https://www.indeed.com/viewjob?jk=c3d7bffbd8c83821")</f>
        <v/>
      </c>
      <c r="F20">
        <f>HYPERLINK("https://click.appcast.io/t/KXBTLSBb_btuhSDX18w5vdlAJxizwo1K_qIppVnGU4c=", "https://click.appcast.io/t/KXBTLSBb_btuhSDX18w5vdlAJxizwo1K_qIppVnGU4c=")</f>
        <v/>
      </c>
      <c r="G20" t="inlineStr">
        <is>
          <t>Chevy Chase, MD, US</t>
        </is>
      </c>
      <c r="H20" s="3" t="n">
        <v>46064</v>
      </c>
      <c r="I2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Staff Machine Learning Engineer to help shape how Generative AI enhances customer and associate experiences across the enterprise. This is a hands\-on technical role who will be leading the strategy, architecture, and delivery of ML systems for the Claims organization—designing predictive models, robust data/feature pipelines, and production\-grade MLOps to drive measurable business outcomes.  
You will work alongside engineering teams, data scientists, and product leaders to design, build, and integrate AI\-powered capabilities that automate workflows, improve decision\-making, and elevate user experience. You will contribute to a culture of learning, curiosity, and innovation while growing your expertise in cutting\-edge AI technologies
About the role
* Staff\+ individual contributor role focused on end\-to\-end ML: data and feature engineering, modeling, deployment, monitoring, and continuous improvement.
* Partner with Claims Operations, Product, and Engineering to deliver ML capabilities such as severity/triage predictions, claim outcome forecasting, and automation accelerators.
* GenAI (e.g., LLMs and agentic workflows) may be leveraged where it augments ML systems; strong ML depth is primary.
What you’ll do
* Work on the ML platform architecture: data/feature pipelines, experiment tracking, model registries, serving layers, offline/online evaluation, and observability.
* Define standards for reliability, performance, cost efficiency, security, governance, and model risk management across ML services.
* Lead design and implementation of models across classical ML and deep learning (e.g., gradient boosted trees, sequence models, Transformers for tabular/time\-series/NLP where relevant).
* Translate business goals into measurable ML objectives and experiment plans; ensure robust offline metrics and real\-world impact.
* Build scalable training and inference pipelines; establish CI/CD for ML, automated evaluations, canary releases, and rollback strategies.
* Implement monitoring for data quality, drift, fairness, latency, reliability, and cost; lead incident response and postmortems.
* Partner with Claims, Product, Data Science, Platform/SRE, Security, and Legal/Compliance to gather requirements, define scope, and prioritize backlogs.
* Maintain pragmatic technical roadmaps balancing business outcomes, release timelines, and engineering excellence.
* Own build\-vs\-buy decisions and tooling/service selection (speed to market, extensibility, TCO); guide platform evolution with clear architectural principles.
* Lead experienced engineers through complex platform implementations; drive system\-wide architectural improvements and reliability practices.
* Mentor engineers and junior tech leads; codify best practices; contribute to internal documentation and promote enterprise\-wide ML standards.
* Where appropriate, collaborate on retrieval\-augmented workflows, prompt/context management, and LLM evaluation and safety guardrails to complement ML systems.
Minimum qualifications
* Bachelor’s degree or above in Computer Science, Engineering, Statistics, or related field.
* 5\+ years of professional software development experience using at least two general\-purpose languages (e.g., Java, C\+\+, Python, C\#).
* 5\+ years architecting, designing, and building multi\-component ML platforms leveraging open\-source/cloud\-agnostic components:
	+ Search/vector: ElasticSearch, Qdrant (as applicable to ML features and retrieval)
	+ Data warehouse/lakehouse: Snowflake; familiarity with Parquet/Delta/Iceberg
	+ Streaming: Kafka; plus Flink/Spark Streaming experience
	+ Datastores: PostgreSQL; NoSQL (MongoDB, Cassandra)
	+ Distributed compute: Spark, Ray
	+ Workflow orchestration: Airflow, Temporal
* 5\+ years managing end\-to\-end SDLC for ML systems: version control, CI/CD, Kubernetes, testing (unit/integration/data/ML eval), monitoring/alerting, production support.
* 5\+ years working with cloud providers (Azure and/or AWS) in production ML contexts.
Preferred qualifications (GenAI as a plus)
* Experience leveraging or fine\-tuning LLMs (e.g., GPT, Llama, Mistral, Claude) to augment ML workflows, retrieval, or claims\-facing tooling.
* Hands\-on with MLOps tooling: MLflow/Kubeflow, model registries, feature stores (e.g., Feast), experiment tracking, A/B testing and online evaluation frameworks.
* Observability: Prometheus/Grafana, OpenTelemetry; SLO\-driven operations and incident management.
* Model safety, fairness, explainability (e.g., SHAP/LIME), and regulatory compliance; familiarity with model risk management practices.
* Insurance/financial services domain experience: claims automation, fraud detection, risk modeling, subrogation, severity/triage, and regulatory stewardship.
* Experience with high\-throughput, low\-latency inference and real\-time feature pipelines.
\#LI\-JK1
 **Annual Salary**
$120,000\.00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
      <c r="A21" t="inlineStr">
        <is>
          <t>in-e7caef7f8e43a907</t>
        </is>
      </c>
      <c r="B21" t="inlineStr">
        <is>
          <t>Staff Machine Learning Engineer</t>
        </is>
      </c>
      <c r="C21" t="inlineStr">
        <is>
          <t>GEICO</t>
        </is>
      </c>
      <c r="D21" t="inlineStr">
        <is>
          <t>indeed</t>
        </is>
      </c>
      <c r="E21">
        <f>HYPERLINK("https://www.indeed.com/viewjob?jk=e7caef7f8e43a907", "https://www.indeed.com/viewjob?jk=e7caef7f8e43a907")</f>
        <v/>
      </c>
      <c r="F21">
        <f>HYPERLINK("https://click.appcast.io/t/KqWvjIyHVSegz9jAsRz9ndvM61WzWdmXyJUXt156dNk=", "https://click.appcast.io/t/KqWvjIyHVSegz9jAsRz9ndvM61WzWdmXyJUXt156dNk=")</f>
        <v/>
      </c>
      <c r="G21" t="inlineStr">
        <is>
          <t>Seattle, WA, US</t>
        </is>
      </c>
      <c r="H21" s="3" t="n">
        <v>46064</v>
      </c>
      <c r="I2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Staff Machine Learning Engineer to help shape how Generative AI enhances customer and associate experiences across the enterprise. This is a hands\-on technical role who will be leading the strategy, architecture, and delivery of ML systems for the Claims organization—designing predictive models, robust data/feature pipelines, and production\-grade MLOps to drive measurable business outcomes.  
You will work alongside engineering teams, data scientists, and product leaders to design, build, and integrate AI\-powered capabilities that automate workflows, improve decision\-making, and elevate user experience. You will contribute to a culture of learning, curiosity, and innovation while growing your expertise in cutting\-edge AI technologies
About the role
* Staff\+ individual contributor role focused on end\-to\-end ML: data and feature engineering, modeling, deployment, monitoring, and continuous improvement.
* Partner with Claims Operations, Product, and Engineering to deliver ML capabilities such as severity/triage predictions, claim outcome forecasting, and automation accelerators.
* GenAI (e.g., LLMs and agentic workflows) may be leveraged where it augments ML systems; strong ML depth is primary.
What you’ll do
* Work on the ML platform architecture: data/feature pipelines, experiment tracking, model registries, serving layers, offline/online evaluation, and observability.
* Define standards for reliability, performance, cost efficiency, security, governance, and model risk management across ML services.
* Lead design and implementation of models across classical ML and deep learning (e.g., gradient boosted trees, sequence models, Transformers for tabular/time\-series/NLP where relevant).
* Translate business goals into measurable ML objectives and experiment plans; ensure robust offline metrics and real\-world impact.
* Build scalable training and inference pipelines; establish CI/CD for ML, automated evaluations, canary releases, and rollback strategies.
* Implement monitoring for data quality, drift, fairness, latency, reliability, and cost; lead incident response and postmortems.
* Partner with Claims, Product, Data Science, Platform/SRE, Security, and Legal/Compliance to gather requirements, define scope, and prioritize backlogs.
* Maintain pragmatic technical roadmaps balancing business outcomes, release timelines, and engineering excellence.
* Own build\-vs\-buy decisions and tooling/service selection (speed to market, extensibility, TCO); guide platform evolution with clear architectural principles.
* Lead experienced engineers through complex platform implementations; drive system\-wide architectural improvements and reliability practices.
* Mentor engineers and junior tech leads; codify best practices; contribute to internal documentation and promote enterprise\-wide ML standards.
* Where appropriate, collaborate on retrieval\-augmented workflows, prompt/context management, and LLM evaluation and safety guardrails to complement ML systems.
Minimum qualifications
* Bachelor’s degree or above in Computer Science, Engineering, Statistics, or related field.
* 5\+ years of professional software development experience using at least two general\-purpose languages (e.g., Java, C\+\+, Python, C\#).
* 5\+ years architecting, designing, and building multi\-component ML platforms leveraging open\-source/cloud\-agnostic components:
	+ Search/vector: ElasticSearch, Qdrant (as applicable to ML features and retrieval)
	+ Data warehouse/lakehouse: Snowflake; familiarity with Parquet/Delta/Iceberg
	+ Streaming: Kafka; plus Flink/Spark Streaming experience
	+ Datastores: PostgreSQL; NoSQL (MongoDB, Cassandra)
	+ Distributed compute: Spark, Ray
	+ Workflow orchestration: Airflow, Temporal
* 5\+ years managing end\-to\-end SDLC for ML systems: version control, CI/CD, Kubernetes, testing (unit/integration/data/ML eval), monitoring/alerting, production support.
* 5\+ years working with cloud providers (Azure and/or AWS) in production ML contexts.
Preferred qualifications (GenAI as a plus)
* Experience leveraging or fine\-tuning LLMs (e.g., GPT, Llama, Mistral, Claude) to augment ML workflows, retrieval, or claims\-facing tooling.
* Hands\-on with MLOps tooling: MLflow/Kubeflow, model registries, feature stores (e.g., Feast), experiment tracking, A/B testing and online evaluation frameworks.
* Observability: Prometheus/Grafana, OpenTelemetry; SLO\-driven operations and incident management.
* Model safety, fairness, explainability (e.g., SHAP/LIME), and regulatory compliance; familiarity with model risk management practices.
* Insurance/financial services domain experience: claims automation, fraud detection, risk modeling, subrogation, severity/triage, and regulatory stewardship.
* Experience with high\-throughput, low\-latency inference and real\-time feature pipelines.
\#LI\-JK1
 **Annual Salary**
$120,000\.00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2">
      <c r="A22" t="inlineStr">
        <is>
          <t>in-b4c7d8070b15549e</t>
        </is>
      </c>
      <c r="B22" t="inlineStr">
        <is>
          <t>Staff Machine Learning Engineer</t>
        </is>
      </c>
      <c r="C22" t="inlineStr">
        <is>
          <t>GEICO</t>
        </is>
      </c>
      <c r="D22" t="inlineStr">
        <is>
          <t>indeed</t>
        </is>
      </c>
      <c r="E22">
        <f>HYPERLINK("https://www.indeed.com/viewjob?jk=b4c7d8070b15549e", "https://www.indeed.com/viewjob?jk=b4c7d8070b15549e")</f>
        <v/>
      </c>
      <c r="F22">
        <f>HYPERLINK("https://click.appcast.io/t/0MUikdMa8CAB-1r1q2vcMVIzLuD5Z-kZkT2HX2CdWIc=", "https://click.appcast.io/t/0MUikdMa8CAB-1r1q2vcMVIzLuD5Z-kZkT2HX2CdWIc=")</f>
        <v/>
      </c>
      <c r="G22" t="inlineStr">
        <is>
          <t>Palo Alto, CA, US</t>
        </is>
      </c>
      <c r="H22" s="3" t="n">
        <v>46064</v>
      </c>
      <c r="I2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Staff Machine Learning Engineer to help shape how Generative AI enhances customer and associate experiences across the enterprise. This is a hands\-on technical role who will be leading the strategy, architecture, and delivery of ML systems for the Claims organization—designing predictive models, robust data/feature pipelines, and production\-grade MLOps to drive measurable business outcomes.  
You will work alongside engineering teams, data scientists, and product leaders to design, build, and integrate AI\-powered capabilities that automate workflows, improve decision\-making, and elevate user experience. You will contribute to a culture of learning, curiosity, and innovation while growing your expertise in cutting\-edge AI technologies
About the role
* Staff\+ individual contributor role focused on end\-to\-end ML: data and feature engineering, modeling, deployment, monitoring, and continuous improvement.
* Partner with Claims Operations, Product, and Engineering to deliver ML capabilities such as severity/triage predictions, claim outcome forecasting, and automation accelerators.
* GenAI (e.g., LLMs and agentic workflows) may be leveraged where it augments ML systems; strong ML depth is primary.
What you’ll do
* Work on the ML platform architecture: data/feature pipelines, experiment tracking, model registries, serving layers, offline/online evaluation, and observability.
* Define standards for reliability, performance, cost efficiency, security, governance, and model risk management across ML services.
* Lead design and implementation of models across classical ML and deep learning (e.g., gradient boosted trees, sequence models, Transformers for tabular/time\-series/NLP where relevant).
* Translate business goals into measurable ML objectives and experiment plans; ensure robust offline metrics and real\-world impact.
* Build scalable training and inference pipelines; establish CI/CD for ML, automated evaluations, canary releases, and rollback strategies.
* Implement monitoring for data quality, drift, fairness, latency, reliability, and cost; lead incident response and postmortems.
* Partner with Claims, Product, Data Science, Platform/SRE, Security, and Legal/Compliance to gather requirements, define scope, and prioritize backlogs.
* Maintain pragmatic technical roadmaps balancing business outcomes, release timelines, and engineering excellence.
* Own build\-vs\-buy decisions and tooling/service selection (speed to market, extensibility, TCO); guide platform evolution with clear architectural principles.
* Lead experienced engineers through complex platform implementations; drive system\-wide architectural improvements and reliability practices.
* Mentor engineers and junior tech leads; codify best practices; contribute to internal documentation and promote enterprise\-wide ML standards.
* Where appropriate, collaborate on retrieval\-augmented workflows, prompt/context management, and LLM evaluation and safety guardrails to complement ML systems.
Minimum qualifications
* Bachelor’s degree or above in Computer Science, Engineering, Statistics, or related field.
* 5\+ years of professional software development experience using at least two general\-purpose languages (e.g., Java, C\+\+, Python, C\#).
* 5\+ years architecting, designing, and building multi\-component ML platforms leveraging open\-source/cloud\-agnostic components:
	+ Search/vector: ElasticSearch, Qdrant (as applicable to ML features and retrieval)
	+ Data warehouse/lakehouse: Snowflake; familiarity with Parquet/Delta/Iceberg
	+ Streaming: Kafka; plus Flink/Spark Streaming experience
	+ Datastores: PostgreSQL; NoSQL (MongoDB, Cassandra)
	+ Distributed compute: Spark, Ray
	+ Workflow orchestration: Airflow, Temporal
* 5\+ years managing end\-to\-end SDLC for ML systems: version control, CI/CD, Kubernetes, testing (unit/integration/data/ML eval), monitoring/alerting, production support.
* 5\+ years working with cloud providers (Azure and/or AWS) in production ML contexts.
Preferred qualifications (GenAI as a plus)
* Experience leveraging or fine\-tuning LLMs (e.g., GPT, Llama, Mistral, Claude) to augment ML workflows, retrieval, or claims\-facing tooling.
* Hands\-on with MLOps tooling: MLflow/Kubeflow, model registries, feature stores (e.g., Feast), experiment tracking, A/B testing and online evaluation frameworks.
* Observability: Prometheus/Grafana, OpenTelemetry; SLO\-driven operations and incident management.
* Model safety, fairness, explainability (e.g., SHAP/LIME), and regulatory compliance; familiarity with model risk management practices.
* Insurance/financial services domain experience: claims automation, fraud detection, risk modeling, subrogation, severity/triage, and regulatory stewardship.
* Experience with high\-throughput, low\-latency inference and real\-time feature pipelines.
\#LI\-JK1
 **Annual Salary**
$120,000\.00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3">
      <c r="A23" t="inlineStr">
        <is>
          <t>in-ce94fb60b75df2fc</t>
        </is>
      </c>
      <c r="B23" t="inlineStr">
        <is>
          <t>Full-Stack AI Engineer</t>
        </is>
      </c>
      <c r="C23" t="inlineStr">
        <is>
          <t>BAMREC</t>
        </is>
      </c>
      <c r="D23" t="inlineStr">
        <is>
          <t>indeed</t>
        </is>
      </c>
      <c r="E23">
        <f>HYPERLINK("https://www.indeed.com/viewjob?jk=ce94fb60b75df2fc", "https://www.indeed.com/viewjob?jk=ce94fb60b75df2fc")</f>
        <v/>
      </c>
      <c r="F23">
        <f>HYPERLINK("http://www.indeed.com/job/full-stack-ai-engineer-ce94fb60b75df2fc", "http://www.indeed.com/job/full-stack-ai-engineer-ce94fb60b75df2fc")</f>
        <v/>
      </c>
      <c r="G23" t="inlineStr">
        <is>
          <t>San Jose, CA, US</t>
        </is>
      </c>
      <c r="H23" s="3" t="n">
        <v>46065</v>
      </c>
      <c r="I23" t="inlineStr">
        <is>
          <t>**Overview**  
We are looking for a hands\-on Full\-Stack AI Engineer who enjoys building real products end\-to\-end. In this role, you will develop features across the web UI, backend services, and AI pipelines while working directly with clients to translate testing workflows into scalable product features.
This is a builder role — not a planning\-only role. You will be writing production code daily across multiple codebases including React frontend applications, Python services, and PHP systems.
**What You’ll Do**
* Build and ship full\-stack product features from concept to production
* Develop web application features such as dashboards, test run viewers, diff tools, and reporting tools
* Design and build backend APIs including job orchestration, data storage, authentication, and third\-party integrations
* Develop and maintain AI pipelines including LLM integrations, RAG workflows, structured data extraction, and evaluation/verification loops
* Integrate automation tooling such as Appium, WebDriver, WDA, and device logging systems
* Partner directly with customers and internal teams to turn real testing workflows into product capabilities
**Required Qualifications**
* 3\+ years of experience building and shipping production software applications
* Strong full\-stack engineering fundamentals (HTTP, REST APIs, authentication, databases, caching)
* Frontend experience with React and TypeScript
* Backend experience with Python and PHP
* Experience working across multiple services and codebases
**Preferred / Nice to Have**
* Experience working with LLM integrations (OpenAI APIs, prompt engineering, evaluation frameworks, internal tooling)
* Experience with RAG architectures, embeddings, and vector databases (FAISS, pgvector, Pinecone, or similar)
* Experience with media processing (image diffing, OCR, or visual testing systems)
* Experience with mobile automation (Android, iOS, Appium, Selenium, or similar frameworks)
**What Success Looks Like**
* Shipping production\-ready features consistently
* Writing clean, maintainable, and scalable code
* Translating customer workflows into technical solutions
* Contributing across frontend, backend, and AI systems
Job Type: Full\-time
Pay: $47\.00 per hour
Expected hours: 40 per week
Benefits:
* 401(k)
* Dental insurance
* Health insurance
* Health savings account
* Paid time off
* Vision insurance
Work Location: In person</t>
        </is>
      </c>
    </row>
    <row r="24">
      <c r="A24" t="inlineStr">
        <is>
          <t>in-4f6266cc6f08fccf</t>
        </is>
      </c>
      <c r="B24" t="inlineStr">
        <is>
          <t>Machine Learning Engineer II</t>
        </is>
      </c>
      <c r="C24" t="inlineStr">
        <is>
          <t>Uber</t>
        </is>
      </c>
      <c r="D24" t="inlineStr">
        <is>
          <t>indeed</t>
        </is>
      </c>
      <c r="E24">
        <f>HYPERLINK("https://www.indeed.com/viewjob?jk=4f6266cc6f08fccf", "https://www.indeed.com/viewjob?jk=4f6266cc6f08fccf")</f>
        <v/>
      </c>
      <c r="F24">
        <f>HYPERLINK("https://tnl2.jometer.com/v2/job?jz=5wqzse4ad1831d19ae8eb28b93d204780693cKMAAKAAAAABQ&amp;iis=Job%20Board%20-%20Recruitment%20Marketing&amp;iisn=Indeed%20Organic", "https://tnl2.jometer.com/v2/job?jz=5wqzse4ad1831d19ae8eb28b93d204780693cKMAAKAAAAABQ&amp;iis=Job%20Board%20-%20Recruitment%20Marketing&amp;iisn=Indeed%20Organic")</f>
        <v/>
      </c>
      <c r="G24" t="inlineStr">
        <is>
          <t>Seattle, WA, US</t>
        </is>
      </c>
      <c r="H24" s="3" t="n">
        <v>46065</v>
      </c>
      <c r="I24" t="inlineStr">
        <is>
          <t>**About the Role**
Uber Marketplace is at the core of Uber's business, and Mobility Simulation and Planning is a critical component of Marketplace. The team's mission is to drive the growth and efficiency of the marketplace while optimizing revenue through pricing and incentives simulation and optimization. The role will provide an opportunity to work on some of the most challenging marketplace problems at Uber's scale that directly impact Uber's global business.
**What You'll Do**
* Leading the design and implementation of ML\-driven solutions to meet business requirements.
* Managing end\-to\-end project execution, from scoping and offline evaluation to experimentation, production, and post\-launch monitoring.
* Developing and refining ML models and optimization algorithms to improve simulation accuracy and overall performance.
* Collaborating with cross\-functional teams, including product, operations, and science partners.
**Basic Qualifications**
* 2\+ years of experience in an ML/optimization role, or a PhD in a relevant field (CS, OR, EE, Statistics, etc.)
* Expertise in machine learning and optimization algorithms
* Experience with ML frameworks
* Proficiency in at least one coding language such as Python, Go, or Java
* Strong communication skills and ability to work effectively with cross\-functional partners
* Strong sense of ownership to drive projects end\-to\-end
**Preferred Qualifications**
* Experience in translating ambiguous business problems into structured, principled technical solutions
* Experience in developing and deploying optimization algorithms in production
* Experience in causal inference and experimental design
Experience in evaluating ML models in a production environment  
* 
For Seattle, WA\-based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5">
      <c r="A25" t="inlineStr">
        <is>
          <t>in-7304dbf72d20f433</t>
        </is>
      </c>
      <c r="B25" t="inlineStr">
        <is>
          <t>Machine Learning Engineer</t>
        </is>
      </c>
      <c r="C25" t="inlineStr">
        <is>
          <t>chiropractic healthcare center</t>
        </is>
      </c>
      <c r="D25" t="inlineStr">
        <is>
          <t>indeed</t>
        </is>
      </c>
      <c r="E25">
        <f>HYPERLINK("https://www.indeed.com/viewjob?jk=7304dbf72d20f433", "https://www.indeed.com/viewjob?jk=7304dbf72d20f433")</f>
        <v/>
      </c>
      <c r="F25">
        <f>HYPERLINK("http://www.indeed.com/job/machine-learning-engineer-7304dbf72d20f433", "http://www.indeed.com/job/machine-learning-engineer-7304dbf72d20f433")</f>
        <v/>
      </c>
      <c r="G25" t="inlineStr">
        <is>
          <t>Dallas, TX, US</t>
        </is>
      </c>
      <c r="H25" s="3" t="n">
        <v>46065</v>
      </c>
      <c r="I25" t="inlineStr">
        <is>
          <t>**Job description:**
About the Company
At Mynx Software, located in the heart of Dallas, we’re driven by a mission to transform the way healthcare works. We understand the complex challenges healthcare providers face every day, which is why we develop innovative software solutions designed to simplify their workflows and improve outcomes.
Our approach is rooted in empathy. We design tools that keep both providers and patients at the center, ensuring technology supports meaningful care. By streamlining operations through intuitive, automated systems, we help healthcare organizations save time, reduce errors, and boost productivity so they can focus on what matters most: delivering exceptional care.
**About the Role**
We are seeking an ML Engineer with deep expertise in agentic AI and LLM systems to build production\-grade AI capabilities within our healthcare EMR platform. This role focuses on designing reliable, safe, and scalable AI agents that operate in real clinical workflows not experimental prototypes.
You will work on multi\-step reasoning systems, tool\-using agents, structured outputs, and healthcare\-safe LLM deployments. **This is hands on position not a management or leadership role.** 
**What You’ll Do**
* Design and build agentic AI workflows (planner–executor, tool calling, multi\-agent systems)
* Develop LLM\-powered clinical automation (SOAP notes, summaries, structured documentation)
* Implement hallucination control and validation layers for healthcare use cases
* Build structured JSON outputs with schema enforcement and post\-processing
* Integrate LLM APIs into backend systems
* Optimize latency, cost, and reliability in production AI systems
* Collaborate with engineering and clinical teams on compliant AI architecture
**Required Skills**
* 5\+ years of software or machine learning engineering experience
* **Strong hands\-on experience with LLMs and agent\-based AI systems**
* Deep understanding of tool calling, context management, and multi\-step reasoning
* Experience building production LLM pipelines, not just prompts
* API integration and cloud experience (AWS)
* Healthcare or EMR experience, clinical NLP, RAG systems, vector databases, or work in regulated / government\-adjacent environments.
***This role is open only to U.S. Citizens and Green Card holders due to potential government and public\-sector healthcare contracts.***
We are an Equal Opportunity Employer and do not discriminate based on race, color, religion, sex, national origin, age, disability, veteran status, or any other legally protected status.
Job Type: Full\-time
Benefits:
* 401(k)
* Dental insurance
* Health insurance
* Paid time off
Education:
* Bachelor's (Required)
Experience:
* Machine learning frameworks: 5 years (Required)
Ability to Commute:
* Dallas, TX 75204 (Required)
Ability to Relocate:
* Dallas, TX 75204: Relocate before starting work (Required)
Work Location: In person</t>
        </is>
      </c>
    </row>
    <row r="26">
      <c r="A26" t="inlineStr">
        <is>
          <t>in-fc5e96a271eefa2e</t>
        </is>
      </c>
      <c r="B26" t="inlineStr">
        <is>
          <t>Senior AI Engineer (Generative AI / RAG / Agentic AI)</t>
        </is>
      </c>
      <c r="C26" t="inlineStr"/>
      <c r="D26" t="inlineStr">
        <is>
          <t>indeed</t>
        </is>
      </c>
      <c r="E26">
        <f>HYPERLINK("https://www.indeed.com/viewjob?jk=fc5e96a271eefa2e", "https://www.indeed.com/viewjob?jk=fc5e96a271eefa2e")</f>
        <v/>
      </c>
      <c r="F26">
        <f>HYPERLINK("https://globenet-consulting-corp.careerplug.com/j/02vyj4s", "https://globenet-consulting-corp.careerplug.com/j/02vyj4s")</f>
        <v/>
      </c>
      <c r="G26" t="inlineStr">
        <is>
          <t>Bellevue, WA, US</t>
        </is>
      </c>
      <c r="H26" s="3" t="n">
        <v>46065</v>
      </c>
      <c r="I26" t="inlineStr">
        <is>
          <t>**Benefits:**
* Competitive salary
* Opportunity for advancement
* Training \&amp; development
**Role: Senior AI Engineer (Generative AI / RAG / Agentic AI)**
**Location:** Washington, DC (Onsite 4 days/week)  
**About The AES Group**
The AES Group is a technology staffing and services company delivering high\-impact solutions across cloud, data, AI, and emerging technologies for enterprise environments.  
**What We Offer**
* Competitive pay aligned to performance and outcomes
* Lead cutting\-edge Generative AI initiatives at scale
* Career growth through advanced platforms and modern engineering practices
* Collaborative culture where your work is visible and valued
**About the Role**
We are seeking a **Senior AI Engineer** to architect and deliver **secure, scalable, production\-grade Generative AI solutions**. You will design and implement **RAG systems**, **agentic AI orchestration**, and **cloud\-native ML infrastructure** across **Azure and AWS**. This role blends hands\-on engineering with technical leadership, including mentoring and setting reusable engineering standards.  
**Responsibilities**
* Architect and deliver enterprise GenAI, RAG, and conversational AI solutions end\-to\-end
* Design scalable retrieval, prompting, and inference patterns across Azure and AWS
* Build ingestion, enrichment, vectorization, and feature pipelines using Databricks, ADF, and EMR
* Implement embedding quality checks, drift monitoring, and metadata governance
* Engineer secure multi\-agent/tool\-calling systems using modern agent frameworks and **MCP** controls
* Establish evaluation, safety guardrails, CI/CD, automated testing, and observability for AI workloads
* Apply secure AI engineering practices, including threat modeling and compliance\-aligned controls
* Lead design reviews, code reviews, and mentor engineers; create reference architectures and playbooks
**Qualifications**
* Bachelor’s in CS/Engineering (Master’s preferred)
* 8\+ years of software engineering experience
* 2\+ years building applied Generative AI solutions (RAG, agents, evaluation/safety) in production
**Technical Stack (Required)**
**Azure:** Azure OpenAI, Azure AI Search, Azure AI Agent Service, Azure ML, AKS, ADF, Databricks, Functions, API Mgmt, Key Vault, App Insights  
**AWS:** SageMaker, Bedrock, Lambda, API Gateway, S3, CloudWatch, EMR, EKS, CodePipeline, Outposts  
**Vector/Indexing:** Azure AI Search, Redis, FAISS, HNSW, IVF  
**Frameworks:** Semantic Kernel, AutoGen, Microsoft Agent Framework, CrewAI, Agno, LangChain, MCP, Hugging Face  
**Languages:** Python, C\#, .NET, TypeScript  
**Inference/Deploy:** Docker, vLLM, Triton, Ollama, quantized Llama (GGUF), GPU scheduling, multimodal pipelines  
**MLOps/Platform:** MLflow, evaluation tooling, guardrails, Azure DevOps pipelines, Kubernetes, hybrid/multi\-cloud  
**Certifications (Required)**
AI\-900, DP\-900, Responsible AI Certification, AWS ML Specialty, TensorFlow Developer, CKA/CKAD, SAFe Agile Software Engineering  
**Certifications (Preferred)**
AI\-102, DP\-100, AZ\-305, AZ\-204  
**Ready to make an impact? Apply now and join us on our journey!**</t>
        </is>
      </c>
    </row>
    <row r="27">
      <c r="A27" t="inlineStr">
        <is>
          <t>in-4d3cf93677b09a94</t>
        </is>
      </c>
      <c r="B27" t="inlineStr">
        <is>
          <t>Applied AI Engineer</t>
        </is>
      </c>
      <c r="C27" t="inlineStr">
        <is>
          <t>ALPHATEC SPINE, INC.</t>
        </is>
      </c>
      <c r="D27" t="inlineStr">
        <is>
          <t>indeed</t>
        </is>
      </c>
      <c r="E27">
        <f>HYPERLINK("https://www.indeed.com/viewjob?jk=4d3cf93677b09a94", "https://www.indeed.com/viewjob?jk=4d3cf93677b09a94")</f>
        <v/>
      </c>
      <c r="F27">
        <f>HYPERLINK("https://apply.workable.com/j/C9B1CFD159", "https://apply.workable.com/j/C9B1CFD159")</f>
        <v/>
      </c>
      <c r="G27" t="inlineStr">
        <is>
          <t>Carlsbad, CA, US</t>
        </is>
      </c>
      <c r="H27" s="3" t="n">
        <v>46064</v>
      </c>
      <c r="I27" t="inlineStr">
        <is>
          <t>We are seeking a motivated and innovative Applied AI Engineer to join our team. This role focuses on designing and developing enterprise AI solutions powered by Large Language Models (LLMs), including Retrieval\-Augmented Generation (RAG)\-based information extraction applications and intelligent workflow automation systems.
This is an excellent opportunity for candidates with a strong technical foundation who are passionate about applying AI to solve real\-world business problems.
**Essential Duties and Responsibilities**
* Design, develop, and deploy LLM\-based AI applications.
* Build and optimize RAG\-based information extraction and agentic AI applications.
* Develop backend services and APIs to support AI\-driven applications.
* Implement web\-based interfaces for AI applications.
* Work closely with stakeholders to gather user requirements and translate business needs into technical solutions.
* Fine\-tune prompts, optimize LLM workflows, and evaluate model performance.
* Integrate AI solutions with enterprise systems and databases.
* Collaborate with cross\-functional teams including product, engineering, and business users.
* Document system architecture, workflows, and technical decisions.
* Other duties as assigned.
**Requirements**
The requirements listed below are representative of the knowledge, skill, and/or ability required. Reasonable accommodations may be made to enable individuals with disabilities to perform the essential functions.
* Experience with web technologies such as:JavaScript (React, Node.js, or similar frameworks), or Other modern web application frameworks.
* Understanding of modern AI systems (including machine learning and large language models), their capabilities, limitations, and practical application in software products.
* Familiarity with basic ML concepts (training vs inference, overfitting, generalization)
* Familiarity with LLM frameworks and tools (e.g., OpenAI APIs, vector databases, LangChain, LlamaIndex,).
* Basic experience with data preprocessing, cleaning, and transformation for AI/ML workflows.
* Understanding of APIs, RESTful services, and backend development.
* Knowledge of databases (SQL and/or NoSQL).
* Ability to gather requirements from users and convert them into working applications.
* Strong problem\-solving skills and attention to detail.
* Strong inter\-person skills and communication skills
**Preferred Qualifications:**
* Experience building RAG pipelines and working with vector databases.
* Experience in creating agentic AI applications
* Familiarity with cloud platforms (AWS, Azure, or GCP).
* Understanding of prompt engineering and model evaluation techniques.
* Experience with enterprise software integration.
* Exposure to DevOps practices and deployment pipelines.
**Education and Experience**
* Bachelor’s degree (BS) in a STEM field (Computer Science, Engineering, Mathematics, physics, Data Science, or related discipline).
At least 3\-6 \+ years of experience in software development or AI/ML engineering.  
*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$110,000 to $125,000 Full\-Time Annual Salary
*Please Note: The employer will not sponsor applicants for work visas for this position.*</t>
        </is>
      </c>
    </row>
    <row r="28">
      <c r="A28" t="inlineStr">
        <is>
          <t>in-c8c67d4b36a08608</t>
        </is>
      </c>
      <c r="B28" t="inlineStr">
        <is>
          <t>AI Engineer</t>
        </is>
      </c>
      <c r="C28" t="inlineStr">
        <is>
          <t>Alliance Laundry</t>
        </is>
      </c>
      <c r="D28" t="inlineStr">
        <is>
          <t>indeed</t>
        </is>
      </c>
      <c r="E28">
        <f>HYPERLINK("https://www.indeed.com/viewjob?jk=c8c67d4b36a08608", "https://www.indeed.com/viewjob?jk=c8c67d4b36a08608")</f>
        <v/>
      </c>
      <c r="F28">
        <f>HYPERLINK("https://uscareeropenings-alliancelaundry.icims.com/jobs/11330/job?utm_source=indeed_integration&amp;iis=Job%20Board&amp;iisn=Indeed&amp;indeed-apply-token=73a2d2b2a8d6d5c0a62696875eaebd669103652d3f0c2cd5445d3e66b1592b0f", "https://uscareeropenings-alliancelaundry.icims.com/jobs/11330/job?utm_source=indeed_integration&amp;iis=Job%20Board&amp;iisn=Indeed&amp;indeed-apply-token=73a2d2b2a8d6d5c0a62696875eaebd669103652d3f0c2cd5445d3e66b1592b0f")</f>
        <v/>
      </c>
      <c r="G28" t="inlineStr">
        <is>
          <t>Ripon, WI, US</t>
        </is>
      </c>
      <c r="H28" s="3" t="n">
        <v>46064</v>
      </c>
      <c r="I28" t="inlineStr">
        <is>
          <t>Overview:
As an AI Engineer within our product engineering team, you will embark on a journey to help shape the future of our company by supporting the design, development, and implementation of AI\-driven innovations. Your mission is to assist in integrating intelligent technologies into our design and development processes, working alongside our mechanical, electrical, and firmware engineers to push the boundaries of what's possible.
Responsibilities:
* Collaborate with senior engineers to integrate AI and machine learning into the design, development, and testing processes for mechanical, electrical, and firmware systems.
* Assist in researching emerging AI technologies and contribute to building business cases for their adoption.
* Support the development and tracking of key performance indicators (KPIs) to assess the impact of AI initiatives on efficiency, product quality, and innovation.
* Work with cross\-functional teams to identify opportunities for AI/ML solutions and support pilots and scaling efforts.
* Participate in the engineering and deployment of AI/ML models for design optimization and predictive analysis of product performance and reliability.
* Contribute to AI\-driven prototype development through coding and validation.
* Assist in the integration of AI features into engineering tools and systems by collaborating with domain experts.
* Help maintain documentation and deliver training programs that enhance AI literacy across the engineering organization.
Qualifications:
**Education:*** Bachelor’s degree in Computer Science, Engineering, Data Science, or related field required; equivalent experience accepted.
* Certification in AI/ML technologies desirable
 **Experience:*** 2\+ years of experience in engineering
* Ideal candidates will have experience in AI/ML applications in product development or manufacturing
* Prior experience in manufacturing or industrial equipment industries preferred
 **Skills and Abilities:*** Strong communication skills with diverse audiences, from presenting to executives to drafting detailed technical documentation for engineering teams.
* Eagerness to learn and apply AI solutions in product engineering.
* Ability to prioritize tasks and assist in multiple projects to meet deadlines and deliver results.
* Strong analytical skills for collecting data and helping develop data\-informed solutions.
* Excellent attention to detail.
* Effective communicator with the ability to translate complex technical problems into simpler terms.
* Proficiency in PC applications, such as Word, Excel, and PowerPoint.
* Self\-motivated with a strong willingness to learn new concepts and tools.
* Strong problem\-solving skills and time management abilities.
* Ability to work collaboratively in a team environment.
 **Travel:** Approximately 10% **Standard and Physical Requirements:**
Position involved sitting long periods, standing, manual dexterity, stooping, bending, and minimal lifting.  
**Alliance Team Members Demonstrate DRIVE:*** **Dedicated**: Follows through on commitments. Strong say/do.
* **Respectful**: Acts with integrity and values diverse perspective.
* **Innovative**: Always looking for a better way; leads change.
* **Versatile**: Adapts quickly to changing circumstances. Demonstrates agility.
* **Engaged**: Acts like an owner. Wants to create and grow a business which is tightly aligned with market needs.
EEO: We are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ID: 2026\-11330 Pos. Type: Full\-Time</t>
        </is>
      </c>
    </row>
    <row r="29">
      <c r="A29" t="inlineStr">
        <is>
          <t>in-938b987d0727ab49</t>
        </is>
      </c>
      <c r="B29" t="inlineStr">
        <is>
          <t>Machine Learning Engineer/AI Engineer</t>
        </is>
      </c>
      <c r="C29" t="inlineStr">
        <is>
          <t>Acentra Health</t>
        </is>
      </c>
      <c r="D29" t="inlineStr">
        <is>
          <t>indeed</t>
        </is>
      </c>
      <c r="E29">
        <f>HYPERLINK("https://www.indeed.com/viewjob?jk=938b987d0727ab49", "https://www.indeed.com/viewjob?jk=938b987d0727ab49")</f>
        <v/>
      </c>
      <c r="F29">
        <f>HYPERLINK("https://careers.acentra.com/jobs/5427/job?utm_source=indeed_integration&amp;iis=Job%20Board&amp;iisn=Indeed&amp;indeed-apply-token=73a2d2b2a8d6d5c0a62696875eaebd669103652d3f0c2cd5445d3e66b1592b0f", "https://careers.acentra.com/jobs/5427/job?utm_source=indeed_integration&amp;iis=Job%20Board&amp;iisn=Indeed&amp;indeed-apply-token=73a2d2b2a8d6d5c0a62696875eaebd669103652d3f0c2cd5445d3e66b1592b0f")</f>
        <v/>
      </c>
      <c r="G29" t="inlineStr">
        <is>
          <t>US</t>
        </is>
      </c>
      <c r="H29" s="3" t="n">
        <v>46064</v>
      </c>
      <c r="I29" t="inlineStr">
        <is>
          <t>Company Overview:
Acentra Health exists to empower better health outcomes through technology, services, and clinical expertise. Our mission is to innovate health solutions that deliver maximum value and impact.  
Lead the Way is our rallying cry at Acentra Health. Think of it as an open invitation to embrace the mission of the company; to actively engage in problem\-solving; and to take ownership of your work every day. Acentra Health offers you unparalleled opportunities. In fact, you have all you need to take charge of your career and accelerate better outcomes – making this a great time to join our team of passionate individuals dedicated to being a vital partner for health solutions in the public sector.
Job Summary and Responsibilities:
**Acentra Health is looking for a Machine Learning Engineer/AI Engineer to join our growing team.** **Job Summary:**  
Work at the intersection of applied AI, data science, and software engineering, building, optimizing, and integrating machine learning (ML) and large language model (LLM) solutions. This role emphasizes generative AI (GenAI), retrieval\-augmented generation (RAG), and natural language processing (NLP) to drive innovation, improve healthcare outcomes, and create operational efficiencies.  
The ideal candidate has experience deploying ML/LLM solutions in production, exposure to MLOps/LLMOps, and a strong ability to mentor engineers. They combine technical excellence with problem\-solving skills to deliver scalable, compliant, and impactful AI solutions in the healthcare domain ***\* Position is remote, but candidates based in Raleigh/Durham/Cary, NC or DC area preferred. \**** **Responsibilities:*** Design, develop, and deploy LLM\-powered applications (e.g. summarization, intelligent assistants, document processing, automation)
* Strong skills in API development and system integration, with the ability to contribute across the full stack
* Build and optimize RAG pipelines using embeddings and vector databases (e.g., Pinecone, Weaviate, FAISS)
* Support ML pipelines including data preparation, training workflows, and deployment into applications
* Support and implement MLOps/LLMOps practices such as CI/CD pipelines, versioning, monitoring, retraining, and governance
* Mentor and coach engineers on best practices, solution architecture, and applied AI strategies
* Partner with business and product teams to translate requirements into effective AI solutions
* Stay current on advances in LLMs, GenAI, and compliance requirements (HIPAA, GDPR, FDA)
* Read, understand, and adhere to all corporate policies including policies related to HIPAA and its Privacy and Security Rules
Qualifications:
**Required Qualifications:*** Bachelor’s degree in computer science, Data Science, or related field (Master's or PhD preferred)
* 4\+ years of experience as an ML/AI Engineer with proven applied AI/LLM deployments
* Proficiency in Python and ML/AI frameworks (TensorFlow, PyTorch, Hugging Face, scikit\-learn)
* Hands\-on experience with LLMs, embeddings, vector DBs, and RAG pipelines
* Cloud experience with AWS and Azure for deploying and managing AI systems
* Familiarity with MLOps/LLMOps and CI/CD practices
* Experience deploying ML/LLM systems in healthcare or other regulated environments
* Excellent communication skills and experience mentoring and collaborating with engineers
 **Preferred Qualifications/Experience:*** Experience with LangChain, LlamaIndex, or agentic AI frameworks (AutoGen, CrewAI, Semantic Kernel)
* Exposure to multi\-agent system design and implementation
* Knowledge of healthcare data standards (HL7, FHIR) and compliance (HIPAA)
 **Why us?**  
We are a team of experienced and caring leaders, clinicians, pioneering technologists, and industry professionals who come together to redefine expectations for the healthcare industry. State and federal healthcare agencies, providers, and employers turn to us as their vital partner to ensure better healthcare and improve health outcomes. **We do this through our people.**  
You will have meaningful work that genuinely improves people's lives across the country. We are a company that cares about our employees, and we give you the tools and encouragement you need to achieve the finest work of your career. **Benefits**  
Benefits are a key component of your rewards package. Our benefits are designed to provide you with additional protection, security, and support for both your career and your life away from work. Our benefits include comprehensive health plans, paid time off, retirement savings, corporate wellness, educational assistance, corporate discounts, and more. **Compensation**  
The pay range for this position is listed below.  
“Based on our compensation philosophy, an applicant’s position placement in the pay range will depend on various considerations, such as years of applicable experience and skill level.” **Thank You!**  
We know your time is valuable and we thank you for applying for this position. Due to the high volume of applicants, only those who are chosen to advance in our interview process will be contacted. We sincerely appreciate your interest in Acentra Health and invite you to apply to future openings that may be of interest. Best of luck in your search!  
\~ The Acentra Health Talent Acquisition Team  
Visit us at https://careers.acentra.com/jobs **EEO AA M/F/Vet/Disability**  
Acentra Health is an Equal Opportunity Employer. All qualified applicants will receive consideration for employment without regard to race, color, religion, sex, sexual orientation, national origin, disability, status as a protected veteran or any other status protected by applicable Federal, State or Local law. *\#LI\-SF1*
Pay Range: USD $97,040\.00 \- USD $130,000\.00 /Yr.</t>
        </is>
      </c>
    </row>
    <row r="30">
      <c r="A30" t="inlineStr">
        <is>
          <t>in-b6e978c5727c19b4</t>
        </is>
      </c>
      <c r="B30" t="inlineStr">
        <is>
          <t>Lead Applied AI Engineer</t>
        </is>
      </c>
      <c r="C30" t="inlineStr">
        <is>
          <t>Material Bank</t>
        </is>
      </c>
      <c r="D30" t="inlineStr">
        <is>
          <t>indeed</t>
        </is>
      </c>
      <c r="E30">
        <f>HYPERLINK("https://www.indeed.com/viewjob?jk=b6e978c5727c19b4", "https://www.indeed.com/viewjob?jk=b6e978c5727c19b4")</f>
        <v/>
      </c>
      <c r="F30">
        <f>HYPERLINK("https://grnh.se/22hbsupc3us", "https://grnh.se/22hbsupc3us")</f>
        <v/>
      </c>
      <c r="G30" t="inlineStr">
        <is>
          <t>Boca Raton, FL, US</t>
        </is>
      </c>
      <c r="H30" s="3" t="n">
        <v>46064</v>
      </c>
      <c r="I30"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 search, sample, and specify materials.
As an **Applied AI Engineer,** you will lead the design, build, and deployment of AI workflows across Material Bank. You will be responsible for creating innovative, scalable, and high\-performing AI systems that improve internal efficiency while strengthening the core mechanics of how we operate. Your work will span two major domains (1\) internal AI enablement \- automating and optimizing internal workflows (e.g. project tracking, reporting, etc.) and (2\) business\-embedded AI \- enhancing the systems and workflows that drive revenue and growth (e.g. sales prospecting, data enrichment, user support tools, etc.)
This role requires deep cross\-functional collaboration. You will partner with technical teams (Engineering, Data) and non\-technical stakeholders (Sales, Operations, Marketing, and Executive Leadership) to identify high\-impact opportunities and translate business needs into practical, production\-ready AI solutions. You must be equally comfortable architecting systems with engineers and communicating AI capabilities, trade\-offs, and ROI to senior leaders.
You will prioritize initiatives based on true organizational value, balancing speed, feasibility, scalability, and long\-term impact, and educate the executive team on where AI can create meaningful advantage and where focus matters most. This role requires a deep passion for applied AI, along with demonstrated experience deploying AI solutions in production and embedding them into operational and revenue\-driving workflows. AI will be foundational to how Material Bank scales, and you will help architect that future.
This hybrid role is based in our Boca Raton headquarters, with three days per week onsite, partnering closely with our COO to drive AI initiatives.
**What you'll do:**
* Design, build, and deploy end\-to\-end AI workflows from concept through production across internal and revenue\-driving functions.
* Identify and prioritize high\-impact AI opportunities that improve efficiency, decision\-making, and organizational velocity.
* Embed AI into core business processes, including sales prospecting, brand vetting, material classification, data enrichment, and user support tools.
* Architect scalable solutions leveraging LLMs, embeddings, agent frameworks, automation tools, and modern data infrastructure.
* Partner cross\-functionally with Engineering, Data, Sales, Marketing, Operations, and Executive Leadership to translate business needs into production\-ready AI systems.
* Educate and advise leadership on AI capabilities, trade\-offs, prioritization, and ROI to ensure focus on initiatives that drive the greatest business value.
* Continuously evaluate emerging AI technologies and ensure all implementations are built on clean, secure, and scalable data foundations.
**What you'll bring:**
* 5\+ years of engineering experience, with demonstrated success building and deploying production\-grade AI/ML systems.
* Deep hands\-on experience with LLMs, embeddings, RAG architectures, and/or agent\-based frameworks.
* Strong programming proficiency in Python and/or TypeScript/JavaScript (additional languages a plus).
* Experience designing scalable data pipelines and working with SQL/NoSQL databases and modern data infrastructure.
* Proven ability to translate ambiguous business problems into practical, high\-impact technical solutions.
* Experience collaborating across technical and non\-technical teams, with strong communication skills at both operator and executive levels.
* Strong product and prioritization instincts, with a focus on measurable business impact and ROI.
* Passion for applied AI and a track record of integrating AI into operational and revenue\-driving workflows.
***What you'll get from us:***
* ***Our people****: We are a growth\-driven team that values efficiency, builds smart automation, operates in small empowered teams, and moves quickly from idea to execution.*
* ***Relaxation and Celebrations****: Flexible PTO, Sick Days, Paid National Holidays, and even more (ask us about this when we connect).*
* ***Health Benefits******:*** *We* *contribute* *to your medical, dental, vision and short\-term/long\-term* *disability plans* *and have a strong employee assistance program.*
* ***Plan for your Retirement******:*** *401(k)* *eligible* *after your first 90 day's employed!*
* ***Giving Back****: We sponsor multiple events throughout the year to help out our communities.*
* ***Growth****: We'll help you take your career to the next level. We want you to be creative and take initiative which will allow you to grow and create within the company. Most importantly, be the best at what matters!*
* ***Flexible Work Schedules****: With business units and employees across the globe, Material Technologies has embraced a* ***hybrid working*** *model allowing department leaders to decide on the best approach for their respective teams, whether that be remote, in person, or a little of both.*
Material Bank is proud to be an equal opportunity employer. We value diversity, and all applicants will be considered for employment without attention to race, color, religion, sex, sexual orientation, gender identity, age, national origin, veteran or disability status or other status protected under any applicable federal, state or local law.</t>
        </is>
      </c>
    </row>
    <row r="31">
      <c r="A31" t="inlineStr">
        <is>
          <t>in-c50d5d3a4588838c</t>
        </is>
      </c>
      <c r="B31" t="inlineStr">
        <is>
          <t>Senior AI/ML Engineer</t>
        </is>
      </c>
      <c r="C31" t="inlineStr">
        <is>
          <t>Sigma Computing</t>
        </is>
      </c>
      <c r="D31" t="inlineStr">
        <is>
          <t>indeed</t>
        </is>
      </c>
      <c r="E31">
        <f>HYPERLINK("https://www.indeed.com/viewjob?jk=c50d5d3a4588838c", "https://www.indeed.com/viewjob?jk=c50d5d3a4588838c")</f>
        <v/>
      </c>
      <c r="F31">
        <f>HYPERLINK("https://grnh.se/1qpizpxp3us", "https://grnh.se/1qpizpxp3us")</f>
        <v/>
      </c>
      <c r="G31" t="inlineStr">
        <is>
          <t>San Francisco, CA, US</t>
        </is>
      </c>
      <c r="H31" s="3" t="n">
        <v>46064</v>
      </c>
      <c r="I31" t="inlineStr">
        <is>
          <t>#### **About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32">
      <c r="A32" t="inlineStr">
        <is>
          <t>in-d9de60f3d21eecd1</t>
        </is>
      </c>
      <c r="B32" t="inlineStr">
        <is>
          <t>Senior AI/ML Engineer</t>
        </is>
      </c>
      <c r="C32" t="inlineStr">
        <is>
          <t>Sigma Computing</t>
        </is>
      </c>
      <c r="D32" t="inlineStr">
        <is>
          <t>indeed</t>
        </is>
      </c>
      <c r="E32">
        <f>HYPERLINK("https://www.indeed.com/viewjob?jk=d9de60f3d21eecd1", "https://www.indeed.com/viewjob?jk=d9de60f3d21eecd1")</f>
        <v/>
      </c>
      <c r="F32">
        <f>HYPERLINK("https://grnh.se/9zp0jv5q3us", "https://grnh.se/9zp0jv5q3us")</f>
        <v/>
      </c>
      <c r="G32" t="inlineStr">
        <is>
          <t>New York, NY, US</t>
        </is>
      </c>
      <c r="H32" s="3" t="n">
        <v>46064</v>
      </c>
      <c r="I32" t="inlineStr">
        <is>
          <t>#### **About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33">
      <c r="A33" t="inlineStr">
        <is>
          <t>in-bc38a0212c061e70</t>
        </is>
      </c>
      <c r="B33" t="inlineStr">
        <is>
          <t>Staff AI/ML Engineer</t>
        </is>
      </c>
      <c r="C33" t="inlineStr">
        <is>
          <t>Sigma Computing</t>
        </is>
      </c>
      <c r="D33" t="inlineStr">
        <is>
          <t>indeed</t>
        </is>
      </c>
      <c r="E33">
        <f>HYPERLINK("https://www.indeed.com/viewjob?jk=bc38a0212c061e70", "https://www.indeed.com/viewjob?jk=bc38a0212c061e70")</f>
        <v/>
      </c>
      <c r="F33">
        <f>HYPERLINK("https://grnh.se/1qdmcffm3us", "https://grnh.se/1qdmcffm3us")</f>
        <v/>
      </c>
      <c r="G33" t="inlineStr">
        <is>
          <t>San Francisco, CA, US</t>
        </is>
      </c>
      <c r="H33" s="3" t="n">
        <v>46064</v>
      </c>
      <c r="I33" t="inlineStr">
        <is>
          <t>#### **About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34">
      <c r="A34" t="inlineStr">
        <is>
          <t>in-b45f24f3906d62ca</t>
        </is>
      </c>
      <c r="B34" t="inlineStr">
        <is>
          <t>Staff AI/ML Engineer</t>
        </is>
      </c>
      <c r="C34" t="inlineStr">
        <is>
          <t>Sigma Computing</t>
        </is>
      </c>
      <c r="D34" t="inlineStr">
        <is>
          <t>indeed</t>
        </is>
      </c>
      <c r="E34">
        <f>HYPERLINK("https://www.indeed.com/viewjob?jk=b45f24f3906d62ca", "https://www.indeed.com/viewjob?jk=b45f24f3906d62ca")</f>
        <v/>
      </c>
      <c r="F34">
        <f>HYPERLINK("https://grnh.se/uq287q3m3us", "https://grnh.se/uq287q3m3us")</f>
        <v/>
      </c>
      <c r="G34" t="inlineStr">
        <is>
          <t>San Francisco, CA, US</t>
        </is>
      </c>
      <c r="H34" s="3" t="n">
        <v>46064</v>
      </c>
      <c r="I34" t="inlineStr">
        <is>
          <t>#### **About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35">
      <c r="A35" t="inlineStr">
        <is>
          <t>in-d092934c2c514f00</t>
        </is>
      </c>
      <c r="B35" t="inlineStr">
        <is>
          <t>Machine Learning Engineer</t>
        </is>
      </c>
      <c r="C35" t="inlineStr">
        <is>
          <t>Cloudflare</t>
        </is>
      </c>
      <c r="D35" t="inlineStr">
        <is>
          <t>indeed</t>
        </is>
      </c>
      <c r="E35">
        <f>HYPERLINK("https://www.indeed.com/viewjob?jk=d092934c2c514f00", "https://www.indeed.com/viewjob?jk=d092934c2c514f00")</f>
        <v/>
      </c>
      <c r="F35">
        <f>HYPERLINK("https://grnh.se/da8fzl7y1us", "https://grnh.se/da8fzl7y1us")</f>
        <v/>
      </c>
      <c r="G35" t="inlineStr">
        <is>
          <t>Austin, TX, US</t>
        </is>
      </c>
      <c r="H35" s="3" t="n">
        <v>46064</v>
      </c>
      <c r="I35"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**About the Team**
------------------
The Core Data team's mission is building a centralized data platform for Cloudflare that provides secure, democratized access to data for internal customers throughout the company. We operate infrastructure and craft tools to empower both technical and non\-technical users to answer their most important questions. We facilitate access to data from federated sources across the company for dashboarding, ad\-hoc querying and in\-product use cases. We power data pipelines and data products, secure and monitor data, and drive data governance at Cloudflare. Our work enables every individual at the company to act with greater information and make more informed decisions.
**About the Role**
------------------
We are looking for a Machine Learning Engineer to lead the transformation of our data lakehouse into a semantically\-aware intelligence platform. Instead of traditional ETL, this role focuses on building the software layer that extracts meaning from our vast data stores. You will be responsible for developing and leveraging a Semantic Knowledge Graph to power LLM\-driven applications, discovery tools, and automated reasoning systems that serve business needs across Product, Marketing, and Billing.
**What You'll Do**
------------------
* Architect Semantic Layers: Design and develop the software infrastructure to layer semantic meaning over our existing data stack, including Kubernetes, Trino, and Iceberg.
* Build Knowledge Graphs: Construct and maintain large\-scale knowledge graphs from unstructured and structured sources to enable advanced reasoning.
* Develop AI Software: Build production\-grade software and APIs that leverage LLMs and Graph RAG pipelines to solve complex business queries.
* Enhance Data Intelligence: Implement embedding\-based retrieval and semantic deduplication to improve the precision and reliability of AI agents.
* Collaborate on AI Solutions: Work with cross\-functional teams to deploy conversational agents and automated diagnostics tools that turn data into actionable business value.
**Requirements**
----------------
* 3\-5\+ years of experience in software or machine learning engineering with a focus on AI\-driven applications.
* Expertise in Knowledge Representation: Proven experience building knowledge graphs (e.g., HNSW, Neptune) and using graph\-based reasoning for AI.
* Proficiency with LLMs \&amp; GenAI: Hands\-on experience with RAG pipelines, fine\-tuning (SFT/LoRA), and LLM\-as\-a\-judge evaluation frameworks.
* Strong Backend Skills: Proficient in Python, Go, or TypeScript, with the ability to build and debug complex software systems.
* Analytical Mindset: Strong ability to understand how semantic data structures drive business value and improve user decision\-making.
* B.S. or M.S. in Computer Science, Engineering, Mathematics, or related fields.
* Solid understanding of systems engineering principles and practices.
**Desirable Skills**
--------------------
* Experience with Semantic Search and hybrid vector search query engines.
* Familiarity with MLOps and deploying models within Kubernetes environments.
* Published research or a strong background in Applied ML or Computational Intelligence.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36">
      <c r="A36" t="inlineStr">
        <is>
          <t>in-2c06ed1a9c3f3867</t>
        </is>
      </c>
      <c r="B36" t="inlineStr">
        <is>
          <t>Machine Learning Engineer - Perception</t>
        </is>
      </c>
      <c r="C36" t="inlineStr">
        <is>
          <t>Zoox</t>
        </is>
      </c>
      <c r="D36" t="inlineStr">
        <is>
          <t>indeed</t>
        </is>
      </c>
      <c r="E36">
        <f>HYPERLINK("https://www.indeed.com/viewjob?jk=2c06ed1a9c3f3867", "https://www.indeed.com/viewjob?jk=2c06ed1a9c3f3867")</f>
        <v/>
      </c>
      <c r="F36">
        <f>HYPERLINK("https://jobs.lever.co/zoox/50b011cc-1023-4d9a-b8be-c938e2c12f13?lever-source=Indeed", "https://jobs.lever.co/zoox/50b011cc-1023-4d9a-b8be-c938e2c12f13?lever-source=Indeed")</f>
        <v/>
      </c>
      <c r="G36" t="inlineStr">
        <is>
          <t>Foster City, CA, US</t>
        </is>
      </c>
      <c r="H36" s="3" t="n">
        <v>46064</v>
      </c>
      <c r="I36" t="inlineStr">
        <is>
          <t>The Perception team at Zoox is at the forefront of leveraging GenAI to create synthetic data, unlocking scalable training and evaluation for our autonomous system's perception and entire stack. As a Generative AI Engineer, you will develop and train cutting\-edge models for sensor\-level scenario generation, utilizing world models and radiance fields techniques with large\-scale proprietary data. This role directly impacts the productivity, safety, and capabilities of Zoox's autonomous system by validating algorithms in real\-world conditions.
### **In this role, you will:**
* Design, develop, train and evaluate multi\-sensor fusion based deep learning models to understand obstacles and environmental context
* Understand and curate real and synthetic datasets to improve our models
* Perform latency optimization and deploy models to our robot fleet
* Build a deep understanding of Perception gaps and behavioral issues around difficult obstacle types in order to help plan and prioritize our work
* Collaborate with Prediction/Planner team to deploy fully autonomous vehicles in environments with difficult and rare obstacles, extreme weather conditions, and complex driving scenario
### **Qualifications**
* MS or PhD in Computer Science, Machine Learning, or related technical field with 5\+ years of industry experience
* Proficiency in Python and some knowledge in C\+\+
* Deep Learning expertise
* Experience developing multi\-sensor fusion algorithms for object detection, panoptic segmentation or object tracking
* Familiar with Transformer architecture
### **Bonus Qualifications**
* Publications in top\-tier conferences (CVPR, ICCV, RSS, ICRA)
* Experience with autonomous robotics systems
* Experience implementing 3D Gaussian Splatting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7">
      <c r="A37" t="inlineStr">
        <is>
          <t>in-470962eca2a05604</t>
        </is>
      </c>
      <c r="B37" t="inlineStr">
        <is>
          <t>Machine Learning Engineer - Perception</t>
        </is>
      </c>
      <c r="C37" t="inlineStr">
        <is>
          <t>Zoox</t>
        </is>
      </c>
      <c r="D37" t="inlineStr">
        <is>
          <t>indeed</t>
        </is>
      </c>
      <c r="E37">
        <f>HYPERLINK("https://www.indeed.com/viewjob?jk=470962eca2a05604", "https://www.indeed.com/viewjob?jk=470962eca2a05604")</f>
        <v/>
      </c>
      <c r="F37">
        <f>HYPERLINK("https://jobs.lever.co/zoox/50b011cc-1023-4d9a-b8be-c938e2c12f13?lever-source=Indeed", "https://jobs.lever.co/zoox/50b011cc-1023-4d9a-b8be-c938e2c12f13?lever-source=Indeed")</f>
        <v/>
      </c>
      <c r="G37" t="inlineStr">
        <is>
          <t>Seattle, WA, US</t>
        </is>
      </c>
      <c r="H37" s="3" t="n">
        <v>46064</v>
      </c>
      <c r="I37" t="inlineStr">
        <is>
          <t>The Perception team at Zoox is at the forefront of leveraging GenAI to create synthetic data, unlocking scalable training and evaluation for our autonomous system's perception and entire stack. As a Generative AI Engineer, you will develop and train cutting\-edge models for sensor\-level scenario generation, utilizing world models and radiance fields techniques with large\-scale proprietary data. This role directly impacts the productivity, safety, and capabilities of Zoox's autonomous system by validating algorithms in real\-world conditions.
### **In this role, you will:**
* Design, develop, train and evaluate multi\-sensor fusion based deep learning models to understand obstacles and environmental context
* Understand and curate real and synthetic datasets to improve our models
* Perform latency optimization and deploy models to our robot fleet
* Build a deep understanding of Perception gaps and behavioral issues around difficult obstacle types in order to help plan and prioritize our work
* Collaborate with Prediction/Planner team to deploy fully autonomous vehicles in environments with difficult and rare obstacles, extreme weather conditions, and complex driving scenario
### **Qualifications**
* MS or PhD in Computer Science, Machine Learning, or related technical field with 5\+ years of industry experience
* Proficiency in Python and some knowledge in C\+\+
* Deep Learning expertise
* Experience developing multi\-sensor fusion algorithms for object detection, panoptic segmentation or object tracking
* Familiar with Transformer architecture
### **Bonus Qualifications**
* Publications in top\-tier conferences (CVPR, ICCV, RSS, ICRA)
* Experience with autonomous robotics systems
* Experience implementing 3D Gaussian Splatting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8">
      <c r="A38" t="inlineStr">
        <is>
          <t>in-bdb80b19e9c9e021</t>
        </is>
      </c>
      <c r="B38" t="inlineStr">
        <is>
          <t>Senior Machine Learning Engineer</t>
        </is>
      </c>
      <c r="C38" t="inlineStr">
        <is>
          <t>Adobe</t>
        </is>
      </c>
      <c r="D38" t="inlineStr">
        <is>
          <t>indeed</t>
        </is>
      </c>
      <c r="E38">
        <f>HYPERLINK("https://www.indeed.com/viewjob?jk=bdb80b19e9c9e021", "https://www.indeed.com/viewjob?jk=bdb80b19e9c9e021")</f>
        <v/>
      </c>
      <c r="F38">
        <f>HYPERLINK("https://careers.adobe.com/us/en/job/ADOBUSR165365EXTERNALENUS/Senior-Machine-Learning-Engineer?utm_source=indeed&amp;utm_medium=phenom-feeds", "https://careers.adobe.com/us/en/job/ADOBUSR165365EXTERNALENUS/Senior-Machine-Learning-Engineer?utm_source=indeed&amp;utm_medium=phenom-feeds")</f>
        <v/>
      </c>
      <c r="G38" t="inlineStr">
        <is>
          <t>San Jose, CA, US</t>
        </is>
      </c>
      <c r="H38" s="3" t="n">
        <v>46064</v>
      </c>
      <c r="I3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We are building an advanced AI platform that powers next\-generation creative workflows for flagship products like Photoshop and Lightroom . As a Sr. Machine Learning Engineer, you will combine hands\-on engineering with architectural leadership to design and implement reasoning systems, tool orchestration, and multimodal integrations using cutting\-edge large language models (LLMs) and vision\-language models (VLLMs).
The Opportunity
* (M)LLM post\-training and evaluation
* Agent system architecture design and implementation
* Practical agent development (Langchain, MCP, A2A)
* Image generation and editing
* Building scalable AI solutions
What you'll Do
* Developing next\-generation AI agents that improve Adobe’s product ecosystem
* Crafting robust agent architectures that combine multiple AI capabilities
* Designing evaluation frameworks for agent performance
* Implementing state\-of\-the\-art LLM techniques for specialized applications
What you need to succeed
* Master's/ PhD degree in Computer Science, Machine Learning, Data Science, or a related field
* Demonstrated experience in AI, LLMs, and agentic system development
* Proficiency in frameworks like PyTorch, LangChain, LangGraph, MCP, Agent Development Kit (ADK).
* Strong foundation in data structures, algorithms, and software engineering principles
* Excellent problem\-solving and analytical skills, with a proactive approach to challenges
* Ability to move fast in an environment where things are sometimes loosely defined and may have competing priorities or deadlines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9">
      <c r="A39" t="inlineStr">
        <is>
          <t>in-fe0535f2cb419388</t>
        </is>
      </c>
      <c r="B39" t="inlineStr">
        <is>
          <t>Capability Lifecycle AI/ML Engineer</t>
        </is>
      </c>
      <c r="C39" t="inlineStr"/>
      <c r="D39" t="inlineStr">
        <is>
          <t>indeed</t>
        </is>
      </c>
      <c r="E39">
        <f>HYPERLINK("https://www.indeed.com/viewjob?jk=fe0535f2cb419388", "https://www.indeed.com/viewjob?jk=fe0535f2cb419388")</f>
        <v/>
      </c>
      <c r="F39">
        <f>HYPERLINK("https://ironcladdefenseworks.applytojob.com/apply/pf2qg5Lvbp/Capability-Lifecycle-AIML-Engineer?source=INDE&amp;~", "https://ironcladdefenseworks.applytojob.com/apply/pf2qg5Lvbp/Capability-Lifecycle-AIML-Engineer?source=INDE&amp;~")</f>
        <v/>
      </c>
      <c r="G39" t="inlineStr">
        <is>
          <t>Norfolk, VA, US</t>
        </is>
      </c>
      <c r="H39" s="3" t="n">
        <v>46064</v>
      </c>
      <c r="I39" t="inlineStr">
        <is>
          <t>**Capability Lifecycle AI/ML Engineer**  
**Location:** Norfolk, VA (On\-site at NATO HQ SACT)  
**Employment Type:** Full\-time, contractor support (contingent upon contract award \&amp; customer approval)  
**Security Clearance:** Active/eligible for NATO or National SECRET (or higher)  
**Openings:** 1 opening  
**Target Base Salary Range:** $99,000 \- $149,000  
**Travel:** Occasional mission travel as required; valid NATO nation passport with no travel restrictions.  
**Role Overview**  
Support CAPDEV’s Data and Analytics Office by developing and operationalizing AI/ML solutions for capability lifecycle planning, forecasting, risk identification, and decision support. You will design, deploy, and maintain models and pipelines in governed environments, integrate outputs into analytics workflows, and collaborate with analysts and engineers to deliver production\-ready solutions.  
**Key Responsibilities*** Design, develop, train, validate, and deploy AI/ML models for forecasting and decision support.
* Integrate AI/ML outputs into enterprise analytics workflows, dashboards, and reporting.
* Build and maintain data preparation and feature engineering pipelines (ETL/ELT).
* Implement and operate AI/ML solutions in secure, scalable cloud environments.
* Manage model lifecycle (monitoring, retraining, version control, documentation).
* Apply responsible and explainable AI practices and support compliance/governance requirements.
* Produce clear technical documentation and deliver knowledge transfer to customer teams.
* Engage stakeholders to translate requirements into usable analytic products.
**Required Qualifications*** 8\+ years of professional experience in data science/advanced analytics and/or ML engineering.
* Expertise in statistical modeling and ML (development, validation, deployment) for decision support use cases.
* Experience building automated data pipelines and feature engineering workflows.
* Experience deploying models/pipelines on cloud\-based analytics or AI/ML platforms.
* Bachelor’s degree in a quantitative/technical discipline (e.g., CS, Math, Engineering, Statistics).
* Experience working within governed/regulatory environments (data governance, security, compliance).
* English proficiency equivalent to STANAG 6001 SLP 3333; strong communication skills for technical and non\-technical audiences.
* Citizen of a NATO member nation; demonstrated minimum NATO/National SECRET clearance (or higher) for the contract duration.
**Preferred / Nice\-to\-Have*** Experience integrating ML into BI/reporting platforms used by senior decision makers.
* Experience with MLOps tooling (model registry, CI/CD for ML, monitoring).
* Experience in defence/security analytics and capability lifecycle contexts.
**How to Apply**  
Email your resume to jobs@idw.inc with the subject line: "RFP\-ACT\-SACT\-26\-02 – LC10 – Full\-Stack Developer" or respond to this job posting via the included web application.  
Ironclad Defense Works is an Equal Opportunity Employer.  
pf2qg5Lvbp</t>
        </is>
      </c>
    </row>
    <row r="40">
      <c r="A40" t="inlineStr">
        <is>
          <t>in-dc8899e01ffd64d4</t>
        </is>
      </c>
      <c r="B40" t="inlineStr">
        <is>
          <t>Machine Learning Engineer II - Marketplace Pricing &amp; Incentives</t>
        </is>
      </c>
      <c r="C40" t="inlineStr">
        <is>
          <t>Uber</t>
        </is>
      </c>
      <c r="D40" t="inlineStr">
        <is>
          <t>indeed</t>
        </is>
      </c>
      <c r="E40">
        <f>HYPERLINK("https://www.indeed.com/viewjob?jk=dc8899e01ffd64d4", "https://www.indeed.com/viewjob?jk=dc8899e01ffd64d4")</f>
        <v/>
      </c>
      <c r="F40">
        <f>HYPERLINK("https://tnl2.jometer.com/v2/job?jz=5wqzs06bd2ae012887b03361334dde9c1ee15KMAAKAAAAABQ&amp;iis=Job%20Board%20-%20Recruitment%20Marketing&amp;iisn=Indeed%20Organic", "https://tnl2.jometer.com/v2/job?jz=5wqzs06bd2ae012887b03361334dde9c1ee15KMAAKAAAAABQ&amp;iis=Job%20Board%20-%20Recruitment%20Marketing&amp;iisn=Indeed%20Organic")</f>
        <v/>
      </c>
      <c r="G40" t="inlineStr">
        <is>
          <t>San Francisco, CA, US</t>
        </is>
      </c>
      <c r="H40" s="3" t="n">
        <v>46064</v>
      </c>
      <c r="I40" t="inlineStr">
        <is>
          <t>**About the Role**
Uber Marketplace is at the core of Uber's business, and Mobility Simulation and Planning is a critical component of Marketplace. The team's mission is to drive the growth and efficiency of the marketplace while optimizing revenue through pricing and incentives simulation and optimization. The role will provide an opportunity to work on some of the most challenging marketplace problems at Uber's scale that directly impact Uber's global business.
**What You'll Do**
In this role, you will develop and implement ML and optimization solutions to enhance pricing and incentive efficiency, while optimizing interactions with other marketplace components.
Key responsibilities include:
* Leading the design and implementation of ML\-driven solutions to meet business requirements.
* Managing end\-to\-end project execution, from scoping and offline evaluation to experimentation, production, and post\-launch monitoring.
* Developing and refining ML models and optimization algorithms to improve simulation accuracy and overall performance.
* Collaborating with cross\-functional teams, including product, operations, and science partners.
**Basic Qualifications*** 2\+ years of experience in an ML/optimization role, or a PhD in a relevant field (CS, OR, EE, Statistics, etc.)
* Expertise in machine learning and optimization algorithms
* Experience with ML frameworks
* Proficiency in at least one coding language such as Python, Go, or Java
* Strong communication skills and ability to work effectively with cross\-functional partners
* Strong sense of ownership to drive projects end\-to\-end
**Preferred Qualifications*** Experience in translating ambiguous business problems into structured, principled technical solutions
* Experience in developing and deploying optimization algorithms in production
* Experience in causal inference and experimental design
Experience in evaluating ML models in a production environment  
*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41">
      <c r="A41" t="inlineStr">
        <is>
          <t>in-77c1190aa4f3ca35</t>
        </is>
      </c>
      <c r="B41" t="inlineStr">
        <is>
          <t>Machine Learning Engineer II - Marketplace Pricing &amp; Incentives</t>
        </is>
      </c>
      <c r="C41" t="inlineStr">
        <is>
          <t>Uber</t>
        </is>
      </c>
      <c r="D41" t="inlineStr">
        <is>
          <t>indeed</t>
        </is>
      </c>
      <c r="E41">
        <f>HYPERLINK("https://www.indeed.com/viewjob?jk=77c1190aa4f3ca35", "https://www.indeed.com/viewjob?jk=77c1190aa4f3ca35")</f>
        <v/>
      </c>
      <c r="F41">
        <f>HYPERLINK("https://tnl2.jometer.com/v2/job?jz=5wqzs7b5e346984e82a26ddb356405a5e0de1KMAAKAAAAABQ&amp;iis=Job%20Board%20-%20Recruitment%20Marketing&amp;iisn=Indeed%20Organic", "https://tnl2.jometer.com/v2/job?jz=5wqzs7b5e346984e82a26ddb356405a5e0de1KMAAKAAAAABQ&amp;iis=Job%20Board%20-%20Recruitment%20Marketing&amp;iisn=Indeed%20Organic")</f>
        <v/>
      </c>
      <c r="G41" t="inlineStr">
        <is>
          <t>Sunnyvale, CA, US</t>
        </is>
      </c>
      <c r="H41" s="3" t="n">
        <v>46064</v>
      </c>
      <c r="I41" t="inlineStr">
        <is>
          <t>**About the Role**
Uber Marketplace is at the core of Uber's business, and Mobility Simulation and Planning is a critical component of Marketplace. The team's mission is to drive the growth and efficiency of the marketplace while optimizing revenue through pricing and incentives simulation and optimization. The role will provide an opportunity to work on some of the most challenging marketplace problems at Uber's scale that directly impact Uber's global business.
**What You'll Do**
In this role, you will develop and implement ML and optimization solutions to enhance pricing and incentive efficiency, while optimizing interactions with other marketplace components.
Key responsibilities include:
* Leading the design and implementation of ML\-driven solutions to meet business requirements.
* Managing end\-to\-end project execution, from scoping and offline evaluation to experimentation, production, and post\-launch monitoring.
* Developing and refining ML models and optimization algorithms to improve simulation accuracy and overall performance.
* Collaborating with cross\-functional teams, including product, operations, and science partners.
**Basic Qualifications*** 2\+ years of experience in an ML/optimization role, or a PhD in a relevant field (CS, OR, EE, Statistics, etc.)
* Expertise in machine learning and optimization algorithms
* Experience with ML frameworks
* Proficiency in at least one coding language such as Python, Go, or Java
* Strong communication skills and ability to work effectively with cross\-functional partners
* Strong sense of ownership to drive projects end\-to\-end
**Preferred Qualifications*** Experience in translating ambiguous business problems into structured, principled technical solutions
* Experience in developing and deploying optimization algorithms in production
* Experience in causal inference and experimental design
Experience in evaluating ML models in a production environment  
*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li-4365225597</t>
        </is>
      </c>
      <c r="B2" t="inlineStr">
        <is>
          <t>Senior Applied Scientist, AI/ML</t>
        </is>
      </c>
      <c r="C2" t="inlineStr">
        <is>
          <t>LinkedIn</t>
        </is>
      </c>
      <c r="D2" t="inlineStr">
        <is>
          <t>linkedin</t>
        </is>
      </c>
      <c r="E2" t="inlineStr"/>
      <c r="F2" t="inlineStr"/>
      <c r="G2" t="inlineStr">
        <is>
          <t>Mountain View, CA</t>
        </is>
      </c>
      <c r="H2" t="inlineStr"/>
      <c r="I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Applied Science teams at LinkedIn empower the company’s products and businesses by driving impact through methodological innovation at scale. We conduct research and build solutions to tackle some of the most challenging business problems across LinkedIn’s ecosystem—from market and system design (e.g., auctions, matching), to optimization and personalization. Composed of scientists passionate about translating theory into practice, these teams build scalable, production\-ready solutions (e.g., models, tools and platforms) that support product, customer value, and long\-term business growth.
 As a Senior Applied Scientist, you will play a critical role in advancing LinkedIn’s next generation of AI\-powered systems by leading methodological research in areas such as prediction, measurement, and optimization, and transforming research into scalable, production\-grade models, tools and platforms. In this role, you will drive cutting\-edge R\&amp;D and integrate advanced methodologies into end\-to\-end systems that operate across multiple LinkedIn products and surfaces. You will design and develop novel methods and models, and deploy large\-scale ML / DL / RL / LLM solutions that are reliable, efficient, and maintainable in production. You will transform research solutions into robust, reusable tooling and platforms, and work on problems to boost the growth of LinkedIn's diverse products.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Identify and shape new opportunities where advances in methodology, AI, or system design can unlock step\-function improvements to marketplace performance and platform health.
* Lead methodological research in optimization or measurement, for large\-scale, multi\-sided marketplaces, including auction design, matching mechanisms, and personalization.
* Translate research into business impact by transforming novel methodologies into scalable, reliable, and reusable production\-grade models, tools, and platforms.
* Design and develop advanced models (ML, DL, RL, LLM\-based systems) to solve prediction, causal measurement, and optimization problems that directly impact marketplace efficiency, revenue, and member experience.
* Own end\-to\-end system design and deployment, from problem formulation, prototyping, modeling and experimentation in production environments.
* Drive cross\-functional collaboration with Engineering, Product, and cross\-functional partners to align on problem definitions, trade\-offs, and execution plans, and to ensure successful adoption of scientific solutions.
* Contribute to technical direction and best practices for the Applied Science team, influencing modeling standards, production craftsmanship and operational excellence.
* Mentor and elevate junior scientists, providing technical guidance, design reviews, and thought leadership to raise the overall bar for research quality and impact.
**Qualifications**
**Basic Qualifications**
* Bachelor's Degree in a quantitative discipline: Statistics, Operations Research, Computer Science, Informatics, Engineering, Applied Mathematics, Economics, etc.
* 3\+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PhD or Master’s degree in a quantitative field such as Computer Science, Machine Learning, Statistics, Economics, Operations Research, or a related discipline, with a strong research foundation.
* MS and 3\+ years of relevant work experience, or Ph.D. and 1\+ years of relevant work experience developing and deploying machine learning or optimization systems in large\-scale, production environments.
* Demonstrated experience applying advanced methodologies to real\-world marketplace, recommendation, auction, pricing, advertising, or ranking systems or building scalable tooling or platform
* Publications in top\-tier conferences or journals (e.g., NeurIPS, ICML, KDD, WWW) or equivalent industry research contributions are a plus.
**Suggested Skills**
* ML/AI System
* Statistical Modeling
* Platform/System Design
* Optimization Techniques (Bandits, RL, Multi\-objective Optimization)
* LLM/transformer\-based Models or Systems
* Research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$139,000\.00 to $229,000\.00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
      <c r="A3" t="inlineStr">
        <is>
          <t>li-4365220882</t>
        </is>
      </c>
      <c r="B3" t="inlineStr">
        <is>
          <t>Staff Applied Scientist</t>
        </is>
      </c>
      <c r="C3" t="inlineStr">
        <is>
          <t>LinkedIn</t>
        </is>
      </c>
      <c r="D3" t="inlineStr">
        <is>
          <t>linkedin</t>
        </is>
      </c>
      <c r="E3" t="inlineStr"/>
      <c r="F3" t="inlineStr"/>
      <c r="G3" t="inlineStr">
        <is>
          <t>Mountain View, CA</t>
        </is>
      </c>
      <c r="H3" t="inlineStr"/>
      <c r="I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causal analysis and develop causal methodology and machine learning models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5\+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7\+ years of industry or relevant 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
      <c r="A4" t="inlineStr">
        <is>
          <t>li-4371843422</t>
        </is>
      </c>
      <c r="B4" t="inlineStr">
        <is>
          <t>ML Engineer</t>
        </is>
      </c>
      <c r="C4" t="inlineStr">
        <is>
          <t>Aimpoint Digital</t>
        </is>
      </c>
      <c r="D4" t="inlineStr">
        <is>
          <t>linkedin</t>
        </is>
      </c>
      <c r="E4" t="inlineStr"/>
      <c r="F4" t="inlineStr"/>
      <c r="G4" t="inlineStr"/>
      <c r="H4" t="inlineStr"/>
      <c r="I4" t="inlineStr">
        <is>
          <t>**About The Company**
 Aimpoint Digital is a leading analytics consulting firm dedicated to transforming business operations through data\-driven strategies. With a focus on data strategy, analytics, decision sciences, and data engineering, Aimpoint Digital empowers organizations to unlock the full potential of their data assets. Our mission is to deliver innovative, scalable, and impactful solutions that drive measurable business value. We serve a diverse range of industries, leveraging cutting\-edge technologies and methodologies to solve complex problems and foster sustainable growth. Our team of experts is committed to excellence, continuous learning, and delivering client\-centric results that set new standards in the analytics landscape.
**About The Role**
 As a Lead Data Scientist at Aimpoint Digital, you will play a pivotal role in designing and implementing advanced analytical solutions that address complex business challenges. You will work closely with clients across various industries, acting as a trusted advisor to develop end\-to\-end machine learning and statistical models. Your responsibilities will include building feature engineering pipelines, deploying models into production environments, and creating data visualizations that facilitate strategic decision\-making. This role requires a proactive individual capable of working independently on multiple client engagements, contributing to the growth of our decision sciences practice, and driving innovation within the company. You will also be involved in business development efforts, sharing your expertise and insights to attract new clients and opportunities.
**Qualifications**
* Degree in Computer Science, Engineering, Mathematics, or related field, or equivalent practical experience
* Minimum of 3\+ years of experience developing and deploying machine learning models across various platforms (Azure, AWS, GCP, Databricks, etc.)
* Proficiency in programming languages such as Python, SQL, and Spark, following best practices in software engineering
* Experience with building high\-quality data science models to solve business problems
* Strong stakeholder management and collaboration skills
* Excellent written and verbal communication abilities
* Ability to independently manage workstreams and deliver results on time
* Willingness to travel as required
**Responsibilities**
* Design and develop end\-to\-end analytical solutions, including feature engineering, model development, and deployment
* Work with clients to understand their business needs and translate them into technical solutions
* Build and optimize machine learning and AI infrastructure, ensuring scalability and robustness
* Write clean, efficient, and optimized code in Python, SQL, and Spark
* Deploy models into production environments using various deployment options such as Azure Functions, FastAPI, or Kubernetes
* Collaborate with stakeholders to ensure successful project delivery and adoption of solutions
* Contribute to the development of the company’s practice through thought leadership, innovation, and mentorship
* Participate in business development activities, including proposal writing and client presentations
* Stay updated on emerging trends and technologies in data science, machine learning, and AI
**Benefits**
* Competitive salary and performance\-based incentives
* Flexible remote work arrangements within the US, UK, or Colombia
* Health, dental, and vision insurance coverage
* Professional development opportunities, including certifications and training
* Paid time off and holidays
* Collaborative and innovative work environment
* Opportunities to work on cutting\-edge projects with leading industry clients
 Equal Opportunity
 Aimpoint Digital is an equal opportunity employer. We celebrate diversity and are committed to creating an inclusive environment for all employees. All employment is decided based on qualifications, merit, and business needs without regard to race, color, religion, gender, sexual orientation, gender identity or expression, age, disability, or any other protected characteristic.</t>
        </is>
      </c>
    </row>
    <row r="5">
      <c r="A5" t="inlineStr">
        <is>
          <t>li-4371523600</t>
        </is>
      </c>
      <c r="B5" t="inlineStr">
        <is>
          <t>AI Engineer</t>
        </is>
      </c>
      <c r="C5" t="inlineStr">
        <is>
          <t>CNSS • National Security Systems</t>
        </is>
      </c>
      <c r="D5" t="inlineStr">
        <is>
          <t>linkedin</t>
        </is>
      </c>
      <c r="E5" t="inlineStr"/>
      <c r="F5" t="inlineStr"/>
      <c r="G5" t="inlineStr">
        <is>
          <t>Parkville, MD</t>
        </is>
      </c>
      <c r="H5" t="inlineStr"/>
      <c r="I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6">
      <c r="A6" t="inlineStr">
        <is>
          <t>li-4225062630</t>
        </is>
      </c>
      <c r="B6" t="inlineStr">
        <is>
          <t>Senior/Staff Applied Scientist</t>
        </is>
      </c>
      <c r="C6" t="inlineStr">
        <is>
          <t>Glean</t>
        </is>
      </c>
      <c r="D6" t="inlineStr">
        <is>
          <t>linkedin</t>
        </is>
      </c>
      <c r="E6" t="inlineStr"/>
      <c r="F6" t="inlineStr"/>
      <c r="G6" t="inlineStr"/>
      <c r="H6" t="inlineStr"/>
      <c r="I6"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Glean is building a world\-class Data Organization composed of product data science, applied science, data engineering and business intelligence groups. This is an applied science role based in our Palo Alto or San Francisco office. It covers a subset of:
**A/B Experimentation**
* Collaborate with product data science and engineering teams to identify techniques, tooling and process improvements in online A/B experimentation to assist rigorous decision making across all relevant product domains.
* Develop and maintain our A/B experimentation platform based on stakeholder feedback
* Write code or identify vendors to deploy these techniques to production in a scalable manner that’s easy to use by engineering, product data science, product management and design teams
**Generative AI Evaluation**
* End to end evaluation of various hero use cases like document/URL uploads, including evaluation set generation, coming up with evaluation criteria and methods to interpret the results.
* Breaking down end to end evaluations into more granular evaluation of various tasks \&amp; skills including but not limited to content summarization/analysis/generation, multi\-step reasoning \&amp; strategizing, tool selection \&amp; use, coding \&amp; system design.
* Design, development and ownership of best practices, tools and processes across various evaluation problems, e.g. query intent classification, standardizing the use of best statistical principles to handle LLM stochasticity, industry benchmarking.
**About You**
* You have 5\+ years of experience as a Masters degree holder, 3\+ as a PhD degree holders (Masters/PhD degree in Statistics, Mathematics or Computer Science, or another quantitative field)
* You’re strong in statistics and/or machine learning. You have experience in applying these skills into tangible improvements in products, internal tools, and processes in a pragmatic way that puts business urgencies first.
* You are very proficient in Python, e.g. proficient enough to maintain an internal source\-controlled library used by dozens of others.
* You are concise and precise in written and verbal communication. Technical documentation is your strong suit.
* You are proficient in SQL and the modern data stack (e.g. source\-controlled dbt pipelines for ETL/ELT).
* You are strong at defining good product KPIs/guardrail metrics, dashboarding and analysis of raw data to derive strategic insights.
* You have experience in B2B SaaS.
* You have experience working on ranking, developing, and maintaining A/B experimentation platforms and/or ML measurement problems.
* You are passionate about using AI to improve the productivity of data teams as well as non\-data professionals trying to derive more value of their company’s data.
**Location:**
* This role is hybrid (3\-4 days a week in one of our SF Bay Area offices)
**Compensation \&amp; Benefits**
 The standard base salary range for this position is $175,000 \- $230,000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7">
      <c r="A7" t="inlineStr">
        <is>
          <t>li-4371525611</t>
        </is>
      </c>
      <c r="B7" t="inlineStr">
        <is>
          <t>AI Engineer</t>
        </is>
      </c>
      <c r="C7" t="inlineStr">
        <is>
          <t>CNSS • National Security Systems</t>
        </is>
      </c>
      <c r="D7" t="inlineStr">
        <is>
          <t>linkedin</t>
        </is>
      </c>
      <c r="E7" t="inlineStr"/>
      <c r="F7" t="inlineStr"/>
      <c r="G7" t="inlineStr">
        <is>
          <t>Earleville, MD</t>
        </is>
      </c>
      <c r="H7" t="inlineStr"/>
      <c r="I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
      <c r="A8" t="inlineStr">
        <is>
          <t>li-4371507787</t>
        </is>
      </c>
      <c r="B8" t="inlineStr">
        <is>
          <t>AI Engineer</t>
        </is>
      </c>
      <c r="C8" t="inlineStr">
        <is>
          <t>CNSS • National Security Systems</t>
        </is>
      </c>
      <c r="D8" t="inlineStr">
        <is>
          <t>linkedin</t>
        </is>
      </c>
      <c r="E8" t="inlineStr"/>
      <c r="F8" t="inlineStr"/>
      <c r="G8" t="inlineStr">
        <is>
          <t>Pennsylvania, United States</t>
        </is>
      </c>
      <c r="H8" t="inlineStr"/>
      <c r="I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
      <c r="A9" t="inlineStr">
        <is>
          <t>li-4371524606</t>
        </is>
      </c>
      <c r="B9" t="inlineStr">
        <is>
          <t>AI Engineer</t>
        </is>
      </c>
      <c r="C9" t="inlineStr">
        <is>
          <t>CNSS • National Security Systems</t>
        </is>
      </c>
      <c r="D9" t="inlineStr">
        <is>
          <t>linkedin</t>
        </is>
      </c>
      <c r="E9" t="inlineStr"/>
      <c r="F9" t="inlineStr"/>
      <c r="G9" t="inlineStr">
        <is>
          <t>Fawn, PA</t>
        </is>
      </c>
      <c r="H9" t="inlineStr"/>
      <c r="I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
      <c r="A10" t="inlineStr">
        <is>
          <t>li-4371508800</t>
        </is>
      </c>
      <c r="B10" t="inlineStr">
        <is>
          <t>AI Engineer</t>
        </is>
      </c>
      <c r="C10" t="inlineStr">
        <is>
          <t>CNSS • National Security Systems</t>
        </is>
      </c>
      <c r="D10" t="inlineStr">
        <is>
          <t>linkedin</t>
        </is>
      </c>
      <c r="E10" t="inlineStr"/>
      <c r="F10" t="inlineStr"/>
      <c r="G10" t="inlineStr">
        <is>
          <t>Chesapeake City, MD</t>
        </is>
      </c>
      <c r="H10" t="inlineStr"/>
      <c r="I1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
      <c r="A11" t="inlineStr">
        <is>
          <t>li-4371516679</t>
        </is>
      </c>
      <c r="B11" t="inlineStr">
        <is>
          <t>AI Engineer</t>
        </is>
      </c>
      <c r="C11" t="inlineStr">
        <is>
          <t>CNSS • National Security Systems</t>
        </is>
      </c>
      <c r="D11" t="inlineStr">
        <is>
          <t>linkedin</t>
        </is>
      </c>
      <c r="E11" t="inlineStr"/>
      <c r="F11" t="inlineStr"/>
      <c r="G11" t="inlineStr">
        <is>
          <t>Trade, TN</t>
        </is>
      </c>
      <c r="H11" t="inlineStr"/>
      <c r="I1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
      <c r="A12" t="inlineStr">
        <is>
          <t>li-4371509696</t>
        </is>
      </c>
      <c r="B12" t="inlineStr">
        <is>
          <t>Machine Learning Engineer</t>
        </is>
      </c>
      <c r="C12" t="inlineStr">
        <is>
          <t>Baanyan Software Services, Inc.</t>
        </is>
      </c>
      <c r="D12" t="inlineStr">
        <is>
          <t>linkedin</t>
        </is>
      </c>
      <c r="E12" t="inlineStr"/>
      <c r="F12" t="inlineStr"/>
      <c r="G12" t="inlineStr">
        <is>
          <t>New Jersey, United States</t>
        </is>
      </c>
      <c r="H12" t="inlineStr"/>
      <c r="I12" t="inlineStr">
        <is>
          <t>**Hi All,** 
**Job Title: Machine Learning Engineer (Backend / Platform)(Not a Data Scientist Role)** 
 Mode of interview: Virtual, followed by F2F(On\-site interview)
**Location:** 
 Open (USA)
**Employment Type:** 
 Full\-Time (It's a W2 Role, No C2C Resumes Please)
**Location: New Jersey (Need local candidate)** 
**Additional Requirements** 
* Minimum
 **5 years of hands\-on experience gained in India and 1 year in the USA**
* Candidate must be
 **local to New Jersey** 
 .
* **A valid New Jersey driver’s license** 
 is required as proof.
* **Visa eligibility:** 
 OPT, STEM OPT, H\-4 EAD, L2S, GC, and Citizen
* **Education:** 
 A Bachelor’s or Master’s degree from a
 **reputed institution** 
 is strongly preferred.
**Job Summary** 
 We are seeking a
 **Machine Learning Engineer** 
 with strong
 **backend and platform engineering expertise** 
 to build, deploy, and scale production\-grade ML services. This is a
 **pure engineering role** 
 focused on
 **ML APIs, backend systems, and infrastructure** 
 —
 **not a Data Scientist role** 
 .
**Key Responsibilities** 
* Design, develop, and maintain
 **production ML services** 
 using
 **Python** 
 .
* Build and expose
 **ML inference APIs** 
 using
 **FastAPI** 
 and REST standards.
* Deploy, version, monitor, and scale ML models as backend services.
* Implement
 **end\-to\-end ML serving pipelines** 
 with reliability and performance in mind.
* Automate infrastructure provisioning using
 **Terraform (IaC)** 
 .
* Integrate ML services with existing backend systems and microservices.
* Ensure observability, logging, monitoring, and alerting for ML APIs.
* Collaborate with backend, platform, and DevOps teams.
* Follow best practices for code quality, testing, and CI/CD.
**Required Technical Skills** 
* Strong proficiency in
 **Python** 
 .
* Hands\-on experience with
 **FastAPI** 
 and RESTful API development.
* Solid experience in
 **backend / ML engineering** 
 (production\-focused).
* Experience deploying ML models to
 **cloud environments** 
 .
* Strong experience of
 **Infrastructure as Code (Terraform)** 
 .
* Experience with
 **Docker** 
 and cloud platforms (AWS / Azure / GCP).
* Familiarity with CI/CD pipelines and monitoring tools.
**Nice to Have** 
* Kubernetes or managed container orchestration experience.
* Exposure to MLOps practices (model versioning, monitoring, rollback).
* Experience building scalable, distributed backend systems.
**Thanks \&amp; Regards** 
**Vasu** 
**Baanyan Software Services Inc** 
**100 Metroplex Drive, Suite 100, 1st Floor, Edison, NJ. 08817** 
**Phone: 732\-595\-9006 Extn: 207 \| Direct: 732\-660\-9077** 
**Email:
 vasu@baanyan.com \|
 www.baanyan.com** 
**An E\-Verified Compan
 *y***</t>
        </is>
      </c>
    </row>
    <row r="13">
      <c r="A13" t="inlineStr">
        <is>
          <t>li-4371515730</t>
        </is>
      </c>
      <c r="B13" t="inlineStr">
        <is>
          <t>AI Engineer</t>
        </is>
      </c>
      <c r="C13" t="inlineStr">
        <is>
          <t>CNSS • National Security Systems</t>
        </is>
      </c>
      <c r="D13" t="inlineStr">
        <is>
          <t>linkedin</t>
        </is>
      </c>
      <c r="E13" t="inlineStr"/>
      <c r="F13" t="inlineStr"/>
      <c r="G13" t="inlineStr">
        <is>
          <t>Ridgely, MD</t>
        </is>
      </c>
      <c r="H13" t="inlineStr"/>
      <c r="I1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
      <c r="A14" t="inlineStr">
        <is>
          <t>li-4371518632</t>
        </is>
      </c>
      <c r="B14" t="inlineStr">
        <is>
          <t>AI Engineer</t>
        </is>
      </c>
      <c r="C14" t="inlineStr">
        <is>
          <t>CNSS • National Security Systems</t>
        </is>
      </c>
      <c r="D14" t="inlineStr">
        <is>
          <t>linkedin</t>
        </is>
      </c>
      <c r="E14" t="inlineStr"/>
      <c r="F14" t="inlineStr"/>
      <c r="G14" t="inlineStr">
        <is>
          <t>Annandale, VA</t>
        </is>
      </c>
      <c r="H14" t="inlineStr"/>
      <c r="I1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5">
      <c r="A15" t="inlineStr">
        <is>
          <t>li-4371508786</t>
        </is>
      </c>
      <c r="B15" t="inlineStr">
        <is>
          <t>AI Engineer</t>
        </is>
      </c>
      <c r="C15" t="inlineStr">
        <is>
          <t>CNSS • National Security Systems</t>
        </is>
      </c>
      <c r="D15" t="inlineStr">
        <is>
          <t>linkedin</t>
        </is>
      </c>
      <c r="E15" t="inlineStr"/>
      <c r="F15" t="inlineStr"/>
      <c r="G15" t="inlineStr">
        <is>
          <t>West Falls Church, VA</t>
        </is>
      </c>
      <c r="H15" t="inlineStr"/>
      <c r="I1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6">
      <c r="A16" t="inlineStr">
        <is>
          <t>li-4371516683</t>
        </is>
      </c>
      <c r="B16" t="inlineStr">
        <is>
          <t>AI Engineer</t>
        </is>
      </c>
      <c r="C16" t="inlineStr">
        <is>
          <t>CNSS • National Security Systems</t>
        </is>
      </c>
      <c r="D16" t="inlineStr">
        <is>
          <t>linkedin</t>
        </is>
      </c>
      <c r="E16" t="inlineStr"/>
      <c r="F16" t="inlineStr"/>
      <c r="G16" t="inlineStr">
        <is>
          <t>New Market, MD</t>
        </is>
      </c>
      <c r="H16" t="inlineStr"/>
      <c r="I1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7">
      <c r="A17" t="inlineStr">
        <is>
          <t>li-4371520634</t>
        </is>
      </c>
      <c r="B17" t="inlineStr">
        <is>
          <t>AI Engineer</t>
        </is>
      </c>
      <c r="C17" t="inlineStr">
        <is>
          <t>CNSS • National Security Systems</t>
        </is>
      </c>
      <c r="D17" t="inlineStr">
        <is>
          <t>linkedin</t>
        </is>
      </c>
      <c r="E17" t="inlineStr"/>
      <c r="F17" t="inlineStr"/>
      <c r="G17" t="inlineStr">
        <is>
          <t>North Potomac, MD</t>
        </is>
      </c>
      <c r="H17" t="inlineStr"/>
      <c r="I1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8">
      <c r="A18" t="inlineStr">
        <is>
          <t>li-4371508787</t>
        </is>
      </c>
      <c r="B18" t="inlineStr">
        <is>
          <t>AI Engineer</t>
        </is>
      </c>
      <c r="C18" t="inlineStr">
        <is>
          <t>CNSS • National Security Systems</t>
        </is>
      </c>
      <c r="D18" t="inlineStr">
        <is>
          <t>linkedin</t>
        </is>
      </c>
      <c r="E18" t="inlineStr"/>
      <c r="F18" t="inlineStr"/>
      <c r="G18" t="inlineStr">
        <is>
          <t>Comus, MD</t>
        </is>
      </c>
      <c r="H18" t="inlineStr"/>
      <c r="I1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9">
      <c r="A19" t="inlineStr">
        <is>
          <t>li-4371526565</t>
        </is>
      </c>
      <c r="B19" t="inlineStr">
        <is>
          <t>AI Engineer</t>
        </is>
      </c>
      <c r="C19" t="inlineStr">
        <is>
          <t>CNSS • National Security Systems</t>
        </is>
      </c>
      <c r="D19" t="inlineStr">
        <is>
          <t>linkedin</t>
        </is>
      </c>
      <c r="E19" t="inlineStr"/>
      <c r="F19" t="inlineStr"/>
      <c r="G19" t="inlineStr">
        <is>
          <t>Unity, MD</t>
        </is>
      </c>
      <c r="H19" t="inlineStr"/>
      <c r="I1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0">
      <c r="A20" t="inlineStr">
        <is>
          <t>li-4371516678</t>
        </is>
      </c>
      <c r="B20" t="inlineStr">
        <is>
          <t>AI Engineer</t>
        </is>
      </c>
      <c r="C20" t="inlineStr">
        <is>
          <t>CNSS • National Security Systems</t>
        </is>
      </c>
      <c r="D20" t="inlineStr">
        <is>
          <t>linkedin</t>
        </is>
      </c>
      <c r="E20" t="inlineStr"/>
      <c r="F20" t="inlineStr"/>
      <c r="G20" t="inlineStr">
        <is>
          <t>Sandy Spring, MD</t>
        </is>
      </c>
      <c r="H20" t="inlineStr"/>
      <c r="I2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1">
      <c r="A21" t="inlineStr">
        <is>
          <t>li-4371507780</t>
        </is>
      </c>
      <c r="B21" t="inlineStr">
        <is>
          <t>AI Engineer</t>
        </is>
      </c>
      <c r="C21" t="inlineStr">
        <is>
          <t>CNSS • National Security Systems</t>
        </is>
      </c>
      <c r="D21" t="inlineStr">
        <is>
          <t>linkedin</t>
        </is>
      </c>
      <c r="E21" t="inlineStr"/>
      <c r="F21" t="inlineStr"/>
      <c r="G21" t="inlineStr">
        <is>
          <t>North Bethesda, MD</t>
        </is>
      </c>
      <c r="H21" t="inlineStr"/>
      <c r="I2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2">
      <c r="A22" t="inlineStr">
        <is>
          <t>li-4371519657</t>
        </is>
      </c>
      <c r="B22" t="inlineStr">
        <is>
          <t>AI Engineer</t>
        </is>
      </c>
      <c r="C22" t="inlineStr">
        <is>
          <t>CNSS • National Security Systems</t>
        </is>
      </c>
      <c r="D22" t="inlineStr">
        <is>
          <t>linkedin</t>
        </is>
      </c>
      <c r="E22" t="inlineStr"/>
      <c r="F22" t="inlineStr"/>
      <c r="G22" t="inlineStr">
        <is>
          <t>Bentley Springs, MD</t>
        </is>
      </c>
      <c r="H22" t="inlineStr"/>
      <c r="I2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3">
      <c r="A23" t="inlineStr">
        <is>
          <t>li-4371507786</t>
        </is>
      </c>
      <c r="B23" t="inlineStr">
        <is>
          <t>AI Engineer</t>
        </is>
      </c>
      <c r="C23" t="inlineStr">
        <is>
          <t>CNSS • National Security Systems</t>
        </is>
      </c>
      <c r="D23" t="inlineStr">
        <is>
          <t>linkedin</t>
        </is>
      </c>
      <c r="E23" t="inlineStr"/>
      <c r="F23" t="inlineStr"/>
      <c r="G23" t="inlineStr">
        <is>
          <t>Dundalk, MD</t>
        </is>
      </c>
      <c r="H23" t="inlineStr"/>
      <c r="I2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4">
      <c r="A24" t="inlineStr">
        <is>
          <t>li-4371526570</t>
        </is>
      </c>
      <c r="B24" t="inlineStr">
        <is>
          <t>AI Engineer</t>
        </is>
      </c>
      <c r="C24" t="inlineStr">
        <is>
          <t>CNSS • National Security Systems</t>
        </is>
      </c>
      <c r="D24" t="inlineStr">
        <is>
          <t>linkedin</t>
        </is>
      </c>
      <c r="E24" t="inlineStr"/>
      <c r="F24" t="inlineStr"/>
      <c r="G24" t="inlineStr">
        <is>
          <t>Butler, MD</t>
        </is>
      </c>
      <c r="H24" t="inlineStr"/>
      <c r="I2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5">
      <c r="A25" t="inlineStr">
        <is>
          <t>li-4371507785</t>
        </is>
      </c>
      <c r="B25" t="inlineStr">
        <is>
          <t>AI Engineer</t>
        </is>
      </c>
      <c r="C25" t="inlineStr">
        <is>
          <t>CNSS • National Security Systems</t>
        </is>
      </c>
      <c r="D25" t="inlineStr">
        <is>
          <t>linkedin</t>
        </is>
      </c>
      <c r="E25" t="inlineStr"/>
      <c r="F25" t="inlineStr"/>
      <c r="G25" t="inlineStr">
        <is>
          <t>Freeland, MD</t>
        </is>
      </c>
      <c r="H25" t="inlineStr"/>
      <c r="I2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6">
      <c r="A26" t="inlineStr">
        <is>
          <t>li-4371510751</t>
        </is>
      </c>
      <c r="B26" t="inlineStr">
        <is>
          <t>AI Engineer</t>
        </is>
      </c>
      <c r="C26" t="inlineStr">
        <is>
          <t>CNSS • National Security Systems</t>
        </is>
      </c>
      <c r="D26" t="inlineStr">
        <is>
          <t>linkedin</t>
        </is>
      </c>
      <c r="E26" t="inlineStr"/>
      <c r="F26" t="inlineStr"/>
      <c r="G26" t="inlineStr">
        <is>
          <t>Parkton, MD</t>
        </is>
      </c>
      <c r="H26" t="inlineStr"/>
      <c r="I2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7">
      <c r="A27" t="inlineStr">
        <is>
          <t>li-4371525607</t>
        </is>
      </c>
      <c r="B27" t="inlineStr">
        <is>
          <t>AI Engineer</t>
        </is>
      </c>
      <c r="C27" t="inlineStr">
        <is>
          <t>CNSS • National Security Systems</t>
        </is>
      </c>
      <c r="D27" t="inlineStr">
        <is>
          <t>linkedin</t>
        </is>
      </c>
      <c r="E27" t="inlineStr"/>
      <c r="F27" t="inlineStr"/>
      <c r="G27" t="inlineStr">
        <is>
          <t>St Leonard, MD</t>
        </is>
      </c>
      <c r="H27" t="inlineStr"/>
      <c r="I2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8">
      <c r="A28" t="inlineStr">
        <is>
          <t>li-4371505833</t>
        </is>
      </c>
      <c r="B28" t="inlineStr">
        <is>
          <t>AI Engineer</t>
        </is>
      </c>
      <c r="C28" t="inlineStr">
        <is>
          <t>CNSS • National Security Systems</t>
        </is>
      </c>
      <c r="D28" t="inlineStr">
        <is>
          <t>linkedin</t>
        </is>
      </c>
      <c r="E28" t="inlineStr"/>
      <c r="F28" t="inlineStr"/>
      <c r="G28" t="inlineStr">
        <is>
          <t>Lusby, MD</t>
        </is>
      </c>
      <c r="H28" t="inlineStr"/>
      <c r="I2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29">
      <c r="A29" t="inlineStr">
        <is>
          <t>li-4371522580</t>
        </is>
      </c>
      <c r="B29" t="inlineStr">
        <is>
          <t>AI Engineer</t>
        </is>
      </c>
      <c r="C29" t="inlineStr">
        <is>
          <t>CNSS • National Security Systems</t>
        </is>
      </c>
      <c r="D29" t="inlineStr">
        <is>
          <t>linkedin</t>
        </is>
      </c>
      <c r="E29" t="inlineStr"/>
      <c r="F29" t="inlineStr"/>
      <c r="G29" t="inlineStr">
        <is>
          <t>Port Republic, MD</t>
        </is>
      </c>
      <c r="H29" t="inlineStr"/>
      <c r="I2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30">
      <c r="A30" t="inlineStr">
        <is>
          <t>li-4371508796</t>
        </is>
      </c>
      <c r="B30" t="inlineStr">
        <is>
          <t>AI Engineer</t>
        </is>
      </c>
      <c r="C30" t="inlineStr">
        <is>
          <t>CNSS • National Security Systems</t>
        </is>
      </c>
      <c r="D30" t="inlineStr">
        <is>
          <t>linkedin</t>
        </is>
      </c>
      <c r="E30" t="inlineStr"/>
      <c r="F30" t="inlineStr"/>
      <c r="G30" t="inlineStr">
        <is>
          <t>Barstow, MD</t>
        </is>
      </c>
      <c r="H30" t="inlineStr"/>
      <c r="I3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31">
      <c r="A31" t="inlineStr">
        <is>
          <t>li-4371517694</t>
        </is>
      </c>
      <c r="B31" t="inlineStr">
        <is>
          <t>AI Engineer</t>
        </is>
      </c>
      <c r="C31" t="inlineStr">
        <is>
          <t>CNSS • National Security Systems</t>
        </is>
      </c>
      <c r="D31" t="inlineStr">
        <is>
          <t>linkedin</t>
        </is>
      </c>
      <c r="E31" t="inlineStr"/>
      <c r="F31" t="inlineStr"/>
      <c r="G31" t="inlineStr">
        <is>
          <t>Prince Frederick, MD</t>
        </is>
      </c>
      <c r="H31" t="inlineStr"/>
      <c r="I3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32">
      <c r="A32" t="inlineStr">
        <is>
          <t>li-4371526569</t>
        </is>
      </c>
      <c r="B32" t="inlineStr">
        <is>
          <t>AI Engineer</t>
        </is>
      </c>
      <c r="C32" t="inlineStr">
        <is>
          <t>CNSS • National Security Systems</t>
        </is>
      </c>
      <c r="D32" t="inlineStr">
        <is>
          <t>linkedin</t>
        </is>
      </c>
      <c r="E32" t="inlineStr"/>
      <c r="F32" t="inlineStr"/>
      <c r="G32" t="inlineStr">
        <is>
          <t>Dares Beach, MD</t>
        </is>
      </c>
      <c r="H32" t="inlineStr"/>
      <c r="I3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33">
      <c r="A33" t="inlineStr">
        <is>
          <t>li-4371523589</t>
        </is>
      </c>
      <c r="B33" t="inlineStr">
        <is>
          <t>AI Engineer</t>
        </is>
      </c>
      <c r="C33" t="inlineStr">
        <is>
          <t>CNSS • National Security Systems</t>
        </is>
      </c>
      <c r="D33" t="inlineStr">
        <is>
          <t>linkedin</t>
        </is>
      </c>
      <c r="E33" t="inlineStr"/>
      <c r="F33" t="inlineStr"/>
      <c r="G33" t="inlineStr">
        <is>
          <t>North Beach, MD</t>
        </is>
      </c>
      <c r="H33" t="inlineStr"/>
      <c r="I3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34">
      <c r="A34" t="inlineStr">
        <is>
          <t>li-4371519651</t>
        </is>
      </c>
      <c r="B34" t="inlineStr">
        <is>
          <t>AI Engineer</t>
        </is>
      </c>
      <c r="C34" t="inlineStr">
        <is>
          <t>CNSS • National Security Systems</t>
        </is>
      </c>
      <c r="D34" t="inlineStr">
        <is>
          <t>linkedin</t>
        </is>
      </c>
      <c r="E34" t="inlineStr"/>
      <c r="F34" t="inlineStr"/>
      <c r="G34" t="inlineStr">
        <is>
          <t>Chesapeake Beach, MD</t>
        </is>
      </c>
      <c r="H34" t="inlineStr"/>
      <c r="I3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35">
      <c r="A35" t="inlineStr">
        <is>
          <t>li-4371519656</t>
        </is>
      </c>
      <c r="B35" t="inlineStr">
        <is>
          <t>AI Engineer</t>
        </is>
      </c>
      <c r="C35" t="inlineStr">
        <is>
          <t>CNSS • National Security Systems</t>
        </is>
      </c>
      <c r="D35" t="inlineStr">
        <is>
          <t>linkedin</t>
        </is>
      </c>
      <c r="E35" t="inlineStr"/>
      <c r="F35" t="inlineStr"/>
      <c r="G35" t="inlineStr">
        <is>
          <t>Linwood, MD</t>
        </is>
      </c>
      <c r="H35" t="inlineStr"/>
      <c r="I3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36">
      <c r="A36" t="inlineStr">
        <is>
          <t>li-4371505828</t>
        </is>
      </c>
      <c r="B36" t="inlineStr">
        <is>
          <t>AI Engineer</t>
        </is>
      </c>
      <c r="C36" t="inlineStr">
        <is>
          <t>CNSS • National Security Systems</t>
        </is>
      </c>
      <c r="D36" t="inlineStr">
        <is>
          <t>linkedin</t>
        </is>
      </c>
      <c r="E36" t="inlineStr"/>
      <c r="F36" t="inlineStr"/>
      <c r="G36" t="inlineStr">
        <is>
          <t>Woodstock, MD</t>
        </is>
      </c>
      <c r="H36" t="inlineStr"/>
      <c r="I3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37">
      <c r="A37" t="inlineStr">
        <is>
          <t>li-4371511689</t>
        </is>
      </c>
      <c r="B37" t="inlineStr">
        <is>
          <t>AI Engineer</t>
        </is>
      </c>
      <c r="C37" t="inlineStr">
        <is>
          <t>CNSS • National Security Systems</t>
        </is>
      </c>
      <c r="D37" t="inlineStr">
        <is>
          <t>linkedin</t>
        </is>
      </c>
      <c r="E37" t="inlineStr"/>
      <c r="F37" t="inlineStr"/>
      <c r="G37" t="inlineStr">
        <is>
          <t>Bel Air South, MD</t>
        </is>
      </c>
      <c r="H37" t="inlineStr"/>
      <c r="I3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38">
      <c r="A38" t="inlineStr">
        <is>
          <t>li-4371513683</t>
        </is>
      </c>
      <c r="B38" t="inlineStr">
        <is>
          <t>AI Engineer</t>
        </is>
      </c>
      <c r="C38" t="inlineStr">
        <is>
          <t>CNSS • National Security Systems</t>
        </is>
      </c>
      <c r="D38" t="inlineStr">
        <is>
          <t>linkedin</t>
        </is>
      </c>
      <c r="E38" t="inlineStr"/>
      <c r="F38" t="inlineStr"/>
      <c r="G38" t="inlineStr">
        <is>
          <t>Churchville, MD</t>
        </is>
      </c>
      <c r="H38" t="inlineStr"/>
      <c r="I3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39">
      <c r="A39" t="inlineStr">
        <is>
          <t>li-4371514667</t>
        </is>
      </c>
      <c r="B39" t="inlineStr">
        <is>
          <t>AI Engineer</t>
        </is>
      </c>
      <c r="C39" t="inlineStr">
        <is>
          <t>CNSS • National Security Systems</t>
        </is>
      </c>
      <c r="D39" t="inlineStr">
        <is>
          <t>linkedin</t>
        </is>
      </c>
      <c r="E39" t="inlineStr"/>
      <c r="F39" t="inlineStr"/>
      <c r="G39" t="inlineStr">
        <is>
          <t>Joppa, MD</t>
        </is>
      </c>
      <c r="H39" t="inlineStr"/>
      <c r="I3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40">
      <c r="A40" t="inlineStr">
        <is>
          <t>li-4371507781</t>
        </is>
      </c>
      <c r="B40" t="inlineStr">
        <is>
          <t>AI Engineer</t>
        </is>
      </c>
      <c r="C40" t="inlineStr">
        <is>
          <t>CNSS • National Security Systems</t>
        </is>
      </c>
      <c r="D40" t="inlineStr">
        <is>
          <t>linkedin</t>
        </is>
      </c>
      <c r="E40" t="inlineStr"/>
      <c r="F40" t="inlineStr"/>
      <c r="G40" t="inlineStr">
        <is>
          <t>Joppatowne, MD</t>
        </is>
      </c>
      <c r="H40" t="inlineStr"/>
      <c r="I4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41">
      <c r="A41" t="inlineStr">
        <is>
          <t>li-4371524598</t>
        </is>
      </c>
      <c r="B41" t="inlineStr">
        <is>
          <t>AI Engineer</t>
        </is>
      </c>
      <c r="C41" t="inlineStr">
        <is>
          <t>CNSS • National Security Systems</t>
        </is>
      </c>
      <c r="D41" t="inlineStr">
        <is>
          <t>linkedin</t>
        </is>
      </c>
      <c r="E41" t="inlineStr"/>
      <c r="F41" t="inlineStr"/>
      <c r="G41" t="inlineStr">
        <is>
          <t>Davidsonville, MD</t>
        </is>
      </c>
      <c r="H41" t="inlineStr"/>
      <c r="I4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42">
      <c r="A42" t="inlineStr">
        <is>
          <t>li-4371508790</t>
        </is>
      </c>
      <c r="B42" t="inlineStr">
        <is>
          <t>AI Engineer</t>
        </is>
      </c>
      <c r="C42" t="inlineStr">
        <is>
          <t>CNSS • National Security Systems</t>
        </is>
      </c>
      <c r="D42" t="inlineStr">
        <is>
          <t>linkedin</t>
        </is>
      </c>
      <c r="E42" t="inlineStr"/>
      <c r="F42" t="inlineStr"/>
      <c r="G42" t="inlineStr">
        <is>
          <t>Russett, MD</t>
        </is>
      </c>
      <c r="H42" t="inlineStr"/>
      <c r="I4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43">
      <c r="A43" t="inlineStr">
        <is>
          <t>li-4371509769</t>
        </is>
      </c>
      <c r="B43" t="inlineStr">
        <is>
          <t>AI Engineer</t>
        </is>
      </c>
      <c r="C43" t="inlineStr">
        <is>
          <t>CNSS • National Security Systems</t>
        </is>
      </c>
      <c r="D43" t="inlineStr">
        <is>
          <t>linkedin</t>
        </is>
      </c>
      <c r="E43" t="inlineStr"/>
      <c r="F43" t="inlineStr"/>
      <c r="G43" t="inlineStr">
        <is>
          <t>Patapsco, MD</t>
        </is>
      </c>
      <c r="H43" t="inlineStr"/>
      <c r="I4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44">
      <c r="A44" t="inlineStr">
        <is>
          <t>li-4371505823</t>
        </is>
      </c>
      <c r="B44" t="inlineStr">
        <is>
          <t>AI Engineer</t>
        </is>
      </c>
      <c r="C44" t="inlineStr">
        <is>
          <t>CNSS • National Security Systems</t>
        </is>
      </c>
      <c r="D44" t="inlineStr">
        <is>
          <t>linkedin</t>
        </is>
      </c>
      <c r="E44" t="inlineStr"/>
      <c r="F44" t="inlineStr"/>
      <c r="G44" t="inlineStr">
        <is>
          <t>Carvel Beach, MD</t>
        </is>
      </c>
      <c r="H44" t="inlineStr"/>
      <c r="I4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45">
      <c r="A45" t="inlineStr">
        <is>
          <t>li-4371508782</t>
        </is>
      </c>
      <c r="B45" t="inlineStr">
        <is>
          <t>AI Engineer</t>
        </is>
      </c>
      <c r="C45" t="inlineStr">
        <is>
          <t>CNSS • National Security Systems</t>
        </is>
      </c>
      <c r="D45" t="inlineStr">
        <is>
          <t>linkedin</t>
        </is>
      </c>
      <c r="E45" t="inlineStr"/>
      <c r="F45" t="inlineStr"/>
      <c r="G45" t="inlineStr">
        <is>
          <t>Jessup, MD</t>
        </is>
      </c>
      <c r="H45" t="inlineStr"/>
      <c r="I4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46">
      <c r="A46" t="inlineStr">
        <is>
          <t>li-4371522572</t>
        </is>
      </c>
      <c r="B46" t="inlineStr">
        <is>
          <t>AI Engineer</t>
        </is>
      </c>
      <c r="C46" t="inlineStr">
        <is>
          <t>CNSS • National Security Systems</t>
        </is>
      </c>
      <c r="D46" t="inlineStr">
        <is>
          <t>linkedin</t>
        </is>
      </c>
      <c r="E46" t="inlineStr"/>
      <c r="F46" t="inlineStr"/>
      <c r="G46" t="inlineStr">
        <is>
          <t>Glen Burnie, MD</t>
        </is>
      </c>
      <c r="H46" t="inlineStr"/>
      <c r="I4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47">
      <c r="A47" t="inlineStr">
        <is>
          <t>li-4371517693</t>
        </is>
      </c>
      <c r="B47" t="inlineStr">
        <is>
          <t>AI Engineer</t>
        </is>
      </c>
      <c r="C47" t="inlineStr">
        <is>
          <t>CNSS • National Security Systems</t>
        </is>
      </c>
      <c r="D47" t="inlineStr">
        <is>
          <t>linkedin</t>
        </is>
      </c>
      <c r="E47" t="inlineStr"/>
      <c r="F47" t="inlineStr"/>
      <c r="G47" t="inlineStr">
        <is>
          <t>Worton, MD</t>
        </is>
      </c>
      <c r="H47" t="inlineStr"/>
      <c r="I4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48">
      <c r="A48" t="inlineStr">
        <is>
          <t>li-4371515733</t>
        </is>
      </c>
      <c r="B48" t="inlineStr">
        <is>
          <t>AI Engineer</t>
        </is>
      </c>
      <c r="C48" t="inlineStr">
        <is>
          <t>CNSS • National Security Systems</t>
        </is>
      </c>
      <c r="D48" t="inlineStr">
        <is>
          <t>linkedin</t>
        </is>
      </c>
      <c r="E48" t="inlineStr"/>
      <c r="F48" t="inlineStr"/>
      <c r="G48" t="inlineStr">
        <is>
          <t>Barclay, MD</t>
        </is>
      </c>
      <c r="H48" t="inlineStr"/>
      <c r="I4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49">
      <c r="A49" t="inlineStr">
        <is>
          <t>li-4371525603</t>
        </is>
      </c>
      <c r="B49" t="inlineStr">
        <is>
          <t>AI Engineer</t>
        </is>
      </c>
      <c r="C49" t="inlineStr">
        <is>
          <t>CNSS • National Security Systems</t>
        </is>
      </c>
      <c r="D49" t="inlineStr">
        <is>
          <t>linkedin</t>
        </is>
      </c>
      <c r="E49" t="inlineStr"/>
      <c r="F49" t="inlineStr"/>
      <c r="G49" t="inlineStr">
        <is>
          <t>Sudlersville, MD</t>
        </is>
      </c>
      <c r="H49" t="inlineStr"/>
      <c r="I4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0">
      <c r="A50" t="inlineStr">
        <is>
          <t>li-4371509773</t>
        </is>
      </c>
      <c r="B50" t="inlineStr">
        <is>
          <t>AI Engineer</t>
        </is>
      </c>
      <c r="C50" t="inlineStr">
        <is>
          <t>CNSS • National Security Systems</t>
        </is>
      </c>
      <c r="D50" t="inlineStr">
        <is>
          <t>linkedin</t>
        </is>
      </c>
      <c r="E50" t="inlineStr"/>
      <c r="F50" t="inlineStr"/>
      <c r="G50" t="inlineStr">
        <is>
          <t>Queen Anne, MD</t>
        </is>
      </c>
      <c r="H50" t="inlineStr"/>
      <c r="I5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1">
      <c r="A51" t="inlineStr">
        <is>
          <t>li-4371520633</t>
        </is>
      </c>
      <c r="B51" t="inlineStr">
        <is>
          <t>AI Engineer</t>
        </is>
      </c>
      <c r="C51" t="inlineStr">
        <is>
          <t>CNSS • National Security Systems</t>
        </is>
      </c>
      <c r="D51" t="inlineStr">
        <is>
          <t>linkedin</t>
        </is>
      </c>
      <c r="E51" t="inlineStr"/>
      <c r="F51" t="inlineStr"/>
      <c r="G51" t="inlineStr">
        <is>
          <t>Grasonville, MD</t>
        </is>
      </c>
      <c r="H51" t="inlineStr"/>
      <c r="I5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2">
      <c r="A52" t="inlineStr">
        <is>
          <t>li-4371514666</t>
        </is>
      </c>
      <c r="B52" t="inlineStr">
        <is>
          <t>AI Engineer</t>
        </is>
      </c>
      <c r="C52" t="inlineStr">
        <is>
          <t>CNSS • National Security Systems</t>
        </is>
      </c>
      <c r="D52" t="inlineStr">
        <is>
          <t>linkedin</t>
        </is>
      </c>
      <c r="E52" t="inlineStr"/>
      <c r="F52" t="inlineStr"/>
      <c r="G52" t="inlineStr">
        <is>
          <t>Chester, MD</t>
        </is>
      </c>
      <c r="H52" t="inlineStr"/>
      <c r="I5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3">
      <c r="A53" t="inlineStr">
        <is>
          <t>li-4371524603</t>
        </is>
      </c>
      <c r="B53" t="inlineStr">
        <is>
          <t>AI Engineer</t>
        </is>
      </c>
      <c r="C53" t="inlineStr">
        <is>
          <t>CNSS • National Security Systems</t>
        </is>
      </c>
      <c r="D53" t="inlineStr">
        <is>
          <t>linkedin</t>
        </is>
      </c>
      <c r="E53" t="inlineStr"/>
      <c r="F53" t="inlineStr"/>
      <c r="G53" t="inlineStr">
        <is>
          <t>Falls Church City County, VA</t>
        </is>
      </c>
      <c r="H53" t="inlineStr"/>
      <c r="I5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4">
      <c r="A54" t="inlineStr">
        <is>
          <t>li-4371523598</t>
        </is>
      </c>
      <c r="B54" t="inlineStr">
        <is>
          <t>AI Engineer</t>
        </is>
      </c>
      <c r="C54" t="inlineStr">
        <is>
          <t>CNSS • National Security Systems</t>
        </is>
      </c>
      <c r="D54" t="inlineStr">
        <is>
          <t>linkedin</t>
        </is>
      </c>
      <c r="E54" t="inlineStr"/>
      <c r="F54" t="inlineStr"/>
      <c r="G54" t="inlineStr">
        <is>
          <t>Manassas, VA</t>
        </is>
      </c>
      <c r="H54" t="inlineStr"/>
      <c r="I5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5">
      <c r="A55" t="inlineStr">
        <is>
          <t>li-4371853376</t>
        </is>
      </c>
      <c r="B55" t="inlineStr">
        <is>
          <t>Applied Scientist</t>
        </is>
      </c>
      <c r="C55" t="inlineStr">
        <is>
          <t>Microsoft</t>
        </is>
      </c>
      <c r="D55" t="inlineStr">
        <is>
          <t>linkedin</t>
        </is>
      </c>
      <c r="E55" t="inlineStr"/>
      <c r="F55" t="inlineStr"/>
      <c r="G55" t="inlineStr">
        <is>
          <t>Reston, VA</t>
        </is>
      </c>
      <c r="H55" t="inlineStr"/>
      <c r="I55" t="inlineStr">
        <is>
          <t>**Overview**
 The
 **Microsoft Discovery and Quantum** 
 (MDQ) division develops and delivers advanced Artificial Intelligence (AI), cloud capabilities, and strategic infrastructure to help solve the world’s major challenges. From accelerated scientific discovery through AI, to breakthroughs in quantum computing, to unique AI and edge platforms for bio\-intelligence and biosecurity, and to advanced robotics and AI capabilities to accelerate positive impact in the physical world, joining MDQ means building the future, partnering with government, and working in an exhilarating impact\-focused environment.
 MDQ’s
 **Discovery Labs** 
 brings together researchers, advanced AI systems, and high\-impact science partners to transform how science is done. We build and deploy novel AI systems that operate across the full scientific lifecycle, from early hypothesis generation to data generation in complex real‑world environments and laboratories to translation of novel discoveries into products, spanning the biological, chemical, and material science domains.
 As an
 **Applied Scientist in Discovery Labs** 
 , you will help design and build
 **new AI systems for biological discovery** 
 , working at the intersection of large language models, agentic workflows, autonomous systems, and applied biological sciences. You will contribute to platforms that autonomously generate multi\-modal biological data and analyze structured and unstructured data to produce actionable scientific insights. You will contribute to critical research on the biosecurity and trustworthiness of these AI systems. This role focuses on translating cutting‑edge research into real‑world impact, supporting scientists, engineers, and partners in solving some of the world’s most complex biological challenges.
 Microsoft’s mission is to empower every person and every organization on the planet to achieve more. In Discovery Labs, that mission extends to empowering the scientific community with AI systems that accelerate discovery, improve health and biosecurity, and deepen our understanding of the living world.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and mission every day.
**Responsibilities**
* Establish and maintain collaborative relationships with relevant research, product, and business groups within and outside of Microsoft, providing expertise or technology to drive meaningful business impact.
* Apply research efforts to solve immediate product needs by bridging the gap between researchers and development teams.
* Serve as a domain specialist on a wide range of industry and market trends, sharing knowledge of emerging products and applied research areas to guide business decisions and empower product teams.
* Regularly review product requirements, selecting and integrating the most effective research\-based solutions to meet or exceed business objectives.
* Provide mentorship to less experienced team members, sharing insights, onboarding support, and technical guidance that fosters collaboration and nurtures future talent.
* Document ongoing research, experimentation outcomes, and future plans, sharing findings internally and externally.
* Embody Microsoft’s culture and values.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2\+ years of experience applying statistics, data science, or bioinformatics skills in academic biological research settings, clinical settings, or in the pharmaceutical industry.
* 2\+ years of experience authoring peer\-reviewed publications, summaries of research outcomes to senior leadership and key stakeholders, or technical documents used by decision makers and engineering teams.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6">
      <c r="A56" t="inlineStr">
        <is>
          <t>li-4371524597</t>
        </is>
      </c>
      <c r="B56" t="inlineStr">
        <is>
          <t>AI Engineer</t>
        </is>
      </c>
      <c r="C56" t="inlineStr">
        <is>
          <t>CNSS • National Security Systems</t>
        </is>
      </c>
      <c r="D56" t="inlineStr">
        <is>
          <t>linkedin</t>
        </is>
      </c>
      <c r="E56" t="inlineStr"/>
      <c r="F56" t="inlineStr"/>
      <c r="G56" t="inlineStr">
        <is>
          <t>Charlotte Hall, MD</t>
        </is>
      </c>
      <c r="H56" t="inlineStr"/>
      <c r="I5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57">
      <c r="A57" t="inlineStr">
        <is>
          <t>li-4371837394</t>
        </is>
      </c>
      <c r="B57" t="inlineStr">
        <is>
          <t>Machine Learning Engineer - Ranking &amp; Recommendations</t>
        </is>
      </c>
      <c r="C57" t="inlineStr">
        <is>
          <t>Uber</t>
        </is>
      </c>
      <c r="D57" t="inlineStr">
        <is>
          <t>linkedin</t>
        </is>
      </c>
      <c r="E57" t="inlineStr"/>
      <c r="F57" t="inlineStr"/>
      <c r="G57" t="inlineStr">
        <is>
          <t>San Francisco, CA</t>
        </is>
      </c>
      <c r="H57" t="inlineStr"/>
      <c r="I57"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Generative AI \- shopping ranking and recommendation systems.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 Basic Qualifications \-\-\-\-
* Bachelor's degree or equivalent in Computer Science, Engineering, Mathematics or related field, with 4\+ years of full\-time engineering experience.
* 2\+ years of experience building and deploying machine learning models (or a PhD in a relevant field)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 Preferred Qualifications \-\-\-\-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8">
      <c r="A58" t="inlineStr">
        <is>
          <t>li-4371840407</t>
        </is>
      </c>
      <c r="B58" t="inlineStr">
        <is>
          <t>Machine Learning Engineer - Ranking &amp; Recommendations</t>
        </is>
      </c>
      <c r="C58" t="inlineStr">
        <is>
          <t>Uber</t>
        </is>
      </c>
      <c r="D58" t="inlineStr">
        <is>
          <t>linkedin</t>
        </is>
      </c>
      <c r="E58" t="inlineStr"/>
      <c r="F58" t="inlineStr"/>
      <c r="G58" t="inlineStr">
        <is>
          <t>Sunnyvale, CA</t>
        </is>
      </c>
      <c r="H58" t="inlineStr"/>
      <c r="I58"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Generative AI \- shopping ranking and recommendation systems.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 Basic Qualifications \-\-\-\-
* Bachelor's degree or equivalent in Computer Science, Engineering, Mathematics or related field, with 4\+ years of full\-time engineering experience.
* 2\+ years of experience building and deploying machine learning models (or a PhD in a relevant field)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 Preferred Qualifications \-\-\-\-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9">
      <c r="A59" t="inlineStr">
        <is>
          <t>li-4371862255</t>
        </is>
      </c>
      <c r="B59" t="inlineStr">
        <is>
          <t>Machine Learning Engineer - ML infra</t>
        </is>
      </c>
      <c r="C59" t="inlineStr">
        <is>
          <t>Impax Recruitment</t>
        </is>
      </c>
      <c r="D59" t="inlineStr">
        <is>
          <t>linkedin</t>
        </is>
      </c>
      <c r="E59" t="inlineStr"/>
      <c r="F59" t="inlineStr"/>
      <c r="G59" t="inlineStr"/>
      <c r="H59" t="inlineStr"/>
      <c r="I59" t="inlineStr">
        <is>
          <t>We're partnered with a Series A startup, who are building large scale foundation models which build relationships between visual and textual data to predict and control the future of the real world.
 They're building one of the most talent dense startup teams in the Bay, with engineers from top AI labs and foundation model startups.
 If you have experience with at least one of the below, please apply:
* Large scale distributed training, with 100's if not thousands of GPU's.
* Large scale inference, for multibillion parameter models.
* Model serving/training platform development.
* Open source contributions to relevant frameworks such as Deepspeed, vLLM, Ray etc...
 What we can offer:
* Relocation from anywhere in the world if the criteria is met.
* $200k \- $350k base \+ significant equity.
* No red tape/bureaucracy \- get things done mentality.</t>
        </is>
      </c>
    </row>
    <row r="60">
      <c r="A60" t="inlineStr">
        <is>
          <t>li-4371824923</t>
        </is>
      </c>
      <c r="B60" t="inlineStr">
        <is>
          <t>Machine Learning Engineer</t>
        </is>
      </c>
      <c r="C60" t="inlineStr">
        <is>
          <t>Tempus AI</t>
        </is>
      </c>
      <c r="D60" t="inlineStr">
        <is>
          <t>linkedin</t>
        </is>
      </c>
      <c r="E60" t="inlineStr"/>
      <c r="F60" t="inlineStr"/>
      <c r="G60" t="inlineStr"/>
      <c r="H60" t="inlineStr"/>
      <c r="I60" t="inlineStr">
        <is>
          <t>**About The Company**
 Tempus AI is a pioneering healthcare technology company dedicated to transforming patient care through the power of artificial intelligence and data\-driven insights. Our proprietary platform integrates real\-world evidence from diverse sources such as genomics, medical imaging, clinical notes, and electronic health records to provide clinicians with actionable insights in real\-time. By leveraging cutting\-edge AI models and robust data infrastructure, Tempus aims to advance precision medicine, improve treatment outcomes, and accelerate medical research. Our commitment to innovation, collaboration, and ethical standards positions us at the forefront of healthcare transformation, making a meaningful impact on patients’ lives worldwide.
**About The Role**
 We are seeking an experienced and highly skilled Staff Machine Learning Engineer specialized in Oncology foundation models to join our dynamic AI team. In this pivotal role, you will be responsible for designing, building, and maintaining the foundational data infrastructure that supports Tempus's most advanced multimodal generative AI models. Your expertise will enable the seamless ingestion, processing, and integration of complex, heterogeneous datasets—including genomics, pathology images, radiology scans, and clinical notes—facilitating the training and deployment of robust, production\-ready models. This position offers an exciting opportunity to contribute directly to the revolutionization of healthcare through AI, impacting clinical decision\-making, improving workflows, and accelerating life\-saving research. You will collaborate with cross\-functional teams, including research scientists, platform engineers, and clinicians, to develop scalable, secure, and efficient data pipelines that underpin our innovative AI solutions.
**Qualifications**
* Master's degree in Computer Science, Artificial Intelligence, Software Engineering, or a related field.
* 8\+ years of industry experience in designing, building, and operating large\-scale data pipelines and infrastructure.
* Proven experience working with massive, heterogeneous datasets (TBs\+) and distributed data processing frameworks such as Apache Spark, Ray, or Dask.
* Hands\-on experience with large\-scale ML data handling tools and libraries, including Hugging Face Datasets, MosaicML Streaming, WebDataset, or Petastorm.
* Strong programming skills in Python and familiarity with modern distributed data processing tools.
* Knowledge of data challenges specific to training foundation models, LLMs, and multimodal models.
* Experience with MLOps platforms such as MLflow, Kubeflow, or SageMaker Pipelines.
* Leadership qualities with the ability to influence technical strategy and mentor junior engineers.
* Excellent communication skills, capable of explaining complex technical concepts to diverse audiences.
* Pragmatic, action\-oriented approach with a focus on rapid, iterative progress.
**Responsibilities**
* Architect and develop sophisticated data processing workflows for multimodal training data ingestion, transformation, and preparation.
* Design strategies for efficient, compliant ingestion of data from internal databases, third\-party APIs, biomedical datasets, and proprietary sources.
* Utilize and optimize frameworks for large\-scale ML data loading and streaming, such as MosaicML Streaming, Ray Data, or HF Datasets.
* Collaborate with infrastructure teams to leverage cloud\-native services on GCP for performance, security, and cost\-efficiency.
* Engineer connectors and data loaders for accessing knowledge graphs, structured databases, biomedical literature, and ontologies.
* Optimize data storage solutions for large\-scale training and knowledge retrieval.
* Orchestrate, monitor, and troubleshoot complex data workflows using tools like Airflow and Kubeflow Pipelines.
* Implement monitoring, logging, and alerting systems to ensure data pipeline health, detect data drift, and maintain data quality.
* Analyze and resolve data I/O bottlenecks, considering storage, network, and compute resources.
* Manage and optimize costs related to cloud storage and data processing at scale.
**Benefits**
* Competitive salary commensurate with experience and location.
* Comprehensive health insurance plans including medical, dental, and vision coverage.
* Flexible work arrangements, including remote work opportunities.
* Generous paid time off and holidays to support work\-life balance.
* Opportunities for professional development, training, and conference participation.
* Inclusive and collaborative work environment fostering innovation and growth.
* Potential for stock options or equity participation, depending on role and location.
 Equal Opportunity
 Tempus AI is an equal opportunity employer. We value diversity and are committed to creating an inclusive environment for all employees. We do not discriminate based on race, religion, color, national origin, gender, sexual orientation, age, marital status, veteran status, disability, or any other protected characteristic. We encourage qualified individuals from all backgrounds to apply and join our mission to revolutionize healthcare through AI innovation.</t>
        </is>
      </c>
    </row>
    <row r="61">
      <c r="A61" t="inlineStr">
        <is>
          <t>li-4371504504</t>
        </is>
      </c>
      <c r="B61" t="inlineStr">
        <is>
          <t>Machine Learning Engineer | Remote</t>
        </is>
      </c>
      <c r="C61" t="inlineStr">
        <is>
          <t>Crossing Hurdles</t>
        </is>
      </c>
      <c r="D61" t="inlineStr">
        <is>
          <t>linkedin</t>
        </is>
      </c>
      <c r="E61" t="inlineStr"/>
      <c r="F61" t="inlineStr"/>
      <c r="G61" t="inlineStr">
        <is>
          <t>Ann Arbor, MI</t>
        </is>
      </c>
      <c r="H61" t="inlineStr"/>
      <c r="I61" t="inlineStr">
        <is>
          <t>**Position:** 
 Software Engineer III
**Type:** 
 Full time position
**Compensation:** 
 $100 to $125 per hour
**Location:** 
 Ann Arbor, MI, USA
**Commitment:** 
 Ongoing full time role
**Role Responsibilities**
* Design, deploy, and maintain machine learning pipelines and large scale data systems.
* Apply machine learning and statistical techniques to solve operational challenges.
* Analyze and explore internal data to generate actionable insights.
* Collaborate with cross functional legal and technical teams.
* Ensure scalability, reliability, and performance of ML systems.
**Requirements**
* Bachelor’s or Master’s degree in Computer Science, Engineering, Statistics, or related quantitative field.
* Minimum five years of experience designing and maintaining ML pipelines and systems.
* Demonstrable experience applying machine learning algorithms to real world problems.
* Experience managing large data pipelines.
* Strong analytical and problem solving skills.
**Application Process (Takes 20 Min)**
* Upload resume
* Short assessment
* Submit form</t>
        </is>
      </c>
    </row>
    <row r="62">
      <c r="A62" t="inlineStr">
        <is>
          <t>li-4365254668</t>
        </is>
      </c>
      <c r="B62" t="inlineStr">
        <is>
          <t>Senior Machine Learning Engineer, Perception</t>
        </is>
      </c>
      <c r="C62" t="inlineStr">
        <is>
          <t>Wing</t>
        </is>
      </c>
      <c r="D62" t="inlineStr">
        <is>
          <t>linkedin</t>
        </is>
      </c>
      <c r="E62" t="inlineStr"/>
      <c r="F62" t="inlineStr"/>
      <c r="G62" t="inlineStr">
        <is>
          <t>Palo Alto, CA</t>
        </is>
      </c>
      <c r="H62" t="inlineStr"/>
      <c r="I62" t="inlineStr">
        <is>
          <t>**About Wing**
 Wing offers drone delivery as a safe, fast, and sustainable solution for last mile logistics. Consumer appetites for on\-demand services are increasing, but current delivery methods are inefficient, costly, and contribute to road accidents and air pollution. Wing’s fleet of highly automated delivery drones can transport small packages directly from businesses to homes on\-demand, in minutes. We design, build, and operate our aircraft, and offer drone delivery services on two continents. Our technology is designed to be easy to integrate into existing delivery and logistics networks, offering a scalable drone delivery solution for a broad range of businesses. Wing is a part of Google's parent company, Alphabet, and our mission is to create the preferred means of delivery for the planet. If you're ready to do the greatest work of your life, come join us.
**About The Role**
 Wing is looking for a Senior Machine Learning Engineer to join as a foundational member of our ML Perception team. You will be at the forefront of advancing our autonomous drone delivery system, leveraging deep learning to ensure our aircraft navigate the world with precision and safety.
 At Wing, you aren’t just building models in a vacuum; you have access to tens of thousands of hours of flight data from a diverse sensor suite. Your improvements will deploy directly to a large fleet of autonomous aircraft, impacting thousands of real\-world customers daily. We value senior engineers who are intrinsically driven and have a knack for solving complex problems with stunningly simple, pragmatic solutions.
**What You’ll Do**
* Design \&amp; Deploy: Research, build and deploy highly reliable ML models optimized for resource\-constrained, real\-time environments.
* Scale Research: Utilize Wing’s massive datasets to develop and refine complex models that push the boundaries of environmental understanding.
* Innovate: Apply state\-of\-the\-art CV foundation models to solve real\-world robotics challenges.
* Collaborate: Partner across hardware, software, and flight\-testing teams to take features from concept to production\-ready flight code.
* Mentor: Educate and drive ML/AI adoption at Wing.
**What You’ll Need**
* 8\+ years of experience in ML, deep learning, or computer vision, ideally within robotics or autonomous systems.
* MS or PhD in Computer Science, Robotics, Electrical Engineering, or equivalent industry experience leading production\-grade ML systems.
* Proficiency in Python and/or C\+\+.
* Hands\-on experience with JAX, PyTorch, or TensorFlow.
* Deep understanding of Linear Algebra and modern CV architectures (CNNs, Transformers, etc.).
* Domain Expertise: Proven track record in one or more of the following:
+ Multi\-view Geometry \&amp; 3D Reconstruction.
+ Monocular or Stereo Depth Estimation.
+ Object detection, localization, Semantic Segmentation.
+ Local and global image features
* The ability to drive complex features independently and a history of delivering simple, well\-thought\-out solutions to business\-critical problems.
* Publications at top\-tier Robotics/CV/ML conferences such as CVPR, ICCV, ECCV, ICML, ICRA, RSS, NeurIPS.
 The US base salary range for this full\-time position is the salary range below \+ bonus \+ equity \+ benefits. Wing’s salary ranges are determined by role, level, and location. Your recruiter can share more about the specific salary range for your location during the hiring process.
 Salary Range
 $222,000—$236,000 USD
 Wing is an equal opportunity employer and it is Wing's policy to comply with all applicable national, state and local laws pertaining to nondiscrimination and equal opportunity. Employment at Wing is based solely on a person's merit and qualifications directly related to professional competence. Wing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If you have a need that requires accommodation during the interview process due to a disability or special need, please let us know by completing our Candidate Accommodations Request Form.</t>
        </is>
      </c>
    </row>
    <row r="63">
      <c r="A63" t="inlineStr">
        <is>
          <t>li-4371527405</t>
        </is>
      </c>
      <c r="B63" t="inlineStr">
        <is>
          <t>AI / ML Engineer – OrcaWorks AI</t>
        </is>
      </c>
      <c r="C63" t="inlineStr">
        <is>
          <t>Orcaworks - Meet Your Digital Coworker</t>
        </is>
      </c>
      <c r="D63" t="inlineStr">
        <is>
          <t>linkedin</t>
        </is>
      </c>
      <c r="E63" t="inlineStr"/>
      <c r="F63" t="inlineStr"/>
      <c r="G63" t="inlineStr">
        <is>
          <t>Atlanta, GA</t>
        </is>
      </c>
      <c r="H63" t="inlineStr"/>
      <c r="I63" t="inlineStr">
        <is>
          <t>**Location:** 
 Hybrid / Atlanta, GA
**Experience Level:** 
 Entry\-level (Master’s preferred)
**About OrcaWorks AI** 
 OrcaWorks AI is pioneering applied AI systems designed for real\-world business intelligence and automation. We’re hiring AI/ML Engineers eager to innovate and shape the next generation of machine learning and LLM\-integrated applications.
**Key Responsibilities** 
* Build, train, and deploy machine learning models for predictive and generative AI applications.
* Collaborate with cross\-functional teams to design applied AI solutions aligned with business use cases.
* Implement model monitoring, retraining, and optimization pipelines using Prefect, Airbyte, and MLflow.
* Integrate LLMs and embeddings into production systems via RAG pipelines and agent frameworks.
* Document findings, model versions, and evaluation results.
**Required Skills \&amp; Qualifications** 
* Master’s degree (or Bachelor’s with equivalent experience) in AI, ML, or Data Science.
* Proficiency in Python and libraries such as Scikit\-learn, TensorFlow, PyTorch.
* Familiarity with MLflow, Docker, Kubeflow, and Vespa/ElasticSearch for search integration.
* Understanding of applied AI architecture and hybrid workflows involving structured and unstructured data.
* Analytical mindset and eagerness to solve real\-world AI challenges.</t>
        </is>
      </c>
    </row>
    <row r="64">
      <c r="A64" t="inlineStr">
        <is>
          <t>li-4343192076</t>
        </is>
      </c>
      <c r="B64" t="inlineStr">
        <is>
          <t>Machine Learning Engineer</t>
        </is>
      </c>
      <c r="C64" t="inlineStr">
        <is>
          <t>Spotify</t>
        </is>
      </c>
      <c r="D64" t="inlineStr">
        <is>
          <t>linkedin</t>
        </is>
      </c>
      <c r="E64" t="inlineStr"/>
      <c r="F64" t="inlineStr"/>
      <c r="G64" t="inlineStr">
        <is>
          <t>Boston, MA</t>
        </is>
      </c>
      <c r="H64" t="inlineStr"/>
      <c r="I64"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Weekly and Daily Mix.
 The Context team’s mission is to own and innovate on contextual story telling to enhance the listening experience. Using a mixture of human written content and LLMs, we strive to provide depth and connection for all listeners. We are looking for a Machine Learning Engineer to join our team to build and improve our storytelling capabilities.
 What You'll Do
* Design, build, evaluate, and ship LLM based solutions that tell stories about our content and our users
* Collaborate with cross functional teams spanning user research, design, data science, product management, and engineering to build new product features that advance our mission to connect artists and fans in personalized and useful ways
* Prototype new approaches and productionize solutions at scale for our hundreds of millions of active users
* Promote and role\-model best practices of ML systems development, testing, evaluation, etc., both inside the team as well as throughout the organization
* Be part of an active group of machine learning practitioners
 Who You Are
* An experienced ML practitioner motivated to work on complex real\-world problems in a fast\-paced and collaborative environment \-
* Strong background in machine learning, natural language processing, and generative AI, with experience in applying theory to develop real\-world applications
* Hands\-on expertise with implementing end\-to\-end production ML systems at scale. Experience with production LLM scale based systems is a plus
* Experience with incorporating human feedback to improve LLM based systems using technicals like DPO, KTO, and reinforcement fine\-tuning
* Experience with designing end\-to\-end tech specs and modular architectures for ML frameworks in complex problem spaces in collaboration with product teams
* Experience with large scale, distributed data processing frameworks/tools like Apache Beam, Apache Spark, and cloud platforms like GCP or AWS
 Where You'll Be
* We offer you the flexibility to work where you work best! For this role, you can be within the North America region as long as we have a work location.
* This team operates within the Eastern Standard time zone for collaboration.
 The United States base range for this position is $138,250\- $197,500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65">
      <c r="A65" t="inlineStr">
        <is>
          <t>li-4310894054</t>
        </is>
      </c>
      <c r="B65" t="inlineStr">
        <is>
          <t>Junior AI Engineer</t>
        </is>
      </c>
      <c r="C65" t="inlineStr">
        <is>
          <t>Onto Innovation</t>
        </is>
      </c>
      <c r="D65" t="inlineStr">
        <is>
          <t>linkedin</t>
        </is>
      </c>
      <c r="E65" t="inlineStr"/>
      <c r="F65" t="inlineStr"/>
      <c r="G65" t="inlineStr">
        <is>
          <t>Wilmington, MA</t>
        </is>
      </c>
      <c r="H65" t="inlineStr"/>
      <c r="I65"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 Prototype AI assistants \&amp; agents for field workflows: guided recipe setup, log triage, playbook lookups, parts/alarms advice, and fleet\-wide health checks.
* Build retrieval systems (RAG): ingest manuals, specs, ticket notes, recipes, logs, and best\-practice docs; design chunking, embeddings, and indexing; tune prompts and retrieval for accuracy/latency.
* Connect AI to our tools and data: stand up MCP servers (Model Context Protocol) and other connectors to safely expose internal systems (document stores, MES, issue trackers, telemetry APIs) to LLMs.
* Fine\-tune or adapt models (e.g., LoRA/QLoRA) for domain terms, error codes, and tool\-specific intents when retrieval alone isn’t enough.
* Evaluate and harden: set up offline \&amp; online evals for groundedness/relevance; add guardrails, observability, and traceability; write runbooks.
* Ship small apps: package prototypes behind simple APIs or lightweight UIs that field engineers can use (web chat, Slack/Teams bots, or CLI).
* Data plumbing: parse messy PDFs/images/CSVs; normalize schemas for recipes, events, alarms, SPC/trace data.
* Computer Vision – understanding, defect detection, segmentation, or SEM/optical imaging.
* Work like an engineer: write readable Python/TypeScript, tests, and docs; use Git; participate in code reviews; iterate fast with the AI lead and domain SMEs.
**Minimum Qualifications**
* BS in CS/EE/CE/ME (or equivalent experience).
* Python proficiency (data wrangling, APIs, packaging); comfort on Linux and with Git.
* Built at least one LLM app using a framework such as LangChain, LlamaIndex, or Semantic Kernel.
* Hands\-on with vector search (e.g., FAISS/Weaviate/Milvus) and embeddings; understands chunking, metadata, and hybrid search basics.
* Familiarity with RAG and prompt engineering; can measure quality (groundedness/relevance) and reduce hallucinations.
* Basic backend skills (REST/JSON, auth, environment secrets); experience containerizing with Docker.
* Comfortable reading technical manuals/logs and collaborating with non\-software teammates.
 Nice to haves
* Worked with agent frameworks (LangGraph, AutoGen, CrewAI) or implemented tool\-calling/plan\-execute loops.
* Built or configured MCP servers to connect LLMs to internal data/tools.
* Experience parsing complex docs (e.g., Unstructured, GROBID) and handling images/figures from manuals.
* Exposure to semiconductor equipment or factory systems (SECS/GEM, EDA/Interface A, MES, SPC); familiarity with KLA/AMAT/TEL/ASML tool ecosystems.
* Time\-series and log analysis (Pandas, SQL, TimescaleDB/InfluxDB), wafer map/vision background, or simple CV.
* Model adaptation experience (LoRA/QLoRA, PEFT) and experiment tracking (MLflow/W\&amp;B).
* LLM observability/evals (Ragas, TruLens, LangSmith), basic security/PII handling, and role\-based access.
* Cloud familiarity (AWS/Azure/GCP) and lightweight front\-ends (React/Next.js) for internal tools.
* Prior work on fleet\-level dashboards/analytics or recipe/parameter management.
 What success looks like (first 90 days)
* Ship a search\+chat knowledge assistant over our internal docs with clear eval dashboards for faithfulness/relevance.
* Stand up at least one MCP connector to an internal source (e.g., SharePoint/Confluence or log store) and demo safe tool calls.
* Deliver a focused POC: e.g., an agent that reads recent alarms \&amp; logs to suggest next steps, or a fleet health summary with links to playbooks.
* Document everything (design notes, runbooks, and “how to” guides) and gather field feedback for iteration.
 How we work
* Pragmatic, security\-minded, iterate\-in\-the\-open with our engineers.
* We value curiosity, clear writing, and the grit to trace weird edge cases in logs and manuals.
 Apply
 Send your resume/GitHub/portfolio and a short note about an LLM or agent project you’ve built (what made it work, what you measured, and what you’d improve).
**Qualifications**
 see above
 Why Join Onto Innovation?
 At Onto Innovation, we believe your work should matter—and so should your well\-being. That’s why we offer competitive salaries and a comprehensive benefits package designed to support you and your family. From health, dental, and vision coverage to life and disability insurance, PTO, and a 401(k) with employer match, we’ve got you covered. You’ll also enjoy access to our Employee Stock Purchase Program (ESPP), wellness initiatives, and cutting\-edge tools—all within a collaborative, inclusive culture where your contributions are valued and recognized.
**Compensation \&amp; Growth**
* Base Salary Range:
 $72,080\.00 \- $108,120\.00, offered in good faith and based on experience, location, and qualifications.
* Additional Rewards: Annual bonus opportunities and potential long\-term incentives tied to both company and individual success.
**Empowering Every Voice To Shape The Future**
 Onto Innovation is committed to creating a workplace where every qualified candidate has an equal opportunity to succeed. We evaluate applicants based on skills, experience, and potential \- without regard to race, color, religion, gender, sexual orientation, national origin, age, disability, veteran status, or any other characteristic protected by law. We believe diversity of thought and background drives innovation and strengthens our team.
 Important Note on Export Compliance
 For certain positions requiring access to technical data, U.S. export licensing review may be necessary for applicants who are not U.S. Citizens, Permanent Residents, or other protected persons under 8 U.S.C. 1324b(a)(3\).</t>
        </is>
      </c>
    </row>
    <row r="66">
      <c r="A66" t="inlineStr">
        <is>
          <t>li-4363237196</t>
        </is>
      </c>
      <c r="B66" t="inlineStr">
        <is>
          <t>Machine Learning Engineer</t>
        </is>
      </c>
      <c r="C66" t="inlineStr">
        <is>
          <t>Acceler8 Talent</t>
        </is>
      </c>
      <c r="D66" t="inlineStr">
        <is>
          <t>linkedin</t>
        </is>
      </c>
      <c r="E66" t="inlineStr"/>
      <c r="F66" t="inlineStr"/>
      <c r="G66" t="inlineStr"/>
      <c r="H66" t="inlineStr"/>
      <c r="I66" t="inlineStr">
        <is>
          <t>**Machine Learning Engineer** 
 We’re partnered with a rapidly scaling AI company redefining how consumer brands manage and optimise digital marketing performance. By combining advanced machine learning with autonomous decision systems, they’re eliminating manual campaign management and replacing it with intelligent, self\-improving optimisation engines that drive measurable revenue impact.
 They’re now hiring a
 **Machine Learning Engineer** 
 to play a key role in architecting and scaling the core models behind the platform. This is an opportunity to tackle high\-value, real\-world ML challenges — spanning experimentation, causal modelling, forecasting, and large\-scale optimisation — while owning projects from concept to live deployment.
**The Role** 
* Architect, build, and productionise machine learning systems that optimise significant digital advertising budgets in real time
* Develop models across experimentation frameworks, predictive forecasting, and constrained optimisation
* Partner cross\-functionally with product and engineering to translate complex problems into scalable ML solutions
* Drive technical direction and contribute to best practices in a high\-velocity, execution\-focused environment
* Take full lifecycle ownership — from research and prototyping through to monitoring and iteration in production
**What They’re Looking For** 
* Proven experience designing, deploying, and maintaining ML models in production environments
* Strong grounding in statistics, optimisation theory, or applied machine learning
* Comfortable operating end\-to\-end — scoping ambiguous problems and delivering robust solutions
* Pragmatic, commercially aware, and motivated by impact
* Thrives in fast\-paced startup environments with high autonomy
**Why This Opportunity** 
* Direct influence over a core AI product used by globally recognised consumer brands
* Meaningful equity alongside a competitive compensation package
* High ownership, minimal bureaucracy, and strong technical standards
* The chance to help build category\-defining AI infrastructure at scale</t>
        </is>
      </c>
    </row>
    <row r="67">
      <c r="A67" t="inlineStr">
        <is>
          <t>li-4310893067</t>
        </is>
      </c>
      <c r="B67" t="inlineStr">
        <is>
          <t>Junior AI Engineer</t>
        </is>
      </c>
      <c r="C67" t="inlineStr">
        <is>
          <t>Onto Innovation</t>
        </is>
      </c>
      <c r="D67" t="inlineStr">
        <is>
          <t>linkedin</t>
        </is>
      </c>
      <c r="E67" t="inlineStr"/>
      <c r="F67" t="inlineStr"/>
      <c r="G67" t="inlineStr">
        <is>
          <t>Wilmington, MA</t>
        </is>
      </c>
      <c r="H67" t="inlineStr"/>
      <c r="I67"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 Prototype AI assistants \&amp; agents for field workflows: guided recipe setup, log triage, playbook lookups, parts/alarms advice, and fleet\-wide health checks.
* Build retrieval systems (RAG): ingest manuals, specs, ticket notes, recipes, logs, and best\-practice docs; design chunking, embeddings, and indexing; tune prompts and retrieval for accuracy/latency.
* Connect AI to our tools and data: stand up MCP servers (Model Context Protocol) and other connectors to safely expose internal systems (document stores, MES, issue trackers, telemetry APIs) to LLMs.
* Fine\-tune or adapt models (e.g., LoRA/QLoRA) for domain terms, error codes, and tool\-specific intents when retrieval alone isn’t enough.
* Evaluate and harden: set up offline \&amp; online evals for groundedness/relevance; add guardrails, observability, and traceability; write runbooks.
* Ship small apps: package prototypes behind simple APIs or lightweight UIs that field engineers can use (web chat, Slack/Teams bots, or CLI).
* Data plumbing: parse messy PDFs/images/CSVs; normalize schemas for recipes, events, alarms, SPC/trace data.
* Computer Vision – understanding, defect detection, segmentation, or SEM/optical imaging.
* Work like an engineer: write readable Python/TypeScript, tests, and docs; use Git; participate in code reviews; iterate fast with the AI lead and domain SMEs.
**Minimum Qualifications**
* BS in CS/EE/CE/ME (or equivalent experience).
* Python proficiency (data wrangling, APIs, packaging); comfort on Linux and with Git.
* Built at least one LLM app using a framework such as LangChain, LlamaIndex, or Semantic Kernel.
* Hands\-on with vector search (e.g., FAISS/Weaviate/Milvus) and embeddings; understands chunking, metadata, and hybrid search basics.
* Familiarity with RAG and prompt engineering; can measure quality (groundedness/relevance) and reduce hallucinations.
* Basic backend skills (REST/JSON, auth, environment secrets); experience containerizing with Docker.
* Comfortable reading technical manuals/logs and collaborating with non\-software teammates.
 Nice to haves
* Worked with agent frameworks (LangGraph, AutoGen, CrewAI) or implemented tool\-calling/plan\-execute loops.
* Built or configured MCP servers to connect LLMs to internal data/tools.
* Experience parsing complex docs (e.g., Unstructured, GROBID) and handling images/figures from manuals.
* Exposure to semiconductor equipment or factory systems (SECS/GEM, EDA/Interface A, MES, SPC); familiarity with KLA/AMAT/TEL/ASML tool ecosystems.
* Time\-series and log analysis (Pandas, SQL, TimescaleDB/InfluxDB), wafer map/vision background, or simple CV.
* Model adaptation experience (LoRA/QLoRA, PEFT) and experiment tracking (MLflow/W\&amp;B).
* LLM observability/evals (Ragas, TruLens, LangSmith), basic security/PII handling, and role\-based access.
* Cloud familiarity (AWS/Azure/GCP) and lightweight front\-ends (React/Next.js) for internal tools.
* Prior work on fleet\-level dashboards/analytics or recipe/parameter management.
 What success looks like (first 90 days)
* Ship a search\+chat knowledge assistant over our internal docs with clear eval dashboards for faithfulness/relevance.
* Stand up at least one MCP connector to an internal source (e.g., SharePoint/Confluence or log store) and demo safe tool calls.
* Deliver a focused POC: e.g., an agent that reads recent alarms \&amp; logs to suggest next steps, or a fleet health summary with links to playbooks.
* Document everything (design notes, runbooks, and “how to” guides) and gather field feedback for iteration.
 How we work
* Pragmatic, security\-minded, iterate\-in\-the\-open with our engineers.
* We value curiosity, clear writing, and the grit to trace weird edge cases in logs and manuals.
 Apply
 Send your resume/GitHub/portfolio and a short note about an LLM or agent project you’ve built (what made it work, what you measured, and what you’d improve).
**Qualifications**
 see above
 Onto Innovation Inc. offers competitive salaries and a generous benefits package, including health/dental/vision/life/disability, PTO, 401K plan with employer match, and an Employee Stock Purchase Program (ESPP) along with health \&amp; wellness initiatives. We provide a collaborative working environment along with resources, and state\-of\-the\-art tools \&amp; equipment to promote success; and a welcoming, inclusive corporate culture where individuals are recognized for their contributions.
 Onto Innovation Inc. is an Equal Opportunity Employer and all qualified applicants will receive consideration for employment without regard to race, color, religion, gender, sexual orientation, national origin, genetic information, age, disability, veteran status, or any other legally protected basis.
 For positions requiring access to technical data, Onto Innovation Inc.,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t>
        </is>
      </c>
    </row>
    <row r="68">
      <c r="A68" t="inlineStr">
        <is>
          <t>li-4363178660</t>
        </is>
      </c>
      <c r="B68" t="inlineStr">
        <is>
          <t>Machine Learning Engineer</t>
        </is>
      </c>
      <c r="C68" t="inlineStr">
        <is>
          <t>Acceler8 Talent</t>
        </is>
      </c>
      <c r="D68" t="inlineStr">
        <is>
          <t>linkedin</t>
        </is>
      </c>
      <c r="E68" t="inlineStr"/>
      <c r="F68" t="inlineStr"/>
      <c r="G68" t="inlineStr"/>
      <c r="H68" t="inlineStr"/>
      <c r="I68" t="inlineStr">
        <is>
          <t>**Machine Learning Engineer \- Washington DC** 
**About the Company** 
 An AI and advanced analytics software company building tools that help organizations explore complex data, deploy machine learning at scale, and turn insight into action are looking for a Machine Learning Engineer to join their team. Their technology is used across enterprise and government environments, including high\-security settings.
**What Will I Be Doing** 
* Building and maintaining scalable applications for data processing and AI\-driven analytics
* Designing and optimizing data pipelines and workflows for performance and reliability
* Deploying and supporting production\-grade software used on large, complex datasets
* Collaborating with product teams to improve usability and user experience
* Creating interactive dashboards and visualizations using a Python\-based SDK
* Troubleshooting performance and stability issues across applications
**What We’re Looking For** 
* Degree in Computer Science (or similar)
 **or** 
 equivalent professional experience
* Willingness to obtain and maintain a US government security clearance
* Strong Python skills and experience with the Python data stack
* Experience deploying software into production environments
* Familiarity with Docker, Kubernetes, and Git
* Strong problem\-solving skills, ownership mindset, and clear communication
**What’s In It for Me** 
* Salary of $150,000 \- $210,000 dependent on experience
* Work on impactful AI products used in real\-world environments
* Full medical, dental, and vision coverage
* Flexible, unlimited time off
 Apply now for immediate consideration!</t>
        </is>
      </c>
    </row>
    <row r="69">
      <c r="A69" t="inlineStr">
        <is>
          <t>li-4311535682</t>
        </is>
      </c>
      <c r="B69" t="inlineStr">
        <is>
          <t>Machine Learning Engineer - AI Research (PhD) - Early Career</t>
        </is>
      </c>
      <c r="C69" t="inlineStr">
        <is>
          <t>General Motors</t>
        </is>
      </c>
      <c r="D69" t="inlineStr">
        <is>
          <t>linkedin</t>
        </is>
      </c>
      <c r="E69" t="inlineStr"/>
      <c r="F69" t="inlineStr"/>
      <c r="G69" t="inlineStr">
        <is>
          <t>Mountain View, CA</t>
        </is>
      </c>
      <c r="H69" t="inlineStr"/>
      <c r="I69" t="inlineStr">
        <is>
          <t>**Job Description**
**Work Arrangement :**
 This role is categorized as hybrid. This means the successful candidate is expected to report to the office three times per week or any other frequency dictated by the business.
**Location:**
 Mt. View, California \- Mountain View Technical Center
**About the Team** 
 :
 Our AI Research team, reporting directly to the Chief AI Officer, is pioneering how cutting\-edge machine learning can transform the way vehicles are designed, manufactured, and experienced. We are building the next generation of intelligent systems—integrating multimodal foundation models, generative AI, robotics and predictive maintenance into real\-world automotive innovation at global scale.
**The Role** 
**:**
 As an Early Career Machine Learning Engineer, you will contribute to the development of end\-to\-end AI/ML systems that solve high\-stakes problems in robotics and manufacturing at scale. You will work closely with senior engineers and researchers to design, prototype, and deploy state\-of\-the\-art AI models with direct application to vehicle design, manufacturing operations, robotics, and simulation of physical systems. You will have the opportunity to translate cutting\-edge research into production systems, collaborate with a world\-class team of scientists and engineers, and grow your expertise while contributing to GM's AI research agenda and engaging with the broader AI community.
**What You’ll Do** 
**:**
* Adapt machine learning architectures for complex industrial applications, including computer vision, robotic manipulation, predictive maintenance, and process optimization
* Build end\-to\-end deep learning pipelines that handle multi\-modal sensor data (vision, force/torque, proprioception, environmental sensors)
* Contribute to the development of foundation models and transfer learning frameworks that generalize across diverse industrial scenarios and equipment types
* Contribute to the development of data collection and annotation strategies to build high quality datasets for training and validating models in industrial settings
* Work with partner teams to translate technical requirements into ML solutions and support integration efforts
* Own the deployment and monitoring of ML models in production environments
* Publish research findings in top\-tier venues (for example, NeurIPS, ICML, CVPR) and contribute to GM’s presence in the research community
**Minimum Qualifications:**
* Currently pursuing or has completed a PhD in Computer Science, Machine Learning, or a closely related STEM field, or holds a Master’s degree with significant AI/ML contributions with at least one year of relevant industry experience or publications
* Able to work full time, 40 hours per week
**What will give you a Competitive Edge (Preferred Qualifications):**
* In depth knowledge about modern deep learning architectures—Transformers, Diffusion Models, CNNs and model training techniques at scale
* Strong hands\-on experience with at least one of the popular AI/ML frameworks (PyTorch, Tensorflow, Keras or JAX)
* Experience with anomaly detection and predictive maintenance applications through course work, research or projects
* Experience with reinforcement learning for robotic control or process optimization through course work, research or projects
* Experience training multimodal deep learning models
* Demonstrated research contributions in AI/ML technologies through publication of PhD research in top\- tier conferences or journals
* Ability to formulate research questions from ambiguous problems and apply rigorous experimental methodology including hypothesis formation, evaluation, and statistical analysis
* Demonstrated track record of publications in top AI/ML conferences or patents demonstrating novel contributions to the field
* Strong programming skills in Python and familiarity with one or more of systems languages (C\+\+/Java)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$130,000 \- $170,,000\.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\#GMAI\-B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0">
      <c r="A70" t="inlineStr">
        <is>
          <t>li-4371839425</t>
        </is>
      </c>
      <c r="B70" t="inlineStr">
        <is>
          <t>Senior Machine Learning Engineer - Ranking &amp; Recommendations (Generative AI)</t>
        </is>
      </c>
      <c r="C70" t="inlineStr">
        <is>
          <t>Uber</t>
        </is>
      </c>
      <c r="D70" t="inlineStr">
        <is>
          <t>linkedin</t>
        </is>
      </c>
      <c r="E70" t="inlineStr"/>
      <c r="F70" t="inlineStr"/>
      <c r="G70" t="inlineStr">
        <is>
          <t>Sunnyvale, CA</t>
        </is>
      </c>
      <c r="H70" t="inlineStr"/>
      <c r="I70"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Generative AI \- shopping ranking and recommendation systems.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 Basic Qualifications \-\-\-\-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 Preferred Qualifications \-\-\-\-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71">
      <c r="A71" t="inlineStr">
        <is>
          <t>li-4371508794</t>
        </is>
      </c>
      <c r="B71" t="inlineStr">
        <is>
          <t>AI Engineer</t>
        </is>
      </c>
      <c r="C71" t="inlineStr">
        <is>
          <t>CNSS • National Security Systems</t>
        </is>
      </c>
      <c r="D71" t="inlineStr">
        <is>
          <t>linkedin</t>
        </is>
      </c>
      <c r="E71" t="inlineStr"/>
      <c r="F71" t="inlineStr"/>
      <c r="G71" t="inlineStr">
        <is>
          <t>Potomac, MD</t>
        </is>
      </c>
      <c r="H71" t="inlineStr"/>
      <c r="I7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2">
      <c r="A72" t="inlineStr">
        <is>
          <t>li-4371505831</t>
        </is>
      </c>
      <c r="B72" t="inlineStr">
        <is>
          <t>AI Engineer</t>
        </is>
      </c>
      <c r="C72" t="inlineStr">
        <is>
          <t>CNSS • National Security Systems</t>
        </is>
      </c>
      <c r="D72" t="inlineStr">
        <is>
          <t>linkedin</t>
        </is>
      </c>
      <c r="E72" t="inlineStr"/>
      <c r="F72" t="inlineStr"/>
      <c r="G72" t="inlineStr">
        <is>
          <t>Norbeck, MD</t>
        </is>
      </c>
      <c r="H72" t="inlineStr"/>
      <c r="I7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3">
      <c r="A73" t="inlineStr">
        <is>
          <t>li-4363981609</t>
        </is>
      </c>
      <c r="B73" t="inlineStr">
        <is>
          <t>Senior AI Engineer</t>
        </is>
      </c>
      <c r="C73" t="inlineStr">
        <is>
          <t>ChatGPT Jobs</t>
        </is>
      </c>
      <c r="D73" t="inlineStr">
        <is>
          <t>linkedin</t>
        </is>
      </c>
      <c r="E73" t="inlineStr"/>
      <c r="F73" t="inlineStr"/>
      <c r="G73" t="inlineStr"/>
      <c r="H73" t="inlineStr"/>
      <c r="I73" t="inlineStr">
        <is>
          <t>**Job Description**
 Senior AI Engineer
 Doctor Evidence
 Remote Nationwide,
* Remote
* Full\-Time
 Salary: DOE
 Title: Senior AI Engineer
 Reports to: VP, Software Engineering / Chief Architect
 Status: Employee, Exempt
 Location: Remote (must be located in the US)
 Hire Date: Immediate
**Company Summary**
 Dr.Evidence is the preeminent AI\-powered insights platform for life sciences, enabling teams to generate rapid and relevant insights grounded in published medical literature, clinical trial data, drug labels, regulatory documents and beyond, delivering value from drug discovery through commercialization. We push the boundaries of healthcare technology and allow for new possibilities in science, enabling more informed decision making and faster time\-to\-market for accelerated impact.
**Research \&amp; Development (r\&amp;d) Organization Summary**
 The Dr.Evidence R\&amp;D organization includes software engineers, QA/QC engineers, product management, scrum masters, and business analysts. R\&amp;D is responsible for all aspects of product development, from ideation to maintenance. Our software engineers are experienced, talented, precise, and move at a fast pace to ensure speed\-to\-market goals for our customers are met.
**Responsibilities**
* Research \&amp; Prototyping
+ Rapidly prototype state\-of\-the\-art ML/NLP/LLM architectures using frameworks like Python, PyTorch, Hugging Face, and LangChain/LangGraph.
+ Assess open\-source and commercial models (e.g., Llama 3, Mistral, GPT\-series, Qwen, and other modern LLM architectures) for accuracy, latency, cost, hallucination risk, and compliance.
+ Run structured model evaluations (accuracy, relevance, precision/recall, hallucination checks).
* Model Development \&amp; Training
+ Build scalable training pipelines for supervised and self\-supervised learning paradigms.
+ Implement efficient techniques such as LoRA/QLoRA, instruction tuning, and quantization when needed.
+ Develop agentic workflows (tool\-calling, iterative reasoning, ranking, and multi\-step pipelines) for real\-world use cases.
+ Improve and maintain existing ML pipelines.
+ Optimize inference performance with batching, quantization, and efficient serving frameworks.
* Retrieval\-Augmented Generation (RAG) \&amp; Search
+ Design and optimize RAG systems that integrate with internal data sources.
+ Build hybrid retrieval using Elasticsearch/BM25 \+ vector search (PGVector or other vector DBs).
+ Tune chunking, embeddings, reranking, and hallucination\-prevention strategies for long documents.
* Data Engineering for AI
+ Prepare and refine text datasets for training, evaluation, and fine\-tuning.
+ Generate synthetic training data using LLMs to improve extraction accuracy, classification, and reasoning.
+ Build small, targeted datasets for fine\-tuning domain\-specific models.
* LLM Specialization
+ Fine\-tune and align open\-source LLMs for domain\-specific tasks (RAG, agents, tool\-calling, reasoning).
+ Implement safety layers: prompt guards, output filters, adversarial robustness testing.
* Productionization \&amp; MLOps
+ Containerize models with Docker; orchestrate with Docker Swarm.
+ Build monitoring for model quality, latency, hallucinations, and regressions.
+ Collaborate with DevOps and Architecture teams on cost, performance, and scalability decisions.
+ Implement observability around prompts, retrieval, and model outputs.
* Cross\-Functional Impact
+ Collaborate with Product to define AI roadmaps and success metrics.
+ Partner with Product and Engineering to design new AI capabilities across modules.
**Qualifications**
* Education: MS/PhD in CS, ML, Data Science, or related field; or BS \+ 5\+ years of intensive AI industry experience.
* Core Technical Skills:
+ Languages: Python (expert); familiarity with modern web stacks (e.g., PERN) is a plus.
+ Experience with PyTorch, Hugging Face Transformers, and common LLM tooling (PEFT, LoRA, QLoRA).
+ Strong understanding of NLP: tokenization, embeddings, chunking, NER, classification, summarization.
+ Experience with RAG pipelines, vector databases, retrieval/ranking strategies.
+ Experience designing and running model evaluation pipelines.
+ Comfortable with Docker\-based deployments and cloud environments.
+ Knowledge of Elasticsearch.
* Proven Track Record:
+ Shipped at least 3 production LLM\-powered features (e.g., chatbots, summarizers, agents).
+ Experience working with modern large\-scale models.
+ Experience designing clean, maintainable architectures for LLM features.
+ Strong documentation and communication skills.</t>
        </is>
      </c>
    </row>
    <row r="74">
      <c r="A74" t="inlineStr">
        <is>
          <t>li-4371506834</t>
        </is>
      </c>
      <c r="B74" t="inlineStr">
        <is>
          <t>AI Engineer</t>
        </is>
      </c>
      <c r="C74" t="inlineStr">
        <is>
          <t>CNSS • National Security Systems</t>
        </is>
      </c>
      <c r="D74" t="inlineStr">
        <is>
          <t>linkedin</t>
        </is>
      </c>
      <c r="E74" t="inlineStr"/>
      <c r="F74" t="inlineStr"/>
      <c r="G74" t="inlineStr">
        <is>
          <t>Denton, MD</t>
        </is>
      </c>
      <c r="H74" t="inlineStr"/>
      <c r="I7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5">
      <c r="A75" t="inlineStr">
        <is>
          <t>li-4371505829</t>
        </is>
      </c>
      <c r="B75" t="inlineStr">
        <is>
          <t>AI Engineer</t>
        </is>
      </c>
      <c r="C75" t="inlineStr">
        <is>
          <t>CNSS • National Security Systems</t>
        </is>
      </c>
      <c r="D75" t="inlineStr">
        <is>
          <t>linkedin</t>
        </is>
      </c>
      <c r="E75" t="inlineStr"/>
      <c r="F75" t="inlineStr"/>
      <c r="G75" t="inlineStr">
        <is>
          <t>Walkersville, MD</t>
        </is>
      </c>
      <c r="H75" t="inlineStr"/>
      <c r="I7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6">
      <c r="A76" t="inlineStr">
        <is>
          <t>li-4371528161</t>
        </is>
      </c>
      <c r="B76" t="inlineStr">
        <is>
          <t>AI Engineer</t>
        </is>
      </c>
      <c r="C76" t="inlineStr">
        <is>
          <t>CNSS • National Security Systems</t>
        </is>
      </c>
      <c r="D76" t="inlineStr">
        <is>
          <t>linkedin</t>
        </is>
      </c>
      <c r="E76" t="inlineStr"/>
      <c r="F76" t="inlineStr"/>
      <c r="G76" t="inlineStr">
        <is>
          <t>Urbana, MD</t>
        </is>
      </c>
      <c r="H76" t="inlineStr"/>
      <c r="I7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7">
      <c r="A77" t="inlineStr">
        <is>
          <t>li-4371505832</t>
        </is>
      </c>
      <c r="B77" t="inlineStr">
        <is>
          <t>AI Engineer</t>
        </is>
      </c>
      <c r="C77" t="inlineStr">
        <is>
          <t>CNSS • National Security Systems</t>
        </is>
      </c>
      <c r="D77" t="inlineStr">
        <is>
          <t>linkedin</t>
        </is>
      </c>
      <c r="E77" t="inlineStr"/>
      <c r="F77" t="inlineStr"/>
      <c r="G77" t="inlineStr">
        <is>
          <t>Philomont, VA</t>
        </is>
      </c>
      <c r="H77" t="inlineStr"/>
      <c r="I7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8">
      <c r="A78" t="inlineStr">
        <is>
          <t>li-4371525602</t>
        </is>
      </c>
      <c r="B78" t="inlineStr">
        <is>
          <t>AI Engineer</t>
        </is>
      </c>
      <c r="C78" t="inlineStr">
        <is>
          <t>CNSS • National Security Systems</t>
        </is>
      </c>
      <c r="D78" t="inlineStr">
        <is>
          <t>linkedin</t>
        </is>
      </c>
      <c r="E78" t="inlineStr"/>
      <c r="F78" t="inlineStr"/>
      <c r="G78" t="inlineStr">
        <is>
          <t>Hamilton, VA</t>
        </is>
      </c>
      <c r="H78" t="inlineStr"/>
      <c r="I7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79">
      <c r="A79" t="inlineStr">
        <is>
          <t>li-4371520635</t>
        </is>
      </c>
      <c r="B79" t="inlineStr">
        <is>
          <t>AI Engineer</t>
        </is>
      </c>
      <c r="C79" t="inlineStr">
        <is>
          <t>CNSS • National Security Systems</t>
        </is>
      </c>
      <c r="D79" t="inlineStr">
        <is>
          <t>linkedin</t>
        </is>
      </c>
      <c r="E79" t="inlineStr"/>
      <c r="F79" t="inlineStr"/>
      <c r="G79" t="inlineStr">
        <is>
          <t>Oak Hill, OH</t>
        </is>
      </c>
      <c r="H79" t="inlineStr"/>
      <c r="I7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0">
      <c r="A80" t="inlineStr">
        <is>
          <t>li-4211914409</t>
        </is>
      </c>
      <c r="B80" t="inlineStr">
        <is>
          <t>Machine Learning Engineer - 3D Sensor Simulation</t>
        </is>
      </c>
      <c r="C80" t="inlineStr">
        <is>
          <t>Zoox</t>
        </is>
      </c>
      <c r="D80" t="inlineStr">
        <is>
          <t>linkedin</t>
        </is>
      </c>
      <c r="E80" t="inlineStr"/>
      <c r="F80" t="inlineStr"/>
      <c r="G80" t="inlineStr">
        <is>
          <t>Seattle, WA</t>
        </is>
      </c>
      <c r="H80" t="inlineStr"/>
      <c r="I80" t="inlineStr">
        <is>
          <t>The 3D Simulation group at Zoox is looking for 3D Machine Learning engineers to simulate sensors (cameras, lidar, radar), combining GenAI/ML and modern 3D graphics techniques to close the gap between simulation and reality. You will have access to the best sensor data in the world and an incredible infrastructure for testing and validating your algorithms. Collaborate with Sensor Sim, Perception, and V\&amp;V teams to evaluate and iteratively improve the fidelity of sensor simulation. The 3D Sensor Simulation team’s work is at the core of creating high fidelity synthetic data for training and testing AV AI, as well as real time sensor data for hardware\-in\-the\-loop simulation.
**In This Role, You Will**
* Research, implement, and optimize state of the art 3D rendering of sensor data, leveraging GenAI/ML and 3D graphics.
* Develop realism metrics with V\&amp;V to show measurable impact of your improved sensor fidelity.
* Collaborate with Perception and Safety teams to improve realism of sensor simulation for high fidelity synthetic data.
* Improve rendering and ML inference tooling for generating realistic data at scale.
**Qualifications**
* 2\+ years of industry experience, and/or PhD, developing neural rendering techniques like Gaussian Splatting, NeRFs, or 3D reconstruction
* 2\+ years of experience developing software with Python and/or modern C\+\+
* Expertise with machine learning frameworks PyTorch or Tensorflow
* Familiarity with 3D graphics algorithms, such as 3D geometry and camera models
* Strong mathematical skills and understanding of 3D linear algebra and probabilistic techniques
**Bonus Qualifications**
* Master's or PhD in computer science, mathematics, physics, or related field
* Experience with generative models for 3D content pipelines using applications like Houdini, Maya, or Blender.
* Experience in 3D rendering for simulation, games, cloud computing, or VFX
 $173,000 \- $244,000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1">
      <c r="A81" t="inlineStr">
        <is>
          <t>li-4371505837</t>
        </is>
      </c>
      <c r="B81" t="inlineStr">
        <is>
          <t>AI Engineer</t>
        </is>
      </c>
      <c r="C81" t="inlineStr">
        <is>
          <t>CNSS • National Security Systems</t>
        </is>
      </c>
      <c r="D81" t="inlineStr">
        <is>
          <t>linkedin</t>
        </is>
      </c>
      <c r="E81" t="inlineStr"/>
      <c r="F81" t="inlineStr"/>
      <c r="G81" t="inlineStr">
        <is>
          <t>Fairview, PA</t>
        </is>
      </c>
      <c r="H81" t="inlineStr"/>
      <c r="I8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2">
      <c r="A82" t="inlineStr">
        <is>
          <t>li-4371507793</t>
        </is>
      </c>
      <c r="B82" t="inlineStr">
        <is>
          <t>AI Engineer</t>
        </is>
      </c>
      <c r="C82" t="inlineStr">
        <is>
          <t>CNSS • National Security Systems</t>
        </is>
      </c>
      <c r="D82" t="inlineStr">
        <is>
          <t>linkedin</t>
        </is>
      </c>
      <c r="E82" t="inlineStr"/>
      <c r="F82" t="inlineStr"/>
      <c r="G82" t="inlineStr">
        <is>
          <t>Edgegrove, PA</t>
        </is>
      </c>
      <c r="H82" t="inlineStr"/>
      <c r="I8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3">
      <c r="A83" t="inlineStr">
        <is>
          <t>li-4371516688</t>
        </is>
      </c>
      <c r="B83" t="inlineStr">
        <is>
          <t>AI Engineer</t>
        </is>
      </c>
      <c r="C83" t="inlineStr">
        <is>
          <t>CNSS • National Security Systems</t>
        </is>
      </c>
      <c r="D83" t="inlineStr">
        <is>
          <t>linkedin</t>
        </is>
      </c>
      <c r="E83" t="inlineStr"/>
      <c r="F83" t="inlineStr"/>
      <c r="G83" t="inlineStr">
        <is>
          <t>Carroll Valley, PA</t>
        </is>
      </c>
      <c r="H83" t="inlineStr"/>
      <c r="I8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4">
      <c r="A84" t="inlineStr">
        <is>
          <t>li-4371508801</t>
        </is>
      </c>
      <c r="B84" t="inlineStr">
        <is>
          <t>AI Engineer</t>
        </is>
      </c>
      <c r="C84" t="inlineStr">
        <is>
          <t>CNSS • National Security Systems</t>
        </is>
      </c>
      <c r="D84" t="inlineStr">
        <is>
          <t>linkedin</t>
        </is>
      </c>
      <c r="E84" t="inlineStr"/>
      <c r="F84" t="inlineStr"/>
      <c r="G84" t="inlineStr">
        <is>
          <t>Abbottstown, PA</t>
        </is>
      </c>
      <c r="H84" t="inlineStr"/>
      <c r="I8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5">
      <c r="A85" t="inlineStr">
        <is>
          <t>li-4371508799</t>
        </is>
      </c>
      <c r="B85" t="inlineStr">
        <is>
          <t>AI Engineer</t>
        </is>
      </c>
      <c r="C85" t="inlineStr">
        <is>
          <t>CNSS • National Security Systems</t>
        </is>
      </c>
      <c r="D85" t="inlineStr">
        <is>
          <t>linkedin</t>
        </is>
      </c>
      <c r="E85" t="inlineStr"/>
      <c r="F85" t="inlineStr"/>
      <c r="G85" t="inlineStr">
        <is>
          <t>Littlestown, PA</t>
        </is>
      </c>
      <c r="H85" t="inlineStr"/>
      <c r="I8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6">
      <c r="A86" t="inlineStr">
        <is>
          <t>li-4371520645</t>
        </is>
      </c>
      <c r="B86" t="inlineStr">
        <is>
          <t>AI Engineer</t>
        </is>
      </c>
      <c r="C86" t="inlineStr">
        <is>
          <t>CNSS • National Security Systems</t>
        </is>
      </c>
      <c r="D86" t="inlineStr">
        <is>
          <t>linkedin</t>
        </is>
      </c>
      <c r="E86" t="inlineStr"/>
      <c r="F86" t="inlineStr"/>
      <c r="G86" t="inlineStr">
        <is>
          <t>Kingsdale, PA</t>
        </is>
      </c>
      <c r="H86" t="inlineStr"/>
      <c r="I8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7">
      <c r="A87" t="inlineStr">
        <is>
          <t>li-4371526572</t>
        </is>
      </c>
      <c r="B87" t="inlineStr">
        <is>
          <t>AI Engineer</t>
        </is>
      </c>
      <c r="C87" t="inlineStr">
        <is>
          <t>CNSS • National Security Systems</t>
        </is>
      </c>
      <c r="D87" t="inlineStr">
        <is>
          <t>linkedin</t>
        </is>
      </c>
      <c r="E87" t="inlineStr"/>
      <c r="F87" t="inlineStr"/>
      <c r="G87" t="inlineStr">
        <is>
          <t>Brushtown, PA</t>
        </is>
      </c>
      <c r="H87" t="inlineStr"/>
      <c r="I8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8">
      <c r="A88" t="inlineStr">
        <is>
          <t>li-4371511688</t>
        </is>
      </c>
      <c r="B88" t="inlineStr">
        <is>
          <t>AI Engineer</t>
        </is>
      </c>
      <c r="C88" t="inlineStr">
        <is>
          <t>CNSS • National Security Systems</t>
        </is>
      </c>
      <c r="D88" t="inlineStr">
        <is>
          <t>linkedin</t>
        </is>
      </c>
      <c r="E88" t="inlineStr"/>
      <c r="F88" t="inlineStr"/>
      <c r="G88" t="inlineStr">
        <is>
          <t>Sparks, MD</t>
        </is>
      </c>
      <c r="H88" t="inlineStr"/>
      <c r="I8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89">
      <c r="A89" t="inlineStr">
        <is>
          <t>li-4371511696</t>
        </is>
      </c>
      <c r="B89" t="inlineStr">
        <is>
          <t>AI Engineer</t>
        </is>
      </c>
      <c r="C89" t="inlineStr">
        <is>
          <t>CNSS • National Security Systems</t>
        </is>
      </c>
      <c r="D89" t="inlineStr">
        <is>
          <t>linkedin</t>
        </is>
      </c>
      <c r="E89" t="inlineStr"/>
      <c r="F89" t="inlineStr"/>
      <c r="G89" t="inlineStr">
        <is>
          <t>Eldora, PA</t>
        </is>
      </c>
      <c r="H89" t="inlineStr"/>
      <c r="I8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0">
      <c r="A90" t="inlineStr">
        <is>
          <t>li-4371512731</t>
        </is>
      </c>
      <c r="B90" t="inlineStr">
        <is>
          <t>AI Engineer</t>
        </is>
      </c>
      <c r="C90" t="inlineStr">
        <is>
          <t>CNSS • National Security Systems</t>
        </is>
      </c>
      <c r="D90" t="inlineStr">
        <is>
          <t>linkedin</t>
        </is>
      </c>
      <c r="E90" t="inlineStr"/>
      <c r="F90" t="inlineStr"/>
      <c r="G90" t="inlineStr">
        <is>
          <t>Thomasville, PA</t>
        </is>
      </c>
      <c r="H90" t="inlineStr"/>
      <c r="I9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1">
      <c r="A91" t="inlineStr">
        <is>
          <t>li-4371524604</t>
        </is>
      </c>
      <c r="B91" t="inlineStr">
        <is>
          <t>AI Engineer</t>
        </is>
      </c>
      <c r="C91" t="inlineStr">
        <is>
          <t>CNSS • National Security Systems</t>
        </is>
      </c>
      <c r="D91" t="inlineStr">
        <is>
          <t>linkedin</t>
        </is>
      </c>
      <c r="E91" t="inlineStr"/>
      <c r="F91" t="inlineStr"/>
      <c r="G91" t="inlineStr">
        <is>
          <t>Bryansville, PA</t>
        </is>
      </c>
      <c r="H91" t="inlineStr"/>
      <c r="I9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2">
      <c r="A92" t="inlineStr">
        <is>
          <t>li-4371508797</t>
        </is>
      </c>
      <c r="B92" t="inlineStr">
        <is>
          <t>AI Engineer</t>
        </is>
      </c>
      <c r="C92" t="inlineStr">
        <is>
          <t>CNSS • National Security Systems</t>
        </is>
      </c>
      <c r="D92" t="inlineStr">
        <is>
          <t>linkedin</t>
        </is>
      </c>
      <c r="E92" t="inlineStr"/>
      <c r="F92" t="inlineStr"/>
      <c r="G92" t="inlineStr">
        <is>
          <t>Railroad, PA</t>
        </is>
      </c>
      <c r="H92" t="inlineStr"/>
      <c r="I9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3">
      <c r="A93" t="inlineStr">
        <is>
          <t>li-4371521654</t>
        </is>
      </c>
      <c r="B93" t="inlineStr">
        <is>
          <t>AI Engineer</t>
        </is>
      </c>
      <c r="C93" t="inlineStr">
        <is>
          <t>CNSS • National Security Systems</t>
        </is>
      </c>
      <c r="D93" t="inlineStr">
        <is>
          <t>linkedin</t>
        </is>
      </c>
      <c r="E93" t="inlineStr"/>
      <c r="F93" t="inlineStr"/>
      <c r="G93" t="inlineStr">
        <is>
          <t>Menges Mills, PA</t>
        </is>
      </c>
      <c r="H93" t="inlineStr"/>
      <c r="I9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4">
      <c r="A94" t="inlineStr">
        <is>
          <t>li-4371521653</t>
        </is>
      </c>
      <c r="B94" t="inlineStr">
        <is>
          <t>AI Engineer</t>
        </is>
      </c>
      <c r="C94" t="inlineStr">
        <is>
          <t>CNSS • National Security Systems</t>
        </is>
      </c>
      <c r="D94" t="inlineStr">
        <is>
          <t>linkedin</t>
        </is>
      </c>
      <c r="E94" t="inlineStr"/>
      <c r="F94" t="inlineStr"/>
      <c r="G94" t="inlineStr">
        <is>
          <t>Airville, PA</t>
        </is>
      </c>
      <c r="H94" t="inlineStr"/>
      <c r="I9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5">
      <c r="A95" t="inlineStr">
        <is>
          <t>li-4371520643</t>
        </is>
      </c>
      <c r="B95" t="inlineStr">
        <is>
          <t>AI Engineer</t>
        </is>
      </c>
      <c r="C95" t="inlineStr">
        <is>
          <t>CNSS • National Security Systems</t>
        </is>
      </c>
      <c r="D95" t="inlineStr">
        <is>
          <t>linkedin</t>
        </is>
      </c>
      <c r="E95" t="inlineStr"/>
      <c r="F95" t="inlineStr"/>
      <c r="G95" t="inlineStr">
        <is>
          <t>Slate Hill, PA</t>
        </is>
      </c>
      <c r="H95" t="inlineStr"/>
      <c r="I9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6">
      <c r="A96" t="inlineStr">
        <is>
          <t>li-4371517698</t>
        </is>
      </c>
      <c r="B96" t="inlineStr">
        <is>
          <t>AI Engineer</t>
        </is>
      </c>
      <c r="C96" t="inlineStr">
        <is>
          <t>CNSS • National Security Systems</t>
        </is>
      </c>
      <c r="D96" t="inlineStr">
        <is>
          <t>linkedin</t>
        </is>
      </c>
      <c r="E96" t="inlineStr"/>
      <c r="F96" t="inlineStr"/>
      <c r="G96" t="inlineStr">
        <is>
          <t>New Freedom, PA</t>
        </is>
      </c>
      <c r="H96" t="inlineStr"/>
      <c r="I9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7">
      <c r="A97" t="inlineStr">
        <is>
          <t>li-4371507788</t>
        </is>
      </c>
      <c r="B97" t="inlineStr">
        <is>
          <t>AI Engineer</t>
        </is>
      </c>
      <c r="C97" t="inlineStr">
        <is>
          <t>CNSS • National Security Systems</t>
        </is>
      </c>
      <c r="D97" t="inlineStr">
        <is>
          <t>linkedin</t>
        </is>
      </c>
      <c r="E97" t="inlineStr"/>
      <c r="F97" t="inlineStr"/>
      <c r="G97" t="inlineStr">
        <is>
          <t>Glenville, PA</t>
        </is>
      </c>
      <c r="H97" t="inlineStr"/>
      <c r="I9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8">
      <c r="A98" t="inlineStr">
        <is>
          <t>li-4371516685</t>
        </is>
      </c>
      <c r="B98" t="inlineStr">
        <is>
          <t>AI Engineer</t>
        </is>
      </c>
      <c r="C98" t="inlineStr">
        <is>
          <t>CNSS • National Security Systems</t>
        </is>
      </c>
      <c r="D98" t="inlineStr">
        <is>
          <t>linkedin</t>
        </is>
      </c>
      <c r="E98" t="inlineStr"/>
      <c r="F98" t="inlineStr"/>
      <c r="G98" t="inlineStr">
        <is>
          <t>Kyleville, PA</t>
        </is>
      </c>
      <c r="H98" t="inlineStr"/>
      <c r="I9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99">
      <c r="A99" t="inlineStr">
        <is>
          <t>li-4371524599</t>
        </is>
      </c>
      <c r="B99" t="inlineStr">
        <is>
          <t>AI Engineer</t>
        </is>
      </c>
      <c r="C99" t="inlineStr">
        <is>
          <t>CNSS • National Security Systems</t>
        </is>
      </c>
      <c r="D99" t="inlineStr">
        <is>
          <t>linkedin</t>
        </is>
      </c>
      <c r="E99" t="inlineStr"/>
      <c r="F99" t="inlineStr"/>
      <c r="G99" t="inlineStr">
        <is>
          <t>Pennville, PA</t>
        </is>
      </c>
      <c r="H99" t="inlineStr"/>
      <c r="I9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0">
      <c r="A100" t="inlineStr">
        <is>
          <t>li-4371513684</t>
        </is>
      </c>
      <c r="B100" t="inlineStr">
        <is>
          <t>AI Engineer</t>
        </is>
      </c>
      <c r="C100" t="inlineStr">
        <is>
          <t>CNSS • National Security Systems</t>
        </is>
      </c>
      <c r="D100" t="inlineStr">
        <is>
          <t>linkedin</t>
        </is>
      </c>
      <c r="E100" t="inlineStr"/>
      <c r="F100" t="inlineStr"/>
      <c r="G100" t="inlineStr">
        <is>
          <t>Lake Linganore, MD</t>
        </is>
      </c>
      <c r="H100" t="inlineStr"/>
      <c r="I10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1">
      <c r="A101" t="inlineStr">
        <is>
          <t>li-4371514671</t>
        </is>
      </c>
      <c r="B101" t="inlineStr">
        <is>
          <t>AI Engineer</t>
        </is>
      </c>
      <c r="C101" t="inlineStr">
        <is>
          <t>CNSS • National Security Systems</t>
        </is>
      </c>
      <c r="D101" t="inlineStr">
        <is>
          <t>linkedin</t>
        </is>
      </c>
      <c r="E101" t="inlineStr"/>
      <c r="F101" t="inlineStr"/>
      <c r="G101" t="inlineStr">
        <is>
          <t>Ijamsville, MD</t>
        </is>
      </c>
      <c r="H101" t="inlineStr"/>
      <c r="I10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2">
      <c r="A102" t="inlineStr">
        <is>
          <t>li-4371525597</t>
        </is>
      </c>
      <c r="B102" t="inlineStr">
        <is>
          <t>AI Engineer</t>
        </is>
      </c>
      <c r="C102" t="inlineStr">
        <is>
          <t>CNSS • National Security Systems</t>
        </is>
      </c>
      <c r="D102" t="inlineStr">
        <is>
          <t>linkedin</t>
        </is>
      </c>
      <c r="E102" t="inlineStr"/>
      <c r="F102" t="inlineStr"/>
      <c r="G102" t="inlineStr">
        <is>
          <t>Owings Mills, MD</t>
        </is>
      </c>
      <c r="H102" t="inlineStr"/>
      <c r="I10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3">
      <c r="A103" t="inlineStr">
        <is>
          <t>li-4350849717</t>
        </is>
      </c>
      <c r="B103" t="inlineStr">
        <is>
          <t>Sr. AI/ML Engineer III (6273)</t>
        </is>
      </c>
      <c r="C103" t="inlineStr">
        <is>
          <t>MetroStar</t>
        </is>
      </c>
      <c r="D103" t="inlineStr">
        <is>
          <t>linkedin</t>
        </is>
      </c>
      <c r="E103" t="inlineStr"/>
      <c r="F103" t="inlineStr"/>
      <c r="G103" t="inlineStr"/>
      <c r="H103" t="inlineStr"/>
      <c r="I103" t="inlineStr">
        <is>
          <t>As a
 **Sr. AI/ML Engineer III** 
 , you’ll provide advanced technical expertise in reinforcement learning and applied machine learning to support the development and modernization of mission\-critical modeling and simulation capabilities. This role designs, implements, and evaluates reinforcement learning based behaviors and decision\-making logic within simulation environments, ensuring that AI\-enabled capabilities are technically sound, testable, and operationally relevant. The position is a senior individual contributor role with direct impact on capability modernization and analytical depth across the portfolio.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implement, and tune reinforcement learning algorithms to support decision making and behavior modeling in simulation environments.
* Define and refine reward functions, state representations, and action spaces aligned to mission objectives.
* Build and maintain training environments and experimentation pipelines for reinforcement learning agents.
* Evaluate agent performance using rigorous metrics such as convergence, sample efficiency, robustness, and stability.
* Analyze training outcomes and simulation results to recommend changes to models, scenarios, or learning approaches.
* Collaborate closely with modeling and simulation engineers and software teams to integrate RL components into the baseline.
* Ensure AI and ML components are transparent, testable, and maintainable within the broader system architecture.
* Support test events, demonstrations, and technical reviews by clearly communicating AI and ML behavior and results.
**What you’ll need to succeed:** 
* Hold an active U.S. Government issued Secret clearance.
* 10\+ years of experience in data science with some of those years focused on artificial intelligence, or applied machine learning.
* Demonstrated hands\-on experience implementing and tuning reinforcement learning algorithms in Python.
* Experience with reinforcement learning approaches such as policy gradient methods, Q\-learning, and actor\-critic models.
* Proven ability to integrate ML or RL components into larger software or modeling and simulation systems.
* Experience working closely with software engineers and modeling teams to operationalize AI solutions.
**Salary Range:** 
  $179,000 – $189,000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04">
      <c r="A104" t="inlineStr">
        <is>
          <t>li-4371525604</t>
        </is>
      </c>
      <c r="B104" t="inlineStr">
        <is>
          <t>AI Engineer</t>
        </is>
      </c>
      <c r="C104" t="inlineStr">
        <is>
          <t>CNSS • National Security Systems</t>
        </is>
      </c>
      <c r="D104" t="inlineStr">
        <is>
          <t>linkedin</t>
        </is>
      </c>
      <c r="E104" t="inlineStr"/>
      <c r="F104" t="inlineStr"/>
      <c r="G104" t="inlineStr">
        <is>
          <t>West Bangor, PA</t>
        </is>
      </c>
      <c r="H104" t="inlineStr"/>
      <c r="I10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5">
      <c r="A105" t="inlineStr">
        <is>
          <t>li-4371522581</t>
        </is>
      </c>
      <c r="B105" t="inlineStr">
        <is>
          <t>AI Engineer</t>
        </is>
      </c>
      <c r="C105" t="inlineStr">
        <is>
          <t>CNSS • National Security Systems</t>
        </is>
      </c>
      <c r="D105" t="inlineStr">
        <is>
          <t>linkedin</t>
        </is>
      </c>
      <c r="E105" t="inlineStr"/>
      <c r="F105" t="inlineStr"/>
      <c r="G105" t="inlineStr">
        <is>
          <t>Garrisonville, VA</t>
        </is>
      </c>
      <c r="H105" t="inlineStr"/>
      <c r="I10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6">
      <c r="A106" t="inlineStr">
        <is>
          <t>li-4371521647</t>
        </is>
      </c>
      <c r="B106" t="inlineStr">
        <is>
          <t>AI Engineer</t>
        </is>
      </c>
      <c r="C106" t="inlineStr">
        <is>
          <t>CNSS • National Security Systems</t>
        </is>
      </c>
      <c r="D106" t="inlineStr">
        <is>
          <t>linkedin</t>
        </is>
      </c>
      <c r="E106" t="inlineStr"/>
      <c r="F106" t="inlineStr"/>
      <c r="G106" t="inlineStr">
        <is>
          <t>Greenmount, MD</t>
        </is>
      </c>
      <c r="H106" t="inlineStr"/>
      <c r="I10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7">
      <c r="A107" t="inlineStr">
        <is>
          <t>li-4371517692</t>
        </is>
      </c>
      <c r="B107" t="inlineStr">
        <is>
          <t>AI Engineer</t>
        </is>
      </c>
      <c r="C107" t="inlineStr">
        <is>
          <t>CNSS • National Security Systems</t>
        </is>
      </c>
      <c r="D107" t="inlineStr">
        <is>
          <t>linkedin</t>
        </is>
      </c>
      <c r="E107" t="inlineStr"/>
      <c r="F107" t="inlineStr"/>
      <c r="G107" t="inlineStr">
        <is>
          <t>Pikesville, MD</t>
        </is>
      </c>
      <c r="H107" t="inlineStr"/>
      <c r="I10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08">
      <c r="A108" t="inlineStr">
        <is>
          <t>li-4371386868</t>
        </is>
      </c>
      <c r="B108" t="inlineStr">
        <is>
          <t>AI Engineer</t>
        </is>
      </c>
      <c r="C108" t="inlineStr">
        <is>
          <t>Zions Bancorporation</t>
        </is>
      </c>
      <c r="D108" t="inlineStr">
        <is>
          <t>linkedin</t>
        </is>
      </c>
      <c r="E108" t="inlineStr"/>
      <c r="F108" t="inlineStr"/>
      <c r="G108" t="inlineStr">
        <is>
          <t>Midvale, UT</t>
        </is>
      </c>
      <c r="H108" t="inlineStr"/>
      <c r="I108"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dynamic and visionary
 **AI Engineer** 
 to join our newly establishedInnovation Lab. In this pivotal role, you will combine core software engineering excellence with advanced AI development to drive the creation of cutting\-edge solutions. You will collaborate with cross\-functional partners to deliver top\-tier AI prototypes and production\-ready applications, ensuring they are built on solid engineering principles. You will be responsible for comprehensive requirements analysis, stakeholder collaboration, and the design, debugging, testing, and deployment of effective, scalable software solutions. Your expertise will help us review, analyze, and improve business processes by leveraging both standard application development and advanced machine learning techniques. This is an exciting opportunity to make a significant impact within the financial sector, contributing to product design, user experience, and ongoing system enhancements.
**Responsibilities:**
* Develop innovative AI/ML software solutions, specifically focusing on Generative AI, LLMs, and RAG (Retrieval\-Augmented Generation) architectures, while adhering to enterprise software standards.
* Design, build, and maintain robust, scalable RESTful APIs and microservices to expose AI capabilities to internal and external applications usingPython (FastAPI/Flask) and/or Java (Spring Boot).
* Guide testing, configuration management, and source code/change management processes, ensuring strict adherence to Git workflows and version control best practices.
* Support and maintain AI pipelines and infrastructure to ensure optimal system performance, scalability, and reliability.
* Design, debug, test, and deploy software usingPython and/or Javafundamentals, writing clean, maintainable, and efficient code.
* Lead and participate in code reviews, ensuring code quality, security, and testability across the team.
* Review, analyze, and evaluate business processes, recommending improvements and changes using both standard software automation and AI.
* Participate in unit testing, integration testing, feasibility assessments, and systems documentation.
* Execute and manage change and release processes (CI/CD), including model versioning and deployment, documenting solutions with clear, well\-commented code.
* Build proof of concept (PoC) examples and graphical simulation software.
* Participate in product design reviews, offering creative and practical ideas and solutions.
* Collaborate with customer service, product managers, developers, and IT to enhance user experience and achieve product goals.
* Other duties as assigned.
**Qualifications:**
* 8\+ years of experience in software development, database technologies, version control systems, DevOps tools, cloud computing platforms, and microservices architecture. A combination of education and relevant experience may meet qualifications.
* Cloud Expertise:In\-depth knowledge of modern cloud architectures (GCP preferred, AWS/Azure acceptable) and infrastructure\-as\-code.
* Subject matter expert knowledge of modern programming languages—specificallyPython and/or Java—and application development using various technologies, languages, databases, integrations, frameworks, and systems.
* Expert knowledge of software development lifecycles (SDLC), Agile/Scrum methodologies, SQL and database systems,Java/Python programmingand application servers (e.g., WebSphere, Tomcat), data modeling concepts, and integrated application development methodology.
* Proven experience with Generative AI (prompt engineering, fine\-tuning, RAG) combined with traditional software engineering skills (API design, CI/CD pipelines, Git).
* Exceptional debugging, problem\-solving, and testing skills (unit, integration, and end\-to\-end testing).
* Exceptional analysis, judgment, and project management skills.
* Excellent interpersonal communication, both verbal and written, with technical and non\-technical staff.
* Ability to analyze business requirements and map them to various programs, interpret, validate, and map business requirements to appropriate solutions.
* Ability to work effectively in a team environment and adapt to changing technology and priorities.
* Financial or banking services experience is a plus.
* Bachelor’s degree in Computer Science, Computer Engineering, or equivalent required.
**Work Location:**
 This position will be a hybrid work schedule (3 days a week in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t>
        </is>
      </c>
    </row>
    <row r="109">
      <c r="A109" t="inlineStr">
        <is>
          <t>li-4371382664</t>
        </is>
      </c>
      <c r="B109" t="inlineStr">
        <is>
          <t>Ai Engineer</t>
        </is>
      </c>
      <c r="C109" t="inlineStr">
        <is>
          <t>FetchJobs.co</t>
        </is>
      </c>
      <c r="D109" t="inlineStr">
        <is>
          <t>linkedin</t>
        </is>
      </c>
      <c r="E109" t="inlineStr"/>
      <c r="F109" t="inlineStr"/>
      <c r="G109" t="inlineStr"/>
      <c r="H109" t="inlineStr"/>
      <c r="I109" t="inlineStr">
        <is>
          <t>About the Company
 MassMutual is a leading financial services organization dedicated to helping individuals and businesses achieve their financial goals through comprehensive insurance, retirement, and investment solutions. With a rich history of innovation and a commitment to customer\-centric service, MassMutual has established itself as a trusted partner in the financial industry. The company leverages cutting\-edge technology and data\-driven insights to enhance its offerings and deliver exceptional value to its clients. As part of its strategic growth and digital transformation initiatives, MassMutual invests heavily in advanced analytics, artificial intelligence, and machine learning to optimize operations and develop innovative products that meet the evolving needs of its diverse customer base.
 About the Role
 MassMutual's Data Science team is seeking an impact\-driven Lead AI Engineer to join our high\-performing, cross\-functional team. In this role, you will be at the forefront of designing and deploying advanced AI solutions that influence strategic decision\-making and drive business transformation across the organization. Your expertise will be instrumental in applying state\-of\-the\-art techniques in machine learning, generative AI, and large language models (LLMs) to solve complex, high\-value problems. This position offers a unique opportunity to collaborate with experts in applied mathematics, statistics, computer science, and physics, working on initiatives that shape the future of MassMutual and the broader life insurance industry.
 Qualifications
* Recognized industry expertise in AI/ML, with a proven track record of delivering impactful solutions.
* 7\+ years of experience in data science, machine learning, or AI engineering roles.
* Deep understanding of machine learning, statistics, natural language processing (NLP), optimization, and large language models (LLMs).
* Hands\-on experience with AI deployment and orchestration frameworks such as MLflow, llama\-index, and MCP.
* Extensive experience testing LLM behavior across various foundation models and benchmarks.
* Proven ability to build AI\-powered applications and collaborate effectively with software engineers and product managers.
* Strong programming skills in Python; proficiency in R is a plus.
* Proficiency in SQL and database design; familiarity with cloud\-native data platforms, vector databases, and semantic search is advantageous.
* Exceptional communication skills, with the ability to convey complex technical concepts to non\-technical stakeholders.
* Educational qualification: M.S. or Ph.D. in Computer Science, Statistics, Applied Mathematics, Electrical Engineering, Physics, or a related quantitative field.
 Responsibilities
* Architect and lead end\-to\-end machine learning and AI solutions supporting various enterprise use cases, utilizing LLMs, deep learning, and probabilistic modeling—from ideation through to production deployment.
* Deploy scalable generative AI and agentic AI systems that directly support business objectives and improve operational efficiency.
* Establish and promote best practices in AI development, ensuring responsible AI deployment and adherence to ethical standards.
* Drive innovation by identifying emerging technologies and translating cutting\-edge research into practical, scalable applications.
* Collaborate closely with engineering teams to build robust, production\-grade AI pipelines and APIs that facilitate seamless integration into existing systems.
* Prototype and deliver AI\-powered applications such as web apps, dashboards, and visualizations that enable data\-driven decision\-making.
* Influence senior leadership by aligning AI initiatives with enterprise strategy and effectively communicating insights and recommendations.
* Mentor and develop junior talent, fostering a culture of technical excellence, continuous learning, and innovation within the team.
 Benefits
 MassMutual offers a comprehensive benefits package designed to support the health, well\-being, and professional growth of its employees. This includes competitive salary packages, health insurance plans, retirement savings options, paid time off, and wellness programs. The company encourages a collaborative and inclusive work environment that values diversity and innovation. Employees have access to ongoing training and development opportunities, enabling them to stay at the forefront of technological advancements in AI and data science. Additionally, MassMutual promotes work\-life balance through flexible work arrangements and employee assistance programs, ensuring a supportive environment where employees can thrive both professionally and personally.
 Equal Opportunity
 MassMutual is an equal employment opportunity employer. We value diversity and are committed to creating an inclusive environment for all employees. All qualified applicants will receive consideration for employment without regard to race, color, religion, sex, sexual orientation, gender identity, national origin, age, disability, or veteran status. We welcome individuals from all backgrounds to apply and contribute to our innovative and dynamic team. If you require accommodation during the application process, please contact us and share the specifics of your needs. We are dedicated to ensuring equal opportunity and fostering a workplace where everyone can succeed.</t>
        </is>
      </c>
    </row>
    <row r="110">
      <c r="A110" t="inlineStr">
        <is>
          <t>li-4371878866</t>
        </is>
      </c>
      <c r="B110" t="inlineStr">
        <is>
          <t>Sr. AI Engineer</t>
        </is>
      </c>
      <c r="C110" t="inlineStr">
        <is>
          <t>Lumen Resources</t>
        </is>
      </c>
      <c r="D110" t="inlineStr">
        <is>
          <t>linkedin</t>
        </is>
      </c>
      <c r="E110" t="inlineStr"/>
      <c r="F110" t="inlineStr"/>
      <c r="G110" t="inlineStr">
        <is>
          <t>Orlando, FL</t>
        </is>
      </c>
      <c r="H110" t="inlineStr"/>
      <c r="I110" t="inlineStr">
        <is>
          <t>We’re hiring a Sr. AI Engineer to serve as the first AI\-focused engineering SME within a growing enterprise technology organization. This role is ideal for someone who blends full\-stack engineering depth with practical AI experience and enjoys shaping strategy while still delivering hands\-on solutions.
 You’ll partner closely with engineering, architecture, product, and business leaders to identify high\-impact use cases, modernize delivery patterns with AI\-driven accelerators, and drive responsible, scalable adoption of intelligent systems across the organization.
**What you'll do** 
* Act as the primary technical resource for AI adoption, helping define standards, patterns, and best practices
* Identify and recommend AI/ML solutions (genAI, embeddings, model APIs, conversational experiences, intelligent automation)
* Partner with architecture to align AI tools with enterprise guidelines, security, governance, and performance needs
* Champion responsible AI practices and scalable model lifecycle approaches
* Build and integrate AI capabilities into modern application solutions where it adds clear value
* Provide technical direction and guide end\-to\-end solution design, ensuring stability and reusability
* Influence SDLC delivery approaches and integrate AI accelerators into workflows
* Review and approve solution designs for alignment with business outcomes, architectural principles, SLAs, and quality benchmarks
**Requirements:** 
* Strong full\-stack engineering experience 8\+ years (front\-end \+ backend \+ APIs)
* Experience building modern applications using cloud\-native patterns (microservices, middleware, CI/CD, automation)
* Hands\-on exposure to AI implementation (LLM APIs, embeddings, RAG patterns, agent workflows, intelligent automation)
* Comfort leading technical direction and influencing architecture decisions
* Strong communication skills and ability to guide technical and non\-technical stakeholders</t>
        </is>
      </c>
    </row>
    <row r="111">
      <c r="A111" t="inlineStr">
        <is>
          <t>li-4371528165</t>
        </is>
      </c>
      <c r="B111" t="inlineStr">
        <is>
          <t>AI Engineer</t>
        </is>
      </c>
      <c r="C111" t="inlineStr">
        <is>
          <t>CNSS • National Security Systems</t>
        </is>
      </c>
      <c r="D111" t="inlineStr">
        <is>
          <t>linkedin</t>
        </is>
      </c>
      <c r="E111" t="inlineStr"/>
      <c r="F111" t="inlineStr"/>
      <c r="G111" t="inlineStr">
        <is>
          <t>Oakton, VA</t>
        </is>
      </c>
      <c r="H111" t="inlineStr"/>
      <c r="I11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2">
      <c r="A112" t="inlineStr">
        <is>
          <t>li-4371523592</t>
        </is>
      </c>
      <c r="B112" t="inlineStr">
        <is>
          <t>AI Engineer</t>
        </is>
      </c>
      <c r="C112" t="inlineStr">
        <is>
          <t>CNSS • National Security Systems</t>
        </is>
      </c>
      <c r="D112" t="inlineStr">
        <is>
          <t>linkedin</t>
        </is>
      </c>
      <c r="E112" t="inlineStr"/>
      <c r="F112" t="inlineStr"/>
      <c r="G112" t="inlineStr">
        <is>
          <t>Mason Neck, VA</t>
        </is>
      </c>
      <c r="H112" t="inlineStr"/>
      <c r="I11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13">
      <c r="A113" t="inlineStr">
        <is>
          <t>li-4371525159</t>
        </is>
      </c>
      <c r="B113" t="inlineStr">
        <is>
          <t>AI Engineer, VDC</t>
        </is>
      </c>
      <c r="C113" t="inlineStr">
        <is>
          <t>Veeam Software</t>
        </is>
      </c>
      <c r="D113" t="inlineStr">
        <is>
          <t>linkedin</t>
        </is>
      </c>
      <c r="E113" t="inlineStr"/>
      <c r="F113" t="inlineStr"/>
      <c r="G113" t="inlineStr"/>
      <c r="H113" t="inlineStr"/>
      <c r="I113" t="inlineStr">
        <is>
          <t>Veeam, the \#1 global market leader in data resilience, believes businesses should control all their data whenever and wherever they need it. Veeam provides data resilience through data backup, data recovery, data portability, data security, and data intelligence. Based in Seattle, Veeam protects over 550,000 customers worldwide who trust Veeam to keep their businesses running. Join us as we move forward together, growing, learning, and making a real impact for some of the world’s biggest brands. The future of data resilience is here \- go fearlessly forward with us.
 As an AI Engineer on the Veeam Data Cloud Intelligence team, you'll design and manage innovative systems that enable Veeam's customers to extract meaningful insights from their enterprise data, securely stored within the VDC.
 We’re building production systems that help to discover and understand data so as to make organizations more resilient. You’ll be asked to investigate best practices, rapidly iterate on prototypes, and then productize your work so as to have a clear impact across multiple Veeam services.
**Why This Role Is Unique**
* Greenfield Opportunity: Many of our workflows, including secure semantic discovery at scale, are industry firsts. You’ll help invent and define them.
* The Data is Real—and Huge: You'll work with exabyte\-scale backup data from some of the world’s largest enterprises. It’s heterogeneous, richly structured, multilingual, and full of opportunities for insight.
* Production AI, Not Just Models: You’ll be building end\-to\-end, customer\-facing capabilities—not just research prototypes. These systems will be measured in uptime, relevance, and ROI.
**Your Tasks Will Include**
* Build and operate AI\-powered services that summarize document content, extract keywords, and generate vector embeddings from backed\-up data using cutting\-edge services
* Design secure interfaces for AI agents to query backup data via Model Context Protocol (MCP), enforcing tenant\-aware RBAC and query constraints
* Own and optimize prompt engineering and evaluation workflows for our LLM\-based assistant, Veeam Intelligence
* Help define and improve our AI quality benchmarks—whether for retrieval relevance, summarization accuracy, or agent response reliability
* Collaborate across the stack and across the VDC engineering organization to ensure AI workflows are deeply integrated and consistently performant
* Tune AI workflows for performance, cost, latency, and observability—especially important when working with billions of documents across global regions
**What We Expect From You**
* Strong backend engineering skills in Python and modern AI tooling (e.g., OpenAI APIs, LangChain, transformers, Azure ML)
* Experience working with embeddings, LLMs, or AI\-based summarization/extraction pipelines in production environments
* Experience with prompt engineering and prompt tuning, including strategies to improve output quality, reduce hallucinations, and support structured responses
* Awareness of jailbreaking techniques and adversarial prompts; ability to think like an attacker to proactively harden LLM\-powered workflows
* Exposure to agent architectures (e.g., Model Context Protocol, Agent to Agent)
* Security\-first mindset—comfortable building systems with RBAC, data boundary enforcement, and operational safeguards against misuse
* Proactive in staying current with industry trends in LLMs, search, and AI infrastructure, and able to synthesize and share relevant developments with the team
* Practical knowledge of cloud\-based infrastructure, preferably in Azure (Event Bus Services, Blob Storage, Kubernetes, CosmosDB, Azure Open AI Service)
* Strong written and verbal communication (English). Ability to collaborate with team members, flesh out solutions to ambiguous problems, and drive consensus
**Will Be An Advantage**
* Familiarity with prompt evaluation frameworks or LLM observability tooling.
* Experience working with RBAC\-enforced, multi\-tenant systems.
**Veeam Offers Benefits That Support Your Whole Self**
* Unlimited paid time off, plus 3 global VeeaMe Days for self\-care
* Paid parental leave: 8 weeks for all parents, 16 weeks for birthing parents
* Medical, dental, and vision coverage from day one
* Mental health support, therapy sessions, and digital wellness tools via SupportLinc EAP
* 401(k) retirement plan with matching contributions up to annual limits
* Fertility, adoption, and surrogacy support through Maven, plus paid volunteer time
* AirVet: 24/7 virtual veterinary care at no cost
* Legal services, identity protection, and supplemental health insurance options
* Tax\-advantaged spending accounts for healthcare, dependent care, and commuting
* Professional training and education, including courses and workshops, internal meetups, and unlimited access to our online learning platforms (LinkedIn Learning, Athena, O’Reilly) and mentoring through our MentorLab program
**Please Note:** 
 If the applicant is permanently located outside of the United States Veeam reserves the right to decline the application for the position. Remote work is only possible for employees located in the United States.L
 I\-Remote
*The salary range posted is On Target Earnings (OTE), which is inclusive of base and variable pay. When making an offer of employment, Veeam will take into consideration the candidate’s expectations, experience, education, scope of responsibility for the role, and the current market demands.*
 United States of America Pay Range
 $172,400—$320,100 USD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Please note that any personal data collected from you during the recruitment process will be processed in accordance with our Recruiting Privacy Notice.
 The Privacy Notice sets out the basis on which the personal data collected from you, or that you provide to us, will be processed by us in connection with our recruitment processes.
 By applying for this position, you consent to the processing of your personal data in accordance with our Recruiting Privacy Notice.
**By submitting your application, you acknowledge that the information provided in your job application and any supporting documents is complete and accurate to the best of your knowledge. Any misrepresentation, omission, or falsification of information may result in disqualification from consideration for employment or, if discovered after employment begins, termination of employment.**</t>
        </is>
      </c>
    </row>
    <row r="114">
      <c r="A114" t="inlineStr">
        <is>
          <t>li-4341126515</t>
        </is>
      </c>
      <c r="B114" t="inlineStr">
        <is>
          <t>AI &amp; Machine Learning Engineering Consultant - Senior - Consulting - Location OPEN</t>
        </is>
      </c>
      <c r="C114" t="inlineStr">
        <is>
          <t>EY</t>
        </is>
      </c>
      <c r="D114" t="inlineStr">
        <is>
          <t>linkedin</t>
        </is>
      </c>
      <c r="E114" t="inlineStr"/>
      <c r="F114" t="inlineStr"/>
      <c r="G114" t="inlineStr">
        <is>
          <t>Wichita, KS</t>
        </is>
      </c>
      <c r="H114" t="inlineStr"/>
      <c r="I11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5">
      <c r="A115" t="inlineStr">
        <is>
          <t>li-4340976592</t>
        </is>
      </c>
      <c r="B115" t="inlineStr">
        <is>
          <t>AI &amp; Machine Learning Engineering Consultant - Senior - Consulting - Location OPEN</t>
        </is>
      </c>
      <c r="C115" t="inlineStr">
        <is>
          <t>EY</t>
        </is>
      </c>
      <c r="D115" t="inlineStr">
        <is>
          <t>linkedin</t>
        </is>
      </c>
      <c r="E115" t="inlineStr"/>
      <c r="F115" t="inlineStr"/>
      <c r="G115" t="inlineStr">
        <is>
          <t>Memphis, TN</t>
        </is>
      </c>
      <c r="H115" t="inlineStr"/>
      <c r="I11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6">
      <c r="A116" t="inlineStr">
        <is>
          <t>li-4337011827</t>
        </is>
      </c>
      <c r="B116" t="inlineStr">
        <is>
          <t>Applied AI Engineer-Vice President</t>
        </is>
      </c>
      <c r="C116" t="inlineStr">
        <is>
          <t>JPMorganChase</t>
        </is>
      </c>
      <c r="D116" t="inlineStr">
        <is>
          <t>linkedin</t>
        </is>
      </c>
      <c r="E116" t="inlineStr"/>
      <c r="F116" t="inlineStr"/>
      <c r="G116" t="inlineStr">
        <is>
          <t>Columbus, OH</t>
        </is>
      </c>
      <c r="H116" t="inlineStr"/>
      <c r="I116" t="inlineStr">
        <is>
          <t>**Job Description**
 As a Senior Lead Applied AI Engineer at JPMorganChase within the Consumer \&amp; Community Banking Machine Learning,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Drive innovation in machine learning solutions, ensuring scalability, flexibility, and future\-proof architecture
* Act as a thought leader and trusted advisor to executive leadership, providing strategic recommendations on machine learning initiatives and solutions
* Architect and oversee the development of next\-generation machine learning models and systems leveraging cutting\-edge technologies
* Ensure the platform supports complex use cases, including real\-time predictions, big data processing, and advanced analytics
* Promote software and model quality, integrity, and security across the organization
**Required Qualifications, Capabilities, And Skills**
* Formal training or certification on software engineering concepts and 5\+ years applied AI experience
* Proven track record of building and scaling software and or machine learning platforms in high\-growth or enterprise environments
* 10 plus years of hands\-on experience and expertise in software development frameworks and tools such as Java, Python and JavaScript
* Deep understanding of distributed systems, cloud\-native architectures, and modern machine learning technologies
* Experience in cloud platforms such as AWS, GCP, or Azure
* Knowledgeable in machine learning frameworks, ML Ops tools and practices
* Strong proficiency in engineering programming languages (e.g., Python, Java) and infrastructure as code (e.g., Terraform, CloudFormation)
* Proficient in building AI Agents (e.g., LangChain, LangGraph, AutoGen), integration of tools (e.g., API) and RAG based solutions (e.g., open search)
* Hands\-on experience with software development pipeline and orchestration tools (e.g., Jenkins, GitLab CI/CD)
* Exceptional ability to communicate complex technical concepts to both technical and non\-technical audiences
* Hands\-on experience with big data, pipeline, orchestration tools and real\-time processing frameworks
**Preferred Qualifications, Capabilities, And Skills**
* Certified as AWS Solutions Architect, Certified Developer, or similar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CCB Data \&amp;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t>
        </is>
      </c>
    </row>
    <row r="117">
      <c r="A117" t="inlineStr">
        <is>
          <t>li-4371849553</t>
        </is>
      </c>
      <c r="B117" t="inlineStr">
        <is>
          <t>Principal Applied Scientist</t>
        </is>
      </c>
      <c r="C117" t="inlineStr">
        <is>
          <t>Microsoft</t>
        </is>
      </c>
      <c r="D117" t="inlineStr">
        <is>
          <t>linkedin</t>
        </is>
      </c>
      <c r="E117" t="inlineStr"/>
      <c r="F117" t="inlineStr"/>
      <c r="G117" t="inlineStr">
        <is>
          <t>Redmond, WA</t>
        </is>
      </c>
      <c r="H117" t="inlineStr"/>
      <c r="I117"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It is an incredible time for AI initiatives at Microsoft. We're pushing the boundaries of AI and Machine Learning across multiple domains to advance Microsoft’s ambitious AI goals. Microsoft Copilot Studio is our comprehensive agent building platform that lets its customers create conversational and autonomous agents using natural language or a graphical interface. Copilot Studio makes it simple to design, test, and deploy solutions tailored to its customers’ industry, company, department, or role, whether they need agents for internal or external use cases.
 The Microsoft Copilot Studio Applied Science and Research organization seeks a seasoned
 **Principal Applied Scientist** 
 , a machine learning engineer to contribute to the development and integration of cutting\-edge AI technologies into Microsoft Copilot Studio, ensuring they are inclusive, ethical, and impactful.
 You will collaborate across product, design, research and engineering teams to bring innovative solutions to life, applying your expertise in machine learning, data science, and software engineering to solve complex problems. Your work will directly influence product quality and customer experiences.
 This role will combine machine learning and AI knowledge with software engineering expertise, while demonstrating a growth mindset and customer empathy. Join us in shaping the future of AI agents.
 You will play a crucial role in developing the Copilot Studio Applied Science and Research team’s direction in machine learning, Generative AI model fine\-tuning, Agent creation and deployment, AI evaluation and scaling.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experiment with AI architectures for improving Large Language Models (LLM) inference systems. This includes design patterns pertaining, but not limited to, Retrieval Agumented Generation (RAG), Context Engineering, Multi\-Agent architectures, tool design etc.
* Develop robust evaluation frameworks to assess model performance, monitor model behavior, conduct systematic benchmarking, and address identified weaknesses while ensuring compliance with customer standards.
* Build and maintain internal tools to streamline model fine\-tuning and evaluation workflows and automate repetitive tasks within secure development environments.
* Prepare and analyze data for machine learning, identifying optimal features and addressing data gaps.
* Implement machine learning algorithms, large\-scale model fine\-tuning, especially with closed and open source LLMs, Small Language Models (SLMs), multimodal or task\-specific models to solve real\-world customer problems and deliver measurable product and customer impact.
* Contribute to or enhance existing innovations by continuously refining well\-established models and training techniques through iterative improvements.
* Write efficient, high quality production code and debug complex distributed systems.
* Provide deep subject matter expertise in AI subfields (e.g., deep learning, Generative AI, Natural Language Processing(NLP), muti\-modal models, reinforcement learning) to help translate cutting\-edge research into practical, real\-world solutions that drive product innovation and business impact.
* Demonstrate deep understanding of small and large language models (SLMs and LLMs) architecture and optimization techniques to adapt out\-of\-the\-box solutions to particular business problems.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Statistics, Electrical/Computer Engineering, Physics, Mathematics or related field AND 9\+ years of experience in AI/ML, predictive analytics, software engineering or research
+ OR Master’s degree AND 7\+ years of relevant experience
+ OR PhD AND 5\+ year of relevant experience
+ OR equivalent experience
* Experience with MLOps Workflows, including CI/CD, monitoring, and retraining pipelines.
* Familiarity with modern LLMOps frameworks (e.g., LangChain, PromptFlow).
* Familiar with AI coding assistant, AI IDE, Agentic coding assistant such as GitHub Copilot, and Cursor.
* 3\+ years of experience conducting applied AI or NLP research in academic or industry settings.
* 3\+ year of experience developing and deploying live production systems or AI services.
* 2\+ years of experience working with Generative AI or large\-scale deep learning models and ML stacks.
* Experience across the product lifecycle from ideation to shipping.
 \#BICJOBS
 \#MCSJobs
 \#CopilotStudio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8">
      <c r="A118" t="inlineStr">
        <is>
          <t>li-4371390928</t>
        </is>
      </c>
      <c r="B118" t="inlineStr">
        <is>
          <t>Senior Full Stack AI Engineer</t>
        </is>
      </c>
      <c r="C118" t="inlineStr">
        <is>
          <t>Wipro</t>
        </is>
      </c>
      <c r="D118" t="inlineStr">
        <is>
          <t>linkedin</t>
        </is>
      </c>
      <c r="E118" t="inlineStr"/>
      <c r="F118" t="inlineStr"/>
      <c r="G118" t="inlineStr">
        <is>
          <t>Tampa, FL</t>
        </is>
      </c>
      <c r="H118" t="inlineStr"/>
      <c r="I118" t="inlineStr">
        <is>
          <t>Job description:
 Job Description
 Role: Senior Full Stack AI Engineer
 Location: Tampa, FL (3 Days onsite/week)
 Job Description:
 We are seeking a highly skilled and motivated AI Engineer with a strong focus on Generative AI and Natural Language Processing (NLP) to join our dynamic team. 
 The ideal candidate will be instrumental in designing, developing, and deploying AI use cases that involve searching, summarizing, and creating themes from database and extensive and document repositories. 
 This role requires a deep understanding of modern AI techniques, particularly those related to Large Language Models (LLMs) and Retrieval\-Augmented Generation (RAG). This role will be responsible for writing code, pairing with other developers as appropriate, decomposing acceptance criteria to understand team backlog deliverables, complexities, and risk, while working as a strong contributor on an agile team. 
 From a technical standpoint, the Software Engineer has full\-stack coding and implementation responsibilities and adheres to best practice principles including modern cloud\-based software development, agile and scrum, code quality, and tool usage.
 Responsibilities:
 • Apply depth of knowledge and expertise to all aspects of the software development lifecycle, as well as partner continuously with stakeholders on a regular basis
 • Develop and engineer solutions within an Agile software delivery team, working to collaboratively deliver sprint goals, write code, and participate in the broader technical community and team\-level Agile and Scrum processes.
 • Contribute to the design, documentation, and development of world\-class enterprise applications leveraging the latest technologies and software design patterns.
 • Leverage technical knowledge of concepts and procedures within own area and basic knowledge of other areas to resolve issues, as necessary.
 • Design and Development: Lead the design and implementation of end\-to\-end AI/ML pipelines for document understanding, summarization, and theme extraction. This includes data preprocessing, feature engineering, model training, evaluation, and deployment.
 • Generative AI Application: Develop and optimize LLM\-based solutions for text summarization, content generation, and knowledge extraction from structured/unstructured data.
 • RAG System Implementation: Build and maintain robust Retrieval\-Augmented Generation (RAG) pipelines, leveraging vector databases and advanced indexing strategies to ensure
 accurate and contextually relevant information retrieval.
 • Model Tuning and Optimization: Apply advanced GenAI tuning techniques such as QLORA, LORA, and PEFT to fine\-tune pre\-trained LLMs for specific use cases, optimizing for performance, efficiency, and accuracy.
 • Vector Search and Embeddings: Implement and optimize vector search capabilities and embedding pipelines to enhance the efficiency and relevance of document searches and information retrieval.
 • Prompt Engineering: Develop and refine prompts to maximize the performance and accuracy of language models.
 • Collaboration: Work closely with cross\-functional teams, including product managers, AI model teams and other engineers, to understand business requirements and translate them into scalable AI/ML solutions.
 Experience: 5\-8 Years
 .
 The expected compensation for this role ranges from $60,000 to $135,000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119">
      <c r="A119" t="inlineStr">
        <is>
          <t>li-4371524390</t>
        </is>
      </c>
      <c r="B119" t="inlineStr">
        <is>
          <t>Software AI Engineer</t>
        </is>
      </c>
      <c r="C119" t="inlineStr">
        <is>
          <t>micro1</t>
        </is>
      </c>
      <c r="D119" t="inlineStr">
        <is>
          <t>linkedin</t>
        </is>
      </c>
      <c r="E119" t="inlineStr"/>
      <c r="F119" t="inlineStr"/>
      <c r="G119" t="inlineStr"/>
      <c r="H119" t="inlineStr"/>
      <c r="I119" t="inlineStr">
        <is>
          <t>**Job Title:** 
 Software Engineer
**Job Type:** 
 Full\-time, Contractual
**Job Summary:** 
 Join our customer’s team as a Software Engineer, where you will build, optimize, and integrate cutting\-edge AI\-powered applications. This is a unique opportunity to leverage large language models and Retrieval\-Augmented Generation (RAG) while working with frontier AI platforms and secure cloud solutions. Help shape the next era of intelligent software in a collaborative, high\-impact environment.
**Key Responsibilities:** 
* Design, implement, and maintain scalable APIs and backend systems leveraging Python and RESTful services.
* Develop and integrate advanced LLM and RAG solutions, utilizing frameworks like LangGraph and LangChain for agentic, multi\-agent orchestration.
* Work with leading AI platforms including Anthropic for Gov, OpenAI Enterprise, Gemini Enterprise, and Grok Enterprise.
* Deploy, monitor, and optimize solutions on secure cloud infrastructures, such as AWS GovCloud, Google GovCloud, Azure IL5\+, and Vertex AI.
* Build robust data pipelines, manage metadata catalogs, and ensure secure data handling using ETL and MCP methodologies.
* Champion best practices in CI/CD pipelines, SDK integration, and secure coding for scalable codebases.
* Collaborate cross\-functionally, demonstrating exemplary written and verbal communication skills to document and present technical solutions.
**Required Skills and Qualifications:** 
* Proven experience with large language models (LLMs), Retrieval\-Augmented Generation (RAG), and prompt engineering.
* Strong development skills with Python, focusing on backend API development and SDK integration.
* Hands\-on expertise with AWS, particularly AWS GovCloud and AWS Bedrock services.
* Experience with agentic AI tools such as LangGraph, LangChain, and multi\-agent orchestration systems.
* Knowledge of cloud platforms including Google GovCloud, Azure IL5\+, and Vertex AI.
* Solid understanding of data ontologies, metadata management, and building ETL pipelines.
* Exceptional written and verbal communication skills are a must.
**Preferred Qualifications:** 
* Background in secure coding practices for government or regulated environments.
* Direct experience working with enterprise AI solutions such as OpenAI Enterprise or Anthropic for Gov.
* Familiarity with CI/CD automation in complex, hybrid cloud environments.</t>
        </is>
      </c>
    </row>
    <row r="120">
      <c r="A120" t="inlineStr">
        <is>
          <t>li-4371513692</t>
        </is>
      </c>
      <c r="B120" t="inlineStr">
        <is>
          <t>AI Engineer</t>
        </is>
      </c>
      <c r="C120" t="inlineStr">
        <is>
          <t>CNSS • National Security Systems</t>
        </is>
      </c>
      <c r="D120" t="inlineStr">
        <is>
          <t>linkedin</t>
        </is>
      </c>
      <c r="E120" t="inlineStr"/>
      <c r="F120" t="inlineStr"/>
      <c r="G120" t="inlineStr">
        <is>
          <t>Centreville, VA</t>
        </is>
      </c>
      <c r="H120" t="inlineStr"/>
      <c r="I12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1">
      <c r="A121" t="inlineStr">
        <is>
          <t>li-4371520632</t>
        </is>
      </c>
      <c r="B121" t="inlineStr">
        <is>
          <t>AI Engineer</t>
        </is>
      </c>
      <c r="C121" t="inlineStr">
        <is>
          <t>CNSS • National Security Systems</t>
        </is>
      </c>
      <c r="D121" t="inlineStr">
        <is>
          <t>linkedin</t>
        </is>
      </c>
      <c r="E121" t="inlineStr"/>
      <c r="F121" t="inlineStr"/>
      <c r="G121" t="inlineStr">
        <is>
          <t>Benson, MD</t>
        </is>
      </c>
      <c r="H121" t="inlineStr"/>
      <c r="I12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2">
      <c r="A122" t="inlineStr">
        <is>
          <t>li-4371525610</t>
        </is>
      </c>
      <c r="B122" t="inlineStr">
        <is>
          <t>AI Engineer</t>
        </is>
      </c>
      <c r="C122" t="inlineStr">
        <is>
          <t>CNSS • National Security Systems</t>
        </is>
      </c>
      <c r="D122" t="inlineStr">
        <is>
          <t>linkedin</t>
        </is>
      </c>
      <c r="E122" t="inlineStr"/>
      <c r="F122" t="inlineStr"/>
      <c r="G122" t="inlineStr">
        <is>
          <t>Owens, VA</t>
        </is>
      </c>
      <c r="H122" t="inlineStr"/>
      <c r="I12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3">
      <c r="A123" t="inlineStr">
        <is>
          <t>li-4371520648</t>
        </is>
      </c>
      <c r="B123" t="inlineStr">
        <is>
          <t>AI Engineer</t>
        </is>
      </c>
      <c r="C123" t="inlineStr">
        <is>
          <t>CNSS • National Security Systems</t>
        </is>
      </c>
      <c r="D123" t="inlineStr">
        <is>
          <t>linkedin</t>
        </is>
      </c>
      <c r="E123" t="inlineStr"/>
      <c r="F123" t="inlineStr"/>
      <c r="G123" t="inlineStr">
        <is>
          <t>Marbury, MD</t>
        </is>
      </c>
      <c r="H123" t="inlineStr"/>
      <c r="I12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4">
      <c r="A124" t="inlineStr">
        <is>
          <t>li-4310889142</t>
        </is>
      </c>
      <c r="B124" t="inlineStr">
        <is>
          <t>Junior AI Engineer</t>
        </is>
      </c>
      <c r="C124" t="inlineStr">
        <is>
          <t>Onto Innovation</t>
        </is>
      </c>
      <c r="D124" t="inlineStr">
        <is>
          <t>linkedin</t>
        </is>
      </c>
      <c r="E124" t="inlineStr"/>
      <c r="F124" t="inlineStr"/>
      <c r="G124" t="inlineStr">
        <is>
          <t>Wilmington, MA</t>
        </is>
      </c>
      <c r="H124" t="inlineStr"/>
      <c r="I124"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Junior AI Engineer
**Team:** 
 You’ll partner closely with our AI Lead Engineer and collaborate with field/service engineers who support our
 **inspection \&amp; metrology** 
 tools across fabs.
**Goal:** 
 Build practical AI helpers that speed up tasks from
 **recipe setup** 
 and
 **troubleshooting** 
 to
 **fleet management analytics** 
 and
 **expert guidance** 
 from internal knowledge.
**About Us**
 Onto Innovation is a worldwide leader in the design, development, manufacture and support of defect inspection, advanced packaging lithography, process control metrology, and data analysis systems and software used by semiconductor device manufacturers worldwide. Onto Innovation provides a full\-fab solution through its families of proprietary products that provide critical yield\-enhancing information and real time process control responses, enabling microelectronic device manufacturers to drive down the costs and time to market of their products. The Company’s expanding portfolio of equipment and software solutions is used in both the wafer processing and final manufacturing of ICs, and in adjacent markets such as FPD, and LED manufacturing.
 What you’ll do
* Prototype AI assistants \&amp; agents for field workflows: guided recipe setup, log triage, playbook lookups, parts/alarms advice, and fleet\-wide health checks.
* Build retrieval systems (RAG): ingest manuals, specs, ticket notes, recipes, logs, and best\-practice docs; design chunking, embeddings, and indexing; tune prompts and retrieval for accuracy/latency.
* Connect AI to our tools and data: stand up MCP servers (Model Context Protocol) and other connectors to safely expose internal systems (document stores, MES, issue trackers, telemetry APIs) to LLMs.
* Fine\-tune or adapt models (e.g., LoRA/QLoRA) for domain terms, error codes, and tool\-specific intents when retrieval alone isn’t enough.
* Evaluate and harden: set up offline \&amp; online evals for groundedness/relevance; add guardrails, observability, and traceability; write runbooks.
* Ship small apps: package prototypes behind simple APIs or lightweight UIs that field engineers can use (web chat, Slack/Teams bots, or CLI).
* Data plumbing: parse messy PDFs/images/CSVs; normalize schemas for recipes, events, alarms, SPC/trace data.
* Computer Vision – understanding, defect detection, segmentation, or SEM/optical imaging.
* Work like an engineer: write readable Python/TypeScript, tests, and docs; use Git; participate in code reviews; iterate fast with the AI lead and domain SMEs.
**Minimum Qualifications**
* BS in CS/EE/CE/ME (or equivalent experience).
* Python proficiency (data wrangling, APIs, packaging); comfort on Linux and with Git.
* Built at least one LLM app using a framework such as LangChain, LlamaIndex, or Semantic Kernel.
* Hands\-on with vector search (e.g., FAISS/Weaviate/Milvus) and embeddings; understands chunking, metadata, and hybrid search basics.
* Familiarity with RAG and prompt engineering; can measure quality (groundedness/relevance) and reduce hallucinations.
* Basic backend skills (REST/JSON, auth, environment secrets); experience containerizing with Docker.
* Comfortable reading technical manuals/logs and collaborating with non\-software teammates.
 Nice to haves
* Worked with agent frameworks (LangGraph, AutoGen, CrewAI) or implemented tool\-calling/plan\-execute loops.
* Built or configured MCP servers to connect LLMs to internal data/tools.
* Experience parsing complex docs (e.g., Unstructured, GROBID) and handling images/figures from manuals.
* Exposure to semiconductor equipment or factory systems (SECS/GEM, EDA/Interface A, MES, SPC); familiarity with KLA/AMAT/TEL/ASML tool ecosystems.
* Time\-series and log analysis (Pandas, SQL, TimescaleDB/InfluxDB), wafer map/vision background, or simple CV.
* Model adaptation experience (LoRA/QLoRA, PEFT) and experiment tracking (MLflow/W\&amp;B).
* LLM observability/evals (Ragas, TruLens, LangSmith), basic security/PII handling, and role\-based access.
* Cloud familiarity (AWS/Azure/GCP) and lightweight front\-ends (React/Next.js) for internal tools.
* Prior work on fleet\-level dashboards/analytics or recipe/parameter management.
 What success looks like (first 90 days)
* Ship a search\+chat knowledge assistant over our internal docs with clear eval dashboards for faithfulness/relevance.
* Stand up at least one MCP connector to an internal source (e.g., SharePoint/Confluence or log store) and demo safe tool calls.
* Deliver a focused POC: e.g., an agent that reads recent alarms \&amp; logs to suggest next steps, or a fleet health summary with links to playbooks.
* Document everything (design notes, runbooks, and “how to” guides) and gather field feedback for iteration.
 How we work
* Pragmatic, security\-minded, iterate\-in\-the\-open with our engineers.
* We value curiosity, clear writing, and the grit to trace weird edge cases in logs and manuals.
 Apply
 Send your resume/GitHub/portfolio and a short note about an LLM or agent project you’ve built (what made it work, what you measured, and what you’d improve).
**Qualifications**
 see above
 Why Join Onto Innovation?
 At Onto Innovation, we believe your work should matter—and so should your well\-being. That’s why we offer competitive salaries and a comprehensive benefits package designed to support you and your family. From health, dental, and vision coverage to life and disability insurance, PTO, and a 401(k) with employer match, we’ve got you covered. You’ll also enjoy access to our Employee Stock Purchase Program (ESPP), wellness initiatives, and cutting\-edge tools—all within a collaborative, inclusive culture where your contributions are valued and recognized.
**Compensation \&amp; Growth**
* Base Salary Range:
 $72,080\.00 \- $108,120\.00, offered in good faith and based on experience, location, and qualifications.
* Additional Rewards: Annual bonus opportunities and potential long\-term incentives tied to both company and individual success.
**Empowering Every Voice To Shape The Future**
 Onto Innovation is committed to creating a workplace where every qualified candidate has an equal opportunity to succeed. We evaluate applicants based on skills, experience, and potential \- without regard to race, color, religion, gender, sexual orientation, national origin, age, disability, veteran status, or any other characteristic protected by law. We believe diversity of thought and background drives innovation and strengthens our team.
 Important Note on Export Compliance
 For certain positions requiring access to technical data, U.S. export licensing review may be necessary for applicants who are not U.S. Citizens, Permanent Residents, or other protected persons under 8 U.S.C. 1324b(a)(3\).</t>
        </is>
      </c>
    </row>
    <row r="125">
      <c r="A125" t="inlineStr">
        <is>
          <t>li-4371513697</t>
        </is>
      </c>
      <c r="B125" t="inlineStr">
        <is>
          <t>AI Engineer</t>
        </is>
      </c>
      <c r="C125" t="inlineStr">
        <is>
          <t>CNSS • National Security Systems</t>
        </is>
      </c>
      <c r="D125" t="inlineStr">
        <is>
          <t>linkedin</t>
        </is>
      </c>
      <c r="E125" t="inlineStr"/>
      <c r="F125" t="inlineStr"/>
      <c r="G125" t="inlineStr">
        <is>
          <t>East Berlin, PA</t>
        </is>
      </c>
      <c r="H125" t="inlineStr"/>
      <c r="I12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6">
      <c r="A126" t="inlineStr">
        <is>
          <t>li-4371851539</t>
        </is>
      </c>
      <c r="B126" t="inlineStr">
        <is>
          <t>AI Engineer</t>
        </is>
      </c>
      <c r="C126" t="inlineStr">
        <is>
          <t>Hirenza</t>
        </is>
      </c>
      <c r="D126" t="inlineStr">
        <is>
          <t>linkedin</t>
        </is>
      </c>
      <c r="E126" t="inlineStr"/>
      <c r="F126" t="inlineStr"/>
      <c r="G126" t="inlineStr"/>
      <c r="H126" t="inlineStr"/>
      <c r="I126" t="inlineStr">
        <is>
          <t>**About The Company**
 MassMutual is a leading financial services organization dedicated to helping individuals and businesses achieve their financial goals through innovative insurance, retirement, and investment solutions. With a rich history of over 160 years, MassMutual has established itself as a trusted partner committed to financial security, integrity, and excellence. The company prides itself on fostering a collaborative and inclusive culture that encourages innovation, continuous learning, and a customer\-centric approach. As part of its strategic growth, MassMutual invests heavily in cutting\-edge technologies and data\-driven initiatives to enhance its offerings and operational efficiencies, positioning itself at the forefront of the financial services industry.
**About The Role**
 MassMutual's Data Science team is seeking an impact\-driven Lead AI Engineer to join our high\-performing, cross\-functional team. In this role, you will lead the design and deployment of advanced AI solutions that drive strategic decision\-making and business transformation. You'll apply cutting\-edge techniques in machine learning, generative AI, and large language models (LLMs) to solve complex, high\-value problems across the enterprise. This is a unique opportunity to work alongside experts in applied mathematics, statistics, computer science, and physics, collaborating on initiatives that shape the future of MassMutual and the life insurance industry at large.
 The ideal candidate will be responsible for architecting end\-to\-end AI solutions, deploying scalable AI systems, and establishing best practices in responsible AI development. You will influence senior leadership by aligning AI initiatives with enterprise strategies, mentoring junior team members, and fostering a culture of technical excellence. Your work will directly impact the company's ability to innovate and deliver data\-driven products and services to our clients and stakeholders.
**Qualifications**
 Candidates should possess recognized industry expertise in AI/ML, with a proven track record of delivering impactful solutions. A minimum of 7\+ years of experience in data science, machine learning, or AI engineering roles is required. Deep understanding of machine learning, statistics, NLP, optimization, and LLMs is essential. Hands\-on experience with AI deployment and orchestration frameworks such as MLflow, llama\-index, and MCP is highly desirable. Candidates should have extensive experience testing LLM behavior across various foundation models and benchmarks.
 Proficiency in building AI\-powered applications and collaborating effectively with software engineers and product managers is crucial. Strong programming skills in Python are mandatory, while proficiency in R is a plus. Additionally, familiarity with SQL, database design, cloud\-native data platforms, vector databases, and semantic search technologies is advantageous. Exceptional communication skills are necessary to explain complex concepts to non\-technical stakeholders effectively. Educational qualifications include an M.S. or Ph.D. in Computer Science, Statistics, Applied Mathematics, Electrical Engineering, Physics, or a related quantitative field.
**Responsibilities**
* Architect and lead end\-to\-end ML/AI solutions supporting various enterprise use cases utilizing LLMs, deep learning, and probabilistic modeling—from ideation to production deployment.
* Deploy scalable Generative AI and Agentic AI systems that directly support and enhance business objectives.
* Establish and promote best practices in AI development, responsible AI deployment, and ethical considerations.
* Drive innovation by identifying emerging AI technologies and translating research insights into practical, impactful applications.
* Collaborate with engineering teams to build robust, production\-grade AI pipelines, APIs, and infrastructure.
* Prototype and deliver AI\-powered applications, including web apps, dashboards, and visualizations that facilitate data\-driven decision\-making.
* Influence senior leadership by aligning AI initiatives with overall enterprise strategy and effectively communicating insights and recommendations.
* Mentor and develop junior talent, fostering a culture of continuous learning, technical excellence, and innovation.
**Benefits**
 MassMutual offers a comprehensive benefits package designed to support the health, well\-being, and professional growth of its employees. This includes competitive salary packages, health insurance plans, retirement savings options, paid time off, and wellness programs. Employees have access to ongoing training and development opportunities, including certifications, workshops, and conferences, to stay at the forefront of technological advancements. The company promotes a flexible work environment that encourages work\-life balance and provides resources for personal and professional development. Additionally, employees are part of a collaborative culture that values diversity, inclusion, and innovation, fostering a supportive environment where ideas can thrive.
 Equal Opportunity
 MassMutual is an equal employment opportunity employer. We welcome all qualified applicants regardless of race, color, religion, gender, gender identity or expression, sexual orientation, national origin, genetics, disability, age, or veteran status. We are committed to creating an inclusive environment where every individual is valued and respected. If you require an accommodation to complete the application process, please contact us and share the specifics of the assistance you need. We believe that diversity drives innovation and strengthens our organization, and we are dedicated to fostering a workplace that reflects our commitment to equality and inclusion.</t>
        </is>
      </c>
    </row>
    <row r="127">
      <c r="A127" t="inlineStr">
        <is>
          <t>li-4371520647</t>
        </is>
      </c>
      <c r="B127" t="inlineStr">
        <is>
          <t>AI Engineer</t>
        </is>
      </c>
      <c r="C127" t="inlineStr">
        <is>
          <t>CNSS • National Security Systems</t>
        </is>
      </c>
      <c r="D127" t="inlineStr">
        <is>
          <t>linkedin</t>
        </is>
      </c>
      <c r="E127" t="inlineStr"/>
      <c r="F127" t="inlineStr"/>
      <c r="G127" t="inlineStr">
        <is>
          <t>Blackbird, DE</t>
        </is>
      </c>
      <c r="H127" t="inlineStr"/>
      <c r="I12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28">
      <c r="A128" t="inlineStr">
        <is>
          <t>li-4371822925</t>
        </is>
      </c>
      <c r="B128" t="inlineStr">
        <is>
          <t>Senior Machine Learning Engineer - Ranking &amp; Recommendations (Generative AI)</t>
        </is>
      </c>
      <c r="C128" t="inlineStr">
        <is>
          <t>Uber</t>
        </is>
      </c>
      <c r="D128" t="inlineStr">
        <is>
          <t>linkedin</t>
        </is>
      </c>
      <c r="E128" t="inlineStr"/>
      <c r="F128" t="inlineStr"/>
      <c r="G128" t="inlineStr">
        <is>
          <t>New York, NY</t>
        </is>
      </c>
      <c r="H128" t="inlineStr"/>
      <c r="I128"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Generative AI \- shopping ranking and recommendation systems.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 Basic Qualifications \-\-\-\-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 Preferred Qualifications \-\-\-\-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9">
      <c r="A129" t="inlineStr">
        <is>
          <t>li-4371507792</t>
        </is>
      </c>
      <c r="B129" t="inlineStr">
        <is>
          <t>AI Engineer</t>
        </is>
      </c>
      <c r="C129" t="inlineStr">
        <is>
          <t>CNSS • National Security Systems</t>
        </is>
      </c>
      <c r="D129" t="inlineStr">
        <is>
          <t>linkedin</t>
        </is>
      </c>
      <c r="E129" t="inlineStr"/>
      <c r="F129" t="inlineStr"/>
      <c r="G129" t="inlineStr">
        <is>
          <t>Poolesville, MD</t>
        </is>
      </c>
      <c r="H129" t="inlineStr"/>
      <c r="I129"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0">
      <c r="A130" t="inlineStr">
        <is>
          <t>li-4371516682</t>
        </is>
      </c>
      <c r="B130" t="inlineStr">
        <is>
          <t>AI Engineer</t>
        </is>
      </c>
      <c r="C130" t="inlineStr">
        <is>
          <t>CNSS • National Security Systems</t>
        </is>
      </c>
      <c r="D130" t="inlineStr">
        <is>
          <t>linkedin</t>
        </is>
      </c>
      <c r="E130" t="inlineStr"/>
      <c r="F130" t="inlineStr"/>
      <c r="G130" t="inlineStr">
        <is>
          <t>Darnestown, MD</t>
        </is>
      </c>
      <c r="H130" t="inlineStr"/>
      <c r="I13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1">
      <c r="A131" t="inlineStr">
        <is>
          <t>li-4371505827</t>
        </is>
      </c>
      <c r="B131" t="inlineStr">
        <is>
          <t>AI Engineer</t>
        </is>
      </c>
      <c r="C131" t="inlineStr">
        <is>
          <t>CNSS • National Security Systems</t>
        </is>
      </c>
      <c r="D131" t="inlineStr">
        <is>
          <t>linkedin</t>
        </is>
      </c>
      <c r="E131" t="inlineStr"/>
      <c r="F131" t="inlineStr"/>
      <c r="G131" t="inlineStr">
        <is>
          <t>Germantown, MD</t>
        </is>
      </c>
      <c r="H131" t="inlineStr"/>
      <c r="I13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2">
      <c r="A132" t="inlineStr">
        <is>
          <t>li-4371523588</t>
        </is>
      </c>
      <c r="B132" t="inlineStr">
        <is>
          <t>AI Engineer</t>
        </is>
      </c>
      <c r="C132" t="inlineStr">
        <is>
          <t>CNSS • National Security Systems</t>
        </is>
      </c>
      <c r="D132" t="inlineStr">
        <is>
          <t>linkedin</t>
        </is>
      </c>
      <c r="E132" t="inlineStr"/>
      <c r="F132" t="inlineStr"/>
      <c r="G132" t="inlineStr">
        <is>
          <t>Wheaton, MD</t>
        </is>
      </c>
      <c r="H132" t="inlineStr"/>
      <c r="I13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3">
      <c r="A133" t="inlineStr">
        <is>
          <t>li-4371507791</t>
        </is>
      </c>
      <c r="B133" t="inlineStr">
        <is>
          <t>AI Engineer</t>
        </is>
      </c>
      <c r="C133" t="inlineStr">
        <is>
          <t>CNSS • National Security Systems</t>
        </is>
      </c>
      <c r="D133" t="inlineStr">
        <is>
          <t>linkedin</t>
        </is>
      </c>
      <c r="E133" t="inlineStr"/>
      <c r="F133" t="inlineStr"/>
      <c r="G133" t="inlineStr">
        <is>
          <t>Tolna, PA</t>
        </is>
      </c>
      <c r="H133" t="inlineStr"/>
      <c r="I13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4">
      <c r="A134" t="inlineStr">
        <is>
          <t>li-4371528167</t>
        </is>
      </c>
      <c r="B134" t="inlineStr">
        <is>
          <t>AI Engineer</t>
        </is>
      </c>
      <c r="C134" t="inlineStr">
        <is>
          <t>CNSS • National Security Systems</t>
        </is>
      </c>
      <c r="D134" t="inlineStr">
        <is>
          <t>linkedin</t>
        </is>
      </c>
      <c r="E134" t="inlineStr"/>
      <c r="F134" t="inlineStr"/>
      <c r="G134" t="inlineStr">
        <is>
          <t>Gnatstown, PA</t>
        </is>
      </c>
      <c r="H134" t="inlineStr"/>
      <c r="I13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5">
      <c r="A135" t="inlineStr">
        <is>
          <t>li-4371527524</t>
        </is>
      </c>
      <c r="B135" t="inlineStr">
        <is>
          <t>AI Engineer</t>
        </is>
      </c>
      <c r="C135" t="inlineStr">
        <is>
          <t>CNSS • National Security Systems</t>
        </is>
      </c>
      <c r="D135" t="inlineStr">
        <is>
          <t>linkedin</t>
        </is>
      </c>
      <c r="E135" t="inlineStr"/>
      <c r="F135" t="inlineStr"/>
      <c r="G135" t="inlineStr">
        <is>
          <t>New Midway, MD</t>
        </is>
      </c>
      <c r="H135" t="inlineStr"/>
      <c r="I13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6">
      <c r="A136" t="inlineStr">
        <is>
          <t>li-4371517695</t>
        </is>
      </c>
      <c r="B136" t="inlineStr">
        <is>
          <t>AI Engineer</t>
        </is>
      </c>
      <c r="C136" t="inlineStr">
        <is>
          <t>CNSS • National Security Systems</t>
        </is>
      </c>
      <c r="D136" t="inlineStr">
        <is>
          <t>linkedin</t>
        </is>
      </c>
      <c r="E136" t="inlineStr"/>
      <c r="F136" t="inlineStr"/>
      <c r="G136" t="inlineStr">
        <is>
          <t>Fairhaven, MD</t>
        </is>
      </c>
      <c r="H136" t="inlineStr"/>
      <c r="I136"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7">
      <c r="A137" t="inlineStr">
        <is>
          <t>li-4371528163</t>
        </is>
      </c>
      <c r="B137" t="inlineStr">
        <is>
          <t>AI Engineer</t>
        </is>
      </c>
      <c r="C137" t="inlineStr">
        <is>
          <t>CNSS • National Security Systems</t>
        </is>
      </c>
      <c r="D137" t="inlineStr">
        <is>
          <t>linkedin</t>
        </is>
      </c>
      <c r="E137" t="inlineStr"/>
      <c r="F137" t="inlineStr"/>
      <c r="G137" t="inlineStr">
        <is>
          <t>Graceham, MD</t>
        </is>
      </c>
      <c r="H137" t="inlineStr"/>
      <c r="I137"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8">
      <c r="A138" t="inlineStr">
        <is>
          <t>li-4371513689</t>
        </is>
      </c>
      <c r="B138" t="inlineStr">
        <is>
          <t>AI Engineer</t>
        </is>
      </c>
      <c r="C138" t="inlineStr">
        <is>
          <t>CNSS • National Security Systems</t>
        </is>
      </c>
      <c r="D138" t="inlineStr">
        <is>
          <t>linkedin</t>
        </is>
      </c>
      <c r="E138" t="inlineStr"/>
      <c r="F138" t="inlineStr"/>
      <c r="G138" t="inlineStr">
        <is>
          <t>Woodsboro, MD</t>
        </is>
      </c>
      <c r="H138" t="inlineStr"/>
      <c r="I138"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39">
      <c r="A139" t="inlineStr">
        <is>
          <t>li-4371845033</t>
        </is>
      </c>
      <c r="B139" t="inlineStr">
        <is>
          <t>Lead AI Engineer</t>
        </is>
      </c>
      <c r="C139" t="inlineStr">
        <is>
          <t>Bonhill Partners</t>
        </is>
      </c>
      <c r="D139" t="inlineStr">
        <is>
          <t>linkedin</t>
        </is>
      </c>
      <c r="E139" t="inlineStr"/>
      <c r="F139" t="inlineStr"/>
      <c r="G139" t="inlineStr">
        <is>
          <t>New York, United States</t>
        </is>
      </c>
      <c r="H139" t="inlineStr"/>
      <c r="I139" t="inlineStr">
        <is>
          <t>We are currently supporting a leading global hedge fund in their search for a Lead AI Engineer based in their New York office.
 This is an exciting opportunity to roadmap the rollout of AI implementation across the fund, with a particular focus on the application of agentic AI for investment strategies. The role offers the opportunity to partner closely with Portfolio Managers and Quant leaders to identify high impact areas of opportunty for the application of AI.
 Skills \&amp; Expereince (production level)
* Agentic AI
* LLMs
* GenAI
* RAG
* Understanding of investment strategies
 Location: New York
 Wokring pattern: In office
 Compensation: $450,000
 Unfortuantely we are unable to offer sponsorship for this position.</t>
        </is>
      </c>
    </row>
    <row r="140">
      <c r="A140" t="inlineStr">
        <is>
          <t>li-4371508795</t>
        </is>
      </c>
      <c r="B140" t="inlineStr">
        <is>
          <t>AI Engineer</t>
        </is>
      </c>
      <c r="C140" t="inlineStr">
        <is>
          <t>CNSS • National Security Systems</t>
        </is>
      </c>
      <c r="D140" t="inlineStr">
        <is>
          <t>linkedin</t>
        </is>
      </c>
      <c r="E140" t="inlineStr"/>
      <c r="F140" t="inlineStr"/>
      <c r="G140" t="inlineStr">
        <is>
          <t>Detour, MD</t>
        </is>
      </c>
      <c r="H140" t="inlineStr"/>
      <c r="I140"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1">
      <c r="A141" t="inlineStr">
        <is>
          <t>li-4371520640</t>
        </is>
      </c>
      <c r="B141" t="inlineStr">
        <is>
          <t>AI Engineer</t>
        </is>
      </c>
      <c r="C141" t="inlineStr">
        <is>
          <t>CNSS • National Security Systems</t>
        </is>
      </c>
      <c r="D141" t="inlineStr">
        <is>
          <t>linkedin</t>
        </is>
      </c>
      <c r="E141" t="inlineStr"/>
      <c r="F141" t="inlineStr"/>
      <c r="G141" t="inlineStr">
        <is>
          <t>Finksburg, MD</t>
        </is>
      </c>
      <c r="H141" t="inlineStr"/>
      <c r="I141"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2">
      <c r="A142" t="inlineStr">
        <is>
          <t>li-4371514676</t>
        </is>
      </c>
      <c r="B142" t="inlineStr">
        <is>
          <t>AI Engineer</t>
        </is>
      </c>
      <c r="C142" t="inlineStr">
        <is>
          <t>CNSS • National Security Systems</t>
        </is>
      </c>
      <c r="D142" t="inlineStr">
        <is>
          <t>linkedin</t>
        </is>
      </c>
      <c r="E142" t="inlineStr"/>
      <c r="F142" t="inlineStr"/>
      <c r="G142" t="inlineStr">
        <is>
          <t>Lineboro, MD</t>
        </is>
      </c>
      <c r="H142" t="inlineStr"/>
      <c r="I142"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3">
      <c r="A143" t="inlineStr">
        <is>
          <t>li-4371521651</t>
        </is>
      </c>
      <c r="B143" t="inlineStr">
        <is>
          <t>AI Engineer</t>
        </is>
      </c>
      <c r="C143" t="inlineStr">
        <is>
          <t>CNSS • National Security Systems</t>
        </is>
      </c>
      <c r="D143" t="inlineStr">
        <is>
          <t>linkedin</t>
        </is>
      </c>
      <c r="E143" t="inlineStr"/>
      <c r="F143" t="inlineStr"/>
      <c r="G143" t="inlineStr">
        <is>
          <t>New Windsor, MD</t>
        </is>
      </c>
      <c r="H143" t="inlineStr"/>
      <c r="I143"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4">
      <c r="A144" t="inlineStr">
        <is>
          <t>li-4371516684</t>
        </is>
      </c>
      <c r="B144" t="inlineStr">
        <is>
          <t>AI Engineer</t>
        </is>
      </c>
      <c r="C144" t="inlineStr">
        <is>
          <t>CNSS • National Security Systems</t>
        </is>
      </c>
      <c r="D144" t="inlineStr">
        <is>
          <t>linkedin</t>
        </is>
      </c>
      <c r="E144" t="inlineStr"/>
      <c r="F144" t="inlineStr"/>
      <c r="G144" t="inlineStr">
        <is>
          <t>Union Bridge, MD</t>
        </is>
      </c>
      <c r="H144" t="inlineStr"/>
      <c r="I144"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5">
      <c r="A145" t="inlineStr">
        <is>
          <t>li-4371525600</t>
        </is>
      </c>
      <c r="B145" t="inlineStr">
        <is>
          <t>AI Engineer</t>
        </is>
      </c>
      <c r="C145" t="inlineStr">
        <is>
          <t>CNSS • National Security Systems</t>
        </is>
      </c>
      <c r="D145" t="inlineStr">
        <is>
          <t>linkedin</t>
        </is>
      </c>
      <c r="E145" t="inlineStr"/>
      <c r="F145" t="inlineStr"/>
      <c r="G145" t="inlineStr">
        <is>
          <t>Hampstead, MD</t>
        </is>
      </c>
      <c r="H145" t="inlineStr"/>
      <c r="I145" t="inlineStr">
        <is>
          <t>**Fort George G. Meade Complex, MD**
**Pay Plan: GG, Grade: 07/1 to 15/10**
**Open: 2026\-02\-09, Close: 2026\-02\-13**
**Responsibilities**
 At NSA, AI Engineering is a specialized discipline that intersects data science, software engineering, data engineering, and systems engineering, focusing specifically on the unique challenges of building, deploying, and maintaining artificial intelligence (AI) systems at scale. AI Engineers combine expertise from each of these domains to address the entire AI lifecycle, including infrastructure management, efficient model training, production deployment, performance monitoring, and continuous optimization. As an AI Engineer, you will help design and implement mission\-critical AI systems that keep NSA at the cutting edge of intelligence collection, processing, and reporting. Responsibilities include: \- Lead or contribute to cross\-functional teams to develop and operationalize AI solutions that help solve our most challenging problems. \- Apply modern engineering techniques to design, develop, deploy, and maintain end\-to\-end AI workflows spanning model training, inference, and performance monitoring. \- Adapt and integrate diverse AI model architectures including computer vision systems, natural language processors, audio processors, large language models (LLMs), and multi\-modal frameworks to address complex mission\-critical challenges. \- Monitor and maintain AI products through systematic identification of performance degradation and computational inefficiency and address these challenges through regular retuning and fine\-tuning to ensure continued alignment with evolving mission needs and organizational goals. \- Maintain knowledge of current AI research and adapt emerging techniques to intelligence applications. \- Test and evaluate Al solutions against mission requirements and produce actionable recommendations.
**Job Summary**
 As a newly hired AI Engineer you may, depending on the skill\-sets currently in demand, be assigned to a mission office, or alternatively enrolled in the three\-year Data Science Development Program (DSDP) in which you will both broaden and specialize your AI Engineering skills by taking courses and touring with a variety of mission offices (each for several months). In either case you will work with NSA experts in AI Engineering, related technical domains, and specialized subject areas. You will have opportunities to participate in internal technical roundtables, and to attend technical conferences with experts from industry and academia. Please attach a copy of your resume and all transcripts (unofficial are fine) as part of your application when given the opportunity to do so to speed application processing.
**Qualifications**
 The qualifications listed are the minimum acceptable to be considered for the position. Applicants will be asked to complete the Data Science Examination (DSE) which evaluates their knowledge of statistics, mathematics, and computer science topics that pertain to data science work. Passing this examination at a local testing site is a requirement in order to be considered for selection into a data scientist position. Upon passing the examination, applicants will be evaluated for the minimum qualifications outlined in this ad. Transcripts for each academic institution are required prior to being invited to interview with Agency data science professionals and should be submitted as part of the online application. Unofficial transcripts are fine at this stage. (U) For all of the Engineering degrees, if program is not ABET accredited, it must include specified coursework.\* \*Specified coursework includes courses in differential and integral calculus and 5 of the following 18 areas: (a) statics or dynamics, (b) strength of materials/stress\-strain relationships, (c) fluid mechanics, hydraulics, (d) thermodynamics, (e) electromagnetic fields, (f) nature and properties of materials/relating particle and aggregate structure to properties, (g) solid state electronics, (h) microprocessor applications, (i), computer systems, (j) signal processing, (k) digital design, (l) systems and control theory, (m) circuits or generalized circuits, (n) communication systems, (o) power systems, (p) computer networks, (q) software development, (r) Any other comparable area of fundamental engineering science or physics, such as optics, heat transfer, or soil mechanics. ENTRY (U) Note that different degree fields have different requirements as described below. (U) For degrees in Computer Science or Engineering, entry is with an Associate's degree plus 2 years of relevant experience, or a Bachelor's degree and no experience, or a Master's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3 years of relevant experience, or a Bachelor's degree and 1 year of relevant experience. (U) Relevant experience must be in one or more of the following: implementing production scale AI/ML (Artificial Intelligence / Machine Learning) solutions, distributed model training, distributed AI/ML systems, AI/ML performance monitoring, platform engineering, cloud engineering, developing deep learning models, neural networks, sustaining/maintaining AI/ML models, implementing AI/ML algorithms, AI/ML model development and deployment, DevOps, MLOps, cloud infrastructure management, software engineering, automated testing, or containerization. FULL PERFORMANCE (U) Note that different degree fields have different requirements as described below. (U) For degrees in Computer Science or Engineering, entry is with an Associate's degree plus 5 years of relevant experience, or a Bachelor's degree plus 3 years of relevant experience, or a Master's degree plus 1 year of relevant experience, or a Doctoral degree and no experience. (U) For degrees in Information Systems, Information Technology, Mathematics, Applied Mathematics, Statistics, Applied Statistics, Operations Research, Artificial Intelligence, Data Science, or Physical or Biological Sciences, entry is with an Associate's degree plus 5 years of relevant experience, or a Bachelor's degree plus 3 years of relevant experience, or a Master's degree plus 1 year of relevant experience, or a Doctoral degree and 1 year of relevant experience. (U) Relevant experience must be in one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SENIOR (U) Entry is with an Associate's degree plus 8 years of relevant experience, or a Bachelor's degree plus 6 years of relevant experience, or a Master's degree plus 4 years of relevant experience, or a Doctoral degree plus 2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two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EXPERT (U) Entry is with an Associate's degree plus 11 years of relevant experience, or a Bachelor's degree plus 9 years of relevant experience, or a Master's degree plus 7 years of relevant experience, or a Doctoral degree plus 5 years of relevant experience. (U) Degree must be in Computer Science, Engineering, Information Systems, Information Technology, Mathematics, Applied Mathematics, Statistics, Applied Statistics, Operations Research, Artificial Intelligence, Data Science, or Physical or Biological Sciences. (U) Relevant experience must be in three or more of the following: implementing production scale AI/ML solutions, distributed model training, distributed AI/ML systems, AI/ML performance monitoring, platform engineering, cloud engineering, developing deep learning models, sustaining/maintaining AI/ML models, implementing AI/ML algorithms, AI/ML model development and deployment, DevOps, MLOps, cloud infrastructure management, software engineering, automated testing, or containerization. Additionally, you must have experience in serving as an AI Project Team Leader/model owner.
 Competencies
* Deep learning frameworks (PyTorch, TensorFlow, Jax) \- Model training, fine\-tuning, and optimization techniques \- Computer vision, NLP, speech/audio processing, and/or multi\-modal AI systems \- Large language models (LLMs) and transformer architectures \- Model evaluation, validation, and performance monitoring \- Transfer learning and domain adaptation \- Python programming and other relevant languages (C\+\+, Java, Scala, TypeScript) \- Version control (Git) and collaborative development \- API design and microservices architecture \- Software testing frameworks and CI/CD pipelines \- Containerization (Docker, Kubernetes) \- Data processing frameworks (Spark, Dask, Ray) \- Feature engineering and data preprocessing \- Production model deployment and serving infrastructure \- Monitoring, logging, and observability tools \- Cloud platforms (AWS, Azure, GCP) and/or HPC systems \- Distributed computing and parallel processing \- GPU optimization and resource management \- Database systems (SQL and NoSQL) \- Cross\-function collaboration and communication \- Technical documentation and presentation \- Ability to translate mission requirements into technical solutions
 Pay, Benefits, \&amp; Work Schedule
 Pay: Salary offers are based on candidates' education level and years of experience relevant to the position and also take into account information provided by the hiring manager/organization regarding the work level for the position. Salary Range: $87,362 \- $197,200 (Entry \- Expert) Salary range varies by location, work level, and relevant experience to the position. Training will be provided based on the selectee's needs and experience. Benefits: NSA offers a comprehensive benefits package. Work Schedule: This is a full\-time position, Monday \- Friday, with basic 8hr/day work requirement between 6:00 a.m. and 6:00 p.m. (flexible). DCIPS Trial Period: If selected for this position, you will be required to serve a two\-year DCIPS trial period, unless you are a veterans' preference\-eligible employee, in which case you are required to serve a one\-year trial period. This trial period runs concurrently with your commitment to the position, if applicable. Before finalizing your appointment at the conclusion of your trial period, NSA will determine whether your continued employment advances the public interest. This decision will be based on factors such as your performance and conduct; the Agency's needs and interests; whether your continued employment would advance the Agency's organizational goals; and whether your continued employment would advance the efficiency of the Federal service. Upon completion of your trial period, your employment will be terminated unless you receive certification, in writing, that your continued employment advances the public interest. If you do not receive certification for continued employment, you should receive written notice prior to the end of your trial period that your employment will be terminated and the effective date of such termination.</t>
        </is>
      </c>
    </row>
    <row r="146">
      <c r="A146" t="inlineStr">
        <is>
          <t>li-4336974963</t>
        </is>
      </c>
      <c r="B146" t="inlineStr">
        <is>
          <t>Agentic AI Machine Learning Engineer</t>
        </is>
      </c>
      <c r="C146" t="inlineStr">
        <is>
          <t>Booz Allen Hamilton</t>
        </is>
      </c>
      <c r="D146" t="inlineStr">
        <is>
          <t>linkedin</t>
        </is>
      </c>
      <c r="E146" t="inlineStr"/>
      <c r="F146" t="inlineStr"/>
      <c r="G146" t="inlineStr">
        <is>
          <t>Alexandria, VA</t>
        </is>
      </c>
      <c r="H146" t="inlineStr"/>
      <c r="I146" t="inlineStr">
        <is>
          <t>**Job Number: R0229610**
 Agentic AI Machine Learning Engineer
**The Opportunity:**
 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
 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
 Ready to transform the Defense and Intelligence sectors with software systems to aid data accessibility and AI and ML operationalization?
 Join us. The world can’t wait.
**You Have:** 
* 3\+ years of experience as a ML engineer and building production\-grade ML solutions, including work involving LLMs, agents, or complex automation frameworks
* 3\+ years of experience working within data science or data research in a professional or academic environment, and training or deploying models across multiple modalities of data
* 3\+ years of experience working in cloud environments, including AWS and Azure
* 2\+ years of experience deploying and integrating production\-grade ML models using tools, such as Docker and Kubernetes
* Experience with Large Language Models (LLM), Deep Learning (DL), and Reinforcement Learning (RL), and with tools and AI agent frameworks such as LangChain, LangGraph, PydanticAI, or llamaindex
* Experience in connecting Agents to APIs, Cloud platforms, or databases
* Experience evaluating architectural tradeoffs and designing robust service\-based software applications for scalable use
* Experience with MLOps, GitOps, and CI/CD tooling
* TS/SCI clearance
* Bachelor’s degree
**Nice If You Have:** 
* Experience with programming, including ML frameworks such as TensorFlow, PyTorch, llama.cpp, and vLLM
* Experience with client engagements, client\-facing project work, and business development
* Experience with project work in deep learning, computer vision, NLP, or signal processing
* Experience deploying and managing data brokering solutions, including Kafka, Red Panda, Confluent, and other related services
* Ability to adapt in a rapidly changing environment
* Possession of excellent verbal and written communication skills
* Possession of excellent interpersonal, analytical, problem\-solving, and organizational skills
* TS/SCI clearance with a polygraph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7">
      <c r="A147" t="inlineStr">
        <is>
          <t>li-4336984958</t>
        </is>
      </c>
      <c r="B147" t="inlineStr">
        <is>
          <t>Agentic AI Machine Learning Engineer</t>
        </is>
      </c>
      <c r="C147" t="inlineStr">
        <is>
          <t>Booz Allen Hamilton</t>
        </is>
      </c>
      <c r="D147" t="inlineStr">
        <is>
          <t>linkedin</t>
        </is>
      </c>
      <c r="E147" t="inlineStr"/>
      <c r="F147" t="inlineStr"/>
      <c r="G147" t="inlineStr">
        <is>
          <t>McLean, VA</t>
        </is>
      </c>
      <c r="H147" t="inlineStr"/>
      <c r="I147" t="inlineStr">
        <is>
          <t>**Job Number: R0229610**
 Agentic AI Machine Learning Engineer
**The Opportunity:**
 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
 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
 Ready to transform the Defense and Intelligence sectors with software systems to aid data accessibility and AI and ML operationalization?
 Join us. The world can’t wait.
**You Have:** 
* 3\+ years of experience as a ML engineer and building production\-grade ML solutions, including work involving LLMs, agents, or complex automation frameworks
* 3\+ years of experience working within data science or data research in a professional or academic environment, and training or deploying models across multiple modalities of data
* 3\+ years of experience working in cloud environments, including AWS and Azure
* 2\+ years of experience deploying and integrating production\-grade ML models using tools, such as Docker and Kubernetes
* Experience with Large Language Models (LLM), Deep Learning (DL), and Reinforcement Learning (RL), and with tools and AI agent frameworks such as LangChain, LangGraph, PydanticAI, or llamaindex
* Experience in connecting Agents to APIs, Cloud platforms, or databases
* Experience evaluating architectural tradeoffs and designing robust service\-based software applications for scalable use
* Experience with MLOps, GitOps, and CI/CD tooling
* TS/SCI clearance
* Bachelor’s degree
**Nice If You Have:** 
* Experience with programming, including ML frameworks such as TensorFlow, PyTorch, llama.cpp, and vLLM
* Experience with client engagements, client\-facing project work, and business development
* Experience with project work in deep learning, computer vision, NLP, or signal processing
* Experience deploying and managing data brokering solutions, including Kafka, Red Panda, Confluent, and other related services
* Ability to adapt in a rapidly changing environment
* Possession of excellent verbal and written communication skills
* Possession of excellent interpersonal, analytical, problem\-solving, and organizational skills
* TS/SCI clearance with a polygraph
* Master's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8">
      <c r="A148" t="inlineStr">
        <is>
          <t>li-4369601360</t>
        </is>
      </c>
      <c r="B148" t="inlineStr">
        <is>
          <t>Sr Machine Learning Engineer</t>
        </is>
      </c>
      <c r="C148" t="inlineStr">
        <is>
          <t>Underdog.io -Apply to top tech jobs in 60 seconds. A place where companies apply to you</t>
        </is>
      </c>
      <c r="D148" t="inlineStr">
        <is>
          <t>linkedin</t>
        </is>
      </c>
      <c r="E148" t="inlineStr"/>
      <c r="F148" t="inlineStr"/>
      <c r="G148" t="inlineStr"/>
      <c r="H148" t="inlineStr"/>
      <c r="I148" t="inlineStr">
        <is>
          <t>**Lead Machine Learning Engineer (3 Days Onsite)** 
 Underdog.io is a modern recruitment platform. Our hiring partner is offering a rare opportunity to architect the future of AI and machine learning for a trusted platform at the heart of the American economy. We are the leading online marketplace connecting professional buyers and sellers of privately held companies ($5M\-$100M). Trusted by thousands of the world's top acquirers and M\&amp;A advisors, our platform has facilitated millions of connections and hundreds of millions in closed transactions.
 In 2024, our platform saw over 10,000 companies pursue an exit. Now, we're searching for you to lead the technical charge in leveraging our unique, proprietary dataset to build a next\-generation, AI\-powered experience that radically transforms how these businesses find their perfect match.
**What You’ll Take On** 
 You will be the pioneering force for ML and advanced technologies within our senior, tight\-knit engineering team. Your work will directly upgrade our core matching and recommendation systems, delivering immense value to our users.
* You will design, develop, and deploy ML/AI\-driven models to enhance our matching engines, industry classification systems, and core product features.
* You will help establish ML and MLOps best practices, laying the technical groundwork for sustained AI/ML development for years to come.
* You will collaborate closely with product managers, engineers, and business stakeholders to define and execute AI strategies that are directly aligned with our core business objectives.
* You will optimize AI and machine learning models for performance, accuracy, and scalability, ensuring they integrate reliably into our production platform.
* You will develop and refine our recommendation systems, applying techniques in NLP, deep learning, and predictive analytics to fundamentally improve buyer\-seller matchmaking.
* You will create clear documentation and visualizations to communicate complex insights and recommendations to both technical and non\-technical audiences.
**Who You Are** 
 You are a technically excellent leader who thrives on ownership and building from the ground up.
* You have 5\+ years of experience using AI/ML and related technologies to materially improve consumer or B2B software experiences.
* You possess strong production expertise specifically in building, modifying, and scaling machine learning recommendation systems and engines.
* You are familiar with SQL and data warehouses (e.g., AWS Redshift) for powering AI\-driven analytics.
* You have outstanding problem\-solving skills and the ability to work independently and drive initiatives in a fast\-paced, collaborative environment.
* You connect deeply with our core values: Obsessing Over Member Trust, Expecting and Delivering Excellence, believing Communication Matters, Inventing and Simplifying, and Being an Owner.
**Our Stack** 
* **Backend:** 
 Python (FastAPI), Postgres (RDS)
* **Frontend:** 
 Angular 18\+, TypeScript
* **Infra:** 
 Terraform, AWS EC2/EKS, OpenTelemetry, Grafana/Prometheus/Loki/Tempo
* **Tools:** 
 GitHub, Shortcut, Notion, Slack
**What We Offer** 
* **A Foundational Role:** 
 Be the key leader building our AI/ML practice from its early stages, with massive impact on our product and company trajectory.
* **A Senior, Collaborative Team:** 
 Join a high\-functioning, remote\-friendly team of \~20 engineers across three squads. We practice "lite scrum" with daily stand\-ups, bi\-weekly sprints, and a focus on delivery.
* **Remote\-First Flexibility:** 
 Our team is distributed across NYC, the USA, Canada, and Latin America. Our NYC office is available for those who prefer it.
* **Competitive Compensation:** 
 We offer a strong salary, equity package, and comprehensive benefits.
* **A Culture of Excellence:** 
 We are a team of owners who obsess over member trust and strive to deliver excellence in everything we do.
**Ready to Build the Future of M\&amp;A?** 
 If you are a technical leader who wants to leverage machine learning to solve complex, high\-stakes matching problems and directly impact the success of thousands of businesses, we need to speak with you.</t>
        </is>
      </c>
    </row>
    <row r="149">
      <c r="A149" t="inlineStr">
        <is>
          <t>li-4361669356</t>
        </is>
      </c>
      <c r="B149" t="inlineStr">
        <is>
          <t>Lead AI Engineer</t>
        </is>
      </c>
      <c r="C149" t="inlineStr">
        <is>
          <t>MITRE</t>
        </is>
      </c>
      <c r="D149" t="inlineStr">
        <is>
          <t>linkedin</t>
        </is>
      </c>
      <c r="E149" t="inlineStr"/>
      <c r="F149" t="inlineStr"/>
      <c r="G149" t="inlineStr">
        <is>
          <t>Honolulu, HI</t>
        </is>
      </c>
      <c r="H149" t="inlineStr"/>
      <c r="I149"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The Indo\-Pacific Regional Operations Department (N554\) works with the U.S. Indo\-Pacific Command (USINDOPACOM) and the Military Service Components on\-island to inform warfighter requirements and Concepts of Operation (CONOPS), and provides Command, Control, Communications, Computers, and Intelligence (C4I) systems acquisition, engineering, and integration support to the Department of Defense (DOD) and U.S. Allies in the Pacific Theater.
 N554 is a dynamic and forward leaning organization that provides direct connections to warfighters. These direct connections allow staff to monitor and participate in current operations and exercises. A key output of this access is the ability to inform technology innovation and capability analysis with operational domain expertise. N554 operational depth and warfighter access has generated considerable expertise in the development and analysis of CONOPS, mission threads, use cases, and operational requirements. The Department establishes links between DoD sponsors and Coalition Partner development activities. N554 is on the cutting edge of current operations and is a major thought leader in force modernization.
**Roles and Responsibilities:**
 The Indo\-Pacific Regional Operations Department (N554\) is seeking to fill a Lead Artificial Intelligence (AI) Engineer position supporting MITRE’s project with USINDOPACOM in Honolulu, Hawaii. MITRE aims to deliver quantifiable mission value and operational impact to the warfighter – primarily by accelerating technical innovation of new ideas and solutions to emerging operational problems. We collaborate with acquisition stakeholders, technology innovators, operational analysts, and other mission partners to help accelerate the delivery of needed capabilities to operational and tactical level warfighters across the naval, joint, and combined force.
 This Lead AI Engineer position will lead and support MITRE efforts to rapidly tailor and integrate industry AI and machine learning (AI/ML) capabilities and tools across INDOPACOM directorates, the Chief Data Office (CDO), and theater service components. While experience or expertise across the AI domain is very beneficial, the focus for this position is on driving integration, adoption, and training for existing capabilities. Thus, successful candidates will have demonstratable experience working directly with Department of Defense (DoD) or other US Government departments/agencies integrating data and/or AI/ML solutions.
 Specific responsibilities include:
* Working across Industry and Headquarters (HQ) INDOPACOM directorates to identify, assess, prioritize and implement warfighting AI/ML efforts and for the Headquarters
* Developing and experimenting with novel applications of AI to enhance USINDOPACOM operations, activities, and investments (OAIs)
* Facilitating the integration of AI/ML solutions into Headquarters HQ INDOPACOM operations
* Coordinating across HQ INDOPACOM directorates and Special Staff to ensure AI/ML efforts and strategic engagements across the Command are aligned and avoiding duplication of effort
* Partnering with DoD service providers to identify and develop a regional infrastructure framework of offerings that support scale, resilience, and prioritized operational/tactical use cases
* Developing staff and leadership curriculums comprised of industry best offerings for required AI/ML skillsets
**Basic Qualifications:**
* Typically requires a minimum of 8 years of related experience with a B.S degree in Engineering, Computer Science, Math, Physics, or 6 years and a Master’s degree; or a PhD with 3 years’ experience; or equivalent combination of related education and work experience
* Strong Familiarity with DoD military missions
* Strong familiarity with DoD message standards
* Prior experience working day\-to\-day in government\-controlled DoD spaces
* Demonstratable experience building, deploying, implementing and/or integrating AI or data applications, tools, and technologies
* Prior experience with US Department of Defense systems of systems integration
* Deep understanding and prior experience with cross domain solutions
* Prior experience with Agentic AI as it applies to military tasks
* Effective and influential oral communications skills
* Strong written and oral communications skills
* Active Top\-Secret Clearance with the ability to obtain and maintain a TS/SCI
* U.S. Citizenship required
* This position requires a minimum of 50% hybrid on\-site presence.
**Preferred Qualifications** 
 :
* Current knowledge of emerging technology being adopted into acquisition programs and/or the INDOPACOM theater
* Demonstrated capability for strategic planning and ability to provide actionable plans to government sponsors
* Experience with and/or future interest in project and department leadership roles including project leader, task leader, and group leader
* Active TS/SCI
 As part of MITRE’s Push to the Pacific initiative, employees hired to this requisition will be on the Hawaii Rotational Incentive program, implemented to attract talent for select positions with high demand and difficult to fill skill sets. As part of the Hawaii Rotation Program, the candidate selected for this position will receive an annual incentive as a lump sum payment each year for 3 years. This rotation program can be extended for a maximum of 5 years.
**This requisition requires the candidate to have a minimum of the following clearance(s):**
 Top Secret
**This requisition requires the hired candidate to have or obtain, within one year from the date of hire, the following clearance(s):**
 Top Secret/SCI
**Salary compensation range and midpoint:**
 $174,000 \- $217,500 \- $261,000 Annual
**Work Location Type:**
 Hybrid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150">
      <c r="A150" t="inlineStr">
        <is>
          <t>li-4340926602</t>
        </is>
      </c>
      <c r="B150" t="inlineStr">
        <is>
          <t>AI &amp; Machine Learning Engineering Consultant - Senior - Consulting - Location OPEN</t>
        </is>
      </c>
      <c r="C150" t="inlineStr">
        <is>
          <t>EY</t>
        </is>
      </c>
      <c r="D150" t="inlineStr">
        <is>
          <t>linkedin</t>
        </is>
      </c>
      <c r="E150" t="inlineStr"/>
      <c r="F150" t="inlineStr"/>
      <c r="G150" t="inlineStr">
        <is>
          <t>Greenville, SC</t>
        </is>
      </c>
      <c r="H150" t="inlineStr"/>
      <c r="I15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51">
      <c r="A151" t="inlineStr">
        <is>
          <t>li-4341126521</t>
        </is>
      </c>
      <c r="B151" t="inlineStr">
        <is>
          <t>AI &amp; Machine Learning Engineering Consultant - Senior - Consulting - Location OPEN</t>
        </is>
      </c>
      <c r="C151" t="inlineStr">
        <is>
          <t>EY</t>
        </is>
      </c>
      <c r="D151" t="inlineStr">
        <is>
          <t>linkedin</t>
        </is>
      </c>
      <c r="E151" t="inlineStr"/>
      <c r="F151" t="inlineStr"/>
      <c r="G151" t="inlineStr">
        <is>
          <t>Baton Rouge, LA</t>
        </is>
      </c>
      <c r="H151" t="inlineStr"/>
      <c r="I15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52">
      <c r="A152" t="inlineStr">
        <is>
          <t>li-4365334814</t>
        </is>
      </c>
      <c r="B152" t="inlineStr">
        <is>
          <t>Senior Applied Scientist, Causal Inference</t>
        </is>
      </c>
      <c r="C152" t="inlineStr">
        <is>
          <t>LinkedIn</t>
        </is>
      </c>
      <c r="D152" t="inlineStr">
        <is>
          <t>linkedin</t>
        </is>
      </c>
      <c r="E152">
        <f>HYPERLINK("https://www.linkedin.com/jobs/view/4365334814", "https://www.linkedin.com/jobs/view/4365334814")</f>
        <v/>
      </c>
      <c r="F152" t="inlineStr"/>
      <c r="G152" t="inlineStr">
        <is>
          <t>Mountain View, CA</t>
        </is>
      </c>
      <c r="H152" t="inlineStr"/>
      <c r="I15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data science research, model improvement, advanced experiments, observational causal studies to quantify the cause and effect in the ecosystem, identify business opportunities and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3\+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BS and 5\+ years of relevant work experience, MS and 3\+ years of relevant work experience, or Ph.D. and 1\+ years of relevant work/academia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$139,000\.00 to $229,000\.00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3">
      <c r="A153" t="inlineStr">
        <is>
          <t>li-4372213607</t>
        </is>
      </c>
      <c r="B153" t="inlineStr">
        <is>
          <t>Applied Scientist, Prime Video - Content Generation</t>
        </is>
      </c>
      <c r="C153" t="inlineStr">
        <is>
          <t>Prime Video &amp; Amazon MGM Studios</t>
        </is>
      </c>
      <c r="D153" t="inlineStr">
        <is>
          <t>linkedin</t>
        </is>
      </c>
      <c r="E153">
        <f>HYPERLINK("https://www.linkedin.com/jobs/view/4372213607", "https://www.linkedin.com/jobs/view/4372213607")</f>
        <v/>
      </c>
      <c r="F153" t="inlineStr"/>
      <c r="G153" t="inlineStr">
        <is>
          <t>Sunnyvale, CA</t>
        </is>
      </c>
      <c r="H153" t="inlineStr"/>
      <c r="I15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We are looking for an Applied Scientist to push the envelope of AI content generation. As a scientist at Prime Video, you will contribute directly to productions using innovative tools in computer vision, deep learning, and generative AI to transform entertainment experiences. The ideal candidate has deep knowledge in one of: graphics, deep learning, generative AI and/or reinforcement learning and experience applying them real\-world problems. You understand tradeoffs between business needs and model complexity, and you take calculated risks in developing rapid prototypes and iterative model improvements. You are excited to learn from and alongside seasoned scientists, engineers, and business leaders. You are an excellent communicator and effectively translate technical findings into production systems and business action (and customer delight).
 Key job responsibilities
* Build generative AI models that create production\-ready content, including movie content, localized assets, and visual marketing materials used across Prime Video's global platform.
* Drive end\-to\-end machine learning projects that have a high degree of ambiguity, scale, complexity.
* Build machine learning models, perform proof\-of\-concept, experiment, optimize, and deploy your models.
* Run experiments, gather data, and perform statistical analysis.
* Establish scalable, efficient, automated processes for large\-scale data analysis, machine\-learning model development, model validation and serving.
* Research new and innovative machine learning approaches.
* Share knowledge and research outcomes via internal and external conferences and journal publications
 A day in the life
 In this role, you will invent science and systems for content localization, generation, including graphics and machine learning\-based modeling systems. You will work with a team of scientists and product managers to design customer\-facing products, and you will work with technology teams to productize and maintain the associated solutions.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of building models for business application experience
**Preferred Qualifications**
* Have publications on top\-tier conferences, such as CVPR, ICCV, ECCV or NeurIPS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**Company** 
 \- Amazon.com Services LLC
 Job ID: A3180009</t>
        </is>
      </c>
    </row>
    <row r="154">
      <c r="A154" t="inlineStr">
        <is>
          <t>li-4372201911</t>
        </is>
      </c>
      <c r="B154" t="inlineStr">
        <is>
          <t>Applied Scientist, Robotics Delivery and Packaging Innovation (RDPI)</t>
        </is>
      </c>
      <c r="C154" t="inlineStr">
        <is>
          <t>Amazon</t>
        </is>
      </c>
      <c r="D154" t="inlineStr">
        <is>
          <t>linkedin</t>
        </is>
      </c>
      <c r="E154">
        <f>HYPERLINK("https://www.linkedin.com/jobs/view/4372201911", "https://www.linkedin.com/jobs/view/4372201911")</f>
        <v/>
      </c>
      <c r="F154" t="inlineStr"/>
      <c r="G154" t="inlineStr">
        <is>
          <t>Bellevue, WA</t>
        </is>
      </c>
      <c r="H154" t="inlineStr"/>
      <c r="I154" t="inlineStr">
        <is>
          <t>**Description**
 Do you want to be part of a team that's revolutionizing Amazon's fulfillment and packaging technology? Are you ready to optimize systems that process tens\-of\-millions of customer packages daily with the lowest cost to serve and a defect\-free customer experience? Do you have a passion for solving complex science challenges and building a sustainable e\-commerce experience?
 The Robotics Delivery and Packaging Innovation (RDPI) team is seeking an Applied Scientist who will join a team of experts in the field of Machine Learning (ML), Statistics, Operations Research, Computer Vision and Generative AI to work together to break new ground in the world of automated packaging solutions. The RDPI team owns mission\-critical automation and packaging solutions that impact billions of customer shipments annually across Amazon’s WW marketplaces. We manage billions of dollars in material spend and packaging labor costs while driving significant reductions in carbon emissions. Our team is revolutionizing e\-commerce through advanced packaging automation, innovative sortation technology, and sustainable solutions. We're dramatically reducing single\-use plastics across our network while developing next\-generation automated solutions that can handle the majority of our packaging needs. We're also transforming our supply chain through strategic investments in paper manufacturing and innovative materials, driving both substantial cost savings and environmental benefits. This is an exciting opportunity to work on large\-scale automation challenges that directly impact customer experience, operational efficiency, and environmental sustainability at one of the world's largest e\-commerce companies.
 You'll work in a collaborative environment where you can pursue ambitious research with many peta\-bytes of data, work on problems that haven’t been solved before, quickly implement and deploy your algorithmic ideas at scale, understand whether they succeed via statistically relevant experiments across millions of customers, and publish your research. You'll see the work you do directly improve the packaging experience of Amazon customers in the fulfillment technology space. If you are interested in robotics, computer vision, machine learning, operations research, statistics, big data, and building scalable solutions, this role is for you.
 Key job responsibilities
 A successful candidate in this role may perform some or all of the following responsibilities:
* Leverage generative AI technologies to develop scalable solutions for automated product compatibility and safety assessments (e.g., evaluating product shipping compatibility, safety requirements, and packaging configurations)
* Develop advanced AI models by extracting predictive features from multiple data sources (product/packaging images, product descriptions, sensor data, geospatial data) to forecast package\-related damages and optimize packaging decisions based on customer preference prediction
* Develop and implement computer vision solutions to automate packaging workflows and detect product/packaging defects in real\-time operations
* Build causal inference model to capture the downstream impacts of different packaging designs and delivery experience
* Design and implement robotic control algorithms to optimize machine efficiency and meet diverse business objectives
 A day in the life
 Scientists on our team work daily with dedicated product and engineering partners to bring innovative solutions from concept to production. You'll divide your time between deep technical work—building models, analyzing results, iterating on algorithms—and collaborative activities like design reviews, stakeholder presentations, and cross\-functional planning. You'll also have opportunities to support science initiatives across the broader RDPI organization (1500\+ people), partnering with diverse teams to solve high\-impact problems and scale your solutions across Amazon.
**About The Team**
 We are a team of scientists with diverse technical backgrounds spanning Machine Learning, Operations Research, Causal Inference, and Econometrics. We tackle complex, high\-impact problems that directly influence Amazon's strategic decisions and financial performance. Our solutions typically require combining multiple methodologies, and you'll work collaboratively with other scientists while partnering closely with product and engineering teams to bring your innovations into production systems. You'll have the opportunity to grow your expertise across disciplines while delivering measurable business impact at scale.
**Basic Qualifications**
* PhD, or Master's degree and 4\+ years of CS, CE, ML or related field experience
* Experience programming in Java, C\+\+, Python or related language
* Experience building machine learning models or developing algorithms for business application
* Experience implementing algorithms using both toolkits and self\-developed code
* Experience applying theoretical models in an applied environment
**Preferred Qualifications**
* Experience in state\-of\-the\-art deep learning models architecture design and deep learning training and optimization and model pruning
* Experience in professional software development
* Experience in designing experiments and statistical analysis of results
* Experience developing and implementing deep learning algorithms, particularly with respect to computer vision algorithms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\- 142,800\.00 \- 193,200\.00 USD annually
**Company** 
 \- Amazon.com Services LLC
 Job ID: A3180229</t>
        </is>
      </c>
    </row>
    <row r="155">
      <c r="A155" t="inlineStr">
        <is>
          <t>li-4372217320</t>
        </is>
      </c>
      <c r="B155" t="inlineStr">
        <is>
          <t>Applied Scientist , TSI Science</t>
        </is>
      </c>
      <c r="C155" t="inlineStr">
        <is>
          <t>Amazon</t>
        </is>
      </c>
      <c r="D155" t="inlineStr">
        <is>
          <t>linkedin</t>
        </is>
      </c>
      <c r="E155">
        <f>HYPERLINK("https://www.linkedin.com/jobs/view/4372217320", "https://www.linkedin.com/jobs/view/4372217320")</f>
        <v/>
      </c>
      <c r="F155" t="inlineStr"/>
      <c r="G155" t="inlineStr">
        <is>
          <t>Seattle, WA</t>
        </is>
      </c>
      <c r="H155" t="inlineStr"/>
      <c r="I155" t="inlineStr">
        <is>
          <t>**Description**
 Do you want to join an innovative team of scientists who use machine learning and statistical techniques to help Amazon provide the best customer experience by preventing eCommerce fraud? Are you excited by the prospect of analyzing and modeling terabytes of data and creating state\-of\-the\-art algorithms to solve real world problems? Do you like to own end\-to\-end business problems/metrics and directly impact the profitability of the company? Do you enjoy collaborating in a diverse team environment?
 If yes, then you may be a great fit to join the Amazon Selling Partner Trust \&amp; Store Integrity Science Team. We are looking for a talented scientist who is passionate to build advanced machine learning systems that help manage the safety of millions of transactions every day and scale up our operation with automation.
 Key job responsibilities
 Innovate with the latest GenAI/LLM/VLM technology to build highly automated solutions for efficient risk evaluation and automated operations
 Design, develop and deploy end\-to\-end machine learning solutions in the Amazon production environment to create impactful business value
 Learn, explore and experiment with the latest machine learning advancements to create the best customer experience
 A day in the life
 You will be working within a dynamic, diverse, and supportive group of scientists who share your passion for innovation and excellence.
 You'll be working closely with business partners and engineering teams to create end\-to\-end scalable machine learning solutions that address real\-world problems. You will build scalable, efficient, and automated processes for large\-scale data analyses, model development, model validation, and model implementation.
 You will also be providing clear and compelling reports for your solutions and contributing to the ongoing innovation and knowledge\-sharing that are central to the team's success.
**Basic Qualifications**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Track record of leading large\-scale AI transformation projects, and strong publication record in top\-tier conferences/journals such as CVPR, NeuIPS, ICML, ACL, EMNLP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A3179953</t>
        </is>
      </c>
    </row>
    <row r="156">
      <c r="A156" t="inlineStr">
        <is>
          <t>li-4372201915</t>
        </is>
      </c>
      <c r="B156" t="inlineStr">
        <is>
          <t>Applied Scientist, Robotics Delivery and Packaging Innovation (RDPI)</t>
        </is>
      </c>
      <c r="C156" t="inlineStr">
        <is>
          <t>Amazon</t>
        </is>
      </c>
      <c r="D156" t="inlineStr">
        <is>
          <t>linkedin</t>
        </is>
      </c>
      <c r="E156">
        <f>HYPERLINK("https://www.linkedin.com/jobs/view/4372201915", "https://www.linkedin.com/jobs/view/4372201915")</f>
        <v/>
      </c>
      <c r="F156" t="inlineStr"/>
      <c r="G156" t="inlineStr">
        <is>
          <t>Bellevue, WA</t>
        </is>
      </c>
      <c r="H156" t="inlineStr"/>
      <c r="I156" t="inlineStr">
        <is>
          <t>**Description**
 Do you want to be part of a team that's revolutionizing Amazon's fulfillment and packaging technology? Are you ready to optimize systems that process tens\-of\-millions of customer packages daily with the lowest cost to serve and a defect\-free customer experience? Do you have a passion for solving complex science challenges and building a sustainable e\-commerce experience?
 The Robotics Delivery and Packaging Innovation (RDPI) team is seeking an Applied Scientist who will join a team of experts in the field of Machine Learning (ML), Statistics, Operations Research, Computer Vision and Generative AI to work together to break new ground in the world of automated packaging solutions. The RDPI team owns mission\-critical automation and packaging solutions that impact billions of customer shipments annually across Amazon’s WW marketplaces. We manage billions of dollars in material spend and packaging labor costs while driving significant reductions in carbon emissions. Our team is revolutionizing e\-commerce through advanced packaging automation, innovative sortation technology, and sustainable solutions. We're dramatically reducing single\-use plastics across our network while developing next\-generation automated solutions that can handle the majority of our packaging needs. We're also transforming our supply chain through strategic investments in paper manufacturing and innovative materials, driving both substantial cost savings and environmental benefits. This is an exciting opportunity to work on large\-scale automation challenges that directly impact customer experience, operational efficiency, and environmental sustainability at one of the world's largest e\-commerce companies.
 You'll work in a collaborative environment where you can pursue ambitious research with many peta\-bytes of data, work on problems that haven’t been solved before, quickly implement and deploy your algorithmic ideas at scale, understand whether they succeed via statistically relevant experiments across millions of customers, and publish your research. You'll see the work you do directly improve the packaging experience of Amazon customers in the fulfillment technology space. If you are interested in robotics, computer vision, machine learning, operations research, statistics, big data, and building scalable solutions, this role is for you.
 Key job responsibilities
 A successful candidate in this role may perform some or all of the following responsibilities:
* Leverage generative AI technologies to develop scalable solutions for automated product compatibility and safety assessments (e.g., evaluating product shipping compatibility, safety requirements, and packaging configurations)
* Develop advanced AI models by extracting predictive features from multiple data sources (product/packaging images, product descriptions, sensor data, geospatial data) to forecast package\-related damages and optimize packaging decisions based on customer preference prediction
* Develop and implement computer vision solutions to automate packaging workflows and detect product/packaging defects in real\-time operations
* Build causal inference model to capture the downstream impacts of different packaging designs and delivery experience
* Design and implement robotic control algorithms to optimize machine efficiency and meet diverse business objectives
 A day in the life
 Scientists on our team work daily with dedicated product and engineering partners to bring innovative solutions from concept to production. You'll divide your time between deep technical work—building models, analyzing results, iterating on algorithms—and collaborative activities like design reviews, stakeholder presentations, and cross\-functional planning. You'll also have opportunities to support science initiatives across the broader RDPI organization (1500\+ people), partnering with diverse teams to solve high\-impact problems and scale your solutions across Amazon.
**About The Team**
 We are a team of scientists with diverse technical backgrounds spanning Machine Learning, Operations Research, Causal Inference, and Econometrics. We tackle complex, high\-impact problems that directly influence Amazon's strategic decisions and financial performance. Our solutions typically require combining multiple methodologies, and you'll work collaboratively with other scientists while partnering closely with product and engineering teams to bring your innovations into production systems. You'll have the opportunity to grow your expertise across disciplines while delivering measurable business impact at scale.
**Basic Qualifications**
* PhD, or Master's degree and 4\+ years of CS, CE, ML or related field experience
* Experience programming in Java, C\+\+, Python or related language
* Experience building machine learning models or developing algorithms for business application
* Experience implementing algorithms using both toolkits and self\-developed code
* Experience applying theoretical models in an applied environment
**Preferred Qualifications**
* PhD, or a Master's degree and experience in state\-of\-the\-art deep learning models architecture design and deep learning training and optimization and model pruning
* Experience in patents or publications at top\-tier peer\-reviewed conferences or journals
* Experience in designing experiments and statistical analysis of results
* Experience with deep generative models (GANs, VAEs, diffusion models) for computer vision and image synthesis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\- 142,800\.00 \- 193,200\.00 USD annually
**Company** 
 \- Amazon.com Services LLC
 Job ID: A3180230</t>
        </is>
      </c>
    </row>
    <row r="157">
      <c r="A157" t="inlineStr">
        <is>
          <t>li-4371589780</t>
        </is>
      </c>
      <c r="B157" t="inlineStr">
        <is>
          <t>Senior AI Engineer</t>
        </is>
      </c>
      <c r="C157" t="inlineStr">
        <is>
          <t>Jobs via Dice</t>
        </is>
      </c>
      <c r="D157" t="inlineStr">
        <is>
          <t>linkedin</t>
        </is>
      </c>
      <c r="E157">
        <f>HYPERLINK("https://www.linkedin.com/jobs/view/4371589780", "https://www.linkedin.com/jobs/view/4371589780")</f>
        <v/>
      </c>
      <c r="F157">
        <f>HYPERLINK("https://click.appcast.io/t/7co2i6oz6bBInyEKPEAuwh5cuj2pP6nfGpI2LlLKAws=&amp;urlHash=vyeQ", "https://click.appcast.io/t/7co2i6oz6bBInyEKPEAuwh5cuj2pP6nfGpI2LlLKAws=&amp;urlHash=vyeQ")</f>
        <v/>
      </c>
      <c r="G157" t="inlineStr">
        <is>
          <t>Washington, DC</t>
        </is>
      </c>
      <c r="H157" t="inlineStr"/>
      <c r="I157" t="inlineStr">
        <is>
          <t>Dice is the leading career destination for tech experts at every stage of their careers. Our client, ChaTeck Incorporated, is seeking the following. Apply via Dice today!
**Position Title:** 
 Senior AI Engineer
**Location:** 
 Washington DC Onsite, 4 days in a week
**Let's create our future together at The AES Group!**
**About The AES Group**
 The AES Group is a premier technology staffing and services company that has been bringing businesses and talent together for over 20 years to deliver innovative technology solutions that create meaningful impact. AES helps enterprises, including Fortune 500 organizations, engage customers, empower employees, and transform operations through cloud, data, AI, and emerging technologies.
**About The Role**
 We are seeking a senior\-level AI Engineer to architect, lead, and deliver scalable, secure Generative AI solutions with enterprise\-grade performance. This role focuses on Retrieval\-Augmented Generation (RAG), agentic AI orchestration, and cloud\-native ML infrastructure across Azure and AWS.
 The ideal candidate combines deep hands\-on engineering expertise with solution architecture leadership, ensuring AI platforms are secure, observable, cost\-efficient, and aligned to measurable business outcomes. This role also includes mentoring engineers and elevating overall team capability.
**Key Responsibilities**
 AI Architecture \&amp; Solution Delivery
* Architect and deliver enterprise GenAI, RAG, and conversational AI solutions end\-to\-end.
* Design scalable retrieval, prompting, and inference patterns across Azure and AWS.
* Align AI solution design with business goals, security requirements, and performance targets.
 AI Data, RAG \&amp; Feature Engineering Pipelines
* Lead ingestion, normalization, enrichment, and vectorization of AI knowledge sources.
* Implement embedding quality controls, drift monitoring, and metadata governance.
* Build and optimize scalable AI data and feature pipelines using Databricks, ADF, and EMR.
 Agentic AI \&amp; Platform Engineering
* Engineer secure multi\-agent and tool\-calling systems using modern agent frameworks.
* Implement MCP and policy controls for agent safety, traceability, and runtime governance.
* Design governed AI platforms with registry, broker, telemetry, and access controls.
 Model Operations, Security \&amp; Governance
* Evaluate and optimize models for quality, safety, latency, and cost efficiency.
* Establish CI/CD, automated testing, guardrails, and observability for AI workloads.
* Apply secure AI engineering practices including threat modeling and compliance controls.
 Technical Leadership \&amp; Mentorship
* Lead engineering execution, agile delivery, and cross\-functional technical collaboration.
* Mentor and coach engineers through design reviews, code reviews, and best practices.
* Build reusable standards, reference architectures, and engineering playbooks.
**Qualifications**
* Bachelor's degree in Computer Science, Engineering, or related field required; Master's preferred.
* 8\+ years of software engineering experience.
* 2\+ years hands\-on experience in applied Generative AI including RAG, agent systems, and model evaluation/safety.
* Proven experience delivering production AI systems in regulated or enterprise environments with the following technology stack:
* Azure: Azure OpenAI, Azure AI Search, Azure AI Agent Service, Azure ML, AKS, Azure Batch, Azure Data Factory (ADF), Azure Databricks, Azure Functions, API Management, Key Vault, App Insights, Azure Arc
* AWS: SageMaker, Bedrock, Lambda, API Gateway, Comprehend, S3, CloudWatch, EMR, EKS, AWS Outposts, AWS CodePipeline
* Vector DBs: Azure AI Search, Redis, FAISS, HNSW, IVF indexing
* Frameworks: Semantic Kernel, AutoGen, Microsoft Agent Framework, CrewAI, Agno, LangChain, Model Context Protocol (MCP), Hugging Face
* Languages \&amp; Application Stack: Python, C\#, .NET, TypeScript
* Inference: Docker, Ollama, vLLM, Triton, quantized Llama (GGUF), edge inference, GPU provisioning, GPU scheduling, multi\-modal pipelines, dynamic model routing
* MLOps \&amp; AI Tooling: MLflow, AI evaluation suites, safety and guardrail tooling, CI/CD for AI workloads, Azure DevOps pipelines
* Platforms \&amp; Orchestration: Kubernetes, containerized GPU workloads, hybrid/multi\-cloud deployments
**Certifications Required** 
* 
+ Azure AI Fundamentals (AI\-900\)
+ Azure Data Fundamentals (DP\-900\)
+ Responsible AI Certification
+ AWS Machine Learning Specialty
+ TensorFlow Developer
+ Kubernetes CKA or CKAD
+ SAFe Agile Software Engineering
**Certifications Preferred** 
* 
+ Azure AI Engineer Associate (AI\-102\)
+ Azure Data Scientist (DP\-100\)
+ Azure Solutions Architect Expert (AZ\-305\)
+ Azure Developer Associate (AZ\-204\)
**What We Offer**
* Competitive pay aligned to performance and outcomes
* Opportunities to lead cutting\-edge AI initiatives
* Professional growth with industry\-leading clients and technologies
* Open, collaborative culture where your impact is visible and valued
**Join The AES Group and help build the next generation of enterprise AI platforms. Apply now.**</t>
        </is>
      </c>
    </row>
    <row r="158">
      <c r="A158" t="inlineStr">
        <is>
          <t>li-4371716513</t>
        </is>
      </c>
      <c r="B158" t="inlineStr">
        <is>
          <t>AIML - Applied ML Engineer, Responsible AI</t>
        </is>
      </c>
      <c r="C158" t="inlineStr">
        <is>
          <t>Apple</t>
        </is>
      </c>
      <c r="D158" t="inlineStr">
        <is>
          <t>linkedin</t>
        </is>
      </c>
      <c r="E158">
        <f>HYPERLINK("https://www.linkedin.com/jobs/view/4371716513", "https://www.linkedin.com/jobs/view/4371716513")</f>
        <v/>
      </c>
      <c r="F158" t="inlineStr"/>
      <c r="G158" t="inlineStr">
        <is>
          <t>Cupertino, CA</t>
        </is>
      </c>
      <c r="H158" t="inlineStr"/>
      <c r="I158" t="inlineStr">
        <is>
          <t>**Summary**
 Join a team at the forefront of defending Apple's ecosystem. We build the large\-scale machine learning systems that protect millions of users from emerging threats and ensure the integrity of our products.
 We are looking for an experienced Applied ML Engineer who has a proven track record of shipping production models. The ideal candidate is passionate about tackling complex safety and security challenges using state\-of\-the\-art techniques. In this role, you will design, build, and deploy the critical machine learning systems that are foundational to the safety of Apple's products, all while upholding our deep commitment to user privacy.
**Description**
 As engineer on this team, you will own the full lifecycle of our abuse detection machine learning models. You will collaborate closely with researchers to understand the threat landscape and partner with software and product teams to deploy robust, scalable defenses. We believe the most effective security systems are built by engineers who can translate adversarial insights into production\-ready code. Your work will directly contribute to the architecture of Apple's AI platform and protect users from real\-world harm. Here is what you will do:
* Design, build, and deploy production\-grade ML models to detect and mitigate abuse across multiple modalities (text, image, audio).
* Own the full ML lifecycle: from prototyping and data analysis to deployment, monitoring, and the continuous improvement of models in production.
* Drive the data strategy to continuously improve model performance by analyzing distribution gaps, contributing to synthetic data pipelines, and creating automated annotation systems.
* Architect end\-to\-end systems for monitoring platform activity, detecting misuse, and triggering automated enforcement actions in real\-time.
* Collaborate with cross\-functional partners in engineering, research, and product to define project requirements, establish technical direction, and deliver robust security solutions.
**Minimum Qualifications**
* 2\+ years experience shipping machine learning models to production. You have owned the end\-to\-end lifecycle of a model, from development to deployment and maintenance.
* Strong familiarity with research fundamentals, machine learning principles, and development methodologies around LLMs, foundation models, and diffusion models
* Proficient programming skills in Python and deep learning toolkits (e.g. JAX, PyTorch, Tensorflow)
* Ability to work with sensitive and offensive content as part of building robust security and abuse detection systems.
**Preferred Qualifications**
* BS, MS or PhD in Computer Science, Machine Learning, or related fields or an equivalent qualification acquired through other avenues
* Hands\-on experience with fine\-tuning or aligning large language models for security or safety applications.
* Experience building large\-scale data processing pipelines and ML infrastructure.
* Experience driving technical projects and collaborating with large, diverse, cross\-functional teams.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59">
      <c r="A159" t="inlineStr">
        <is>
          <t>li-4371897535</t>
        </is>
      </c>
      <c r="B159" t="inlineStr">
        <is>
          <t>ML Engineer</t>
        </is>
      </c>
      <c r="C159" t="inlineStr">
        <is>
          <t>Waymo</t>
        </is>
      </c>
      <c r="D159" t="inlineStr">
        <is>
          <t>linkedin</t>
        </is>
      </c>
      <c r="E159">
        <f>HYPERLINK("https://www.linkedin.com/jobs/view/4371897535", "https://www.linkedin.com/jobs/view/4371897535")</f>
        <v/>
      </c>
      <c r="F159">
        <f>HYPERLINK("https://www.wiraa.com/job-description/usD20C5E737A694A3D0D78C3F22F2D39FB?source=Linkedin&amp;urlHash=fL7T", "https://www.wiraa.com/job-description/usD20C5E737A694A3D0D78C3F22F2D39FB?source=Linkedin&amp;urlHash=fL7T")</f>
        <v/>
      </c>
      <c r="G159" t="inlineStr"/>
      <c r="H159" t="inlineStr"/>
      <c r="I159" t="inlineStr">
        <is>
          <t>**About The Company**
 Waymo is a pioneering autonomous driving technology company dedicated to creating the most trusted driver in the world. Established as the Google Self\-Driving Car Project in 2009, Waymo has consistently advanced the field of autonomous vehicles with a mission to improve mobility access and save lives by reducing traffic\-related fatalities. The company’s flagship product, the Waymo Driver, is recognized as the most experienced autonomous driving system globally, having completed over ten million rider\-only trips and driven more than 100 million miles on public roads across multiple states. The Waymo Driver powers Waymo's fully autonomous ride\-hail service and is adaptable to various vehicle platforms and use cases, exemplifying innovation and safety in mobility solutions.
**About The Role**
 We are seeking a skilled Software Engineer to join the ML Ops team within the Waymo ML Platform division. This role involves developing and maintaining critical data and machine learning pipelines that are essential for ML development and deployment at Waymo. As part of the team, you will analyze resource utilization, optimize workflows, and build tools to enhance the efficiency and reliability of ML operations. Reporting to a Technical Lead Manager, Staff Software Engineer, you will collaborate closely with ML engineers and researchers to ensure optimal resource management, cost efficiency, and performance improvements across projects. This hybrid position offers an exciting opportunity to contribute to cutting\-edge autonomous driving technology while supporting the infrastructure that powers Waymo’s ML ecosystem.
**Qualifications**
* Bachelor’s degree in Computer Science, Engineering, or a related field
* Minimum of 2\+ years of professional experience in software engineering
* Experience with distributed systems principles and building distributed systems for production environments
* Proficiency in Python or C\+\+ programming languages
* Experience monitoring, debugging, and troubleshooting complex distributed systems
* Strong communication skills for providing updates and collaborating with cross\-functional teams
**Responsibilities**
* Analyze and report on ML resource usage, costs, and efficiency trends across various teams and projects
* Develop, maintain, and enhance dashboards and tools for monitoring key resource metrics
* Identify opportunities for resource optimization, cost reduction, and performance improvements in ML workflows
* Support ML engineers and researchers by providing guidance on best practices for resource utilization
* Develop and enforce resource management policies and documentation to ensure best practices are followed
* Collaborate with cross\-functional teams to improve automation and orchestration solutions for ML workflows
**Benefits**
* Participation in Waymo’s discretionary annual bonus program
* Eligibility for equity incentive plans
* Comprehensive benefits package including health, dental, and vision coverage
* Generous paid time off and flexible work arrangements
* Opportunities for professional growth and development within a leading autonomous vehicle company
 qual Opportunity
 Waymo is an equal opportunity employer. We celebrate diversity and are committed to creating an inclusive environment for all employees. All qualified applicants will receive consideration for employment without regard to race, color, religion, sex, national origin, age, disability, sexual orientation, gender identity, or any other protected characteristic under applicable law.</t>
        </is>
      </c>
    </row>
    <row r="160">
      <c r="A160" t="inlineStr">
        <is>
          <t>li-4371700132</t>
        </is>
      </c>
      <c r="B160" t="inlineStr">
        <is>
          <t>Machine Learning Engineer</t>
        </is>
      </c>
      <c r="C160" t="inlineStr">
        <is>
          <t>Wavelogix, Inc.</t>
        </is>
      </c>
      <c r="D160" t="inlineStr">
        <is>
          <t>linkedin</t>
        </is>
      </c>
      <c r="E160">
        <f>HYPERLINK("https://www.linkedin.com/jobs/view/4371700132", "https://www.linkedin.com/jobs/view/4371700132")</f>
        <v/>
      </c>
      <c r="F160" t="inlineStr"/>
      <c r="G160" t="inlineStr">
        <is>
          <t>West Lafayette, IN</t>
        </is>
      </c>
      <c r="H160" t="inlineStr"/>
      <c r="I160" t="inlineStr">
        <is>
          <t>**Machine Learning Engineer** 
 Salary range: $75,000–$85,000, commensurate with experience
**Wavelogix \| Full\-Time \| On\-Site \| West Lafayette, IN** 
 We’re hiring a
**Machine Learning Engineer** 
 to join our
**on\-site team in West Lafayette, IN** 
 . This is a hands\-on role working with real sensor data, production ML models, and infrastructure projects across the U.S.
**Entry\-level candidates welcome** 
 — strong fundamentals and curiosity matter more than years of experience.
**Company Description** 
 Wavelogix builds IoT hardware and AI\-driven software that measures real\-time concrete strength on active construction sites. Our technology replaces destructive testing methods with sensor\-based data and predictive models used by DOTs, contractors, and engineers across the U.S.
 Founded out of Purdue University’s prestigious Lyles School of Civil Engineering, Wavelogix specializes in innovative, in\-place concrete strength measurement tools for infrastructure, including bridges, highways, runways, and commercial projects. The company is committed to driving the digital transformation of the construction industry by delivering accurate data and streamlining workflows for contractors and engineers.
**Role Description** 
 We’re looking for a
**Machine Learning Engineer** 
 to join our on\-site team in
**West Lafayette, Indiana,** 
 and take ownership of key components of our inference pipeline and supporting infrastructure.
 This role is well\-suited for an early\-career engineer (0–2 years of experience or equivalent project work) who wants hands\-on exposure to the full ML lifecycle—from sensor data processing to deploying models and building internal tools that surface insights to users.
 You’ll work closely with our engineering and product teams on real production systems—not demos or academic exercises.
 This is applied machine learning in the real world—your work directly influences decisions on live infrastructure projects.
**What You Will Do:** 
* Maintain and enhance our machine learning inference pipeline
* Develop and deploy Azure Function Apps for data processing and model serving
* Build and improve an internal engineering dashboard using Python
* Collaborate with the team to identify opportunities for new ML applications
* Monitor model performance and implement improvements as needed
**What We Are Looking For:** 
**Required** 
* Bachelor’s degree in Computer Science, Engineering, Data Science, or a related field
* Proficiency in Python skills
* Familiarity with machine learning concepts and workflows
* Experience with Azure Function Apps or similar serverless platforms
* Ability to work full\-time on\-site in West Lafayette, IN
* Candidates must be authorized to work in the United States on a full\-time basis. At this time, Wavelogix is unable to sponsor or transfer employment visas.
**Nice to Have** 
* Experience with Streamlit or similar frameworks for building data applications
* Familiarity with backend API development
* Experience of serving LLM models
* Experience of container tools like Kubernetes
**Why Wavelogix?** 
* Work on technology with tangible, real\-world impact in the construction industry
* Small team environment with opportunities to take ownership and grow
* Exposure to the full stack—from IoT hardware to cloud infrastructure to ML
**Location and Work Model:** 
* **On\-site only**
* **West Lafayette, Indiana**
* This role is not remote</t>
        </is>
      </c>
    </row>
    <row r="161">
      <c r="A161" t="inlineStr">
        <is>
          <t>li-4372160725</t>
        </is>
      </c>
      <c r="B161" t="inlineStr">
        <is>
          <t>AI Engineer</t>
        </is>
      </c>
      <c r="C161" t="inlineStr">
        <is>
          <t>IT Minds LLC</t>
        </is>
      </c>
      <c r="D161" t="inlineStr">
        <is>
          <t>linkedin</t>
        </is>
      </c>
      <c r="E161">
        <f>HYPERLINK("https://www.linkedin.com/jobs/view/4372160725", "https://www.linkedin.com/jobs/view/4372160725")</f>
        <v/>
      </c>
      <c r="F161" t="inlineStr"/>
      <c r="G161" t="inlineStr">
        <is>
          <t>Lavista, WA</t>
        </is>
      </c>
      <c r="H161" t="inlineStr"/>
      <c r="I161" t="inlineStr">
        <is>
          <t>**Job Title:** 
 AI Engineer
**Duration:** 
 6 Months
**Location:** 
 5 days Onsite at LaVista, NE or Lenexa, KS
 Our customer is seeking an AI Engineer to design, develop, and operate intelligent AI systems supporting complex enterprise workflows. This role focuses heavily on backend engineering (approximately 70%) with additional contributions to frontend and user interface development (approximately 30%). The engineer will work closely with product managers and software teams to deliver scalable, secure, and AI\-enabled capabilities into production environments.
 This position involves building AI\-driven services, multi\-step workflows, and system integrations, particularly leveraging modern architectures such as large\-language\-model systems, agent\-based workflows, and retrieval augmented generation (RAG). The role requires strong experience delivering backend services in cloud environments and familiarity with modern AI tooling.
**Responsibilities**
* Design, develop, and deploy AI\-enabled services and agent based workflows
* Build and maintain API\-driven backend services supporting AI powered applications
* Contribute to frontend components and user interfaces supporting AI workflows
* Implement multi\-step AI workflows with tool usage, data retrieval, and external system integrations
* Integrate AI systems with enterprise data platforms and business systems
* Develop and maintain observability, logging, and monitoring for AI services
* Collaborate with cross\-functional teams to translate business needs into technical solutions
* Ensure solutions meet security, compliance, and governance requirements
* Participate in architectural reviews and contribute to platform standards and best practices
**Qualifications Required**
* Bachelor’s degree in Computer Science, Engineering, or related field (or equivalent experience)
* 3\+ years of professional software engineering experience
* Experience building and operating backend APIs and services
* Hands on experience with MCPs and AI workflows
* Experience designing and operating containerized services (Docker, sandboxing)
* Hands\-on experience with Retrieval\-Augmented Generation (RAG) systems
* Proficiency with SQL and relational database design
* Experience deploying and operating cloud\-native applications in production environments
**Preferred**
* Experience designing or operating agent\-based AI systems in enterprise environments
* Experience with PostgreSQL
* Prompt engineering experience
* Familiarity with Claude Agent SDK, Anthropic tools, or similar agent frameworks
* Experience with AI observability/tracing tools (e.g., LangFuse)
* Experience using Node.js ORMs such as Prisma or Drizzle
* Experience building APIs with Express, Fastify, or similar frameworks
* Experience contributing to frontend/UI development for AI applications
* Familiarity with React and modern frontend practices
* Experience using Shadcn UI or similar component libraries
* Knowledge of DevOps practices and CI/CD pipelines
**Tools and Technologies**
* Programming: C\#, Python, Node.js (JavaScript/TypeScript), RESTful APIs
* AI Systems: LLMs, MCPs, agent\-based workflows, RAG systems
* Data: SQL, relational modeling, PostgreSQL, Azure SQL
* Cloud \&amp; Execution: Azure Container Apps, Docker, containerized services, Vercel Sandboxes or similar
* Orchestration: Azure Functions Durable Task Scheduler, Vercel Workflows, or equivalents
* Developer Tooling: Cursor IDE or similar AI\-assisted IDEs; Git\-based workflows
**Best Regards,**
**Satya Satish J** 
**\|** 
**Technical Recruiter** 
**\|** 
**IT Minds LLC** 
**\|**</t>
        </is>
      </c>
    </row>
    <row r="162">
      <c r="A162" t="inlineStr">
        <is>
          <t>li-4364421723</t>
        </is>
      </c>
      <c r="B162" t="inlineStr">
        <is>
          <t>Machine Learning Engineer II</t>
        </is>
      </c>
      <c r="C162" t="inlineStr">
        <is>
          <t>Uber</t>
        </is>
      </c>
      <c r="D162" t="inlineStr">
        <is>
          <t>linkedin</t>
        </is>
      </c>
      <c r="E162">
        <f>HYPERLINK("https://www.linkedin.com/jobs/view/4364421723", "https://www.linkedin.com/jobs/view/4364421723")</f>
        <v/>
      </c>
      <c r="F162">
        <f>HYPERLINK("https://tnl2.jometer.com/v2/job?jz=5wqzse4ad1831d19ae8eb28b93d204780693cKMAGUCAAAABQ&amp;iis=Job%20Board%20-%20Recruitment%20Marketing&amp;iisn=LinkedIn&amp;urlHash=vNWY", "https://tnl2.jometer.com/v2/job?jz=5wqzse4ad1831d19ae8eb28b93d204780693cKMAGUCAAAABQ&amp;iis=Job%20Board%20-%20Recruitment%20Marketing&amp;iisn=LinkedIn&amp;urlHash=vNWY")</f>
        <v/>
      </c>
      <c r="G162" t="inlineStr">
        <is>
          <t>Seattle, WA</t>
        </is>
      </c>
      <c r="H162" t="inlineStr"/>
      <c r="I162" t="inlineStr">
        <is>
          <t>**About The Role**
 Uber Marketplace is at the core of Uber's business, and Mobility Simulation and Planning is a critical component of Marketplace. The team's mission is to drive the growth and efficiency of the marketplace while optimizing revenue through pricing and incentives simulation and optimization. The role will provide an opportunity to work on some of the most challenging marketplace problems at Uber's scale that directly impact Uber's global business.
**What You'll Do**
* Leading the design and implementation of ML\-driven solutions to meet business requirements.
* Managing end\-to\-end project execution, from scoping and offline evaluation to experimentation, production, and post\-launch monitoring.
* Developing and refining ML models and optimization algorithms to improve simulation accuracy and overall performance.
* Collaborating with cross\-functional teams, including product, operations, and science partners.
**Basic Qualifications**
* 2\+ years of experience in an ML/optimization role, or a PhD in a relevant field (CS, OR, EE, Statistics, etc.)
* Expertise in machine learning and optimization algorithms
* Experience with ML frameworks
* Proficiency in at least one coding language such as Python, Go, or Java
* Strong communication skills and ability to work effectively with cross\-functional partners
* Strong sense of ownership to drive projects end\-to\-end
**Preferred Qualifications**
* Experience in translating ambiguous business problems into structured, principled technical solutions
* Experience in developing and deploying optimization algorithms in production
* Experience in causal inference and experimental design
* Experience in evaluating ML models in a production environment
 For Seattle, WA\-based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Seattle, WA\-based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3">
      <c r="A163" t="inlineStr">
        <is>
          <t>li-4371573609</t>
        </is>
      </c>
      <c r="B163" t="inlineStr">
        <is>
          <t>Machine Learning Engineer - Infra</t>
        </is>
      </c>
      <c r="C163" t="inlineStr">
        <is>
          <t>Adobe</t>
        </is>
      </c>
      <c r="D163" t="inlineStr">
        <is>
          <t>linkedin</t>
        </is>
      </c>
      <c r="E163">
        <f>HYPERLINK("https://www.linkedin.com/jobs/view/4371573609", "https://www.linkedin.com/jobs/view/4371573609")</f>
        <v/>
      </c>
      <c r="F163" t="inlineStr"/>
      <c r="G163" t="inlineStr">
        <is>
          <t>San Jose, CA</t>
        </is>
      </c>
      <c r="H163" t="inlineStr"/>
      <c r="I16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Our focus is developing AI technologies for text, images, and videos to boost creativity. We're seeking an outstanding ML infra engineer with deep expertise in building large scale foundation models infrastructures that support all the generative AI efforts in Firefly! This is a chance to create a huge impact in a fast\-paced, startup\-like environment in a great company. Join us!
 The position involves building infrastructures touching various components of our foundation model stack. including large scale data processing, scalable and reliable PyTorch training infrastructures, GPU optimizations with custom CUDA kernels on the latest Nvidia GPUs, and more!
 Responsibilities:
* You'll build and optimize infrastructures that power large foundation model training on thousands of GPUs
* You will profile GPU utilization, trace inference and training runs and help craft strategies for optimizing our ML model latency.
* We'll work together to architect and optimize end\-to\-end ML pipelines, ensuring they're scalable, efficient, and robust.
* You'll dive deep into data to recommend the right models, evaluation metrics, and governance approaches.
* Throughout the product lifecycle, you'll engage in architecture, design, deployment, and optimizations of ML models and systems.
 Requirements:
* Graduate, PhD, or postgraduate degree in Computer Science, Computer Engineering, or a related field—or equivalent experience.
* 2\+ years ML Engineering experience, specializing in generative AI like LLMs.
* Strong Python and deep learning engineering skills, paired with experience in training and inferencing with PyTorch or TensorFlow, will be essential.
* Familiarity with distillation, transformers, and diffusion models. Experience with generative image and video is a plus.
* Knowledge of deployment technologies such as Docker, ML Ops, and ML services is valuable, and experience with cloud platforms like Azure and AWS is a plus.
* We value your excellent problem\-solving abilities and your capacity to analyze complex issues and drive solutions with a data\-driven approach.
* Your strong verbal and written communication skills and success in cross\-functional team environments will help us all succeed together.
 \#FireflyGenAI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In Washington,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64">
      <c r="A164" t="inlineStr">
        <is>
          <t>li-4372172446</t>
        </is>
      </c>
      <c r="B164" t="inlineStr">
        <is>
          <t>Machine Learning Engineer</t>
        </is>
      </c>
      <c r="C164" t="inlineStr">
        <is>
          <t>Tesla</t>
        </is>
      </c>
      <c r="D164" t="inlineStr">
        <is>
          <t>linkedin</t>
        </is>
      </c>
      <c r="E164">
        <f>HYPERLINK("https://www.linkedin.com/jobs/view/4372172446", "https://www.linkedin.com/jobs/view/4372172446")</f>
        <v/>
      </c>
      <c r="F164" t="inlineStr"/>
      <c r="G164" t="inlineStr">
        <is>
          <t>Fremont, CA</t>
        </is>
      </c>
      <c r="H164" t="inlineStr"/>
      <c r="I164" t="inlineStr">
        <is>
          <t>**What To Expect**
 We are looking for a highly skilled and motivated Machine Learning Engineer to support and upscale our Service Supply Chain Distribution strategies. You will be part of the Supply Chain Optimization team that is managing strategic projects and continuous improvement efforts for Tesla’s Global Distribution Network. The role requires the ability to build strong cross\-functional working relationships with Material Planning, Logistics, Finance, Warehouse Operations and Service Operations teams. You will require a sharp business focus, a collaborative style of working, and a proactive and critical mindset. You need to acquire deep subject matter knowledge about systems, sourcing, planning and fulfillment processes to build models that drive impactful business changes. It is essential that you can think strategically, connect the dots in the bigger picture, as well as be comfortable in the details of the deliverables to drive operational improvements. The role is expected to simultaneously handle multiple projects of department\-level scale and global reach.
**What You'll Do**
- Build and productionize ML models \&amp; AI agents that power inbound network design, including cost, transit\-time prediction, mode/route selection, and consolidation strategies
- Design and extend our Digital Twin, integrating inbound network constraints to mirror real\-world designs and enable near real\-time decision support
- Build and run large\-scale “what\-if” simulations to evaluate new inbound strategies quantifying the impact on cost, service levels, and DC operations
- Perform sensitivity and stress testing on existing inbound network designs to identify bottlenecks, failure modes, and resiliency gaps, and translate findings into concrete recommendations for improvements
- Own the ML lifecycle for inbound use cases: data pipelines, feature engineering, model evaluation, AB\-testing, monitoring, and continuous retraining based on realized performance versus modeled expectations
- Collaborate closely with Material Planning, Logistics, Finance, and Warehouse Operations to turn analytical outputs into executable inbound pilots and long\-term standards, tracking realized performance vs. modeled expectations
- Build decision\-support tools, APIs, and UIs that expose inbound simulations, recommendations, and KPIs directly in our internal Digital Twin, enabling self\-serve analysis for cross\-functional partners
- Translate complex quantitative results into clear narratives and visualizations, enabling leadership to make informed tradeoffs between cost, service, and operational complexity in the inbound network
**What You'll Bring**
- Degree in computer science, AI, Applied Math, Operations Research, or related field, or equivalent experience
- Strong Mathematical fundamentals and algorithms skills
- Excellent programming, debugging, performance analysis, and test design skills
- Strong programming skills in SQL, Python (experience with libraries such as NumPy, pandas, scikit\-learn, TensorFlow, or PyTorch)
- Hands\-on experience developing full\-stack applications using Django (Python), Java\-based services, and react, with a strong understanding of RESTful API design and integration
- Knowledge of MLOps practices, including CI/CD pipelines, model monitoring, and experience with containerization and orchestration tools such as Docker and Kubernetes
- Experience leveraging LLMs, multimodal unsupervised learning, and Generative AI to drive innovative supply chain optimization solutions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$140,000 \- $210,000/annual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165">
      <c r="A165" t="inlineStr">
        <is>
          <t>li-4371558759</t>
        </is>
      </c>
      <c r="B165" t="inlineStr">
        <is>
          <t>Applied AI Engineer</t>
        </is>
      </c>
      <c r="C165" t="inlineStr">
        <is>
          <t>ATEC Spine</t>
        </is>
      </c>
      <c r="D165" t="inlineStr">
        <is>
          <t>linkedin</t>
        </is>
      </c>
      <c r="E165">
        <f>HYPERLINK("https://www.linkedin.com/jobs/view/4371558759", "https://www.linkedin.com/jobs/view/4371558759")</f>
        <v/>
      </c>
      <c r="F165" t="inlineStr"/>
      <c r="G165" t="inlineStr">
        <is>
          <t>Carlsbad, CA</t>
        </is>
      </c>
      <c r="H165" t="inlineStr"/>
      <c r="I165" t="inlineStr">
        <is>
          <t>We are seeking a motivated and innovative Applied AI Engineer to join our team. This role focuses on designing and developing enterprise AI solutions powered by Large Language Models (LLMs), including Retrieval\-Augmented Generation (RAG)\-based information extraction applications and intelligent workflow automation systems.
 This is an excellent opportunity for candidates with a strong technical foundation who are passionate about applying AI to solve real\-world business problems.
**Essential Duties And Responsibilities**
* Design, develop, and deploy LLM\-based AI applications.
* Build and optimize RAG\-based information extraction and agentic AI applications.
* Develop backend services and APIs to support AI\-driven applications.
* Implement web\-based interfaces for AI applications.
* Work closely with stakeholders to gather user requirements and translate business needs into technical solutions.
* Fine\-tune prompts, optimize LLM workflows, and evaluate model performance.
* Integrate AI solutions with enterprise systems and databases.
* Collaborate with cross\-functional teams including product, engineering, and business users.
* Document system architecture, workflows, and technical decisions.
* Other duties as assigned.
**Requirements**
 The requirements listed below are representative of the knowledge, skill, and/or ability required. Reasonable accommodations may be made to enable individuals with disabilities to perform the essential functions.
* Experience with web technologies such as:JavaScript (React, Node.js, or similar frameworks), or Other modern web application frameworks.
* Understanding of modern AI systems (including machine learning and large language models), their capabilities, limitations, and practical application in software products.
* Familiarity with basic ML concepts (training vs inference, overfitting, generalization)
* Familiarity with LLM frameworks and tools (e.g., OpenAI APIs, vector databases, LangChain, LlamaIndex,).
* Basic experience with data preprocessing, cleaning, and transformation for AI/ML workflows.
* Understanding of APIs, RESTful services, and backend development.
* Knowledge of databases (SQL and/or NoSQL).
* Ability to gather requirements from users and convert them into working applications.
* Strong problem\-solving skills and attention to detail.
* Strong inter\-person skills and communication skills
**Preferred Qualifications**
* Experience building RAG pipelines and working with vector databases.
* Experience in creating agentic AI applications
* Familiarity with cloud platforms (AWS, Azure, or GCP).
* Understanding of prompt engineering and model evaluation techniques.
* Experience with enterprise software integration.
* Exposure to DevOps practices and deployment pipelines.
**Education And Experience**
* Bachelor's degree (BS) in a STEM field (Computer Science, Engineering, Mathematics, physics, Data Science, or related discipline).
* At least 3\-6 \+ years of experience in software development or AI/ML engineering.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$110,000 to $125,000 Full\-Time Annual Salary
*Please Note: The employer will not sponsor applicants for work visas for this position.*</t>
        </is>
      </c>
    </row>
    <row r="166">
      <c r="A166" t="inlineStr">
        <is>
          <t>li-4372169110</t>
        </is>
      </c>
      <c r="B166" t="inlineStr">
        <is>
          <t>Lead AI Engineer</t>
        </is>
      </c>
      <c r="C166" t="inlineStr">
        <is>
          <t>Accellor</t>
        </is>
      </c>
      <c r="D166" t="inlineStr">
        <is>
          <t>linkedin</t>
        </is>
      </c>
      <c r="E166">
        <f>HYPERLINK("https://www.linkedin.com/jobs/view/4372169110", "https://www.linkedin.com/jobs/view/4372169110")</f>
        <v/>
      </c>
      <c r="F166" t="inlineStr"/>
      <c r="G166" t="inlineStr">
        <is>
          <t>New York, NY</t>
        </is>
      </c>
      <c r="H166" t="inlineStr"/>
      <c r="I166" t="inlineStr">
        <is>
          <t>Accellor is an AI\-native services firm purpose\-built for the post\-ChatGPT era. Free from legacy constraints, we focus on delivering measurable business outcomes through advanced AI, data, and engineering capabilities. Our mission is to operationalize AI at scale and unlock sustained enterprise value.
 Our offerings span AI solutions, data services, enterprise applications, and product engineering, tailored to industry\-specific needs across healthcare, life sciences, telecom, retail, financial services, and technology. By leveraging design thinking and technology\-agnostic architectures, we ensure faster time\-to\-value and seamless interoperability.
 With a proven track record of enabling Fortune 100 enterprises and global innovators, Accellor stands as a trusted partner for organizations seeking to harness the full potential of AI. Our vision is clear: to build intelligent, connected ecosystems that deliver measurable outcomes and redefine the future of enterprise transformation.
 We are seeking a Lead AI Engineer to architect and deliver next\-generation Agentic AI solutions powering our Marketing workstream. This role will lead the design and implementation of autonomous, multi\-agent systems that drive personalization, content generation, campaign optimization, analytics, and intelligent customer engagement.
 You will work at the intersection of LLMs, agent frameworks, AWS cloud\-native AI services, and marketing technology systems, building scalable production\-grade AI systems — not just prototypes.
 This is a hands\-on technical leadership role for someone who understands both AI architecture and real\-world deployment at scale.
**Responsibilities:**
 Agentic AI Architecture \&amp; Development
* Design and implement production\-grade agentic AI systems using frameworks such as LangChain, LangGraph, and other open\-source LLM orchestration tools
* Build multi\-agent workflows with memory, tool use, reasoning chains, and autonomous decision\-making
* Develop RAG (Retrieval\-Augmented Generation) systems integrated with marketing data sources
* Implement evaluation, guardrails, observability, and continuous improvement loops
 AWS AI \&amp; Cloud Engineering
* Architect scalable AI systems using AWS services
* Deploy and manage AI agents in secure, production cloud environments
* Implement CI/CD and MLOps best practices for model lifecycle management
 Marketing AI Workstream Enablement
* Build AI\-driven solutions for:
* Campaign content generation
* Customer segmentation and targeting
* Conversational marketing agents
* Lead qualification agents
* Performance analytics automation
* Integrate AI agents with CRM, CDP, marketing automation, and analytics platforms
* Collaborate with marketing stakeholders to translate business needs into AI\-driven workflows
 Leadership \&amp; Governance
* Provide technical leadership and architecture direction for AI initiatives
* Mentor engineers and establish engineering standards for AI systems
* Define best practices around prompt engineering, model selection, safety, and responsible AI
* Drive evaluation frameworks for LLM accuracy, cost optimization, and performance
**Requirements**
* 8\+ years of software engineering experience, with 3\+ years in AI/LLM systems
* Proven experience building and deploying Agentic AI systems in production
* Deep hands\-on experience with:
* LangChain
* LangGraph
* Open\-source LLM orchestration frameworks
* Strong experience with AWS AI ecosystem, especially Bedrock and SageMaker
* Experience building RAG systems with vector databases (Pinecone, OpenSearch, Weaviate, etc.)
* Strong Python engineering background
* Experience building APIs and integrating AI systems with enterprise platforms
* Experience designing scalable cloud\-native architectures
**Benefits**
**Exciting Projects:** 
 We focus on industries like High\-Tech, communication, media, healthcare, retail and telecom. Our customer list is full of fantastic global brands and leaders who love what we build for them.
**Collaborative Environment:** 
 You can expand your skills by collaborating with a diverse team of highly talented people.
**Work\-Life Balance:** 
 Accellor prioritizes work\-life balance, which is why we offer flexible work schedules, opportunities to work from home, and paid time off and holidays.
**Professional Development:** 
 Our dedicated Learning \&amp; Development team regularly organizes Communication skills training, Stress Management program, professional certifications, and technical and soft skill training.
**Excellent Benefits:** 
 We provide our employees with competitive salaries, family medical insurance, Personal Accident Insurance, Periodic health awareness program, extended maternity leave, annual performance bonuses, and referral bonuses.
**Disclaimer**
 Accellor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t>
        </is>
      </c>
    </row>
    <row r="167">
      <c r="A167" t="inlineStr">
        <is>
          <t>li-4364411944</t>
        </is>
      </c>
      <c r="B167" t="inlineStr">
        <is>
          <t>Machine Learning Engineer II - Marketplace Pricing &amp; Incentives</t>
        </is>
      </c>
      <c r="C167" t="inlineStr">
        <is>
          <t>Uber</t>
        </is>
      </c>
      <c r="D167" t="inlineStr">
        <is>
          <t>linkedin</t>
        </is>
      </c>
      <c r="E167">
        <f>HYPERLINK("https://www.linkedin.com/jobs/view/4364411944", "https://www.linkedin.com/jobs/view/4364411944")</f>
        <v/>
      </c>
      <c r="F167" t="inlineStr"/>
      <c r="G167" t="inlineStr">
        <is>
          <t>San Francisco, CA</t>
        </is>
      </c>
      <c r="H167" t="inlineStr"/>
      <c r="I167" t="inlineStr">
        <is>
          <t>**About The Role**
 Uber Marketplace is at the core of Uber's business, and Mobility Simulation and Planning is a critical component of Marketplace. The team's mission is to drive the growth and efficiency of the marketplace while optimizing revenue through pricing and incentives simulation and optimization. The role will provide an opportunity to work on some of the most challenging marketplace problems at Uber's scale that directly impact Uber's global business.
**What You'll Do**
 In this role, you will develop and implement ML and optimization solutions to enhance pricing and incentive efficiency, while optimizing interactions with other marketplace components.
**Key Responsibilities Include**
* Leading the design and implementation of ML\-driven solutions to meet business requirements.
* Managing end\-to\-end project execution, from scoping and offline evaluation to experimentation, production, and post\-launch monitoring.
* Developing and refining ML models and optimization algorithms to improve simulation accuracy and overall performance.
* Collaborating with cross\-functional teams, including product, operations, and science partners.
**Basic Qualifications**
* 2\+ years of experience in an ML/optimization role, or a PhD in a relevant field (CS, OR, EE, Statistics, etc.)
* Expertise in machine learning and optimization algorithms
* Experience with ML frameworks
* Proficiency in at least one coding language such as Python, Go, or Java
* Strong communication skills and ability to work effectively with cross\-functional partners
* Strong sense of ownership to drive projects end\-to\-end
**Preferred Qualifications**
* Experience in translating ambiguous business problems into structured, principled technical solutions
* Experience in developing and deploying optimization algorithms in production
* Experience in causal inference and experimental design
* Experience in evaluating ML models in a production environment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8">
      <c r="A168" t="inlineStr">
        <is>
          <t>li-4354643662</t>
        </is>
      </c>
      <c r="B168" t="inlineStr">
        <is>
          <t>AI / ML Engineer - REMOTE</t>
        </is>
      </c>
      <c r="C168" t="inlineStr">
        <is>
          <t>E Source</t>
        </is>
      </c>
      <c r="D168" t="inlineStr">
        <is>
          <t>linkedin</t>
        </is>
      </c>
      <c r="E168">
        <f>HYPERLINK("https://www.linkedin.com/jobs/view/4354643662", "https://www.linkedin.com/jobs/view/4354643662")</f>
        <v/>
      </c>
      <c r="F168" t="inlineStr"/>
      <c r="G168" t="inlineStr"/>
      <c r="H168" t="inlineStr"/>
      <c r="I168" t="inlineStr">
        <is>
          <t>Joining E Source as a Senior AI/ML Engineer is an exciting opportunity to work with a dynamic and talented team, leveraging your skills to drive meaningful impact in the utility industry. You’ll contribute to the next generation of AI and ML solutions that blend predictive modeling, optimization, and generative reasoning to empower sustainable decisions.
 If you are a self\-motivated engineer who thrives in a collaborative, innovative environment, and if you’re passionate about building intelligent, scalable AI/ML systems, we invite you to apply and help shape the future of utilities.
 As a Senior AI/ML Engineer at E Source, you’ll play a crucial role in our machine learning engineering team. Collaborating with data scientists and software engineers, you’ll contribute to the development of cutting\-edge ML and AI products that support our mission of building a sustainable future with utilities.
 Your expertise will be instrumental in building tools and pipelines for developing and scaling machine\-learning models, including emerging AI system design components and agentic architectures. You’ll work across a range of use cases—like electrification, network reliability, geospatial analysis, time series forecasting, image and text processing, and AI\-driven decision systems—using both traditional ML and modern generative AI approaches.
**A Little About E Source**
 E Source combines industry\-leading research, data science, and consulting to help utilities make and implement better data\-driven decisions that positively impact their customers, their bottom line, and our planet. Headquartered in Boulder, CO, we have teams across the US and Canada. Learn more at www.esource.com.
**How You’ll Help**
* Collaborate with cross\-functional teams to design, develop, and deploy scalable software products that incorporate machine learning and AI models.
* Build reusable Python packages to support the implementation of ML/AI algorithms and data\-processing pipelines.
* Contribute to the design of AI systems, including components for retrieval\-augmented generation (RAG), LLM integration, and agent\-based workflows.
* Develop agentic evaluation and monitoring frameworks to assess model reasoning, consistency, and fairness.
* Evaluate database design and create optimized performance queries for efficient data processing and retrieval.
* Break down complex MLE and AI tasks into manageable user and technical stories, ensuring efficient and effective implementation.
* Ensure high\-quality test coverage of ML code and participate in peer reviews to provide valuable recommendations.
* Stay updated on the latest advances in machine learning engineering, generative AI, and AI system orchestration, and incorporate relevant practices into our workflows.
* Contribute to continuous delivery and Agile development processes, adhering to best practices in ML and AI engineering.
**What Will Make You a Great Fit**
* Master’s degree in computer science, software engineering, data science, or a related field (PhD preferred).
* Minimum of 7 years of professional experience designing, developing, and deploying machine learning software products independently and collaboratively.
* Strong programming skills in Python, with experience developing reusable packages and automation tools.
* Familiarity with Databricks for scalable data processing and collaborative analytics.
* Solid understanding of machine learning systems design concepts, including model lifecycle management, MLOps, and scalable inference.
* Hands\-on experience with cloud infrastructure (Azure, AWS, or GCP), containerization, and CI/CD pipelines.
* Proficiency with distributed computing frameworks, machine learning packages, and both relational and nonrelational databases.
* Familiarity with generative AI tools and frameworks (e.g., AutoGen, Hugging Face, LangChain, LangGraph, LlamaIndex) and their integration into enterprise pipelines.
* Experience developing or evaluating agentic AI systems, AI orchestration, or AI\-assisted decision\-making workflows is an asset.
* Excellent problem\-solving and analytical skills, with the ability to break down complex tasks into actionable steps.
* Strong communication and collaboration skills, with a track record of working effectively in cross\-functional teams.
* Knowledge or experience in the utility, power, or energy sectors is a plus.
* Deep knowledge in Databricks tech stack for AI and data engineering is a plus.
**What You Can Expect**
* Excellent insurance options, including medical, dental, and vision plans; company\-paid life insurance; company\-paid long\- and short\-term disability insurance; and medical and dependent\-care flexible spending plans.
* A flexible time off (FTO) program where you can take as many paid days off per year as you need, with manager approval, while fulfilling your work obligations and ensuring proper coverage of your responsibilities.
* Flexible schedules, flexible work locations, and a paid parental leave benefit.
* A 401(k)/RRSP plan with a 3% employer match.
**The Budgeted Salary For This Position Is**
* $115,000–$130,000 USD \+ annual bonus.
 Actual pay will be adjusted based on experience.
 This role will be 100% remote, with infrequent travel (generally 1–2 times per year).
 Applicants must be authorized to work for any employer in the US or Canada. We’re unable to sponsor or take over sponsorship of employment visas or Labour Market Impact Assessments (Cdn) at this time.
 All qualified applicants will receive consideration for employment without regard to race, color, religion, sex, sexual orientation, gender identity, national origin, disability, or status as a protected veteran.
 Employees of E Source are encouraged to apply. To foster a positive work environment and company culture, we support our employees in their career growth at E Source. If you are interested in similar job opportunities in the future, visit the E Source careers page for a listing of all open positions and contact Human Resources.
 We contact applicants directly via email using only our designated company email addresses with the domain of @esource.com. Please do not provide personal information to anyone over email and be wary of other accounts impersonating businesses.</t>
        </is>
      </c>
    </row>
    <row r="169">
      <c r="A169" t="inlineStr">
        <is>
          <t>li-4371570628</t>
        </is>
      </c>
      <c r="B169" t="inlineStr">
        <is>
          <t>ML Engineer</t>
        </is>
      </c>
      <c r="C169" t="inlineStr">
        <is>
          <t>Elevate</t>
        </is>
      </c>
      <c r="D169" t="inlineStr">
        <is>
          <t>linkedin</t>
        </is>
      </c>
      <c r="E169">
        <f>HYPERLINK("https://www.linkedin.com/jobs/view/4371570628", "https://www.linkedin.com/jobs/view/4371570628")</f>
        <v/>
      </c>
      <c r="F169" t="inlineStr"/>
      <c r="G169" t="inlineStr">
        <is>
          <t>North Carolina, United States</t>
        </is>
      </c>
      <c r="H169" t="inlineStr"/>
      <c r="I169" t="inlineStr">
        <is>
          <t>**About Elevate**
 Elevate is a full\-service consulting firm that inspires high\-performing organizations to find their limits and push past them. With expertise in brand consulting, sales strategy, data\-driven insights, and talent optimization, Elevate gives its clients a competitive edge in the fight for people’s precious time and attention. Established in 2018, Elevate set out to help sports teams and leagues spark innovation and drive performance. In the years since, the world of sports has transformed, today standing at the convergence of media, entertainment, and consumer brands, with Elevate supporting some of the world’s most ambitious businesses across these sectors. Elevate’s proprietary technology, data sources, and software products combined with our thoughtful insights, and people\-centric approach give clients a 360\-degree view of their customers, underpinning intelligent decision\-making on marketing spend, growth strategy, and more.
 Our team of 400\+ employees spans the globe with in 20 locations worldwide. We value recruiting diverse individuals to our team to bring new perspectives to our company and look forward to learning more about you in the recruitment process. To learn more and see what we’ve been up to, follow Elevate on X, LinkedIn, and Instagram.
**Where you come in**
 Elevate is embarking on an exciting transformation journey from a consulting company to a product\-led organization where our technology will become a primary revenue driver. Join our rapidly growing engineering team that's setting the foundation for this transformation.
 You'll collaborate with talented engineers, data scientists, and product leaders to build intelligent systems that enhance our product platforms. You'll develop ML models for dynamic pricing, demand forecasting, recommendation systems, and predictive analytics that enable clients to maximize revenue and optimize business outcomes. Your work will directly impact how we price products, recommend content, and optimize operations across our platforms.
**What You'll Bring**
* ML Engineering Expertise: 3\+ years of experience building and deploying machine learning systems in production environments
* Python \&amp; ML Frameworks: Strong Python skills with experience in PyTorch, TensorFlow, scikit\-learn, or similar ML frameworks
* Model Deployment: Experience deploying ML models to production, including MLOps practices, model versioning, and A/B testing
* Data Pipeline Experience: Strong background building data processing pipelines for training and inference
* Cloud ML Platforms: Experience with AWS SageMaker, GCP AI Platform, Azure ML, or similar cloud ML services
* Product Engineering Mindset: Understanding that technology exists to solve customer problems and create business value
* Problem\-Solving Approach: You start with understanding the problem deeply before jumping to solutions
* Experimentation Mindset: You value learning through rapid experimentation and embrace a "progress over perfection" approach
* Outcome Orientation: You measure success by business impact and customer satisfaction, not just by model accuracy metrics
* Communication Skills: Ability to explain ML capabilities and limitations to both technical and non\-technical stakeholders
* Agency Experience: Experience working effectively with development agency partners is a plus
* Domain Experience: Background in pricing systems, recommendation engines, or transactional platforms is highly valuable
**How You'll Make An Impact**
* Build Pricing Models: Develop and deploy ML models for dynamic pricing that optimize revenue and business outcomes
* Create Recommendation Systems: Build recommendation engines that suggest relevant content and products to users
* Enable Demand Forecasting: Develop predictive models that forecast demand to optimize inventory and pricing strategies
* Integrate ML into Products: Seamlessly embed ML models into our product backend services and APIs
* Optimize for Scale: Build systems that can handle real\-time inference at scale while maintaining model performance
* Establish MLOps Practices: Create pipelines for model training, deployment, monitoring, and iteration
* Solve Real Business Problems: Work directly with product managers and stakeholders to understand problems and validate ML solutions
* Collaborate Across Teams: Partner with engineers, data scientists, and product teams to deliver cohesive ML\-powered solutions
**Your Journey: First 90 Days
 First 30 Days**
* Deep dive into our existing platform architecture, data infrastructure, and business requirements
* Understand current pricing strategies, recommendation approaches, and optimization challenges
* Build relationships with your engineering teammates, data scientists, key stakeholders, and agency partners
* Partner with the team to develop your personal roadmap for impact
**Days 31\-60**
* Implement your first ML model for a core use case (e.g., pricing or recommendations)
* Design and run experiments to validate model performance and business impact
* Begin establishing patterns for ML development, deployment, and monitoring
**Days 61\-90**
* Deploy ML models into production and monitor their performance
* Lead technical planning for scaling ML capabilities across the platform
* Contribute to roadmap for next\-generation ML features and capabilities
**Why This Role Matters Now**
* Growing Team: Join a talented and expanding engineering team that's building the foundation for Elevate's product\-led future
* Product\-Led Transformation: Drive the shift to a product\-led organization following the playbook of companies like Spotify, Airbnb, and Stripe
* Learning Culture: Grow alongside passionate engineers in an environment that values continuous learning and knowledge sharing
* Significant Impact: Your ML models will directly enable products that drive millions in revenue for our clients
* Autonomy and Ownership: Lead with significant autonomy while owning outcomes, not just outputs
**The Technology You'll Work With**
* Our ML stack includes:
* ML Frameworks: PyTorch, TensorFlow, scikit\-learn, XGBoost
* Data Infrastructure: AWS (Redshift, Glue, S3, Lambda, SageMaker)
* Model Deployment: AWS SageMaker, Lambda, ECS
* Data Processing: Pandas, NumPy, Spark
* Development Practices: MLOps pipelines, model versioning, A/B testing frameworks, CI/CD
**Our Product Engineering Principles**
* Customer Obsession: We start with the customer and work backward. We don't build features; we solve customer and business problems.
* Ownership: Teams own outcomes, not just outputs. Success means business impact and customer delight, not shipping on schedule.
* Simplicity: We choose architectural and product simplicity over complexity. Complex solutions are harder to maintain, evolve, and explain.
* Data\-Driven Decisions: We measure what matters and use data to guide our product development and business decisions.
* Rapid Learning: We implement quick feedback loops, focus on learning through experimentation, and value progress over perfection.
* Transparency: We invite visibility and are transparent with where we're spending our time.
 We're looking for engineers who want to do the best work of their careers while transforming how the sports and entertainment industry operates. At Elevate, you'll have the freedom to solve meaningful problems, the support to grow as a leader, and the satisfaction of seeing your work impact millions of fans. If you're ready to help shape our product\-led future, we'd love to connect.
**Position And Benefits Details**
* Full Time, Exempt
* Medical, Dental, Vision, Life, Short\-Term \&amp; Long\-Term Disability Insurance \+ FSA, HSA, and more
* 401k Employer Match after meeting eligibility requirements
* 14 Paid Holidays
* Unlimited PTO
* Paid Parental Leave
**Working Conditions**
***Travel Requirements***
* Occasional travel may be required
***Physical Demands***
* Extensive work in front of a screen
***Work Environment***
* This role is remote, with the potential for a hybrid work arrangement in the following cities: New York, NY; Santa Clara, CA; Charlotte, NC; Salt Lake City, UT; or Nashville, TN.
*This position is open to all qualified candidates. If you need assistance or an accommodation due to a disability in connection with the application process, you may contact us at* 
 HR@oneelevate.com
*We are proud to be an equal opportunity/veterans/disabled/ LGBT employer. We celebrate diversity and are committed to creating an inclusive environment for all employees. All employment is decided based on qualifications, merit, and business need, without regard to race, color, religion, gender, sexual orientation, national origin, disability status, protected veteran status, genetic information, or any other characteristic protected by applicable law.*</t>
        </is>
      </c>
    </row>
    <row r="170">
      <c r="A170" t="inlineStr">
        <is>
          <t>li-4372219151</t>
        </is>
      </c>
      <c r="B170" t="inlineStr">
        <is>
          <t>Machine Learning Engineer</t>
        </is>
      </c>
      <c r="C170" t="inlineStr">
        <is>
          <t>FANTOM CORPORATION</t>
        </is>
      </c>
      <c r="D170" t="inlineStr">
        <is>
          <t>linkedin</t>
        </is>
      </c>
      <c r="E170">
        <f>HYPERLINK("https://www.linkedin.com/jobs/view/4372219151", "https://www.linkedin.com/jobs/view/4372219151")</f>
        <v/>
      </c>
      <c r="F170" t="inlineStr"/>
      <c r="G170" t="inlineStr">
        <is>
          <t>McLean, VA</t>
        </is>
      </c>
      <c r="H170" t="inlineStr"/>
      <c r="I170" t="inlineStr">
        <is>
          <t>Fantom Corporation is a mission\-focused organization supporting critical programs across the defense and intelligence community. We partner with our customers to deliver high\-impact technical solutions while fostering a culture built on trust, expertise, and long\-term career growth.
 We are seeking a skilled Machine Learning Engineer to join our team and contribute to meaningful, mission\-driven work for our customer.
 We are seeking a highly experienced technical professional to support mission\-critical initiatives focused on enhancing signature management capabilities. This role will lead the development of innovative tools, integrate diverse data sources, and leverage advanced AI/ML solutions to support operational objectives.
 The ideal candidate brings strong expertise in cloud computing, software engineering, machine learning operations, and big data systems, along with the ability to collaborate effectively across technical and non\-technical teams.
**Responsibilities**
* Design and develop scalable tools to enhance signature management capabilities
* Integrate multiple, diverse data sources into a cohesive cloud\-based architecture
* Expand and strengthen AI/ML infrastructure and capabilities
* Develop and deploy analytics\-driven user interfaces to support operational users
* Implement and manage Machine Learning Operations (MLOps) processes, including model deployment, monitoring, and lifecycle management
* Support and optimize large\-scale data environments for performance, reliability, and security
* Collaborate with cross\-functional stakeholders including engineers, leadership, and operational personnel
* Communicate complex technical concepts clearly to both technical and non\-technical audiences
**Qualifications**
* Demonstrated experience working in cloud computing environments
* Experience with containerization concepts and technologies
* Hands\-on experience with Machine Learning Operations (MLOps)
* Strong background in software engineering, cloud architecture, and user interface design
* Experience supporting and working within big data environments
* Excellent written and verbal communication skills
* Proficiency in Python and SQL
* Experience with Docker
* Experience with frameworks such as Flask, Gradio, or Streamlit
* Experience developing or expanding AI/ML architectures within secure or enterprise environments
**Requirements**
* Must be fully cleared with a recent polygraph
* Must be willing and able to work fully onsite at the location listed in this posting
 Fantom Corp is a Software Development, Agile Cloud, Software Development, Cyber Security (Risk Management, Assessments \&amp; Authorization (A\&amp;A)), Data, AI Platform (Computer Vision Models), Podcasting Media Services, and IT Services provider. Established in 2015, Fantom Corp serves Federal customers with top\-notch Cybersecurity Architects, Data Scientists/Analysts, Software Engineers/Developers, DevSecOps Engineers, Project Managers, Identity, Credential Access Management (ICAM) services , and Cloud\-certified practitioners. We excel in delivering emerging technologies such as Artificial Intelligence (AI) and Machine Learning (ML) with a focus on identifying trends, object detection, and classification of structured and unstructured data. Fantom Corp possesses mastery in all aspects of digital audio production. We lead in the ideation and creation of efforts for clients who want to harness the power of podcasting. We guide them in selecting the right show format for their needs and goals. As a Small Business, we possess the innovation, speed and flexibility to meet your requirements.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1">
      <c r="A171" t="inlineStr">
        <is>
          <t>li-4371721442</t>
        </is>
      </c>
      <c r="B171" t="inlineStr">
        <is>
          <t>Applied Machine Learning Engineer - Customer Feedback</t>
        </is>
      </c>
      <c r="C171" t="inlineStr">
        <is>
          <t>Apple</t>
        </is>
      </c>
      <c r="D171" t="inlineStr">
        <is>
          <t>linkedin</t>
        </is>
      </c>
      <c r="E171">
        <f>HYPERLINK("https://www.linkedin.com/jobs/view/4371721442", "https://www.linkedin.com/jobs/view/4371721442")</f>
        <v/>
      </c>
      <c r="F171" t="inlineStr"/>
      <c r="G171" t="inlineStr">
        <is>
          <t>Cupertino, CA</t>
        </is>
      </c>
      <c r="H171" t="inlineStr"/>
      <c r="I171" t="inlineStr">
        <is>
          <t>**Summary**
 Join the team responsible for Apple’s Feedback and Beta Programs! Our tools and applications collect user feedback on beta software releases, helping to drive the direction and priorities of Apple’s engineering teams. To make the best use of feedback we receive from customers and developers, we develop and maintain machine learning systems and automated analysis to cluster, annotate, and escalate the millions of reports we receive yearly.
 We are looking for experienced Machine Learning engineers to deploy and tune both traditional ML and generative AI models to enhance our systems’ capability. There are tantalizing problems and products possible with our one\-of\-a\-kind dataset, and plenty of opportunity for a passionate engineer.
**Description**
 Our team is seeking adept machine learning engineers who are excited by creating machine\-learning\-driven user experiences. Work includes implenting high\-performance machine learning models and infrastructure in concert with software engineers, designers, and teams of internal users.
 You will be responsible for full stack ML development in partnership with others on the team. This includes data generation and curation, creating and influencing ML tooling and infrastructure, driving evaluation efforts, and training or fine\-tuning models. You will also be involved in directly integrating ML into internal tools and systems. You will need to rely on your creativity and problem solving to develop scalable, maintainable, and cost\-effective solutions.
 The team values rapid iteration, based on bringing models into reality so stakeholders can play with cutting edge technology and research. To this end you will be engaged with hardware, software, and design teams across Apple; both representing the technology and implementing it into prototypes.
 You will be successful and feel fulfilled in our team if you enjoy tackling challenging problems, have a strong sense of shared ownership, and thrive in a collaborative team setting.
**Minimum Qualifications**
* Industry experience with applied machine learning.
* Industry experience in software engineering, data engineering, or similar.
* Strong fundamentals in problem solving, algorithm design, and model building
* Excellent verbal and written communication and presentation skills
* MS in Computer Science or related experience
**Preferred Qualifications**
* Working knowledge of applied Natural Language Processing.
* Strong hands\-on experience in building large scale ML based solutions or in building and scaling distributed systems.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2">
      <c r="A172" t="inlineStr">
        <is>
          <t>li-4371558682</t>
        </is>
      </c>
      <c r="B172" t="inlineStr">
        <is>
          <t>Machine Learning Engineer</t>
        </is>
      </c>
      <c r="C172" t="inlineStr">
        <is>
          <t>Visa</t>
        </is>
      </c>
      <c r="D172" t="inlineStr">
        <is>
          <t>linkedin</t>
        </is>
      </c>
      <c r="E172">
        <f>HYPERLINK("https://www.linkedin.com/jobs/view/4371558682", "https://www.linkedin.com/jobs/view/4371558682")</f>
        <v/>
      </c>
      <c r="F172" t="inlineStr"/>
      <c r="G172" t="inlineStr">
        <is>
          <t>Foster City, CA</t>
        </is>
      </c>
      <c r="H172" t="inlineStr"/>
      <c r="I172"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
**Job Description**
 With data being the fuel that drives our future \- our strategies, policies, and business successes around data will define our future growth prospects. Unlocking the value available through the innovative use of data on behalf of consumers, businesses, and communities is key to our future. With our ongoing commitment to Visa’s Data Values and the responsible use of data, we at Visa have a bold vision to continue to grow and accelerate our data\-related businesses and capabilities.
 Led by Visa’s Chief Data Officer, the Global Data Office coordinates high\-impact, complex, company\-wide projects related to data business strategy, critical investments, policy development, and marketplace execution. Working closely with Visa’s Chief Privacy Officer, the Technology organization, the wider data community, and the full set of Visa’s global lines of business, the Global Data Office is evolving Visa’s data\-related work with momentum and enthusiasm. Driven by its commitment to trusted use of data, Visa is seeking enthusiastic leaders who are change\-agents and passionate about the future of data around the world.
 The AI/ML Products \&amp; Analytics team is creating the next generation of scalable and responsible AI, ML and Data Innovations and products to solve client and consumer problems. We are a cross\-functional team of data scientists, product managers, AI and data engineers, program managers focused on generating value for the payments ecosystem.
* Responsible for building end to end automated pipeline for AI/ML models including model development, model validation, model refit, model recalibration, model monitoring and model serving etc.
* Work collaboratively with Data Scientists, Data Engineer, Software Engineers, Product Manager and cross\-functional partners to design and deploy AI/ML based solutions and products
* Lead end to\-end deployment and maintenance of machine learning models in production, from concept, design, implementation, to rollout, ensuring the highest quality and performance
* Stay updated on state\-of\-the\-art algorithmic techniques and recognize promising innovations, adapting them to Visa’s unique business and offerings.
* Design, implement, and maintain reliable, high\-performance distributed systems.
 This is a hybrid position. Expectation of days in the office will be confirmed by your Hiring Manager.
 Relocation assistance is not provided for this role.
**Qualifications**
**Basic Qualifications:**
* 2 or more years of work experience with a Bachelor’s Degree or an Advanced Degree (e.g. Masters, MBA, JD, MD, or PhD)
**Preferred Qualifications:**
* 3 or more years of work experience with a Bachelor’s Degree or more than 2 years of work experience with an Advanced Degree (e.g. Masters, MBA, JD, MD)
* Master’s or Advanced Degree in a Quantitative field such as Statistics, Computer Science, Economics, Engineering, or equivalent with analytics expertise in applying statistical solutions to business problems
* 3\+ years of relevant experience in AI/ML model development and deployment with an Advanced Degree
* Experienced with building AI/ML model pipelines and creating robust and scalable AI/ML solutions.
* Advanced programming ability building Machine learning pipelines in Spark, Python, HIVE or Scala, Airflow, github, MLflow that deploy AI models into production
* Exposure to model management and governance practices. Ability to take decisions around model drift to monitor and refine models continuously.
* Working knowledge of Hadoop ecosystem and associated technologies, (For e.g. Apache Spark, MLlib, GraphX, iPython, sci\-kit, Pandas etc.)
* Proficient in advanced data mining and statistical modeling techniques, including Predictive modeling (e.g., binomial and multinomial regression), Classification techniques (e.g.,
* Clustering, Principal Component Analysis, factor analysis), Decision Tree, Transformer model, and LLM, etc.
* Experience working with large scale data ingestion, processing and storage in distributed computing environments / big data platforms (Hadoop) as well as common database systems and value stores (Parquet, Avro, HBase, etc.).
* Familiarity with both common computing environments (e.g., Linux, Shell Scripting) and commonly used IDE’s (Jupiter Notebooks).
* Experience working with AWS for MLOps model development and model implementation is preferred but not required.
* Proficient with office tools excel, word. Familiar with visualization Tools like Tableau, Power BI
* Strong problem\-solving capabilities and ability to quickly propose feasible solutions and effectively communicate strategy and risk mitigation approaches to leadership.
**Additional Information**
**Work Authorization:**
 Permanent Authorization to work in the U.S. is a precondition of employment for this position. Visa will not sponsor applicants for work visas in connection with this position.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137,400\.00 to 193,750\.00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73">
      <c r="A173" t="inlineStr">
        <is>
          <t>li-4372114005</t>
        </is>
      </c>
      <c r="B173" t="inlineStr">
        <is>
          <t>AI/ML Engineer</t>
        </is>
      </c>
      <c r="C173" t="inlineStr">
        <is>
          <t>Air Apps</t>
        </is>
      </c>
      <c r="D173" t="inlineStr">
        <is>
          <t>linkedin</t>
        </is>
      </c>
      <c r="E173">
        <f>HYPERLINK("https://www.linkedin.com/jobs/view/4372114005", "https://www.linkedin.com/jobs/view/4372114005")</f>
        <v/>
      </c>
      <c r="F173">
        <f>HYPERLINK("https://www.wiraa.com/job-description/us9D1FE70064CE7A928ED9E5DE47550CF6?source=Linkedin&amp;urlHash=BIRp", "https://www.wiraa.com/job-description/us9D1FE70064CE7A928ED9E5DE47550CF6?source=Linkedin&amp;urlHash=BIRp")</f>
        <v/>
      </c>
      <c r="G173" t="inlineStr"/>
      <c r="H173" t="inlineStr"/>
      <c r="I173" t="inlineStr">
        <is>
          <t>**About The Company**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**About The Role**
 As an AI/ML Engineer,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
 Please note that this post serves the purpose of enhancing our talent pool while we prepare to launch the official job. As soon as it gets posted, we will get in touch with you.
**Qualifications**
* 3\+ years of experience in AI/ML development, preferably within mobile applications
* Proficiency in Python and machine learning frameworks such as TensorFlow, PyTorch, or equivalent
* Experience with deep learning, natural language processing (NLP), computer vision, and statistical modeling
* Familiarity with cloud\-based ML services like AWS, Google Cloud, or Azure
* Strong understanding of data structures, algorithms, and software engineering best practices
* Experience deploying and maintaining machine learning models in production environments
* Ability to work collaboratively in a remote team environment
* Strong problem\-solving skills and a passion for innovation
**Responsibilities**
* Develop, train, and optimize machine learning models for various mobile app features
* Research and implement state‑of‑the‑art AI techniques to enhance user engagement and application performance
* Collaborate with cross‑functional teams including product managers, engineers, and designers to integrate AI solutions into products
* Design and maintain scalable machine learning pipelines, ensuring efficient deployment and ongoing monitoring
* Analyze large datasets to extract insights and support data‑driven decision\-making processes
* Stay updated with the latest trends and advancements in AI, incorporating best practices into development workflows
* Optimize AI models specifically for mobile environments to ensure high performance and low latency
**Benefits**
* Access to Apple hardware ecosystem for work purposes
* Annual performance bonus
* Comprehensive medical insurance including vision and dental coverage
* Disability insurance covering short\-term and long\-term needs
* 401(k) plan with up to 4% employer contribution
* Opportunity to participate in Air Conference for team collaboration and growth
* Transportation allowance
* Free meals available at the office hub
* Gym membership to support a healthy lifestyle
 Equal Opportunity
 At Air Apps, we are committed to fostering a diverse, inclusive, and equitable workplace. We enthusiastically welcome applicants from all backgrounds, experiences, and perspectives. We believe that varied voices and experiences make us stronger and help us innovate better solutions. We are an equal opportunity employer and do not discriminate based on race, gender, age, religion, sexual orientation, disability, or any other protected characteristic.</t>
        </is>
      </c>
    </row>
    <row r="174">
      <c r="A174" t="inlineStr">
        <is>
          <t>li-4372162885</t>
        </is>
      </c>
      <c r="B174" t="inlineStr">
        <is>
          <t>Artificial Intelligence Machine Learning Engineer 2</t>
        </is>
      </c>
      <c r="C174" t="inlineStr">
        <is>
          <t>Captivation</t>
        </is>
      </c>
      <c r="D174" t="inlineStr">
        <is>
          <t>linkedin</t>
        </is>
      </c>
      <c r="E174">
        <f>HYPERLINK("https://www.linkedin.com/jobs/view/4372162885", "https://www.linkedin.com/jobs/view/4372162885")</f>
        <v/>
      </c>
      <c r="F174" t="inlineStr"/>
      <c r="G174" t="inlineStr">
        <is>
          <t>Annapolis Junction, MD</t>
        </is>
      </c>
      <c r="H174" t="inlineStr"/>
      <c r="I174" t="inlineStr">
        <is>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mid level AI/ML engineer who will be responsible for designing, creating, testing, and productizing AI/ML algorithms to solve business challenges
**Responsibilities**
* Select appropriate data sets
* Perform statistical analysis
* Run machine learning algorithms
* Use results to improve models
* Train and retrain systems when needed
* Experience in working with various ML libraries and packages
* Run standard test and evaluation protocols
* Provide system integration oversight
* Oversee Test and evaluation of AI and ML algorithms through an iterative design process to meet verification and validation requirements
* Research and implement a broad range of AI and ML algorithms and tools
* Design or Select appropriate data and knowledge representation methods
* Recognize software architecture, data modelling, and data structures
* Transform and convert data science prototypes into scalable solutions
* Verify data and model output quality
* Identify differences in data distribution that affect model performance
**Requirements**
 Security Clearance:
* Must currently hold a Top Secret/SCI U.S. Government security clearance with a favorable Polygraph, therefore all candidates must be a U.S. citizen
 Minimum Qualifications:
* Five (5\) years of experience deploying machine learning algorithms is required.
* A Master's or Ph.D. degree in advanced math, artificial intelligence, data science, computer science or deep learning from an accredited college or university is required.
* 5 additional years machine learning experience with a relevant Bachelor's degree may be substituted for a Master's degree.
 Required Skills:
* Demonstrated abilities in software engineering and AI/ML model test and evaluation.
***This position is open for direct hires only. We will not consider candidates from third party staffing/recruiting firms.***
**Benefits**
* Annual Salary: $130,000 \- $270,000 (Depends on the Years of Experience)
* Up to 20% 401k contribution (No Matching Required and Vested from Day 1\)
* Above Market Hourly Rates
* $3,600 HSA Contribution
* 6 Weeks Paid Time Off
* Company Paid Employee Medical/Dental/Vision Insurance/Life Insurance/Short\-Term \&amp; Long\-Term Disability/AD\&amp;D</t>
        </is>
      </c>
    </row>
    <row r="175">
      <c r="A175" t="inlineStr">
        <is>
          <t>li-4364401124</t>
        </is>
      </c>
      <c r="B175" t="inlineStr">
        <is>
          <t>Senior AI/ML Engineer – Agentic AI (Full-Stack) (Remote)</t>
        </is>
      </c>
      <c r="C175" t="inlineStr">
        <is>
          <t>Stage 4 Solutions</t>
        </is>
      </c>
      <c r="D175" t="inlineStr">
        <is>
          <t>linkedin</t>
        </is>
      </c>
      <c r="E175">
        <f>HYPERLINK("https://www.linkedin.com/jobs/view/4364401124", "https://www.linkedin.com/jobs/view/4364401124")</f>
        <v/>
      </c>
      <c r="F175" t="inlineStr"/>
      <c r="G175" t="inlineStr"/>
      <c r="H175" t="inlineStr"/>
      <c r="I175" t="inlineStr">
        <is>
          <t>**Senior AI/ML Engineer – Agentic AI (Full\-Stack)** 
**(Remote)**
 We are seeking a Senior AI/ML Engineer – Agentic AI (Full\-Stack) to join a leading global aerospace company. In this role, you will design and develop scalable agentic AI applications by integrating LLMs, enterprise data platforms, and full\-stack systems to deliver production\-ready AI solutions.
 This is a 12\-month contract (extensions likely), 40\-hour\-per\-week role, and this is a remote role in the US.
 This is a W\-2 role as a Stage 4 Solutions employee. Health benefits and a 401K are offered.
**Requirements**
* Must be a U.S Citizen and should be able to obtain Security Clearance.
* Must have 3\+ years of experience as AI/ML Research Engineers with FULL\-STACK experience
* Experience with Agentic frameworks and building agentic AI applications.
* Strong proficiency in Python and prompt engineering for LLMs.
* Ability to differentiate between data models (e.g., Meta vs. OpenAI) based on project requirements.
* Hands on experience with Natural Language Processing and deploying scalable AI models.
* Deep knowledge technologies (SAP HANA, DB2, SQL Server) and solid SQL expertise.
* Experience building agentic AI or AI assistant style products.
* Prior work with data platforms (EDE, LDW, EDW) or comparable enterprise scale environments.
* Relevant cloud AI or machine learning certifications (e.g., Azure AI Engineer, AWS ML)
* 4\-year degree in Computer Science, Data Science, Systems Engineering, or a related field or equivalent experience.
**Desired Skills**
* Nodejs
* Predictive Modeling
* Knowledge/Experience with Model Context Protocol (MCP)
* Demonstrated ability to thrive in a fast paced, collaborative environment.
 Please submit your resume to our network at http://www.stage4solutions.com/careers/(Please apply to the Senior AI/ML Engineer – Agentic AI (Full\-Stack) (Remote) role).
 Please feel free to forward this opportunity to others who may be interested.
 Stage 4 Solutions is an equal\-opportunity employer. We celebrate diversity and are committed to providing employees with an inclusive environment that is free of discrimination and harassment. All employment decisions are based on the job requirements and candidates’ qualifications, without regard to race, color, religion/belief, national origin, gender identity, age, disability, marital status, genetic information or other applicable legally protected characteristics.
 Compensation: $90 \- $100/hr</t>
        </is>
      </c>
    </row>
    <row r="176">
      <c r="A176" t="inlineStr">
        <is>
          <t>li-4371718536</t>
        </is>
      </c>
      <c r="B176" t="inlineStr">
        <is>
          <t>AIML - Sr Machine Learning Engineer, Responsible AI</t>
        </is>
      </c>
      <c r="C176" t="inlineStr">
        <is>
          <t>Apple</t>
        </is>
      </c>
      <c r="D176" t="inlineStr">
        <is>
          <t>linkedin</t>
        </is>
      </c>
      <c r="E176">
        <f>HYPERLINK("https://www.linkedin.com/jobs/view/4371718536", "https://www.linkedin.com/jobs/view/4371718536")</f>
        <v/>
      </c>
      <c r="F176" t="inlineStr"/>
      <c r="G176" t="inlineStr">
        <is>
          <t>Cupertino, CA</t>
        </is>
      </c>
      <c r="H176" t="inlineStr"/>
      <c r="I176" t="inlineStr">
        <is>
          <t>**Summary**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Apple’s Responsible AI group you will be working on a wide array of new features and research in the generative AI space.
 Our team is currently interested in large generative models for vision and language, with particular interest on Responsible AI, safety, fairness, robustness, explainability, and uncertainty in models.
**Description**
 This role focuses on developing, carrying\-out, interpreting, and communicating pre\- and post\-ship evaluations of the safety of Apple Intelligence features. Both human grading and model\-based auto\-grading are thoughtfully leveraged to power these evaluations. Additionally, this role researches and develops auto\-grading methodology \&amp; infrastructure to benefit ongoing and future Apple Intelligence safety evaluations.
 Producing safety evaluations that uphold Apple’s Responsible AI values requires thoughtful data sampling, creation, and curation for evaluation datasets; high quality, detailed annotations and careful auto\-grading to assess feature performance; and mindful analysis to understand what the evaluation means for the user experience.
 This role heavily draws on applied data science, scientific investigation and interpretation, cross\-functional communication and collaboration, and metrics reporting and presentation.
**Responsibilities**
* Develop metrics for evaluation of safety and fairness risks inherent to generative AI features.
* Design datasets, identify data needs, and work on creative solutions, scaling and expanding data coverage through human and synthetic generation methods.
* Develop auto\-grading technologies and approaches for application in safety evaluations of generative AI features.
* Provide technical direction and expertise to team\-wide initiatives in safety auto\-grading.
* Use and implement data pipelines, and collaborate cross\-functionally to execute end\-to\-end safety evaluations.
* Work with highly\-sensitive content with exposure to offensive and controversial content.
**Minimum Qualifications**
* MS, or PhD in Computer Science, Machine Learning, Statistics, or related fields; or an equivalent qualification acquired through other avenues.
* Experience working with generative models for evaluation and/or product development, and up\-to\-date knowledge of common challenges and failures.
* Strong engineering skills and experience in writing production\-quality code in Python.
* Deep experience in foundation model\-based AI programming (i.e.: using DSPy for optimizing foundation model prompts, for example) and a drive to innovate in this space.
* Experience working with noisy, crowd\-based data labels and human evaluations.
**Preferred Qualifications**
* Experience working in the Responsible AI space.
* Prior scientific research and publication experience.
* Strong organizational and operational skills working with large, multi\-functional, and diverse teams.
* Curiosity about fairness and bias in generative AI systems, and a strong desire to help make the technology more equitable.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7">
      <c r="A177" t="inlineStr">
        <is>
          <t>li-4359311126</t>
        </is>
      </c>
      <c r="B177" t="inlineStr">
        <is>
          <t>Machine Learning Engineer (AI infra)</t>
        </is>
      </c>
      <c r="C177" t="inlineStr">
        <is>
          <t>Shanghai Yanfu Investments Co., Ltd.</t>
        </is>
      </c>
      <c r="D177" t="inlineStr">
        <is>
          <t>linkedin</t>
        </is>
      </c>
      <c r="E177">
        <f>HYPERLINK("https://www.linkedin.com/jobs/view/4359311126", "https://www.linkedin.com/jobs/view/4359311126")</f>
        <v/>
      </c>
      <c r="F177" t="inlineStr"/>
      <c r="G177" t="inlineStr">
        <is>
          <t>California, United States</t>
        </is>
      </c>
      <c r="H177" t="inlineStr"/>
      <c r="I177" t="inlineStr">
        <is>
          <t>Looking for Mandarin speaking talents all over the world. Base in Shanghai, China.
 base地设定在上海，全职和实习皆可，欢迎全球各地优秀的华人加入。
 【关于衍复】
 上海衍复投资管理有限公司成立于2019年，是一家用量化方法从事投资管理的科技公司。
 公司策略团队成员的背景丰富多元：有曾在海外头部对冲基金深耕多年的行家里手、有在美国大学任教后加入业界的学术型专家以及国内外顶级学府毕业后在衍复成长起来的中坚力量；工程团队核心成员均来自清北交复等顶级院校，大部分有一线互联网公司的工作经历，团队具有丰富的技术经验和良好的技术氛围。
 公司致力于通过10\-20年的时间，把衍复打造为投资人广泛认可的头部资管品牌。
 衍复鼓励充分交流合作，我们相信自由开放的文化是优秀的人才发挥创造力的土壤。我们希望每位员工都可以在友善的合作氛围中充分实现自己的职业发展潜力。
 【工作职责】
 1、负责机器学习/深度学习模型的研发，优化和落地，以帮助提升交易信号的表现；
 2、研究前沿算法及优化技术，推动技术迭代与业务创新。
 【任职资格】
 1、本科及以上学历，计算机相关专业，国内外知名高校；
 2、扎实的算法和数理基础，熟悉常用机器学习/深度学习算法(XGBoost/LSTM/Transformer等)；
 3、熟练使用Python/C\+\+，掌握PyTorch/TensorFlow等框架；
 4、具备优秀的业务理解能力和独立解决问题能力，良好的团队合作意识和沟通能力。
 【加分项】
 1、熟悉CUDA，了解主流的并行编程以及性能优化技术；
 2、有模型实际工程优化经验（如训练或推理加速）；
 3、熟悉DeepSpeed, Megatron等并行训练框架；
 4、熟悉Triton, cutlass，能根据业务需要写出高效算子；
 5、熟悉多模态学习、大规模预训练、模态对齐等相关技术。</t>
        </is>
      </c>
    </row>
    <row r="178">
      <c r="A178" t="inlineStr">
        <is>
          <t>li-4371587155</t>
        </is>
      </c>
      <c r="B178" t="inlineStr">
        <is>
          <t>AI/ML Engineer Lead Engineer</t>
        </is>
      </c>
      <c r="C178" t="inlineStr">
        <is>
          <t>GBIT (Global Bridge InfoTech Inc)</t>
        </is>
      </c>
      <c r="D178" t="inlineStr">
        <is>
          <t>linkedin</t>
        </is>
      </c>
      <c r="E178">
        <f>HYPERLINK("https://www.linkedin.com/jobs/view/4371587155", "https://www.linkedin.com/jobs/view/4371587155")</f>
        <v/>
      </c>
      <c r="F178" t="inlineStr"/>
      <c r="G178" t="inlineStr"/>
      <c r="H178" t="inlineStr"/>
      <c r="I178" t="inlineStr">
        <is>
          <t>**AI/ML Engineer Lead Engineer \-FULLTIME WITH CLIENT** 
 REMOTE
 No visa sponsorship available
 We’re hiring a
 **hands\-on AI/ML Lead Engineer** 
 to lead AI\-driven transformation and shape enterprise AI strategy. This role blends architecture, prototyping, and real\-world implementation across GenAI and ML solutions.
**Key Focus:** 
* Design and deliver enterprise AI/ML \&amp; GenAI solutions (LLMs, NLP, computer vision, agentic AI)
* Build PoCs/MVPs and validate new tools, models, and frameworks
* Define AI roadmaps and future\-state architectures
* Integrate AI into enterprise apps and workflows
* Mentor data science and engineering teams
* Partner with product, tech, and business leaders
**What We’re Looking For:** 
* 5\+ years AI/ML architecture \&amp; hands\-on prototyping
* Strong cloud AI experience (AWS/Azure/GCP)
* Recent GenAI \&amp; LLM experience
* Solid data science fundamentals
* Excellent communication \&amp; stakeholder skills
* STEM degree (MBA a plus)
* Ideal for someone who enjoys
 **building, experimenting, and driving AI adoption at scale.**</t>
        </is>
      </c>
    </row>
    <row r="179">
      <c r="A179" t="inlineStr">
        <is>
          <t>li-4371555856</t>
        </is>
      </c>
      <c r="B179" t="inlineStr">
        <is>
          <t>AI/ML Engineer</t>
        </is>
      </c>
      <c r="C179" t="inlineStr">
        <is>
          <t>ConsultNet Technology Services and Solutions</t>
        </is>
      </c>
      <c r="D179" t="inlineStr">
        <is>
          <t>linkedin</t>
        </is>
      </c>
      <c r="E179">
        <f>HYPERLINK("https://www.linkedin.com/jobs/view/4371555856", "https://www.linkedin.com/jobs/view/4371555856")</f>
        <v/>
      </c>
      <c r="F179" t="inlineStr"/>
      <c r="G179" t="inlineStr"/>
      <c r="H179" t="inlineStr"/>
      <c r="I179" t="inlineStr">
        <is>
          <t>We are seeking a Senior AI/ML Engineer to build and deploy production\-ready machine learning and generative AI solutions. This role focuses on developing intelligent systems using LLMs, agent\-based architectures, and scalable MLOps practices.
**Key Responsibilities** 
* Build, deploy, and optimize ML and generative AI solutions in production
* Develop Retrieval Augmented Generation (RAG) pipelines and AI agents
* Implement agent orchestration patterns (MCP, A2A) using LangChain and LangGraph
* Design MLOps pipelines for model training, deployment, monitoring, and feedback loops
* Collaborate with data engineering teams on data pipelines and features
* Mentor junior data scientists and contribute to AI best practices
**Required Experience** 
* 5 years in data science or machine learning
* Strong experience with LLMs, generative AI, and prompt/context engineering
* Hands\-on RAG and vector database experience
* Proficiency in Python, PyTorch and/or TensorFlow
* Solid MLOps experience (CI/CD, model versioning, monitoring)
* Experience deploying models on cloud platforms (AWS, Azure, or GCP)
* Strong communication and stakeholder engagement skills</t>
        </is>
      </c>
    </row>
    <row r="180">
      <c r="A180" t="inlineStr">
        <is>
          <t>li-4371569959</t>
        </is>
      </c>
      <c r="B180" t="inlineStr">
        <is>
          <t>AI Engineer, Entry Level</t>
        </is>
      </c>
      <c r="C180" t="inlineStr">
        <is>
          <t>Jobright.ai</t>
        </is>
      </c>
      <c r="D180" t="inlineStr">
        <is>
          <t>linkedin</t>
        </is>
      </c>
      <c r="E180">
        <f>HYPERLINK("https://www.linkedin.com/jobs/view/4371569959", "https://www.linkedin.com/jobs/view/4371569959")</f>
        <v/>
      </c>
      <c r="F180" t="inlineStr"/>
      <c r="G180" t="inlineStr"/>
      <c r="H180" t="inlineStr"/>
      <c r="I180"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Build and refine autonomous AI agents that interact with complex environments to solve real\-world user problems
* Develop and optimize sophisticated prompt engineering workflows and multi\-agent orchestration frameworks to enhance product capabilities
* Integrate Large Language Models (LLMs) into the Jobright application, ensuring high\-quality, low\-latency, and reliable AI responses
* Work at the intersection of product and engineering to transform user requirements into functional AI\-driven features
* Implement Retrieval\-Augmented Generation (RAG) systems and fine\-tune models to improve the accuracy and context\-awareness of our agents
**Qualification** 
 Required
* Recent graduate or entry\-level professional (0–2 years of experience) with a degree in Computer Science, AI, or a related technical field
* Strong proficiency in Python and experience working with LLM APIs (such as OpenAI, Anthropic, or open\-source models via Hugging Face)
* Practical understanding of agentic workflows, prompt chaining, and the latest trends in generative AI
* Solid software engineering foundations, including a strong grasp of APIs, asynchronous programming, and version control (Git)
* Must live in and be authorized to work in the United States
 Preferred
* Previous internship or personal project experience building AI\-powered applications, chatbots, or autonomous agents
* Familiarity with agent frameworks such as LangChain, AutoGPT, or CrewAI
* Experience with vector databases and semantic search implementation
* Basic understanding of front\-end or full\-stack integration to help bridge the gap between AI logic and user interfaces</t>
        </is>
      </c>
    </row>
    <row r="181">
      <c r="A181" t="inlineStr">
        <is>
          <t>li-4362576635</t>
        </is>
      </c>
      <c r="B181" t="inlineStr">
        <is>
          <t>Robotics Machine Learning Engineer</t>
        </is>
      </c>
      <c r="C181" t="inlineStr">
        <is>
          <t>Persona AI</t>
        </is>
      </c>
      <c r="D181" t="inlineStr">
        <is>
          <t>linkedin</t>
        </is>
      </c>
      <c r="E181">
        <f>HYPERLINK("https://www.linkedin.com/jobs/view/4362576635", "https://www.linkedin.com/jobs/view/4362576635")</f>
        <v/>
      </c>
      <c r="F181">
        <f>HYPERLINK("https://jobs.ashbyhq.com/persona.ai/b66c9614-f6cd-448c-b417-a76ac14e9c1d&amp;urlHash=6Kac", "https://jobs.ashbyhq.com/persona.ai/b66c9614-f6cd-448c-b417-a76ac14e9c1d&amp;urlHash=6Kac")</f>
        <v/>
      </c>
      <c r="G181" t="inlineStr"/>
      <c r="H181" t="inlineStr"/>
      <c r="I181" t="inlineStr">
        <is>
          <t>Persona AI is developing and commercializing rugged, multi\-purpose humanoid robots that perform real work. Persona’s founding team has a decades\-long history in humanoid robotics, bionics, and product development delivering robust hardware that has touched the stars, worked miles below the surface of the ocean, and even roamed Disney Parks. Our mission is focused squarely on shipping beautiful, reliable products at massive scale, while building a customer\-focused team to achieve these aims.
 We're looking for a
 **Machine Learning Engineer** 
 to drive our machine learning strategy. We are primarily interested in candidates who have developed and released products to market, but can be flexible depending on aptitude and energy.
 As one of the inaugural Machine Learning Engineers at Persona, you will have an incredible opportunity to get in at the beginning to shape the design and development of Persona’s humanoid robot.
**Your Role**
* Collaborate on the design and development of the Persona ML software stack and support its application in manipulation, navigation, locomotion, and perception.
* Work with the ML team to craft and execute on a comprehensive plan for the development of machine learning models, keeping up to date with the state of the art in research and development.
* Work with the team to develop, test, and deploy software, machine learning pipelines, and data collection pipelines.
* Monitor and evaluate the performance of models in the real world.
* Collaborate with Universities and other companies.
* Collaborate in attracting, nurturing and growing the machine learning and autonomy teams.
**We're Looking For**
* Courage and grit to tackle some of the hardest problems in embodied AI.
* Enthusiasm for working collaboratively in a high paced team environment.
* 3\+ years of experience in machine learning applied to robotics.
* Experience with deep learning frameworks (Pytorch, JAX, TensorFlow, etc.)
* Experience with cloud computing to develop models, store data, etc. (AWS, Azure, GCP)
* Strong understanding of the state of the art research in robot learning (behavior cloning for manipulation, reinforcement learning for locomotion, world models, etc.).
* Understanding of the challenges of deploying neural network models in the real world.
* Experienced in deploying both traditional and learning based approaches for robotics.
* Capable of writing high quality software.
* Thrive in fast paced and ambiguous environments.
* Strong first principles thinker.
**Preferred Or Bonus Qualifications**
* An advanced degree (Masters or PhD) in computer science, robotics, machine learning, or another related field.
* Published papers at top ML/Robotics conferences (ICML, ICRA, CoRL, RSS, NeurIPS).
* Have deployed robots, collected large amounts of data, and trained large neural networks that work in production environments.
**Why join Persona AI?**
* You'll shape technology that's redefining the possibilities of robotics and human interaction.
* Work alongside passionate teammates who value diversity, creativity, and continuous learning.
* Enjoy full access to advanced prototyping tools, labs, and the freedom to experiment and innovate.
* We offer competitive compensation, excellent benefits, flexible work environment, and equity opportunities.
*Persona AI embraces diversity and equal opportunity in a serious way. We are committed to building a team that represents a variety of backgrounds, perspectives, and skills. We believe the more inclusive we are, the better our work will be.*</t>
        </is>
      </c>
    </row>
    <row r="182">
      <c r="A182" t="inlineStr">
        <is>
          <t>li-4371705909</t>
        </is>
      </c>
      <c r="B182" t="inlineStr">
        <is>
          <t>AI Engineer</t>
        </is>
      </c>
      <c r="C182" t="inlineStr">
        <is>
          <t>JPS Tech Solutions</t>
        </is>
      </c>
      <c r="D182" t="inlineStr">
        <is>
          <t>linkedin</t>
        </is>
      </c>
      <c r="E182">
        <f>HYPERLINK("https://www.linkedin.com/jobs/view/4371705909", "https://www.linkedin.com/jobs/view/4371705909")</f>
        <v/>
      </c>
      <c r="F182" t="inlineStr"/>
      <c r="G182" t="inlineStr">
        <is>
          <t>Cary, NC</t>
        </is>
      </c>
      <c r="H182" t="inlineStr"/>
      <c r="I182" t="inlineStr">
        <is>
          <t>**Job Category:** 
 AI Engineer Python
**Job Type:** 
 Remote
**Job Location:** 
 Cary North Carolina
**Compensation:** 
 Depends on Experience
**W2:** 
 W2\-Contract Only; Kindly note that applications on a C2C basis will not be considered for this role.
**Eligible Visa:** 
 GC GC\-EAD H4 EAD L2S U.S. Citizen (USC)
**Job Description**
**Role Overview:**
 We are seeking a highly experienced AI Engineer to design, develop, and deploy scalable AI and machine learning solutions in production environments. The ideal candidate will have a strong background in building intelligent systems, optimizing models, and integrating AI capabilities into enterprise applications.
**Key Responsibilities**
* Design, develop, and deploy machine learning and deep learning models for real\-world business use cases
* Build and maintain scalable data pipelines and AI\-driven microservices using Python
* Implement model training, evaluation, tuning, and performance optimization techniques
* Integrate AI/ML solutions into enterprise applications through APIs and cloud platforms
* Support MLOps practices including CI/CD pipelines, deployment automation, and production monitoring
* Ensure model reliability, scalability, and performance in production environments
* Collaborate with engineering, data, and business teams to translate requirements into AI solutions
**Required Skills \&amp; Experience**
* 12\+ years of overall experience in software engineering, AI, or machine learning
* Strong expertise in Python, including NumPy, Pandas, and FastAPI
* Hands\-on experience with machine learning and deep learning frameworks such as TensorFlow, PyTorch, or Scikit\-learn
* Proven experience deploying and maintaining ML models in production environments
* Strong understanding of cloud platforms such as AWS, Azure, or GCP
* Experience with Docker, Kubernetes, and containerized deployments
* Solid knowledge of RESTful APIs and microservices architecture
* Experience with MLOps, CI/CD pipelines, and model monitoring
**Preferred Skills**
* Experience with NLP, Large Language Models (LLMs), or Generative AI
* Familiarity with enterprise\-scale, distributed systems and data platforms
 Apply Online
 Your Name \*
 Your Phone Number \*
 Your Email Address \*
 Job id
 What is your current U.S. visa or immigration status? \*
 SelectU.S. Citizen (USC)Lawful Permanent Resident (Green Card holder)H1BF1\-OPT/Stem\-OPT/CPT EADH4\-EADL\-2SGC\-EADOther Valid Visa
 Where are you currently located at? \*
 W2 or C2C \*
 SelectW2C2C
 How many years of total experience do you have? \*
 How many years of relevant experience do you have? \*
 Do you require H1B sponsorship? \*
 YesNo
 Do you require sponsorship? \*
 NoYes – H\-1B transferYes – Green Card sponsorshipYes – Both H\-1B transfer and Green Card sponsorship
 Upload Resume \*
 Δ
 Facebook X LinkedIn WhatsApp</t>
        </is>
      </c>
    </row>
    <row r="183">
      <c r="A183" t="inlineStr">
        <is>
          <t>li-4372214172</t>
        </is>
      </c>
      <c r="B183" t="inlineStr">
        <is>
          <t>Senior AI/ML Engineer</t>
        </is>
      </c>
      <c r="C183" t="inlineStr">
        <is>
          <t>Sigma</t>
        </is>
      </c>
      <c r="D183" t="inlineStr">
        <is>
          <t>linkedin</t>
        </is>
      </c>
      <c r="E183">
        <f>HYPERLINK("https://www.linkedin.com/jobs/view/4372214172", "https://www.linkedin.com/jobs/view/4372214172")</f>
        <v/>
      </c>
      <c r="F183" t="inlineStr"/>
      <c r="G183" t="inlineStr">
        <is>
          <t>New York, NY</t>
        </is>
      </c>
      <c r="H183" t="inlineStr"/>
      <c r="I183"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184">
      <c r="A184" t="inlineStr">
        <is>
          <t>li-4372212334</t>
        </is>
      </c>
      <c r="B184" t="inlineStr">
        <is>
          <t>Director, Principal AI Engineer</t>
        </is>
      </c>
      <c r="C184" t="inlineStr">
        <is>
          <t>Bristol Myers Squibb</t>
        </is>
      </c>
      <c r="D184" t="inlineStr">
        <is>
          <t>linkedin</t>
        </is>
      </c>
      <c r="E184">
        <f>HYPERLINK("https://www.linkedin.com/jobs/view/4372212334", "https://www.linkedin.com/jobs/view/4372212334")</f>
        <v/>
      </c>
      <c r="F184">
        <f>HYPERLINK("https://tnl2.jometer.com/v2/job?jz=5tptp67da721f4e828c7efcbb58e10a29a45bY4ADOAIAAABQ&amp;utm_source=Joveo_LinkedIn+Organic&amp;utm_campaign=Enabling+Functions_Enabling+Function+US&amp;source=jobboard_LinkedIn+Organic_auto&amp;source=LinkedIn_Slots&amp;urlHash=WEJ_", "https://tnl2.jometer.com/v2/job?jz=5tptp67da721f4e828c7efcbb58e10a29a45bY4ADOAIAAABQ&amp;utm_source=Joveo_LinkedIn+Organic&amp;utm_campaign=Enabling+Functions_Enabling+Function+US&amp;source=jobboard_LinkedIn+Organic_auto&amp;source=LinkedIn_Slots&amp;urlHash=WEJ_")</f>
        <v/>
      </c>
      <c r="G184" t="inlineStr">
        <is>
          <t>Seattle, WA</t>
        </is>
      </c>
      <c r="H184" t="inlineStr"/>
      <c r="I184"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**Position Summary**
 As a Principal AI Engineer within Bristol Myers Squibb's AI Accelerator program, you will lead a small, cross\-functional pod to design and deliver generative AI solutions that transform core business processes across Commercialization, R\&amp;D, Manufacturing, and Enabling Functions. You will act as a player\-coach\-spending roughly 60% of your time hands\-on in technical architecture, system and solution design, and building cloud\-native GenAI applications, and 40% leading and developing your team. You will own one to two 12\-week Accelerator projects at a time, shaping project charters, guiding technical decisions, and delivering AI\-powered solutions using modern LLM, ML, and Cloud services and coding agents. Partnering closely with business, product, and technology stakeholders, you will establish reusable patterns, promote responsible AI practices, and help transition successful proofs of concept for scale into impactful, enterprise\-wide solutions.
**Key Responsibilities**
**Lead AI Accelerator Projects**
* Own end\-to\-end delivery of 12\-week AI Accelerator projects, from problem framing and solution design through experimentation and handover.
* Shape use cases, scope, and success metrics in collaboration with business stakeholders, product owners, and the AI Accelerator Hub.
* Manage trade\-offs between experimentation and robustness to keep projects on track and outcome\-focused.
* Ensure smooth transition of successful POCs into Scale phase with functional IT and business teams.
**People Management \&amp; Team Leadership**
* Lead a small, multi\-disciplinary pod of frontend engineers, application/cloud engineers, data scientists, and data engineers.
* Provide coaching, feedback, and technical mentoring to grow skills and foster a high\-performing, inclusive culture.
* Partner with talent acquisition to hire and onboard new team members; onboard and manage staff\-augmentation resources, if needed.
* Establish lightweight, effective ways of working aligned with agile delivery and rapid experimentation.
**Hands\-On GenAI Architecture \&amp; Delivery**
* Act as technical lead and architect for GenAI solutions, driving technical architecture, system design, and solution design for LLM\-based applications and agentic systems.
* Design and implement solutions involving, but not limited to, context engineering, MCP servers, structured and unstructured data retrieval and manipulation, vector search, and multi\-modal inputs (text, tables, images).
* Build and orchestrate agents and tools to integrate enterprise systems and workflows.
* Use coding agents effectively (e.g., Claude Code, Codex/GitHub Copilot\-style tools, Gemini CLI) to accelerate development while maintaining quality.
**Cross\-Functional Collaboration \&amp; Responsible AI**
* Partner with stakeholders across Commercialization, R\&amp;D, Manufacturing, and Enabling Functions.
* Communicate progress, risks, and outcomes clearly to both technical teams and senior leadership.
* Contribute to shared patterns, templates, and components for future accelerator projects.
* Embed responsible AI practices, including basic safety, evaluation, and guardrail considerations in GenAI solutions.
**Qualifications \&amp; Experience**
* Bachelor's degree in Engineering, Science, Business, or a related field.
* 7\+ years of experience in software engineering, data science, or related technology roles with increasing responsibility.
* Proven track record designing and delivering GenAI and traditional software applications.
* Deep expertise in Python; experience with TypeScript and modern frontend development (e.g., React).
* Strong experience with MCP, context engineering, multi\-modal GenAI inputs, and vector databases.
* Hands\-on experience with AWS; familiarity with Azure and/or GCP is a plus.
* Practical experience with Azure OpenAI and AWS Bedrock
* Effective use of coding agents (e.g., Claude Code, Codex, Gemini CLI).
* Comfort with GitHub and DevOps practices
* Experience with Databricks, Terraform/CloudFormation, MLOps, or app observability is a plus.
* Knowledge of and experience in agile ways of working
* Demonstrated people\-management experience leading small engineering/data teams.
* Excellent written and verbal communication skills across technical and executive audiences.
 If you come across a role that intrigues you but doesn't perfectly line up with your resume, we encourage you to apply anyway. You could be one step away from work that will transform your life and career.
**Compensation Overview**
 Madison \- Giralda \- NJ \- US $193,040 \- $233,913
 Princeton \- NJ \- US $193,040 \- $233,913
 Seattle \- WA $212,340 \- $257,304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R1599022 Director, Principal AI Engineer</t>
        </is>
      </c>
    </row>
    <row r="185">
      <c r="A185" t="inlineStr">
        <is>
          <t>li-4371585563</t>
        </is>
      </c>
      <c r="B185" t="inlineStr">
        <is>
          <t>AI Engineer</t>
        </is>
      </c>
      <c r="C185" t="inlineStr">
        <is>
          <t>Piper Companies</t>
        </is>
      </c>
      <c r="D185" t="inlineStr">
        <is>
          <t>linkedin</t>
        </is>
      </c>
      <c r="E185">
        <f>HYPERLINK("https://www.linkedin.com/jobs/view/4371585563", "https://www.linkedin.com/jobs/view/4371585563")</f>
        <v/>
      </c>
      <c r="F185">
        <f>HYPERLINK("https://careers.pipercompanies.com/details/159760/ai_engineer&amp;urlHash=VGFq", "https://careers.pipercompanies.com/details/159760/ai_engineer&amp;urlHash=VGFq")</f>
        <v/>
      </c>
      <c r="G185" t="inlineStr">
        <is>
          <t>Raleigh, NC</t>
        </is>
      </c>
      <c r="H185" t="inlineStr"/>
      <c r="I185" t="inlineStr">
        <is>
          <t>Piper Companies is looking for an
 **AI Engineer** 
 to support a global leader in medical technology. The AI Engineer will be responsible for implementing, managing, and optimizing core components of an enterprise AI platform used to enhance software development workflows. This position is
 **fully remote** 
 .
**Responsibilities of the AI Engineer include:**
* Developing and deploying production\-grade agentic AI solutions
* Creating and maintaining CI/CD pipelines for AI model delivery and updates
* Managing AI workloads in Azure, leveraging cognitive services and cloud\-native tools
* Improving software development efficiency while maintaining regulatory and compliance standards
**Qualifications for the AI Engineer include:**
* 5\+ years of engineering experience with hands\-on deployment of Large Language Models (LLMs)
* Strong background in API design and integration using REST or GraphQL
* Advanced experience working with SQL and NoSQL database technologies
* Deep expertise in machine learning and agentic AI systems
* Remote role; U.S. citizenship required
**Compensation for the AI Engineer includes:**
* $150,000 – $180,000 annual salary range
* Full benefits package including Medical, Dental, Vision, 401(k), PTO, holidays, and required sick leave
 This position becomes open for applicants on
 **2/4/2025** 
 , and applications will be accepted for at least 30 days following the posting date.
**Keywords:** 
 AI Engineer, Artificial Intelligence, LLM Deployment, Digital Health, GraphQL, REST APIs, SQL, NoSQL, Vector Databases, CI/CD, Azure, AKS, Azure ML, Azure OpenAI, Cognitive Services, Terraform, ARM, IaC, DevOps, GitHub, JIRA, AWS, GCP, Docker, Kubernetes, Prometheus, Grafana, Bicep, MLFlow, Prompt Engineering</t>
        </is>
      </c>
    </row>
    <row r="186">
      <c r="A186" t="inlineStr">
        <is>
          <t>li-4372205511</t>
        </is>
      </c>
      <c r="B186" t="inlineStr">
        <is>
          <t>Director, Principal AI Engineer</t>
        </is>
      </c>
      <c r="C186" t="inlineStr">
        <is>
          <t>Bristol Myers Squibb</t>
        </is>
      </c>
      <c r="D186" t="inlineStr">
        <is>
          <t>linkedin</t>
        </is>
      </c>
      <c r="E186">
        <f>HYPERLINK("https://www.linkedin.com/jobs/view/4372205511", "https://www.linkedin.com/jobs/view/4372205511")</f>
        <v/>
      </c>
      <c r="F186" t="inlineStr"/>
      <c r="G186" t="inlineStr">
        <is>
          <t>Princeton, NJ</t>
        </is>
      </c>
      <c r="H186" t="inlineStr"/>
      <c r="I186"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**Position Summary**
 As a Principal AI Engineer within Bristol Myers Squibb's AI Accelerator program, you will lead a small, cross\-functional pod to design and deliver generative AI solutions that transform core business processes across Commercialization, R\&amp;D, Manufacturing, and Enabling Functions. You will act as a player\-coach\-spending roughly 60% of your time hands\-on in technical architecture, system and solution design, and building cloud\-native GenAI applications, and 40% leading and developing your team. You will own one to two 12\-week Accelerator projects at a time, shaping project charters, guiding technical decisions, and delivering AI\-powered solutions using modern LLM, ML, and Cloud services and coding agents. Partnering closely with business, product, and technology stakeholders, you will establish reusable patterns, promote responsible AI practices, and help transition successful proofs of concept for scale into impactful, enterprise\-wide solutions.
**Key Responsibilities**
**Lead AI Accelerator Projects**
* Own end\-to\-end delivery of 12\-week AI Accelerator projects, from problem framing and solution design through experimentation and handover.
* Shape use cases, scope, and success metrics in collaboration with business stakeholders, product owners, and the AI Accelerator Hub.
* Manage trade\-offs between experimentation and robustness to keep projects on track and outcome\-focused.
* Ensure smooth transition of successful POCs into Scale phase with functional IT and business teams.
**People Management \&amp; Team Leadership**
* Lead a small, multi\-disciplinary pod of frontend engineers, application/cloud engineers, data scientists, and data engineers.
* Provide coaching, feedback, and technical mentoring to grow skills and foster a high\-performing, inclusive culture.
* Partner with talent acquisition to hire and onboard new team members; onboard and manage staff\-augmentation resources, if needed.
* Establish lightweight, effective ways of working aligned with agile delivery and rapid experimentation.
**Hands\-On GenAI Architecture \&amp; Delivery**
* Act as technical lead and architect for GenAI solutions, driving technical architecture, system design, and solution design for LLM\-based applications and agentic systems.
* Design and implement solutions involving, but not limited to, context engineering, MCP servers, structured and unstructured data retrieval and manipulation, vector search, and multi\-modal inputs (text, tables, images).
* Build and orchestrate agents and tools to integrate enterprise systems and workflows.
* Use coding agents effectively (e.g., Claude Code, Codex/GitHub Copilot\-style tools, Gemini CLI) to accelerate development while maintaining quality.
**Cross\-Functional Collaboration \&amp; Responsible AI**
* Partner with stakeholders across Commercialization, R\&amp;D, Manufacturing, and Enabling Functions.
* Communicate progress, risks, and outcomes clearly to both technical teams and senior leadership.
* Contribute to shared patterns, templates, and components for future accelerator projects.
* Embed responsible AI practices, including basic safety, evaluation, and guardrail considerations in GenAI solutions.
**Qualifications \&amp; Experience**
* Bachelor's degree in Engineering, Science, Business, or a related field.
* 7\+ years of experience in software engineering, data science, or related technology roles with increasing responsibility.
* Proven track record designing and delivering GenAI and traditional software applications.
* Deep expertise in Python; experience with TypeScript and modern frontend development (e.g., React).
* Strong experience with MCP, context engineering, multi\-modal GenAI inputs, and vector databases.
* Hands\-on experience with AWS; familiarity with Azure and/or GCP is a plus.
* Practical experience with Azure OpenAI and AWS Bedrock
* Effective use of coding agents (e.g., Claude Code, Codex, Gemini CLI).
* Comfort with GitHub and DevOps practices
* Experience with Databricks, Terraform/CloudFormation, MLOps, or app observability is a plus.
* Knowledge of and experience in agile ways of working
* Demonstrated people\-management experience leading small engineering/data teams.
* Excellent written and verbal communication skills across technical and executive audiences.
 If you come across a role that intrigues you but doesn't perfectly line up with your resume, we encourage you to apply anyway. You could be one step away from work that will transform your life and career.
**Compensation Overview**
 Madison \- Giralda \- NJ \- US $193,040 \- $233,913
 Princeton \- NJ \- US $193,040 \- $233,913
 Seattle \- WA $212,340 \- $257,304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R1599022 Director, Principal AI Engineer</t>
        </is>
      </c>
    </row>
    <row r="187">
      <c r="A187" t="inlineStr">
        <is>
          <t>li-4372207503</t>
        </is>
      </c>
      <c r="B187" t="inlineStr">
        <is>
          <t>Director, Principal AI Engineer</t>
        </is>
      </c>
      <c r="C187" t="inlineStr">
        <is>
          <t>Bristol Myers Squibb</t>
        </is>
      </c>
      <c r="D187" t="inlineStr">
        <is>
          <t>linkedin</t>
        </is>
      </c>
      <c r="E187">
        <f>HYPERLINK("https://www.linkedin.com/jobs/view/4372207503", "https://www.linkedin.com/jobs/view/4372207503")</f>
        <v/>
      </c>
      <c r="F187" t="inlineStr"/>
      <c r="G187" t="inlineStr">
        <is>
          <t>Princeton, NJ</t>
        </is>
      </c>
      <c r="H187" t="inlineStr"/>
      <c r="I187"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**Position Summary**
 As a Principal AI Engineer within Bristol Myers Squibb's AI Accelerator program, you will lead a small, cross\-functional pod to design and deliver generative AI solutions that transform core business processes across Commercialization, R\&amp;D, Manufacturing, and Enabling Functions. You will act as a player\-coach\-spending roughly 60% of your time hands\-on in technical architecture, system and solution design, and building cloud\-native GenAI applications, and 40% leading and developing your team. You will own one to two 12\-week Accelerator projects at a time, shaping project charters, guiding technical decisions, and delivering AI\-powered solutions using modern LLM, ML, and Cloud services and coding agents. Partnering closely with business, product, and technology stakeholders, you will establish reusable patterns, promote responsible AI practices, and help transition successful proofs of concept for scale into impactful, enterprise\-wide solutions.
**Key Responsibilities**
**Lead AI Accelerator Projects**
* Own end\-to\-end delivery of 12\-week AI Accelerator projects, from problem framing and solution design through experimentation and handover.
* Shape use cases, scope, and success metrics in collaboration with business stakeholders, product owners, and the AI Accelerator Hub.
* Manage trade\-offs between experimentation and robustness to keep projects on track and outcome\-focused.
* Ensure smooth transition of successful POCs into Scale phase with functional IT and business teams.
**People Management \&amp; Team Leadership**
* Lead a small, multi\-disciplinary pod of frontend engineers, application/cloud engineers, data scientists, and data engineers.
* Provide coaching, feedback, and technical mentoring to grow skills and foster a high\-performing, inclusive culture.
* Partner with talent acquisition to hire and onboard new team members; onboard and manage staff\-augmentation resources, if needed.
* Establish lightweight, effective ways of working aligned with agile delivery and rapid experimentation.
**Hands\-On GenAI Architecture \&amp; Delivery**
* Act as technical lead and architect for GenAI solutions, driving technical architecture, system design, and solution design for LLM\-based applications and agentic systems.
* Design and implement solutions involving, but not limited to, context engineering, MCP servers, structured and unstructured data retrieval and manipulation, vector search, and multi\-modal inputs (text, tables, images).
* Build and orchestrate agents and tools to integrate enterprise systems and workflows.
* Use coding agents effectively (e.g., Claude Code, Codex/GitHub Copilot\-style tools, Gemini CLI) to accelerate development while maintaining quality.
**Cross\-Functional Collaboration \&amp; Responsible AI**
* Partner with stakeholders across Commercialization, R\&amp;D, Manufacturing, and Enabling Functions.
* Communicate progress, risks, and outcomes clearly to both technical teams and senior leadership.
* Contribute to shared patterns, templates, and components for future accelerator projects.
* Embed responsible AI practices, including basic safety, evaluation, and guardrail considerations in GenAI solutions.
**Qualifications \&amp; Experience**
* Bachelor's degree in Engineering, Science, Business, or a related field.
* 7\+ years of experience in software engineering, data science, or related technology roles with increasing responsibility.
* Proven track record designing and delivering GenAI and traditional software applications.
* Deep expertise in Python; experience with TypeScript and modern frontend development (e.g., React).
* Strong experience with MCP, context engineering, multi\-modal GenAI inputs, and vector databases.
* Hands\-on experience with AWS; familiarity with Azure and/or GCP is a plus.
* Practical experience with Azure OpenAI and AWS Bedrock
* Effective use of coding agents (e.g., Claude Code, Codex, Gemini CLI).
* Comfort with GitHub and DevOps practices
* Experience with Databricks, Terraform/CloudFormation, MLOps, or app observability is a plus.
* Knowledge of and experience in agile ways of working
* Demonstrated people\-management experience leading small engineering/data teams.
* Excellent written and verbal communication skills across technical and executive audiences.
 If you come across a role that intrigues you but doesn't perfectly line up with your resume, we encourage you to apply anyway. You could be one step away from work that will transform your life and career.
**Compensation Overview**
 Madison \- Giralda \- NJ \- US $193,040 \- $233,913
 Princeton \- NJ \- US $193,040 \- $233,913
 Seattle \- WA $212,340 \- $257,304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R1599022 Director, Principal AI Engineer</t>
        </is>
      </c>
    </row>
    <row r="188">
      <c r="A188" t="inlineStr">
        <is>
          <t>li-4365410642</t>
        </is>
      </c>
      <c r="B188" t="inlineStr">
        <is>
          <t>Machine Learning Engineer III</t>
        </is>
      </c>
      <c r="C188" t="inlineStr">
        <is>
          <t>Chewy</t>
        </is>
      </c>
      <c r="D188" t="inlineStr">
        <is>
          <t>linkedin</t>
        </is>
      </c>
      <c r="E188">
        <f>HYPERLINK("https://www.linkedin.com/jobs/view/4365410642", "https://www.linkedin.com/jobs/view/4365410642")</f>
        <v/>
      </c>
      <c r="F188">
        <f>HYPERLINK("https://careers.chewy.com/us/en/job/CHINUSR27817EXTERNALENUS/Machine-Learning-Engineer-III?utm_source=linkedin&amp;utm_medium=phenom-feeds?gh_src=o8ua3y1&amp;urlHash=4w60", "https://careers.chewy.com/us/en/job/CHINUSR27817EXTERNALENUS/Machine-Learning-Engineer-III?utm_source=linkedin&amp;utm_medium=phenom-feeds?gh_src=o8ua3y1&amp;urlHash=4w60")</f>
        <v/>
      </c>
      <c r="G188" t="inlineStr">
        <is>
          <t>Boston, MA</t>
        </is>
      </c>
      <c r="H188" t="inlineStr"/>
      <c r="I188" t="inlineStr">
        <is>
          <t>**Job Description**
**Our Opportunity:**
 The Chewy Sponsored Ads team is looking for a
 **Senior Machine Learning Engineer** 
 in
 **Bellevue, WA** 
 to help launch various innovative ads offerings for our sponsored advertisement initiatives. As advertising is a critical component of our e\-commerce ecosystem, this role will help provide a critical revenue stream for the company!
 As a member of our Sponsored Ads development team, you will influence technical strategy across product, search, and discovery, as well as the relevance, ranking, prediction, and auction of a large selection of our sponsored ads offering (both onsite and offsite). You’ll be at the forefront of leading technology business impact, applying machine learning and deep\-learning models that will influence selection, relevance, ranking, click\-through prediction modelling, auction\-dynamics, keywords recommendation, campaign optimization, ads channel performance, ads performance maximization, and wide array of engaging data\-science methodologies (including but not limited to LLMs and generative AI).
 Sponsored Ads composes a win\-win ecosystem for shoppers, brand owners, and Chewy! Our Pet Parent customers are offered a range of alternative options to help them choose and learn about new products, new brands, new promotions, and different price points. Brand owners and advertisers get to showcase their product offerings in the front row for their target audience (proud pet parents) and improve their reach.
 Come be part of the Sponsored Ads team’s impactful journey at Chewy!
**What You'll Do**
* Deploy machine learning and data\-science to simplify shopping experience for pet\-parents, to improve reach and discovery of new products of Chewy vendors and helping build a mutually beneficial ecosystem.
* Directly influence and collaborate with Product and Engineering leaders to evolve solutions using applied science to improve selection, ranking, relevance, deal\-offerings, click through prediction models, dynamic bidding, and auction algorithms for Chewy onsite and offsite advertising solutions.
* Lead new models from ideation to experimentation, and eventually to production delivery to build and improve Chewy products offerings and advance applied science applications.
* Publish research papers in leading ML/AI/Advertising conferences solving problems for scale using innovative modelling.
* Establish high bar on model performance, establish applied\-science implementation standard methodologies and mentoring junior scientists.
* Deploy solutions at Chewy scale improving overall customer engagement and value for Pet Parents.
* Formalizing proposals and communicating verbally and in writing to Chewy Senior Leadership and business customers with varying levels of technical knowledge, educating them about our research, as well as sharing insights and recommendations.
**What You'll Need**
* An advanced degree (M.S., PhD, or equivalent experience) in Operations Research, Statistics, Applied Mathematics, Data Science or related field or proven experience for at least 3 years crafting optimization and machine learning solutions for large scale applications.
* Ability to understand and apply sophisticated mathematics and DS methodologies.
* Experience in building distributed pipeline, tuning, optimizing and evaluation.
* Experience with Sponsored Ads or Advertisement domain.
* Experience with multiple techniques that include Predictive Models (Time Series and Regression), Linear Programming, and Classification, Search, Ranking or large\-scale embeddings.
* Ability to translate complex data sets and research into simple business recommendations.
**Bonus**
* Experience in e\-commerce or retail.
* Prior experience in Advertising systems a huge plus.
* Experience with ML Services in AWS (SageMaker, Personalize) or equivalent.
 The base salary range for this role is $149,000 \- $245,000\.
*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California CPRA Job Applicant Privacy Policy, please click here.</t>
        </is>
      </c>
    </row>
    <row r="189">
      <c r="A189" t="inlineStr">
        <is>
          <t>li-4372203574</t>
        </is>
      </c>
      <c r="B189" t="inlineStr">
        <is>
          <t>Director, Principal AI Engineer</t>
        </is>
      </c>
      <c r="C189" t="inlineStr">
        <is>
          <t>Bristol Myers Squibb</t>
        </is>
      </c>
      <c r="D189" t="inlineStr">
        <is>
          <t>linkedin</t>
        </is>
      </c>
      <c r="E189">
        <f>HYPERLINK("https://www.linkedin.com/jobs/view/4372203574", "https://www.linkedin.com/jobs/view/4372203574")</f>
        <v/>
      </c>
      <c r="F189">
        <f>HYPERLINK("https://tnl2.jometer.com/v2/job?jz=5tptp3037a135e738a7aabc28636cfd2cb492Y4ADOAIAAABQ&amp;utm_source=Joveo_LinkedIn+Organic&amp;utm_campaign=Enabling+Functions_Enabling+Function+US&amp;source=jobboard_LinkedIn+Organic_auto&amp;source=LinkedIn_Slots&amp;urlHash=UMQh", "https://tnl2.jometer.com/v2/job?jz=5tptp3037a135e738a7aabc28636cfd2cb492Y4ADOAIAAABQ&amp;utm_source=Joveo_LinkedIn+Organic&amp;utm_campaign=Enabling+Functions_Enabling+Function+US&amp;source=jobboard_LinkedIn+Organic_auto&amp;source=LinkedIn_Slots&amp;urlHash=UMQh")</f>
        <v/>
      </c>
      <c r="G189" t="inlineStr">
        <is>
          <t>Madison, NJ</t>
        </is>
      </c>
      <c r="H189" t="inlineStr"/>
      <c r="I189"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**Position Summary**
 As a Principal AI Engineer within Bristol Myers Squibb's AI Accelerator program, you will lead a small, cross\-functional pod to design and deliver generative AI solutions that transform core business processes across Commercialization, R\&amp;D, Manufacturing, and Enabling Functions. You will act as a player\-coach\-spending roughly 60% of your time hands\-on in technical architecture, system and solution design, and building cloud\-native GenAI applications, and 40% leading and developing your team. You will own one to two 12\-week Accelerator projects at a time, shaping project charters, guiding technical decisions, and delivering AI\-powered solutions using modern LLM, ML, and Cloud services and coding agents. Partnering closely with business, product, and technology stakeholders, you will establish reusable patterns, promote responsible AI practices, and help transition successful proofs of concept for scale into impactful, enterprise\-wide solutions.
**Key Responsibilities**
**Lead AI Accelerator Projects**
* Own end\-to\-end delivery of 12\-week AI Accelerator projects, from problem framing and solution design through experimentation and handover.
* Shape use cases, scope, and success metrics in collaboration with business stakeholders, product owners, and the AI Accelerator Hub.
* Manage trade\-offs between experimentation and robustness to keep projects on track and outcome\-focused.
* Ensure smooth transition of successful POCs into Scale phase with functional IT and business teams.
**People Management \&amp; Team Leadership**
* Lead a small, multi\-disciplinary pod of frontend engineers, application/cloud engineers, data scientists, and data engineers.
* Provide coaching, feedback, and technical mentoring to grow skills and foster a high\-performing, inclusive culture.
* Partner with talent acquisition to hire and onboard new team members; onboard and manage staff\-augmentation resources, if needed.
* Establish lightweight, effective ways of working aligned with agile delivery and rapid experimentation.
**Hands\-On GenAI Architecture \&amp; Delivery**
* Act as technical lead and architect for GenAI solutions, driving technical architecture, system design, and solution design for LLM\-based applications and agentic systems.
* Design and implement solutions involving, but not limited to, context engineering, MCP servers, structured and unstructured data retrieval and manipulation, vector search, and multi\-modal inputs (text, tables, images).
* Build and orchestrate agents and tools to integrate enterprise systems and workflows.
* Use coding agents effectively (e.g., Claude Code, Codex/GitHub Copilot\-style tools, Gemini CLI) to accelerate development while maintaining quality.
**Cross\-Functional Collaboration \&amp; Responsible AI**
* Partner with stakeholders across Commercialization, R\&amp;D, Manufacturing, and Enabling Functions.
* Communicate progress, risks, and outcomes clearly to both technical teams and senior leadership.
* Contribute to shared patterns, templates, and components for future accelerator projects.
* Embed responsible AI practices, including basic safety, evaluation, and guardrail considerations in GenAI solutions.
**Qualifications \&amp; Experience**
* Bachelor's degree in Engineering, Science, Business, or a related field.
* 7\+ years of experience in software engineering, data science, or related technology roles with increasing responsibility.
* Proven track record designing and delivering GenAI and traditional software applications.
* Deep expertise in Python; experience with TypeScript and modern frontend development (e.g., React).
* Strong experience with MCP, context engineering, multi\-modal GenAI inputs, and vector databases.
* Hands\-on experience with AWS; familiarity with Azure and/or GCP is a plus.
* Practical experience with Azure OpenAI and AWS Bedrock
* Effective use of coding agents (e.g., Claude Code, Codex, Gemini CLI).
* Comfort with GitHub and DevOps practices
* Experience with Databricks, Terraform/CloudFormation, MLOps, or app observability is a plus.
* Knowledge of and experience in agile ways of working
* Demonstrated people\-management experience leading small engineering/data teams.
* Excellent written and verbal communication skills across technical and executive audiences.
 If you come across a role that intrigues you but doesn't perfectly line up with your resume, we encourage you to apply anyway. You could be one step away from work that will transform your life and career.
**Compensation Overview**
 Madison \- Giralda \- NJ \- US $193,040 \- $233,913
 Princeton \- NJ \- US $193,040 \- $233,913
 Seattle \- WA $212,340 \- $257,304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R1599022 Director, Principal AI Engineer</t>
        </is>
      </c>
    </row>
    <row r="190">
      <c r="A190" t="inlineStr">
        <is>
          <t>li-4372207500</t>
        </is>
      </c>
      <c r="B190" t="inlineStr">
        <is>
          <t>Director, Principal AI Engineer</t>
        </is>
      </c>
      <c r="C190" t="inlineStr">
        <is>
          <t>Bristol Myers Squibb</t>
        </is>
      </c>
      <c r="D190" t="inlineStr">
        <is>
          <t>linkedin</t>
        </is>
      </c>
      <c r="E190">
        <f>HYPERLINK("https://www.linkedin.com/jobs/view/4372207500", "https://www.linkedin.com/jobs/view/4372207500")</f>
        <v/>
      </c>
      <c r="F190" t="inlineStr"/>
      <c r="G190" t="inlineStr">
        <is>
          <t>Madison, NJ</t>
        </is>
      </c>
      <c r="H190" t="inlineStr"/>
      <c r="I190"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**Position Summary**
 As a Principal AI Engineer within Bristol Myers Squibb's AI Accelerator program, you will lead a small, cross\-functional pod to design and deliver generative AI solutions that transform core business processes across Commercialization, R\&amp;D, Manufacturing, and Enabling Functions. You will act as a player\-coach\-spending roughly 60% of your time hands\-on in technical architecture, system and solution design, and building cloud\-native GenAI applications, and 40% leading and developing your team. You will own one to two 12\-week Accelerator projects at a time, shaping project charters, guiding technical decisions, and delivering AI\-powered solutions using modern LLM, ML, and Cloud services and coding agents. Partnering closely with business, product, and technology stakeholders, you will establish reusable patterns, promote responsible AI practices, and help transition successful proofs of concept for scale into impactful, enterprise\-wide solutions.
**Key Responsibilities**
**Lead AI Accelerator Projects**
* Own end\-to\-end delivery of 12\-week AI Accelerator projects, from problem framing and solution design through experimentation and handover.
* Shape use cases, scope, and success metrics in collaboration with business stakeholders, product owners, and the AI Accelerator Hub.
* Manage trade\-offs between experimentation and robustness to keep projects on track and outcome\-focused.
* Ensure smooth transition of successful POCs into Scale phase with functional IT and business teams.
**People Management \&amp; Team Leadership**
* Lead a small, multi\-disciplinary pod of frontend engineers, application/cloud engineers, data scientists, and data engineers.
* Provide coaching, feedback, and technical mentoring to grow skills and foster a high\-performing, inclusive culture.
* Partner with talent acquisition to hire and onboard new team members; onboard and manage staff\-augmentation resources, if needed.
* Establish lightweight, effective ways of working aligned with agile delivery and rapid experimentation.
**Hands\-On GenAI Architecture \&amp; Delivery**
* Act as technical lead and architect for GenAI solutions, driving technical architecture, system design, and solution design for LLM\-based applications and agentic systems.
* Design and implement solutions involving, but not limited to, context engineering, MCP servers, structured and unstructured data retrieval and manipulation, vector search, and multi\-modal inputs (text, tables, images).
* Build and orchestrate agents and tools to integrate enterprise systems and workflows.
* Use coding agents effectively (e.g., Claude Code, Codex/GitHub Copilot\-style tools, Gemini CLI) to accelerate development while maintaining quality.
**Cross\-Functional Collaboration \&amp; Responsible AI**
* Partner with stakeholders across Commercialization, R\&amp;D, Manufacturing, and Enabling Functions.
* Communicate progress, risks, and outcomes clearly to both technical teams and senior leadership.
* Contribute to shared patterns, templates, and components for future accelerator projects.
* Embed responsible AI practices, including basic safety, evaluation, and guardrail considerations in GenAI solutions.
**Qualifications \&amp; Experience**
* Bachelor's degree in Engineering, Science, Business, or a related field.
* 7\+ years of experience in software engineering, data science, or related technology roles with increasing responsibility.
* Proven track record designing and delivering GenAI and traditional software applications.
* Deep expertise in Python; experience with TypeScript and modern frontend development (e.g., React).
* Strong experience with MCP, context engineering, multi\-modal GenAI inputs, and vector databases.
* Hands\-on experience with AWS; familiarity with Azure and/or GCP is a plus.
* Practical experience with Azure OpenAI and AWS Bedrock
* Effective use of coding agents (e.g., Claude Code, Codex, Gemini CLI).
* Comfort with GitHub and DevOps practices
* Experience with Databricks, Terraform/CloudFormation, MLOps, or app observability is a plus.
* Knowledge of and experience in agile ways of working
* Demonstrated people\-management experience leading small engineering/data teams.
* Excellent written and verbal communication skills across technical and executive audiences.
 If you come across a role that intrigues you but doesn't perfectly line up with your resume, we encourage you to apply anyway. You could be one step away from work that will transform your life and career.
**Compensation Overview**
 Madison \- Giralda \- NJ \- US $193,040 \- $233,913
 Princeton \- NJ \- US $193,040 \- $233,913
 Seattle \- WA $212,340 \- $257,304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R1599022 Director, Principal AI Engineer</t>
        </is>
      </c>
    </row>
    <row r="191">
      <c r="A191" t="inlineStr">
        <is>
          <t>li-4362547682</t>
        </is>
      </c>
      <c r="B191" t="inlineStr">
        <is>
          <t>Senior Machine Learning Engineer</t>
        </is>
      </c>
      <c r="C191" t="inlineStr">
        <is>
          <t>Autodesk</t>
        </is>
      </c>
      <c r="D191" t="inlineStr">
        <is>
          <t>linkedin</t>
        </is>
      </c>
      <c r="E191">
        <f>HYPERLINK("https://www.linkedin.com/jobs/view/4362547682", "https://www.linkedin.com/jobs/view/4362547682")</f>
        <v/>
      </c>
      <c r="F191" t="inlineStr"/>
      <c r="G191" t="inlineStr">
        <is>
          <t>Georgia, United States</t>
        </is>
      </c>
      <c r="H191" t="inlineStr"/>
      <c r="I191" t="inlineStr">
        <is>
          <t>**Job Requisition ID \#**
 25WD94218
**The Growth Experience Technology Machine Learning Team (GET\-ML) @Autodesk**
 The GET\-ML Team is responsible for delivering Machine Learning Features that transform the customer experience for Sales, Marketing, and Customer Success functions at Autodesk. Our mission is to help customers accomplish their goals through intelligent conversation, search, personalization, and automation, using data, machine learning, and modern NLP techniques to deliver meaningful outcomes at scale.
 One of the team’s major focus areas is the Commerce and Support Assistant (CSA), an LLM\-driven conversational platform that is deployed in production and supports real customer interactions today. Alongside this work, the team is expanding into multi\-agent systems, intelligent orchestration, and other applied machine learning capabilities that extend beyond a single product or interaction pattern. Our work spans conversational question answering, retrieval and ranking, agent\-driven workflows, query routing, evaluation and measurement, and the continuous improvement of ML\-powered systems operating at scale.
 We work in a collaborative and supportive environment that values strong machine learning fundamentals, thoughtful experimentation, and practical impact. Team members partner closely with ML engineers, MLOps, product managers, and business stakeholders, and we encourage continuous learning and discussion about emerging techniques and when they are appropriate to apply.
**Position Overview**
 As a Senior Machine Learning Engineer, you will play a key role in designing, developing, and evolving machine learning systems that support conversational AI, search, multi\-agent solutions, and intelligent automation on Autodesk’s customer platforms. You will work end to end, from data exploration and hypothesis formation through modeling, experimentation, deployment, and iteration on systems used by real customers.
 This role is designed for someone who enjoys working across the full machine learning lifecycle and who is motivated by applying modern techniques, including large language models, in a rigorous and measurable way. While conversational and retrieval\-based systems are an important part of our platform, this role is not limited to assembling existing components. You will have opportunities to adapt and fine\-tune models, explore representation learning and ranking approaches, experiment with agent\-based architectures, and bring new ideas from the rapidly evolving ML landscape into production.
 As a Senior Machine Learning Engineer, you will also help influence technical direction by sharing best practices, mentoring teammates, and contributing to how we design, evaluate, and operate machine learning systems at scale.
 Our team strives for excellence in the theory and practice of Machine Learning. We encourage personal development and knowledge sharing.
 This role is currently open to remote work. Candidates must be located near one of our hub locations to support occasional in\-office collaboration.
**Responsibilities**
* Design and implement machine learning capabilities that improve Autodesk’s customer\-facing platforms, including conversational question answering, search and retrieval, agent\-based workflows, and intelligent automation
* Train, adapt, and improve machine learning models, including classical ML models, deep learning models, and LLM\-based systems, for real\-world production use cases
* Perform statistical analysis and data exploration to generate datasets for model training, experimentation, and evaluation
* Translate business objectives and product requirements into problems that can be addressed using data, statistics, and machine learning
* Collaborate with other members of the team to reach better solutions, and to position our team at the cutting edge of technology and ML practice
* Work closely with engineers, MLOps, and product partners to deploy, monitor, and iterate on ML systems running at scale
* Provide technical leadership and mentorship to less experienced team members, supporting their growth and contributing to a strong team culture
* Contribute to improving evaluation practices, ML tooling, and the overall technical foundations of the team
**Minimum Qualifications**
* MS or PhD in Computer Science, Statistics, Engineering, Economics, or related field. We also welcome applicants from non\-traditional ML backgrounds
* 3\+ years of applicable work experience in ML
* Demonstrated experience applying machine learning techniques, including both classical ML and deep learning approaches, to real\-world problems
* Proficiency with the Python machine learning stack, including tools such as Pandas, NumPy, and Scikit\-learn
* Experience with at least one deep learning framework, such as PyTorch
* Knowledge of experimental design and analysis, including evaluating model performance and interpreting results
* Experience or strong interest in NLP, information retrieval, conversational AI, or LLM\-based systems
* Ability to work effectively in cross\-functional teams and collaborate with engineers, product partners, and other stakeholders
* Experience contributing to or supporting machine learning systems in production environments
**Preferred Qualifications**
* Experience working with Large Language Models, particularly in the context of RAG, conversational systems, question answering, or agent\-based applications
* Exposure to fine\-tuning or adapting LLMs or embedding models for domain\-specific use cases
* Experience with information retrieval, learning\-to\-rank, recommender systems, or other NLP\-driven applications
* Familiarity with search technologies such as OpenSearch, Elasticsearch, Lucene, or Solr
* Experience with data pipelines, model serving, or MLOps practices, especially in cloud environments such as AWS
* Advanced software engineering skills, including data structures, algorithms, and building maintainable production code
**The Ideal Candidate**
* There is no single ideal profile for a candidate for this role. We encourage you to apply if you think you would add to our team’s ability to deliver innovative ML, even if you don’t meet every single criterion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$131,400 and $235,950\.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92">
      <c r="A192" t="inlineStr">
        <is>
          <t>li-4362682147</t>
        </is>
      </c>
      <c r="B192" t="inlineStr">
        <is>
          <t>Senior Machine Learning Engineer</t>
        </is>
      </c>
      <c r="C192" t="inlineStr">
        <is>
          <t>Autodesk</t>
        </is>
      </c>
      <c r="D192" t="inlineStr">
        <is>
          <t>linkedin</t>
        </is>
      </c>
      <c r="E192">
        <f>HYPERLINK("https://www.linkedin.com/jobs/view/4362682147", "https://www.linkedin.com/jobs/view/4362682147")</f>
        <v/>
      </c>
      <c r="F192" t="inlineStr"/>
      <c r="G192" t="inlineStr">
        <is>
          <t>Massachusetts, United States</t>
        </is>
      </c>
      <c r="H192" t="inlineStr"/>
      <c r="I192" t="inlineStr">
        <is>
          <t>**Job Requisition ID \#**
 25WD94218
**The Growth Experience Technology Machine Learning Team (GET\-ML) @Autodesk**
 The GET\-ML Team is responsible for delivering Machine Learning Features that transform the customer experience for Sales, Marketing, and Customer Success functions at Autodesk. Our mission is to help customers accomplish their goals through intelligent conversation, search, personalization, and automation, using data, machine learning, and modern NLP techniques to deliver meaningful outcomes at scale.
 One of the team’s major focus areas is the Commerce and Support Assistant (CSA), an LLM\-driven conversational platform that is deployed in production and supports real customer interactions today. Alongside this work, the team is expanding into multi\-agent systems, intelligent orchestration, and other applied machine learning capabilities that extend beyond a single product or interaction pattern. Our work spans conversational question answering, retrieval and ranking, agent\-driven workflows, query routing, evaluation and measurement, and the continuous improvement of ML\-powered systems operating at scale.
 We work in a collaborative and supportive environment that values strong machine learning fundamentals, thoughtful experimentation, and practical impact. Team members partner closely with ML engineers, MLOps, product managers, and business stakeholders, and we encourage continuous learning and discussion about emerging techniques and when they are appropriate to apply.
**Position Overview**
 As a Senior Machine Learning Engineer, you will play a key role in designing, developing, and evolving machine learning systems that support conversational AI, search, multi\-agent solutions, and intelligent automation on Autodesk’s customer platforms. You will work end to end, from data exploration and hypothesis formation through modeling, experimentation, deployment, and iteration on systems used by real customers.
 This role is designed for someone who enjoys working across the full machine learning lifecycle and who is motivated by applying modern techniques, including large language models, in a rigorous and measurable way. While conversational and retrieval\-based systems are an important part of our platform, this role is not limited to assembling existing components. You will have opportunities to adapt and fine\-tune models, explore representation learning and ranking approaches, experiment with agent\-based architectures, and bring new ideas from the rapidly evolving ML landscape into production.
 As a Senior Machine Learning Engineer, you will also help influence technical direction by sharing best practices, mentoring teammates, and contributing to how we design, evaluate, and operate machine learning systems at scale.
 Our team strives for excellence in the theory and practice of Machine Learning. We encourage personal development and knowledge sharing.
 This role is currently open to remote work. Candidates must be located near one of our hub locations to support occasional in\-office collaboration.
**Responsibilities**
* Design and implement machine learning capabilities that improve Autodesk’s customer\-facing platforms, including conversational question answering, search and retrieval, agent\-based workflows, and intelligent automation
* Train, adapt, and improve machine learning models, including classical ML models, deep learning models, and LLM\-based systems, for real\-world production use cases
* Perform statistical analysis and data exploration to generate datasets for model training, experimentation, and evaluation
* Translate business objectives and product requirements into problems that can be addressed using data, statistics, and machine learning
* Collaborate with other members of the team to reach better solutions, and to position our team at the cutting edge of technology and ML practice
* Work closely with engineers, MLOps, and product partners to deploy, monitor, and iterate on ML systems running at scale
* Provide technical leadership and mentorship to less experienced team members, supporting their growth and contributing to a strong team culture
* Contribute to improving evaluation practices, ML tooling, and the overall technical foundations of the team
**Minimum Qualifications**
* MS or PhD in Computer Science, Statistics, Engineering, Economics, or related field. We also welcome applicants from non\-traditional ML backgrounds
* 3\+ years of applicable work experience in ML
* Demonstrated experience applying machine learning techniques, including both classical ML and deep learning approaches, to real\-world problems
* Proficiency with the Python machine learning stack, including tools such as Pandas, NumPy, and Scikit\-learn
* Experience with at least one deep learning framework, such as PyTorch
* Knowledge of experimental design and analysis, including evaluating model performance and interpreting results
* Experience or strong interest in NLP, information retrieval, conversational AI, or LLM\-based systems
* Ability to work effectively in cross\-functional teams and collaborate with engineers, product partners, and other stakeholders
* Experience contributing to or supporting machine learning systems in production environments
**Preferred Qualifications**
* Experience working with Large Language Models, particularly in the context of RAG, conversational systems, question answering, or agent\-based applications
* Exposure to fine\-tuning or adapting LLMs or embedding models for domain\-specific use cases
* Experience with information retrieval, learning\-to\-rank, recommender systems, or other NLP\-driven applications
* Familiarity with search technologies such as OpenSearch, Elasticsearch, Lucene, or Solr
* Experience with data pipelines, model serving, or MLOps practices, especially in cloud environments such as AWS
* Advanced software engineering skills, including data structures, algorithms, and building maintainable production code
**The Ideal Candidate**
* There is no single ideal profile for a candidate for this role. We encourage you to apply if you think you would add to our team’s ability to deliver innovative ML, even if you don’t meet every single criterion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$131,400 and $235,950\.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93">
      <c r="A193" t="inlineStr">
        <is>
          <t>li-4371599257</t>
        </is>
      </c>
      <c r="B193" t="inlineStr">
        <is>
          <t>Staff Machine Learning Engineer</t>
        </is>
      </c>
      <c r="C193" t="inlineStr">
        <is>
          <t>GEICO</t>
        </is>
      </c>
      <c r="D193" t="inlineStr">
        <is>
          <t>linkedin</t>
        </is>
      </c>
      <c r="E193">
        <f>HYPERLINK("https://www.linkedin.com/jobs/view/4371599257", "https://www.linkedin.com/jobs/view/4371599257")</f>
        <v/>
      </c>
      <c r="F193">
        <f>HYPERLINK("https://click.appcast.io/t/1CMIWbL2E4-rnmkbpgWyDSXHA3ekU5DIlKBesjLtd8c=?source=LinkedIn&amp;urlHash=8CT4", "https://click.appcast.io/t/1CMIWbL2E4-rnmkbpgWyDSXHA3ekU5DIlKBesjLtd8c=?source=LinkedIn&amp;urlHash=8CT4")</f>
        <v/>
      </c>
      <c r="G193" t="inlineStr">
        <is>
          <t>Dallas, TX</t>
        </is>
      </c>
      <c r="H193" t="inlineStr"/>
      <c r="I19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Staff Machine Learning Engineer to help shape how Generative AI enhances customer and associate experiences across the enterprise. This is a hands\-on technical role who will be leading the strategy, architecture, and delivery of ML systems for the Claims organization—designing predictive models, robust data/feature pipelines, and production\-grade MLOps to drive measurable business outcomes.
 You will work alongside engineering teams, data scientists, and product leaders to design, build, and integrate AI\-powered capabilities that automate workflows, improve decision\-making, and elevate user experience. You will contribute to a culture of learning, curiosity, and innovation while growing your expertise in cutting\-edge AI technologies
**About The Role**
* Staff\+ individual contributor role focused on end\-to\-end ML: data and feature engineering, modeling, deployment, monitoring, and continuous improvement.
* Partner with Claims Operations, Product, and Engineering to deliver ML capabilities such as severity/triage predictions, claim outcome forecasting, and automation accelerators.
* GenAI (e.g., LLMs and agentic workflows) may be leveraged where it augments ML systems; strong ML depth is primary.
 What you’ll do
* Work on the ML platform architecture: data/feature pipelines, experiment tracking, model registries, serving layers, offline/online evaluation, and observability.
* Define standards for reliability, performance, cost efficiency, security, governance, and model risk management across ML services.
* Lead design and implementation of models across classical ML and deep learning (e.g., gradient boosted trees, sequence models, Transformers for tabular/time\-series/NLP where relevant).
* Translate business goals into measurable ML objectives and experiment plans; ensure robust offline metrics and real\-world impact.
* Build scalable training and inference pipelines; establish CI/CD for ML, automated evaluations, canary releases, and rollback strategies.
* Implement monitoring for data quality, drift, fairness, latency, reliability, and cost; lead incident response and postmortems.
* Partner with Claims, Product, Data Science, Platform/SRE, Security, and Legal/Compliance to gather requirements, define scope, and prioritize backlogs.
* Maintain pragmatic technical roadmaps balancing business outcomes, release timelines, and engineering excellence.
* Own build\-vs\-buy decisions and tooling/service selection (speed to market, extensibility, TCO); guide platform evolution with clear architectural principles.
* Lead experienced engineers through complex platform implementations; drive system\-wide architectural improvements and reliability practices.
* Mentor engineers and junior tech leads; codify best practices; contribute to internal documentation and promote enterprise\-wide ML standards.
* Where appropriate, collaborate on retrieval\-augmented workflows, prompt/context management, and LLM evaluation and safety guardrails to complement ML systems.
**Minimum Qualifications**
* Bachelor’s degree or above in Computer Science, Engineering, Statistics, or related field.
* 5\+ years of professional software development experience using at least two general\-purpose languages (e.g., Java, C\+\+, Python, C\#).
* 5\+ years architecting, designing, and building multi\-component ML platforms leveraging open\-source/cloud\-agnostic components:
+ Search/vector: ElasticSearch, Qdrant (as applicable to ML features and retrieval)
+ Data warehouse/lakehouse: Snowflake; familiarity with Parquet/Delta/Iceberg
+ Streaming: Kafka; plus Flink/Spark Streaming experience
+ Datastores: PostgreSQL; NoSQL (MongoDB, Cassandra)
+ Distributed compute: Spark, Ray
+ Workflow orchestration: Airflow, Temporal
* 5\+ years managing end\-to\-end SDLC for ML systems: version control, CI/CD, Kubernetes, testing (unit/integration/data/ML eval), monitoring/alerting, production support.
* 5\+ years working with cloud providers (Azure and/or AWS) in production ML contexts.
**Preferred Qualifications (GenAI As a Plus)**
* Experience leveraging or fine\-tuning LLMs (e.g., GPT, Llama, Mistral, Claude) to augment ML workflows, retrieval, or claims\-facing tooling.
* Hands\-on with MLOps tooling: MLflow/Kubeflow, model registries, feature stores (e.g., Feast), experiment tracking, A/B testing and online evaluation frameworks.
* Observability: Prometheus/Grafana, OpenTelemetry; SLO\-driven operations and incident management.
* Model safety, fairness, explainability (e.g., SHAP/LIME), and regulatory compliance; familiarity with model risk management practices.
* Insurance/financial services domain experience: claims automation, fraud detection, risk modeling, subrogation, severity/triage, and regulatory stewardship.
* Experience with high\-throughput, low\-latency inference and real\-time feature pipelines.
**Annual Salary**
 $120,000\.00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4">
      <c r="A194" t="inlineStr">
        <is>
          <t>li-4363238868</t>
        </is>
      </c>
      <c r="B194" t="inlineStr">
        <is>
          <t>Senior Staff Machine Learning Engineer, GAI Search Platform</t>
        </is>
      </c>
      <c r="C194" t="inlineStr">
        <is>
          <t>ChatGPT Jobs</t>
        </is>
      </c>
      <c r="D194" t="inlineStr">
        <is>
          <t>linkedin</t>
        </is>
      </c>
      <c r="E194">
        <f>HYPERLINK("https://www.linkedin.com/jobs/view/4363238868", "https://www.linkedin.com/jobs/view/4363238868")</f>
        <v/>
      </c>
      <c r="F194" t="inlineStr"/>
      <c r="G194" t="inlineStr">
        <is>
          <t>Mountain View, CA</t>
        </is>
      </c>
      <c r="H194" t="inlineStr"/>
      <c r="I194" t="inlineStr">
        <is>
          <t>**Job Description**
 Senior Staff Machine Learning Engineer, GAI Search Platform
**Company:** 
 ServiceNow
**Location:** 
 Mountain View, CA (On\-site, Remote)
**Salary:** 
 $123\.20K \- $169\.20K/yr (Estimated pay)
**Job Type:** 
 Full\-time
**Posted:** 
 14 hours ago
**Job Description:**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**What You Will Do:**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**Qualifications:**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t>
        </is>
      </c>
    </row>
    <row r="195">
      <c r="A195" t="inlineStr">
        <is>
          <t>li-4371594298</t>
        </is>
      </c>
      <c r="B195" t="inlineStr">
        <is>
          <t>Staff Machine Learning Engineer</t>
        </is>
      </c>
      <c r="C195" t="inlineStr">
        <is>
          <t>GEICO</t>
        </is>
      </c>
      <c r="D195" t="inlineStr">
        <is>
          <t>linkedin</t>
        </is>
      </c>
      <c r="E195">
        <f>HYPERLINK("https://www.linkedin.com/jobs/view/4371594298", "https://www.linkedin.com/jobs/view/4371594298")</f>
        <v/>
      </c>
      <c r="F195" t="inlineStr"/>
      <c r="G195" t="inlineStr">
        <is>
          <t>Chevy Chase, MD</t>
        </is>
      </c>
      <c r="H195" t="inlineStr"/>
      <c r="I19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is seeking a Staff Machine Learning Engineer to help shape how Generative AI enhances customer and associate experiences across the enterprise. This is a hands\-on technical role who will be leading the strategy, architecture, and delivery of ML systems for the Claims organization—designing predictive models, robust data/feature pipelines, and production\-grade MLOps to drive measurable business outcomes.
 You will work alongside engineering teams, data scientists, and product leaders to design, build, and integrate AI\-powered capabilities that automate workflows, improve decision\-making, and elevate user experience. You will contribute to a culture of learning, curiosity, and innovation while growing your expertise in cutting\-edge AI technologies
**About The Role**
* Staff\+ individual contributor role focused on end\-to\-end ML: data and feature engineering, modeling, deployment, monitoring, and continuous improvement.
* Partner with Claims Operations, Product, and Engineering to deliver ML capabilities such as severity/triage predictions, claim outcome forecasting, and automation accelerators.
* GenAI (e.g., LLMs and agentic workflows) may be leveraged where it augments ML systems; strong ML depth is primary.
 What you’ll do
* Work on the ML platform architecture: data/feature pipelines, experiment tracking, model registries, serving layers, offline/online evaluation, and observability.
* Define standards for reliability, performance, cost efficiency, security, governance, and model risk management across ML services.
* Lead design and implementation of models across classical ML and deep learning (e.g., gradient boosted trees, sequence models, Transformers for tabular/time\-series/NLP where relevant).
* Translate business goals into measurable ML objectives and experiment plans; ensure robust offline metrics and real\-world impact.
* Build scalable training and inference pipelines; establish CI/CD for ML, automated evaluations, canary releases, and rollback strategies.
* Implement monitoring for data quality, drift, fairness, latency, reliability, and cost; lead incident response and postmortems.
* Partner with Claims, Product, Data Science, Platform/SRE, Security, and Legal/Compliance to gather requirements, define scope, and prioritize backlogs.
* Maintain pragmatic technical roadmaps balancing business outcomes, release timelines, and engineering excellence.
* Own build\-vs\-buy decisions and tooling/service selection (speed to market, extensibility, TCO); guide platform evolution with clear architectural principles.
* Lead experienced engineers through complex platform implementations; drive system\-wide architectural improvements and reliability practices.
* Mentor engineers and junior tech leads; codify best practices; contribute to internal documentation and promote enterprise\-wide ML standards.
* Where appropriate, collaborate on retrieval\-augmented workflows, prompt/context management, and LLM evaluation and safety guardrails to complement ML systems.
**Minimum Qualifications**
* Bachelor’s degree or above in Computer Science, Engineering, Statistics, or related field.
* 5\+ years of professional software development experience using at least two general\-purpose languages (e.g., Java, C\+\+, Python, C\#).
* 5\+ years architecting, designing, and building multi\-component ML platforms leveraging open\-source/cloud\-agnostic components:
+ Search/vector: ElasticSearch, Qdrant (as applicable to ML features and retrieval)
+ Data warehouse/lakehouse: Snowflake; familiarity with Parquet/Delta/Iceberg
+ Streaming: Kafka; plus Flink/Spark Streaming experience
+ Datastores: PostgreSQL; NoSQL (MongoDB, Cassandra)
+ Distributed compute: Spark, Ray
+ Workflow orchestration: Airflow, Temporal
* 5\+ years managing end\-to\-end SDLC for ML systems: version control, CI/CD, Kubernetes, testing (unit/integration/data/ML eval), monitoring/alerting, production support.
* 5\+ years working with cloud providers (Azure and/or AWS) in production ML contexts.
**Preferred Qualifications (GenAI As a Plus)**
* Experience leveraging or fine\-tuning LLMs (e.g., GPT, Llama, Mistral, Claude) to augment ML workflows, retrieval, or claims\-facing tooling.
* Hands\-on with MLOps tooling: MLflow/Kubeflow, model registries, feature stores (e.g., Feast), experiment tracking, A/B testing and online evaluation frameworks.
* Observability: Prometheus/Grafana, OpenTelemetry; SLO\-driven operations and incident management.
* Model safety, fairness, explainability (e.g., SHAP/LIME), and regulatory compliance; familiarity with model risk management practices.
* Insurance/financial services domain experience: claims automation, fraud detection, risk modeling, subrogation, severity/triage, and regulatory stewardship.
* Experience with high\-throughput, low\-latency inference and real\-time feature pipelines.
**Annual Salary**
 $120,000\.00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6">
      <c r="A196" t="inlineStr">
        <is>
          <t>li-4371719331</t>
        </is>
      </c>
      <c r="B196" t="inlineStr">
        <is>
          <t>entry level Java Spring boot developer/ML/AI engineer</t>
        </is>
      </c>
      <c r="C196" t="inlineStr">
        <is>
          <t>SynergisticIT</t>
        </is>
      </c>
      <c r="D196" t="inlineStr">
        <is>
          <t>linkedin</t>
        </is>
      </c>
      <c r="E196">
        <f>HYPERLINK("https://www.linkedin.com/jobs/view/4371719331", "https://www.linkedin.com/jobs/view/4371719331")</f>
        <v/>
      </c>
      <c r="F196" t="inlineStr"/>
      <c r="G196" t="inlineStr">
        <is>
          <t>Seattle, WA</t>
        </is>
      </c>
      <c r="H196" t="inlineStr"/>
      <c r="I196" t="inlineStr">
        <is>
          <t>**No Interviews and No offers? Let’s Change That with SynergisticIT** 
 Since 2010, we’ve helped thousands of candidates land full\-time jobs at tech leaders like
 **Google, Apple, PayPal, Visa, Western Union, Wells Fargo, Intel, Paypal, JPMC, Wayfair, BOA, CITI and hundreds more** 
 with
 **Job offers of $95k to $154k.** 
 Synergisticit focuses on closing the gap between your tech skills and what employers want now.
**You’re not alone—and you’re not the problem.** 
 The reality? Most CS grads struggle to land interviews because their resumes look just like everyone else’s. Employers want more than a diploma—they want proven, practical skills, real\-world tools, and candidates who are ready to perform from day one.
 That’s exactly what
 **SynergisticIT** 
 delivers.
 Currently, We are looking for
 **entry\-level software programmers, Java Full stack developers, Python/Java developers, Data analysts/Data Engineers/ Data Scientists, Machine Learning engineers** 
 for full time positions with clients.
*Note: Internships, freelance, or personal projects will not be considered toward experience requirements.* 
 If you submit your resume, please be advised it may be entered into a central database shared by our JOPP team (our placement program). You may unsubscribe if you receive emails.
 We Focus on
 **Java /Full stack/Devops and Data Science /Data Engineers/Data analysts/BI Analysts/ Machine learning/AI candidates**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**We assist in filing for STEM extension and also for H1b and Green card filing to Candidates** 
**Please check the below links:** 
* **SynergisticIT USA Today Article**
* **Videos of Synergisticit At OCW, JAVAONE, GARTNER SUMMIT**
* **please read our blogs:**
**Why do Tech Companies not Hire recent Computer Science Graduates \| SynergisticIT** 
**Technical Skills or Experience? \| Which one is important to get a Job? \| SynergisticIT** 
**Backend vs. Full Stack Development: Job Prospects \| SynergisticIT** 
**What Recruiters Look for in Junior Developers \| SynergisticIT** 
**Software engineering or Data Science as a career?** 
**How OPT Students Can Land Tech Jobs – SynergisticIT** 
**Is AI Going to Replace Software Programmers? \| SynergisticIT** 
**All visa types and U.S. citizens are encouraged to apply.** 
 See It. Believe It. Become It.
 Don’t let a lack of interviews stall your career. Let’s give hiring managers exactly what they’re looking for—and then some.
 You’ve already done the hard part. Now, let’s get you hired.
***Please note: Resume databases are shared with clients and interested clients will reach out directly if they find a qualified candidate for their req.***
***Resume submissions may be shared with our JOPP team database also. Please unsubscribe if contacted or if you don’t want to be contacted please don’t submit your resume.***</t>
        </is>
      </c>
    </row>
    <row r="197">
      <c r="A197" t="inlineStr">
        <is>
          <t>li-4371588830</t>
        </is>
      </c>
      <c r="B197" t="inlineStr">
        <is>
          <t>AI Engineer / Artificial Intelligence</t>
        </is>
      </c>
      <c r="C197" t="inlineStr">
        <is>
          <t>Jobs via Dice</t>
        </is>
      </c>
      <c r="D197" t="inlineStr">
        <is>
          <t>linkedin</t>
        </is>
      </c>
      <c r="E197">
        <f>HYPERLINK("https://www.linkedin.com/jobs/view/4371588830", "https://www.linkedin.com/jobs/view/4371588830")</f>
        <v/>
      </c>
      <c r="F197" t="inlineStr"/>
      <c r="G197" t="inlineStr">
        <is>
          <t>Mountain View, CA</t>
        </is>
      </c>
      <c r="H197" t="inlineStr"/>
      <c r="I197" t="inlineStr">
        <is>
          <t>Dice is the leading career destination for tech experts at every stage of their careers. Our client, JC CORPORATIONS, is seeking the following. Apply via Dice today!
**Job Description:**
* In this role, you will design and execute high\-impact AI solutions for a wide range of customer applications
* Design, build, and deploy generative AI systems tailored to meet customer missions
* Develop end\-to\-end AI solutions, including problem definition, data preparations, model development, performance evaluation, and deployment
* Continuously optimize the performance of models and systems through iterative improvements
* Collaborate with Program Managers, Subject Matter Experts, Architects, Product Designers, and Data Scientists to translate customer needs into scalable, mission\-ready AI solutions
* Conduct research and create prototypes to explore emerging AI technologies and innovative applications
* Demonstrate excellence in Data Science and AI engineering, mentor juniors, and foster innovation</t>
        </is>
      </c>
    </row>
    <row r="198">
      <c r="A198" t="inlineStr">
        <is>
          <t>li-4365428109</t>
        </is>
      </c>
      <c r="B198" t="inlineStr">
        <is>
          <t>AI Engineer, Senior</t>
        </is>
      </c>
      <c r="C198" t="inlineStr">
        <is>
          <t>Booz Allen Hamilton</t>
        </is>
      </c>
      <c r="D198" t="inlineStr">
        <is>
          <t>linkedin</t>
        </is>
      </c>
      <c r="E198">
        <f>HYPERLINK("https://www.linkedin.com/jobs/view/4365428109", "https://www.linkedin.com/jobs/view/4365428109")</f>
        <v/>
      </c>
      <c r="F198" t="inlineStr"/>
      <c r="G198" t="inlineStr">
        <is>
          <t>Bethesda, MD</t>
        </is>
      </c>
      <c r="H198" t="inlineStr"/>
      <c r="I198" t="inlineStr">
        <is>
          <t>**Job Number: R0232601**
 AI Engineer, Senior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transforming the federal government with AI. As an AI Engineer on our national security team, you’ll build agentic systems, fine tune models, build RL environments, and make AI a reality for our clients.
 In this role, you’ll contribute to the direction of mission\-critical solutions by applying best\-fit AI models and technologies. You’ll grow within a large community of AI engineers across the company and collaborate with product teams, data engineers, and government stakeholders to deliver world\-class solutions to build agentic systems. Your skills and technical experience will help your clients navigate the landscape of AI algorithms, tools, and frameworks.
 Join us. The world can’t wait.
**You Have:**
* Experience leading technical teams in the development of enterprise or government AI or ML systems
* Experience engaging with non\-technical leadership teams to communicate technical content and build requirements
* Experience working with LLMs or Generative AI systems
* Knowledge of AI frameworks, supporting tools, and design patterns such as LangGraph, MCP, or A2A
* Knowledge of a scripting language
* Ability to map AI solutions onto customer problems
* Public Trust
* Bachelor's degree in a Technology field such as Computer Science or Statistics
**Nice If You Have:**
* Experience training generative AI systems
* Experience deploying generative AI systems into production environments
* Knowledge of Python
* Ability to translate general user requirements into actionable tasks
* Master's degree in a Technology field preferred
* Cloud Certifications, such as AWS Certified AI Practitioner Certification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99">
      <c r="A199" t="inlineStr">
        <is>
          <t>li-4371594709</t>
        </is>
      </c>
      <c r="B199" t="inlineStr">
        <is>
          <t>AI/ML Engineer</t>
        </is>
      </c>
      <c r="C199" t="inlineStr">
        <is>
          <t>Jobs via Dice</t>
        </is>
      </c>
      <c r="D199" t="inlineStr">
        <is>
          <t>linkedin</t>
        </is>
      </c>
      <c r="E199">
        <f>HYPERLINK("https://www.linkedin.com/jobs/view/4371594709", "https://www.linkedin.com/jobs/view/4371594709")</f>
        <v/>
      </c>
      <c r="F199" t="inlineStr"/>
      <c r="G199" t="inlineStr">
        <is>
          <t>District of Columbia, United States</t>
        </is>
      </c>
      <c r="H199" t="inlineStr"/>
      <c r="I199" t="inlineStr">
        <is>
          <t>job summary:
 Working with a Randstad client in the heart of Washington, D.C., you will serve as a pivotal bridge between cutting\-edge research and production\-grade software. This role is designed for a systems\-thinking leader who can navigate the entire lifecycle of artificial intelligence\-from architecting sophisticated neural networks and fine\-tuning Large Language Models (LLMs) to engineering the MLOps pipelines that keep them running. You will not only build the models but also own the platform enablement within Databricks, ensuring that AI solutions are scalable, secure, and deeply integrated into business operations. As a senior member of the technical team, you will champion software engineering best practices, mentor junior talent, and translate complex business challenges into high\-impact, user\-facing AI applications.
 location: Washington, Washington, D.C.
 job type: Contract
 salary: $75 \- 85 per hour
 work hours: 9am to 5pm
 education: Bachelors
 responsibilities:
**End\-to\-End Model Development:** 
 Design, implement, and optimize a diverse range of models including regression, time\-series forecasting, and deep learning architectures (CNNs, RNNs, LSTMs).
**Generative AI Innovation:** 
 Lead the integration of LLMs and foundation models using advanced techniques like LoRA and PEFT, while balancing performance, cost, and safety.
**Platform \&amp; MLOps Orchestration:** 
 Drive Databricks adoption and automate model lifecycles using Docker, FastAPI, and serverless functions to build secure, scalable endpoints.
**Full\-Stack AI Tooling:** 
 Create intuitive, user\-facing interfaces for AI tools using Streamlit and standard front\-end technologies (HTML/CSS/JavaScript).
**Systems Architecture:** 
 Apply a holistic mindset to technical problems, ensuring data quality, infrastructure stability, and seamless downstream application integration.
**Leadership \&amp; Mentorship:** 
 Act as a technical subject matter expert to mentor junior engineers and collaborate with cross\-functional teams to improve AI governance and business adoption.
 qualifications:
 Advanced Python Programming: Mastery of Python and its core data ecosystem, including pandas, polars, NumPy, scikit\-learn, and PyTorch.
 GenAI Expertise: Proven experience in prompt engineering, fine\-tuning foundation models, and evaluating LLM latency and performance.
 Cloud \&amp; Modern DevStack: Hands\-on experience with AWS or Azure, version control (Git), and containerization (Docker).
 Data Engineering \&amp; Visualization: Proficiency in advanced data cleaning, feature engineering, and storytelling through visualization libraries like Seaborn.
 Software Best Practices: Strong background in "Modern Code" development using VSCode, JupyterLab, and CI/CD principles.
 Platform Knowledge: Deep technical expertise in Databricks, including its AutoML and model automation capabilities.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00">
      <c r="A200" t="inlineStr">
        <is>
          <t>li-4270318682</t>
        </is>
      </c>
      <c r="B200" t="inlineStr">
        <is>
          <t>Staff R&amp;D AI Engineer</t>
        </is>
      </c>
      <c r="C200" t="inlineStr">
        <is>
          <t>webAI</t>
        </is>
      </c>
      <c r="D200" t="inlineStr">
        <is>
          <t>linkedin</t>
        </is>
      </c>
      <c r="E200">
        <f>HYPERLINK("https://www.linkedin.com/jobs/view/4270318682", "https://www.linkedin.com/jobs/view/4270318682")</f>
        <v/>
      </c>
      <c r="F200">
        <f>HYPERLINK("https://jobs.ashbyhq.com/webAI/1d9ed4ce-ba8e-4f49-891e-ba74621ec3bc?source=linkedin&amp;urlHash=_4Vg", "https://jobs.ashbyhq.com/webAI/1d9ed4ce-ba8e-4f49-891e-ba74621ec3bc?source=linkedin&amp;urlHash=_4Vg")</f>
        <v/>
      </c>
      <c r="G200" t="inlineStr">
        <is>
          <t>Austin, Texas Metropolitan Area</t>
        </is>
      </c>
      <c r="H200" t="inlineStr"/>
      <c r="I200" t="inlineStr">
        <is>
          <t>**About Us:**
 We are establishing the first distributed Al infrastructure dedicated to personalized Al. The evolving needs of a data\-driven society are demanding scalability and flexibility. We believe that the future of Al is distributed and enables real\-time data processing at the edge, closer to where data is generated. We are building a future where a company's data and IP remains private and it's possible to bring large models directly to consumer hardware without removing information from the model.
**Role Overview:**
 As a Staff R\&amp;D AI Engineer, you will lead the development of cutting\-edge AI systems that bridge computer vision, natural language understanding, and action learning. You'll architect and implement Vision\-Language\-Action (VLA) models, advance reinforcement learning applications, and push the boundaries of multimodal AI integration. This role combines deep expertise in both computer vision and large language models with hands\-on experience in reinforcement learning to create intelligent systems that can understand, reason about, and interact with complex environments. You'll drive research initiatives, mentor technical teams, and translate breakthrough AI research into practical applications across diverse domains.
**Key Responsibilities:**
* Design and develop Vision\-Language\-Action (VLA) models that integrate visual perception, natural language understanding, and action prediction
* Architect and implement reinforcement learning systems for sequential decision\-making, including policy learning and skill acquisition
* Build and optimize computer vision pipelines for perception tasks, including object detection, segmentation, tracking, and scene understanding
* Develop and fine\-tune large language models for instruction following, reasoning, and task planning applications
* Implement RLHF (Reinforcement Learning from Human Feedback) systems to improve model alignment and safety
* Create multimodal training pipelines that leverage synthetic and real\-world data for robust model performance
* Research and prototype novel AI architectures that combine vision, language, and action learning
* Collaborate with engineering teams to integrate AI models into applications and validate performance across domains
* Optimize model inference performance for real\-time applications across edge and cloud deployments
* Lead technical initiatives, mentor junior AI engineers, and establish best practices for AI model development
* Stay current with latest research in VLA models, multimodal AI, and robotics to drive innovation roadmap
* Present findings at conferences and publish research to advance the field
**Qualifications \&amp; Skills:**
* 7\+ years of experience in AI/ML engineering with 4\+ years focusing on deep learning and neural network development
* Strong understanding of reinforcement learning algorithms and their applications (PPO, SAC, TD3, etc.)
* Strong expertise in both computer vision and natural language processing with hands\-on model development experience
* Proficiency in PyTorch and/or TensorFlow with experience training and deploying large\-scale models
* Experience with transformer architectures, attention mechanisms, and large language model fine\-tuning
* Hands\-on experience with computer vision tasks including object detection, semantic segmentation, and visual tracking
* Strong programming skills in Python with experience in distributed training and model optimization
* Understanding of sequential decision\-making and control systems fundamentals
* Experience with MLOps practices including model versioning, monitoring, and deployment pipelines
* Proven ability to work independently on complex research problems and deliver practical solutions
* Strong communication skills and experience collaborating with cross\-functional engineering teams
**Preferred Qualifications:**
* PhD in Computer Science, Robotics, AI/ML, or related field with focus on multimodal learning or robotics
* Direct experience developing or working with Vision\-Language\-Action (VLA) models or similar multimodal architectures
* Experience with RLHF implementation and human feedback integration for model alignment
* Background in imitation learning, inverse reinforcement learning, or learning from demonstrations
* Experience with real\-world system deployment and sim\-to\-real transfer techniques
* Knowledge of 3D computer vision, spatial reasoning, or multi\-modal perception systems
* Experience with distributed training frameworks (DeepSpeed, FairScale, Horovod) and large\-scale model training
* Familiarity with edge AI deployment and model optimization techniques (quantization, pruning, distillation)
* Experience with embodied AI research or projects involving agent\-environment interaction
* Published research in top\-tier AI/ML conferences (NeurIPS, ICML, ICLR, CoRL, etc.)
* Open\-source contributions to major AI/ML frameworks or robotics projects
* Startup experience with ability to rapidly prototype and iterate on AI solutions
* Experience with cloud platforms (AWS, GCP, Azure) and containerization technologies
* Background in safety\-critical AI systems or AI alignment research
 We at webAI are committed to living out the
 **core values** 
 we have put in place as the foundation on which we operate as a team. We seek individuals who exemplify the following:
* Truth \- Emphasizing transparency and honesty in every interaction and decision.
* Ownership \- Taking full responsibility for one’s actions and decisions, demonstrating commitment to the success of our clients.
* Tenacity \- Persisting in the face of challenges and setbacks, continually striving for excellence and improvement.
* Humility \- Maintaining a respectful and learning\-oriented mindset, acknowledging the strengths and contributions of others.
**Benefits:**
* Competitive salary and performance\-based incentives.
* Comprehensive health, dental, and vision benefits package.
* $200/mos Health and Wellness Stipend
* $400/year Continuing Education Credit
* Flexible work week
* Free parking, for in\-office employees
* Unlimited PTO
* Parental, Bereavement Leave
* Supplemental Life Insurance
 webAI is an Equal Opportunity Employer and does not discriminate against any employee or applicant on the basis of age, ancestry, color, family or medical care leave, gender identity or expression, genetic information, marital status, medical condition, national origin, physical or mental disability, protected veteran status, race, religion, sex (including pregnancy), sexual orientation, or any other characteristic protected by applicable laws, regulations and ordinances. We adhere to these principles in all aspects of employment, including recruitment, hiring, training, compensation, promotion, benefits, social and recreational programs, and discipline. In addition, it is the policy of webAI to provide reasonable accommodation to qualified employees who have protected disabilities to the extent required by applicable laws, regulations and ordinances where a particular employee works.</t>
        </is>
      </c>
    </row>
    <row r="201">
      <c r="A201" t="inlineStr">
        <is>
          <t>li-4371703006</t>
        </is>
      </c>
      <c r="B201" t="inlineStr">
        <is>
          <t>AI Engineer</t>
        </is>
      </c>
      <c r="C201" t="inlineStr">
        <is>
          <t>Jobs via Dice</t>
        </is>
      </c>
      <c r="D201" t="inlineStr">
        <is>
          <t>linkedin</t>
        </is>
      </c>
      <c r="E201">
        <f>HYPERLINK("https://www.linkedin.com/jobs/view/4371703006", "https://www.linkedin.com/jobs/view/4371703006")</f>
        <v/>
      </c>
      <c r="F201" t="inlineStr"/>
      <c r="G201" t="inlineStr"/>
      <c r="H201" t="inlineStr"/>
      <c r="I201" t="inlineStr">
        <is>
          <t>Dice is the leading career destination for tech experts at every stage of their careers. Our client, SESHENG LLC, is seeking the following. Apply via Dice today!
**AI Engineer**
**Location:** 
 Remote (EST/CST)
**Rate: $55\-60/hr on 1099 or C2C**
**Duration: 6Months\+**
 We’re looking for a highly skilled
 **Backend Engineer / AI Integration Engineer** 
 to build high‑performance APIs, develop scalable cloud‑native services on
 **Microsoft Azure** 
 , and integrate emerging AI capabilities across the enterprise. You will work across backend engineering, distributed systems, Azure cloud services, LLM‑powered automation, and low‑code solution design.
**What You’ll Do**
* Build scalable, high‑performance backend APIs using Python (FastAPI or similar).
* Design and operate distributed backend systems with a focus on reliability and performance.
* Deploy and manage cloud‑native applications using Azure Functions, AKS, App Services, and API Management.
* Implement enterprise AI solutions using Microsoft Foundry, Copilot Studio, and Azure OpenAI.
* Design intelligent, automated workflows that integrate with Microsoft Fabric, Graph APIs, and enterprise data sources.
* Contribute to low code prompting and solution design using Power Platform or other low‑code tools.
* Collaborate with architects and product teams to design secure, scalable, governed solutions.
**Nice to Have**
* SQL \+ relational database experience (PostgreSQL, SQL Server, MySQL).
* GitHub expertise for CI/CD, branching, and workflow automation.
* Docker/Podman experience building and securing containerized microservices.
**Who You Are**
* Strong Python backend engineer with cloud architecture skills.
* Comfortable working across AI integration, backend services, and automation workflows.
* Fast learner who thrives in modern AI‑driven engineering environments.</t>
        </is>
      </c>
    </row>
    <row r="202">
      <c r="A202" t="inlineStr">
        <is>
          <t>li-4371703588</t>
        </is>
      </c>
      <c r="B202" t="inlineStr">
        <is>
          <t>junior java Software developer/ AI engineer</t>
        </is>
      </c>
      <c r="C202" t="inlineStr">
        <is>
          <t>SynergisticIT</t>
        </is>
      </c>
      <c r="D202" t="inlineStr">
        <is>
          <t>linkedin</t>
        </is>
      </c>
      <c r="E202">
        <f>HYPERLINK("https://www.linkedin.com/jobs/view/4371703588", "https://www.linkedin.com/jobs/view/4371703588")</f>
        <v/>
      </c>
      <c r="F202" t="inlineStr"/>
      <c r="G202" t="inlineStr">
        <is>
          <t>Irvine, CA</t>
        </is>
      </c>
      <c r="H202" t="inlineStr"/>
      <c r="I202" t="inlineStr">
        <is>
          <t>**1000’s of Application and No Interviews or Job offers? Let’s Change That.**
 If you’ve been unemployed for over 3\-6\+ months, you’re not alone—and you’re not out of options. The tech industry is competitive, and having a career gap can make it harder to get callbacks. But at
 **SynergisticIT** 
 , we specialize in helping candidates like you
 **regain momentum, rebuild confidence, and get hired.** 
 Why You’re Being Overlooked—and How We Can Help
 Many employers today don’t just want a degree—they’re looking for
 **job\-ready developers with hands\-on experience, relevant certifications, and up\-to\-date skills** 
 in today’s tech stack. Unfortunately, most CS grads don’t get that in college.
 Since 2010, we’ve helped thousands of candidates land full\-time jobs at tech leaders like
 **Google, Apple, PayPal, Visa, Western Union, Wells Fargo, Intel, Paypal, JPMC, Wayfair, BOA, CITI and hundreds more** 
 with
 **Job offers of $95k to $154k.** 
 Synergisticit focuses on closing the gap between your tech skills and what employers want now.
 Currently, We are looking for
 **entry\-level software programmers, Java Full stack developers, Python/Java developers, Data analysts/Data Engineers/ Data Scientists, Machine Learning engineers** 
 for full time positions with clients.
*Note: Internships, freelance, or personal projects will not be considered toward experience requirements.* 
 If you submit your resume, please be advised it may be entered into a central database shared by our JOPP team (our placement program). You may unsubscribe if you receive emails.
 We Focus on
 **Java /Full stack/Devops and Data Science /Data Engineers/Data analysts/BI Analysts/ Machine learning/AI candidates** 
**Ideal Candidates:** 
* **Recent grads in CS, Engineering, Math, or Statistics with limited or no job experience**
* **Jobseekers who had layoffs due to Downsizing and want to get in demand tech stack**
* **Professionals seeking a career switch to tech**
* **Candidates with career gaps or lacking real\-world experience**
* **Individuals looking to boost their skill portfolio for better job prospects**
* **Computer Science grads with limited or no job experience**
* **Students who recently finished their Bachelor’s or Master’s programs**
* **Those struggling to land interviews despite having experience**
* **Candidates on F1/OPT needing a job for STEM extension or H\-1B filing**
**We assist in filing for STEM extension and also for H1b and Green card filing to Candidates** 
**Please check the below links:** 
* **SynergisticIT USA Today Article**
* **Videos of Synergisticit At OCW, JAVAONE, GARTNER SUMMIT**
* **please read our blogs:**
**Why do Tech Companies not Hire recent Computer Science Graduates \| SynergisticIT** 
**Technical Skills or Experience? \| Which one is important to get a Job? \| SynergisticIT** 
**Backend vs. Full Stack Development: Job Prospects \| SynergisticIT** 
**What Recruiters Look for in Junior Developers \| SynergisticIT** 
**Software engineering or Data Science as a career?** 
**Is AI Going to Replace Software Programmers? \| SynergisticIT** 
**Stop waiting for the phone to ring.** 
 Let’s start your tech career—together.
***Please note: Resume databases are shared with clients and interested clients will reach out directly if they find a qualified candidate for their req.***
***Resume submissions may be shared with our JOPP team database also. Please unsubscribe if contacted or if you don’t want to be contacted please don’t submit your resume.***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2026-02-13T04:03:22Z</dcterms:created>
  <dcterms:modified xsi:type="dcterms:W3CDTF">2026-02-13T04:03:23Z</dcterms:modified>
</cp:coreProperties>
</file>