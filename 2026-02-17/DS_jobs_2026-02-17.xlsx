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4"/>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in-d4597831ef6fee4b</t>
        </is>
      </c>
      <c r="B2" t="inlineStr">
        <is>
          <t>Sr. Applied Scientist, Amazon Ads</t>
        </is>
      </c>
      <c r="C2" t="inlineStr">
        <is>
          <t>Amazon.com</t>
        </is>
      </c>
      <c r="D2" t="inlineStr">
        <is>
          <t>indeed</t>
        </is>
      </c>
      <c r="E2" t="inlineStr"/>
      <c r="F2" t="inlineStr"/>
      <c r="G2" t="inlineStr">
        <is>
          <t>Palo Alto, CA, US</t>
        </is>
      </c>
      <c r="H2" s="1" t="n">
        <v>45998</v>
      </c>
      <c r="I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
      <c r="A3" t="inlineStr">
        <is>
          <t>in-2c009fdab5dcd7c2</t>
        </is>
      </c>
      <c r="B3" t="inlineStr">
        <is>
          <t>Sr. Applied Scientist, Amazon Ads</t>
        </is>
      </c>
      <c r="C3" t="inlineStr">
        <is>
          <t>Amazon.com</t>
        </is>
      </c>
      <c r="D3" t="inlineStr">
        <is>
          <t>indeed</t>
        </is>
      </c>
      <c r="E3" t="inlineStr"/>
      <c r="F3" t="inlineStr"/>
      <c r="G3" t="inlineStr">
        <is>
          <t>Tukwila, WA, US</t>
        </is>
      </c>
      <c r="H3" s="1" t="n">
        <v>45998</v>
      </c>
      <c r="I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
      <c r="A4" t="inlineStr">
        <is>
          <t>in-0213348a1ba8cf4f</t>
        </is>
      </c>
      <c r="B4" t="inlineStr">
        <is>
          <t>Sr. Applied Scientist, Amazon Ads</t>
        </is>
      </c>
      <c r="C4" t="inlineStr">
        <is>
          <t>Amazon.com</t>
        </is>
      </c>
      <c r="D4" t="inlineStr">
        <is>
          <t>indeed</t>
        </is>
      </c>
      <c r="E4" t="inlineStr"/>
      <c r="F4" t="inlineStr"/>
      <c r="G4" t="inlineStr">
        <is>
          <t>Seattle, WA, US</t>
        </is>
      </c>
      <c r="H4" s="1" t="n">
        <v>45998</v>
      </c>
      <c r="I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
      <c r="A5" t="inlineStr">
        <is>
          <t>in-7b54c502f750622c</t>
        </is>
      </c>
      <c r="B5" t="inlineStr">
        <is>
          <t>Sr. Applied Scientist, Amazon Ads</t>
        </is>
      </c>
      <c r="C5" t="inlineStr">
        <is>
          <t>Amazon.com</t>
        </is>
      </c>
      <c r="D5" t="inlineStr">
        <is>
          <t>indeed</t>
        </is>
      </c>
      <c r="E5" t="inlineStr"/>
      <c r="F5" t="inlineStr"/>
      <c r="G5" t="inlineStr">
        <is>
          <t>Brooklyn, NY, US</t>
        </is>
      </c>
      <c r="H5" s="1" t="n">
        <v>45998</v>
      </c>
      <c r="I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
      <c r="A6" t="inlineStr">
        <is>
          <t>in-be93f3288cdb10a3</t>
        </is>
      </c>
      <c r="B6" t="inlineStr">
        <is>
          <t>Sr. Applied Scientist, Amazon Ads</t>
        </is>
      </c>
      <c r="C6" t="inlineStr">
        <is>
          <t>Amazon.com</t>
        </is>
      </c>
      <c r="D6" t="inlineStr">
        <is>
          <t>indeed</t>
        </is>
      </c>
      <c r="E6" t="inlineStr"/>
      <c r="F6" t="inlineStr"/>
      <c r="G6" t="inlineStr">
        <is>
          <t>Santa Monica, CA, US</t>
        </is>
      </c>
      <c r="H6" s="1" t="n">
        <v>45998</v>
      </c>
      <c r="I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
      <c r="A7" t="inlineStr">
        <is>
          <t>in-b1d86b5b07ae072d</t>
        </is>
      </c>
      <c r="B7" t="inlineStr">
        <is>
          <t>Sr. Applied Scientist, Amazon Ads</t>
        </is>
      </c>
      <c r="C7" t="inlineStr">
        <is>
          <t>Amazon.com</t>
        </is>
      </c>
      <c r="D7" t="inlineStr">
        <is>
          <t>indeed</t>
        </is>
      </c>
      <c r="E7" t="inlineStr"/>
      <c r="F7" t="inlineStr"/>
      <c r="G7" t="inlineStr">
        <is>
          <t>Corvallis, OR, US</t>
        </is>
      </c>
      <c r="H7" s="1" t="n">
        <v>45998</v>
      </c>
      <c r="I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
      <c r="A8" t="inlineStr">
        <is>
          <t>in-99553db6f5002305</t>
        </is>
      </c>
      <c r="B8" t="inlineStr">
        <is>
          <t>Sr. Applied Scientist, Amazon Ads</t>
        </is>
      </c>
      <c r="C8" t="inlineStr">
        <is>
          <t>Amazon.com</t>
        </is>
      </c>
      <c r="D8" t="inlineStr">
        <is>
          <t>indeed</t>
        </is>
      </c>
      <c r="E8" t="inlineStr"/>
      <c r="F8" t="inlineStr"/>
      <c r="G8" t="inlineStr">
        <is>
          <t>Sunnyvale, CA, US</t>
        </is>
      </c>
      <c r="H8" s="1" t="n">
        <v>45998</v>
      </c>
      <c r="I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
      <c r="A9" t="inlineStr">
        <is>
          <t>in-7d3299501027bb14</t>
        </is>
      </c>
      <c r="B9" t="inlineStr">
        <is>
          <t>Sr. Applied Scientist, Amazon Ads</t>
        </is>
      </c>
      <c r="C9" t="inlineStr">
        <is>
          <t>Amazon.com</t>
        </is>
      </c>
      <c r="D9" t="inlineStr">
        <is>
          <t>indeed</t>
        </is>
      </c>
      <c r="E9" t="inlineStr"/>
      <c r="F9" t="inlineStr"/>
      <c r="G9" t="inlineStr">
        <is>
          <t>Boulder, CO, US</t>
        </is>
      </c>
      <c r="H9" s="1" t="n">
        <v>45998</v>
      </c>
      <c r="I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
      <c r="A10" t="inlineStr">
        <is>
          <t>in-f2a6884af458cd7c</t>
        </is>
      </c>
      <c r="B10" t="inlineStr">
        <is>
          <t>Sr. Applied Scientist, Amazon Ads</t>
        </is>
      </c>
      <c r="C10" t="inlineStr">
        <is>
          <t>Amazon.com</t>
        </is>
      </c>
      <c r="D10" t="inlineStr">
        <is>
          <t>indeed</t>
        </is>
      </c>
      <c r="E10" t="inlineStr"/>
      <c r="F10" t="inlineStr"/>
      <c r="G10" t="inlineStr">
        <is>
          <t>New York, NY, US</t>
        </is>
      </c>
      <c r="H10" s="1" t="n">
        <v>45998</v>
      </c>
      <c r="I1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1">
      <c r="A11" t="inlineStr">
        <is>
          <t>in-d1ce32eaea6c4d91</t>
        </is>
      </c>
      <c r="B11" t="inlineStr">
        <is>
          <t>Sr. Applied Scientist, Amazon Ads</t>
        </is>
      </c>
      <c r="C11" t="inlineStr">
        <is>
          <t>Amazon.com</t>
        </is>
      </c>
      <c r="D11" t="inlineStr">
        <is>
          <t>indeed</t>
        </is>
      </c>
      <c r="E11" t="inlineStr"/>
      <c r="F11" t="inlineStr"/>
      <c r="G11" t="inlineStr">
        <is>
          <t>Boston, MA, US</t>
        </is>
      </c>
      <c r="H11" s="1" t="n">
        <v>45998</v>
      </c>
      <c r="I1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
      <c r="A12" t="inlineStr">
        <is>
          <t>in-31e7c307dc11bf88</t>
        </is>
      </c>
      <c r="B12" t="inlineStr">
        <is>
          <t>Sr. Applied Scientist, SPB Advertiser Guidance</t>
        </is>
      </c>
      <c r="C12" t="inlineStr">
        <is>
          <t>Amazon.com</t>
        </is>
      </c>
      <c r="D12" t="inlineStr">
        <is>
          <t>indeed</t>
        </is>
      </c>
      <c r="E12" t="inlineStr"/>
      <c r="F12" t="inlineStr"/>
      <c r="G12" t="inlineStr">
        <is>
          <t>New York, NY, US</t>
        </is>
      </c>
      <c r="H12" s="1" t="n">
        <v>45939</v>
      </c>
      <c r="I1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in-f5808def7f55a454</t>
        </is>
      </c>
      <c r="B13" t="inlineStr">
        <is>
          <t>Applied Scientist</t>
        </is>
      </c>
      <c r="C13" t="inlineStr">
        <is>
          <t>Amazon.com</t>
        </is>
      </c>
      <c r="D13" t="inlineStr">
        <is>
          <t>indeed</t>
        </is>
      </c>
      <c r="E13" t="inlineStr"/>
      <c r="F13" t="inlineStr"/>
      <c r="G13" t="inlineStr">
        <is>
          <t>New York, NY, US</t>
        </is>
      </c>
      <c r="H13" s="1" t="n">
        <v>45939</v>
      </c>
      <c r="I1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in-4907485b76674f61</t>
        </is>
      </c>
      <c r="B14" t="inlineStr">
        <is>
          <t>Sr. Applied Scientist, SPB Advertiser Guidance</t>
        </is>
      </c>
      <c r="C14" t="inlineStr">
        <is>
          <t>Amazon.com</t>
        </is>
      </c>
      <c r="D14" t="inlineStr">
        <is>
          <t>indeed</t>
        </is>
      </c>
      <c r="E14" t="inlineStr"/>
      <c r="F14" t="inlineStr"/>
      <c r="G14" t="inlineStr">
        <is>
          <t>Palo Alto, CA, US</t>
        </is>
      </c>
      <c r="H14" s="1" t="n">
        <v>45939</v>
      </c>
      <c r="I1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in-395c31e97fd54a9d</t>
        </is>
      </c>
      <c r="B15" t="inlineStr">
        <is>
          <t>Applied Scientist</t>
        </is>
      </c>
      <c r="C15" t="inlineStr">
        <is>
          <t>Amazon.com</t>
        </is>
      </c>
      <c r="D15" t="inlineStr">
        <is>
          <t>indeed</t>
        </is>
      </c>
      <c r="E15" t="inlineStr"/>
      <c r="F15" t="inlineStr"/>
      <c r="G15" t="inlineStr">
        <is>
          <t>Seattle, WA, US</t>
        </is>
      </c>
      <c r="H15" s="1" t="n">
        <v>45939</v>
      </c>
      <c r="I1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in-2aa3ab980dada3f7</t>
        </is>
      </c>
      <c r="B16" t="inlineStr">
        <is>
          <t>Sr. Applied Scientist, SPB Advertiser Guidance</t>
        </is>
      </c>
      <c r="C16" t="inlineStr">
        <is>
          <t>Amazon.com</t>
        </is>
      </c>
      <c r="D16" t="inlineStr">
        <is>
          <t>indeed</t>
        </is>
      </c>
      <c r="E16" t="inlineStr"/>
      <c r="F16" t="inlineStr"/>
      <c r="G16" t="inlineStr">
        <is>
          <t>Seattle, WA, US</t>
        </is>
      </c>
      <c r="H16" s="1" t="n">
        <v>45939</v>
      </c>
      <c r="I1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in-0502822a7929a83c</t>
        </is>
      </c>
      <c r="B17" t="inlineStr">
        <is>
          <t>Applied Scientist</t>
        </is>
      </c>
      <c r="C17" t="inlineStr">
        <is>
          <t>Amazon.com</t>
        </is>
      </c>
      <c r="D17" t="inlineStr">
        <is>
          <t>indeed</t>
        </is>
      </c>
      <c r="E17" t="inlineStr"/>
      <c r="F17" t="inlineStr"/>
      <c r="G17" t="inlineStr">
        <is>
          <t>Palo Alto, CA, US</t>
        </is>
      </c>
      <c r="H17" s="1" t="n">
        <v>45939</v>
      </c>
      <c r="I1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in-b88aae801851fd57</t>
        </is>
      </c>
      <c r="B18" t="inlineStr">
        <is>
          <t>Applied Scientist II, Prime Video - Personalization and Discovery Science, Personalization and Discovery Science</t>
        </is>
      </c>
      <c r="C18" t="inlineStr">
        <is>
          <t>Amazon.com</t>
        </is>
      </c>
      <c r="D18" t="inlineStr">
        <is>
          <t>indeed</t>
        </is>
      </c>
      <c r="E18" t="inlineStr"/>
      <c r="F18" t="inlineStr"/>
      <c r="G18" t="inlineStr">
        <is>
          <t>New York, NY, US</t>
        </is>
      </c>
      <c r="H18" s="1" t="n">
        <v>45930</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in-41f1543583cb3e55</t>
        </is>
      </c>
      <c r="B19" t="inlineStr">
        <is>
          <t>Applied Scientist II, Prime Video - Personalization and Discovery Science, Personalization and Discovery Science</t>
        </is>
      </c>
      <c r="C19" t="inlineStr">
        <is>
          <t>Amazon.com</t>
        </is>
      </c>
      <c r="D19" t="inlineStr">
        <is>
          <t>indeed</t>
        </is>
      </c>
      <c r="E19" t="inlineStr"/>
      <c r="F19" t="inlineStr"/>
      <c r="G19" t="inlineStr">
        <is>
          <t>Sunnyvale, CA, US</t>
        </is>
      </c>
      <c r="H19" s="1" t="n">
        <v>45930</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in-1869376af139a1d0</t>
        </is>
      </c>
      <c r="B20" t="inlineStr">
        <is>
          <t>Applied Scientist II, Prime Video - Personalization and Discovery Science, Personalization and Discovery Science</t>
        </is>
      </c>
      <c r="C20" t="inlineStr">
        <is>
          <t>Amazon.com</t>
        </is>
      </c>
      <c r="D20" t="inlineStr">
        <is>
          <t>indeed</t>
        </is>
      </c>
      <c r="E20" t="inlineStr"/>
      <c r="F20" t="inlineStr"/>
      <c r="G20" t="inlineStr">
        <is>
          <t>Seattle, WA, US</t>
        </is>
      </c>
      <c r="H20" s="1" t="n">
        <v>45930</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in-6bc014124ea9ca42</t>
        </is>
      </c>
      <c r="B21" t="inlineStr">
        <is>
          <t>Applied Scientist II, Prime Video - Personalization and Discovery Science</t>
        </is>
      </c>
      <c r="C21" t="inlineStr">
        <is>
          <t>Amazon.com</t>
        </is>
      </c>
      <c r="D21" t="inlineStr">
        <is>
          <t>indeed</t>
        </is>
      </c>
      <c r="E21" t="inlineStr"/>
      <c r="F21" t="inlineStr"/>
      <c r="G21" t="inlineStr">
        <is>
          <t>New York, NY, US</t>
        </is>
      </c>
      <c r="H21" s="1" t="n">
        <v>45881</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in-86def11c5c61994e</t>
        </is>
      </c>
      <c r="B22" t="inlineStr">
        <is>
          <t>Sr. Applied Scientist, Prime Video - Personalization and Discovery Science</t>
        </is>
      </c>
      <c r="C22" t="inlineStr">
        <is>
          <t>Amazon.com</t>
        </is>
      </c>
      <c r="D22" t="inlineStr">
        <is>
          <t>indeed</t>
        </is>
      </c>
      <c r="E22" t="inlineStr"/>
      <c r="F22" t="inlineStr"/>
      <c r="G22" t="inlineStr">
        <is>
          <t>Seattle, WA, US</t>
        </is>
      </c>
      <c r="H22" s="1" t="n">
        <v>45881</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in-f421826614f133f0</t>
        </is>
      </c>
      <c r="B23" t="inlineStr">
        <is>
          <t>Applied Scientist II, Prime Video - Personalization and Discovery Science</t>
        </is>
      </c>
      <c r="C23" t="inlineStr">
        <is>
          <t>Amazon.com</t>
        </is>
      </c>
      <c r="D23" t="inlineStr">
        <is>
          <t>indeed</t>
        </is>
      </c>
      <c r="E23" t="inlineStr"/>
      <c r="F23" t="inlineStr"/>
      <c r="G23" t="inlineStr">
        <is>
          <t>Sunnyvale, CA, US</t>
        </is>
      </c>
      <c r="H23" s="1" t="n">
        <v>45881</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in-f27bc33d343f4903</t>
        </is>
      </c>
      <c r="B24" t="inlineStr">
        <is>
          <t>Applied Scientist II, Prime Video - Personalization and Discovery Science</t>
        </is>
      </c>
      <c r="C24" t="inlineStr">
        <is>
          <t>Amazon.com</t>
        </is>
      </c>
      <c r="D24" t="inlineStr">
        <is>
          <t>indeed</t>
        </is>
      </c>
      <c r="E24" t="inlineStr"/>
      <c r="F24" t="inlineStr"/>
      <c r="G24" t="inlineStr">
        <is>
          <t>Seattle, WA, US</t>
        </is>
      </c>
      <c r="H24" s="1" t="n">
        <v>45881</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in-f72dc11f6c3be348</t>
        </is>
      </c>
      <c r="B25" t="inlineStr">
        <is>
          <t>Sr. Applied Scientist, Prime Video - Personalization and Discovery Science</t>
        </is>
      </c>
      <c r="C25" t="inlineStr">
        <is>
          <t>Amazon.com</t>
        </is>
      </c>
      <c r="D25" t="inlineStr">
        <is>
          <t>indeed</t>
        </is>
      </c>
      <c r="E25" t="inlineStr"/>
      <c r="F25" t="inlineStr"/>
      <c r="G25" t="inlineStr">
        <is>
          <t>Sunnyvale, CA, US</t>
        </is>
      </c>
      <c r="H25" s="1" t="n">
        <v>45881</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in-2d755f929fa4fdb7</t>
        </is>
      </c>
      <c r="B26" t="inlineStr">
        <is>
          <t>Sr. Applied Scientist, Prime Video - Personalization and Discovery Science</t>
        </is>
      </c>
      <c r="C26" t="inlineStr">
        <is>
          <t>Amazon.com</t>
        </is>
      </c>
      <c r="D26" t="inlineStr">
        <is>
          <t>indeed</t>
        </is>
      </c>
      <c r="E26" t="inlineStr"/>
      <c r="F26" t="inlineStr"/>
      <c r="G26" t="inlineStr">
        <is>
          <t>New York, NY, US</t>
        </is>
      </c>
      <c r="H26" s="1" t="n">
        <v>45881</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in-004e6955d622ae85</t>
        </is>
      </c>
      <c r="B27" t="inlineStr">
        <is>
          <t>Data Scientist, AWS Infrastructure Services Science</t>
        </is>
      </c>
      <c r="C27" t="inlineStr">
        <is>
          <t>Amazon.com</t>
        </is>
      </c>
      <c r="D27" t="inlineStr">
        <is>
          <t>indeed</t>
        </is>
      </c>
      <c r="E27" t="inlineStr"/>
      <c r="F27" t="inlineStr"/>
      <c r="G27" t="inlineStr">
        <is>
          <t>Seattle, WA, US</t>
        </is>
      </c>
      <c r="H27" s="1" t="n">
        <v>46065</v>
      </c>
      <c r="I27"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28">
      <c r="A28" t="inlineStr">
        <is>
          <t>in-48d8e10169c96c2d</t>
        </is>
      </c>
      <c r="B28" t="inlineStr">
        <is>
          <t>Data Scientist, AWS Infrastructure Services Science</t>
        </is>
      </c>
      <c r="C28" t="inlineStr">
        <is>
          <t>Amazon.com</t>
        </is>
      </c>
      <c r="D28" t="inlineStr">
        <is>
          <t>indeed</t>
        </is>
      </c>
      <c r="E28" t="inlineStr"/>
      <c r="F28" t="inlineStr"/>
      <c r="G28" t="inlineStr">
        <is>
          <t>Herndon, VA, US</t>
        </is>
      </c>
      <c r="H28" s="1" t="n">
        <v>46065</v>
      </c>
      <c r="I28"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29">
      <c r="A29" t="inlineStr">
        <is>
          <t>in-bb5f7db95c6565ad</t>
        </is>
      </c>
      <c r="B29" t="inlineStr">
        <is>
          <t>Data Scientist - Computer Vision, Data &amp; Machine Learning (DML)</t>
        </is>
      </c>
      <c r="C29" t="inlineStr">
        <is>
          <t>Amazon Web Services</t>
        </is>
      </c>
      <c r="D29" t="inlineStr">
        <is>
          <t>indeed</t>
        </is>
      </c>
      <c r="E29" t="inlineStr"/>
      <c r="F29" t="inlineStr"/>
      <c r="G29" t="inlineStr">
        <is>
          <t>Arlington, VA, US</t>
        </is>
      </c>
      <c r="H29" s="1" t="n">
        <v>46051</v>
      </c>
      <c r="I29"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 Exploring the data and brainstorming and prioritizing ideas for model development
* Implementing new features in our sizable code base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Experience with AWS services including S3, Redshift, Sagemaker, EMR, Kinesis, Lambda, and EC2
* Current, active US Government Security Clearance of Top Secret or above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effectively communicating complex concepts through written and verbal communication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30">
      <c r="A30" t="inlineStr">
        <is>
          <t>in-d95689f557b8014a</t>
        </is>
      </c>
      <c r="B30" t="inlineStr">
        <is>
          <t>Data Scientist - Computer Vision, Data &amp; Machine Learning (DML)</t>
        </is>
      </c>
      <c r="C30" t="inlineStr">
        <is>
          <t>Amazon Web Services</t>
        </is>
      </c>
      <c r="D30" t="inlineStr">
        <is>
          <t>indeed</t>
        </is>
      </c>
      <c r="E30" t="inlineStr"/>
      <c r="F30" t="inlineStr"/>
      <c r="G30" t="inlineStr">
        <is>
          <t>Herndon, VA, US</t>
        </is>
      </c>
      <c r="H30" s="1" t="n">
        <v>46051</v>
      </c>
      <c r="I30"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 Exploring the data and brainstorming and prioritizing ideas for model development
* Implementing new features in our sizable code base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Experience with AWS services including S3, Redshift, Sagemaker, EMR, Kinesis, Lambda, and EC2
* Current, active US Government Security Clearance of Top Secret or above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effectively communicating complex concepts through written and verbal communication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31">
      <c r="A31" t="inlineStr">
        <is>
          <t>in-b941a38ed623c3d0</t>
        </is>
      </c>
      <c r="B31" t="inlineStr">
        <is>
          <t>Data Scientist- Vision Language Model Researcher, Data &amp; Machine Learning (DML)</t>
        </is>
      </c>
      <c r="C31" t="inlineStr">
        <is>
          <t>Amazon Web Services</t>
        </is>
      </c>
      <c r="D31" t="inlineStr">
        <is>
          <t>indeed</t>
        </is>
      </c>
      <c r="E31" t="inlineStr"/>
      <c r="F31" t="inlineStr"/>
      <c r="G31" t="inlineStr">
        <is>
          <t>Herndon, VA, US</t>
        </is>
      </c>
      <c r="H31" s="1" t="n">
        <v>46051</v>
      </c>
      <c r="I31"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TS/SCI
* Familiarity with internals of LLMs, VLMs, and traditional Computer Vision object detection models
* Ability to implement and modify deep neural networks in PyTorch
* Familiarity with techniques and libraries such as Deepspeed/ZeRO, LoRA/QLoRA, or SFT for LLMs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with AWS services including S3, Redshift, Sagemaker, EMR, Kinesis, Lambda, and EC2
* Experience in Linux, Git workflows, and use of satellite imagery for computer vision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32">
      <c r="A32" t="inlineStr">
        <is>
          <t>in-fb835d345c71a7fe</t>
        </is>
      </c>
      <c r="B32" t="inlineStr">
        <is>
          <t>Sr. Applied Scientist - SLAM, Amazon Industrial Robotics</t>
        </is>
      </c>
      <c r="C32" t="inlineStr">
        <is>
          <t>Amazon.com</t>
        </is>
      </c>
      <c r="D32" t="inlineStr">
        <is>
          <t>indeed</t>
        </is>
      </c>
      <c r="E32" t="inlineStr"/>
      <c r="F32" t="inlineStr"/>
      <c r="G32" t="inlineStr">
        <is>
          <t>Reading, MA, US</t>
        </is>
      </c>
      <c r="H32" s="1" t="n">
        <v>46050</v>
      </c>
      <c r="I32"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33">
      <c r="A33" t="inlineStr">
        <is>
          <t>in-82fa017488ce2f9a</t>
        </is>
      </c>
      <c r="B33" t="inlineStr">
        <is>
          <t>Sr. Applied Scientist - SLAM, Amazon Industrial Robotics</t>
        </is>
      </c>
      <c r="C33" t="inlineStr">
        <is>
          <t>Amazon.com</t>
        </is>
      </c>
      <c r="D33" t="inlineStr">
        <is>
          <t>indeed</t>
        </is>
      </c>
      <c r="E33" t="inlineStr"/>
      <c r="F33" t="inlineStr"/>
      <c r="G33" t="inlineStr">
        <is>
          <t>Reading, MA, US</t>
        </is>
      </c>
      <c r="H33" s="1" t="n">
        <v>46050</v>
      </c>
      <c r="I33"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34">
      <c r="A34" t="inlineStr">
        <is>
          <t>in-0e8c12aa9755214d</t>
        </is>
      </c>
      <c r="B34" t="inlineStr">
        <is>
          <t>Sr. Applied Scientist, Sponsored Products Off-Search Sourcing</t>
        </is>
      </c>
      <c r="C34" t="inlineStr">
        <is>
          <t>Amazon.com</t>
        </is>
      </c>
      <c r="D34" t="inlineStr">
        <is>
          <t>indeed</t>
        </is>
      </c>
      <c r="E34" t="inlineStr"/>
      <c r="F34" t="inlineStr"/>
      <c r="G34" t="inlineStr">
        <is>
          <t>New York, NY, US</t>
        </is>
      </c>
      <c r="H34" s="1" t="n">
        <v>46049</v>
      </c>
      <c r="I34"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35">
      <c r="A35" t="inlineStr">
        <is>
          <t>in-0981619d74876b19</t>
        </is>
      </c>
      <c r="B35" t="inlineStr">
        <is>
          <t>Sr. Applied Scientist, Sponsored Products Off-Search Sourcing</t>
        </is>
      </c>
      <c r="C35" t="inlineStr">
        <is>
          <t>Amazon.com</t>
        </is>
      </c>
      <c r="D35" t="inlineStr">
        <is>
          <t>indeed</t>
        </is>
      </c>
      <c r="E35" t="inlineStr"/>
      <c r="F35" t="inlineStr"/>
      <c r="G35" t="inlineStr">
        <is>
          <t>Seattle, WA, US</t>
        </is>
      </c>
      <c r="H35" s="1" t="n">
        <v>46049</v>
      </c>
      <c r="I35"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36">
      <c r="A36" t="inlineStr">
        <is>
          <t>in-e54c91bfa7e1772f</t>
        </is>
      </c>
      <c r="B36" t="inlineStr">
        <is>
          <t>Sr. Applied Scientist, Sponsored Products Off-Search Sourcing</t>
        </is>
      </c>
      <c r="C36" t="inlineStr">
        <is>
          <t>Amazon.com</t>
        </is>
      </c>
      <c r="D36" t="inlineStr">
        <is>
          <t>indeed</t>
        </is>
      </c>
      <c r="E36" t="inlineStr"/>
      <c r="F36" t="inlineStr"/>
      <c r="G36" t="inlineStr">
        <is>
          <t>Palo Alto, CA, US</t>
        </is>
      </c>
      <c r="H36" s="1" t="n">
        <v>46049</v>
      </c>
      <c r="I36"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37">
      <c r="A37" t="inlineStr">
        <is>
          <t>in-7d77508c9b738e2c</t>
        </is>
      </c>
      <c r="B37" t="inlineStr">
        <is>
          <t>Principal Applied Scientist, AWS Science of Security</t>
        </is>
      </c>
      <c r="C37" t="inlineStr">
        <is>
          <t>Amazon.com</t>
        </is>
      </c>
      <c r="D37" t="inlineStr">
        <is>
          <t>indeed</t>
        </is>
      </c>
      <c r="E37" t="inlineStr"/>
      <c r="F37" t="inlineStr"/>
      <c r="G37" t="inlineStr">
        <is>
          <t>Arlington, VA, US</t>
        </is>
      </c>
      <c r="H37" s="1" t="n">
        <v>46049</v>
      </c>
      <c r="I37" t="inlineStr">
        <is>
          <t>**DESCRIPTION**
---------------
Principal Applied Scientists in AWS Science of Security are dedicated to making AWS the best computing service in the world for customers who require advanced and rigorous solutions for security, privacy, and sovereignty.
Key job responsibilities  
The successful candidate will:
* Solve large or significantly complex problems that require deep knowledge and understanding of your domain and scientific innovation.
* Own strategic problem solving, and take the lead on the design, implementation, and delivery for solutions that have a long\-term quantifiable impact.
* Povide cross\-organizational technical influence, increasing productivity and effectiveness by sharing your deep knowledge and experience.
* Develop strategic plans to identify fundamentally new solutions for business problems.
* Assist in the career development of others, actively mentoring individuals and the community on advanced technical issues.
A day in the life  
This is a unique and rare opportunity to get in early on a fast\-growing segment of AWS and help shape the technology, product and the business. You will have a chance to utilize your deep technical experience within a fast moving, start\-up environment and make a large business and customer impact.**BASIC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\- 218,800\.00 \- 295,900\.00 USD annually  
USA, VA, Arlington \- 198,900\.00 \- 269,000\.00 USD annually  
USA, WA, Seattle \- 198,900\.00 \- 269,000\.00 USD annually</t>
        </is>
      </c>
    </row>
    <row r="38">
      <c r="A38" t="inlineStr">
        <is>
          <t>in-bfab115a1223bf84</t>
        </is>
      </c>
      <c r="B38" t="inlineStr">
        <is>
          <t>Principal Applied Scientist, AWS Science of Security</t>
        </is>
      </c>
      <c r="C38" t="inlineStr">
        <is>
          <t>Amazon.com</t>
        </is>
      </c>
      <c r="D38" t="inlineStr">
        <is>
          <t>indeed</t>
        </is>
      </c>
      <c r="E38" t="inlineStr"/>
      <c r="F38" t="inlineStr"/>
      <c r="G38" t="inlineStr">
        <is>
          <t>Seattle, WA, US</t>
        </is>
      </c>
      <c r="H38" s="1" t="n">
        <v>46049</v>
      </c>
      <c r="I38" t="inlineStr">
        <is>
          <t>**DESCRIPTION**
---------------
Principal Applied Scientists in AWS Science of Security are dedicated to making AWS the best computing service in the world for customers who require advanced and rigorous solutions for security, privacy, and sovereignty.
Key job responsibilities  
The successful candidate will:
* Solve large or significantly complex problems that require deep knowledge and understanding of your domain and scientific innovation.
* Own strategic problem solving, and take the lead on the design, implementation, and delivery for solutions that have a long\-term quantifiable impact.
* Povide cross\-organizational technical influence, increasing productivity and effectiveness by sharing your deep knowledge and experience.
* Develop strategic plans to identify fundamentally new solutions for business problems.
* Assist in the career development of others, actively mentoring individuals and the community on advanced technical issues.
A day in the life  
This is a unique and rare opportunity to get in early on a fast\-growing segment of AWS and help shape the technology, product and the business. You will have a chance to utilize your deep technical experience within a fast moving, start\-up environment and make a large business and customer impact.**BASIC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\- 218,800\.00 \- 295,900\.00 USD annually  
USA, VA, Arlington \- 198,900\.00 \- 269,000\.00 USD annually  
USA, WA, Seattle \- 198,900\.00 \- 269,000\.00 USD annually</t>
        </is>
      </c>
    </row>
    <row r="39">
      <c r="A39" t="inlineStr">
        <is>
          <t>in-53cbdd50f1ed7f2e</t>
        </is>
      </c>
      <c r="B39" t="inlineStr">
        <is>
          <t>Principal Applied Scientist, AWS Science of Security</t>
        </is>
      </c>
      <c r="C39" t="inlineStr">
        <is>
          <t>Amazon.com</t>
        </is>
      </c>
      <c r="D39" t="inlineStr">
        <is>
          <t>indeed</t>
        </is>
      </c>
      <c r="E39" t="inlineStr"/>
      <c r="F39" t="inlineStr"/>
      <c r="G39" t="inlineStr">
        <is>
          <t>New York, NY, US</t>
        </is>
      </c>
      <c r="H39" s="1" t="n">
        <v>46049</v>
      </c>
      <c r="I39" t="inlineStr">
        <is>
          <t>**DESCRIPTION**
---------------
Principal Applied Scientists in AWS Science of Security are dedicated to making AWS the best computing service in the world for customers who require advanced and rigorous solutions for security, privacy, and sovereignty.
Key job responsibilities  
The successful candidate will:
* Solve large or significantly complex problems that require deep knowledge and understanding of your domain and scientific innovation.
* Own strategic problem solving, and take the lead on the design, implementation, and delivery for solutions that have a long\-term quantifiable impact.
* Povide cross\-organizational technical influence, increasing productivity and effectiveness by sharing your deep knowledge and experience.
* Develop strategic plans to identify fundamentally new solutions for business problems.
* Assist in the career development of others, actively mentoring individuals and the community on advanced technical issues.
A day in the life  
This is a unique and rare opportunity to get in early on a fast\-growing segment of AWS and help shape the technology, product and the business. You will have a chance to utilize your deep technical experience within a fast moving, start\-up environment and make a large business and customer impact.**BASIC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\- 218,800\.00 \- 295,900\.00 USD annually  
USA, VA, Arlington \- 198,900\.00 \- 269,000\.00 USD annually  
USA, WA, Seattle \- 198,900\.00 \- 269,000\.00 USD annually</t>
        </is>
      </c>
    </row>
    <row r="40">
      <c r="A40" t="inlineStr">
        <is>
          <t>in-782eeeb6175343f2</t>
        </is>
      </c>
      <c r="B40" t="inlineStr">
        <is>
          <t>Senior Applied Scientist, Amazon Industrial Robotics</t>
        </is>
      </c>
      <c r="C40" t="inlineStr">
        <is>
          <t>Amazon.com</t>
        </is>
      </c>
      <c r="D40" t="inlineStr">
        <is>
          <t>indeed</t>
        </is>
      </c>
      <c r="E40" t="inlineStr"/>
      <c r="F40" t="inlineStr"/>
      <c r="G40" t="inlineStr">
        <is>
          <t>Reading, MA, US</t>
        </is>
      </c>
      <c r="H40" s="1" t="n">
        <v>46048</v>
      </c>
      <c r="I40"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Collaborate with simulation and robotics experts to translate physical modeling needs into robust, scalable, and maintainable simulation solutions.
* Design and implement high\-performance simulation modeling and tools for rigid and deformable body simulation.
* Identify and optimize performance bottlenecks in simulation pipelines to support real\-time and batch simulation workflows.
* Help build validation and unit testing pipelines to ensure correctness and physical fidelity of simulation results.
* Identify potential sources of sim\-to\-real gaps and propose modeling and numerical approximations to reduce them.
* Stay current with the latest advances in numerical methods, parallel computing, and GPU architectures, and incorporate them into our tools.
**BASIC QUALIFICATIONS**
------------------------
* PhD, or PhD and 4\+ years of CS, CE, ML or related field experience
* Strong programming skills in modern Python and/or C\+\+ and experience with GPU programming (CUDA, Warp, or similar).
* Experience with robotics simulation environments such as MuJoCo, Newton, Drake and/or Isaac Lab.
* Expertise in one or more of the following: Solid foundation in numerical methods for multibody dynamics, frictional contact, Finite Element Method (FEM), Material Point Method (MPM) or other approaches for physics\-based simulation.
* Experience implementing scientific or simulation software in a collaborative, production\-quality codebase.
* Proficiency in linear algebra, differential equations, and numerical analysis.
**PREFERRED QUALIFICATIONS**
----------------------------
* Experience programming in Java, C\+\+, Python or related language
* Experience working effectively across cross\-functional teams and partnering well with people at all levels within an organization
* PhD in simulation
* Experience in one or more of the following: bimanual manipulation, imitation learning for dexterous manipulation, reinforcement learning for locomotion, teleoperation systems for data collection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41">
      <c r="A41" t="inlineStr">
        <is>
          <t>in-9ea2f80c666cd714</t>
        </is>
      </c>
      <c r="B41" t="inlineStr">
        <is>
          <t>Senior Applied Scientist, Amazon Industrial Robotics</t>
        </is>
      </c>
      <c r="C41" t="inlineStr">
        <is>
          <t>Amazon.com</t>
        </is>
      </c>
      <c r="D41" t="inlineStr">
        <is>
          <t>indeed</t>
        </is>
      </c>
      <c r="E41" t="inlineStr"/>
      <c r="F41" t="inlineStr"/>
      <c r="G41" t="inlineStr">
        <is>
          <t>Reading, MA, US</t>
        </is>
      </c>
      <c r="H41" s="1" t="n">
        <v>46048</v>
      </c>
      <c r="I41"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Collaborate with simulation and robotics experts to translate physical modeling needs into robust, scalable, and maintainable simulation solutions.
* Design and implement high\-performance simulation modeling and tools for rigid and deformable body simulation.
* Identify and optimize performance bottlenecks in simulation pipelines to support real\-time and batch simulation workflows.
* Help build validation and unit testing pipelines to ensure correctness and physical fidelity of simulation results.
* Identify potential sources of sim\-to\-real gaps and propose modeling and numerical approximations to reduce them.
* Stay current with the latest advances in numerical methods, parallel computing, and GPU architectures, and incorporate them into our tools.
**BASIC QUALIFICATIONS**
------------------------
* PhD, or PhD and 4\+ years of CS, CE, ML or related field experience
* Strong programming skills in modern Python and/or C\+\+ and experience with GPU programming (CUDA, Warp, or similar).
* Experience with robotics simulation environments such as MuJoCo, Newton, Drake and/or Isaac Lab.
* Expertise in one or more of the following: Solid foundation in numerical methods for multibody dynamics, frictional contact, Finite Element Method (FEM), Material Point Method (MPM) or other approaches for physics\-based simulation.
* Experience implementing scientific or simulation software in a collaborative, production\-quality codebase.
* Proficiency in linear algebra, differential equations, and numerical analysis.
**PREFERRED QUALIFICATIONS**
----------------------------
* Experience programming in Java, C\+\+, Python or related language
* Experience working effectively across cross\-functional teams and partnering well with people at all levels within an organization
* PhD in simulation
* Experience in one or more of the following: bimanual manipulation, imitation learning for dexterous manipulation, reinforcement learning for locomotion, teleoperation systems for data collection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42">
      <c r="A42" t="inlineStr">
        <is>
          <t>in-5e44afb287ad56fb</t>
        </is>
      </c>
      <c r="B42" t="inlineStr">
        <is>
          <t>Applied Scientist II, Prime Video Personalization and Discovery Science</t>
        </is>
      </c>
      <c r="C42" t="inlineStr">
        <is>
          <t>Amazon.com</t>
        </is>
      </c>
      <c r="D42" t="inlineStr">
        <is>
          <t>indeed</t>
        </is>
      </c>
      <c r="E42" t="inlineStr"/>
      <c r="F42" t="inlineStr"/>
      <c r="G42" t="inlineStr">
        <is>
          <t>Sunnyvale, CA, US</t>
        </is>
      </c>
      <c r="H42" s="1" t="n">
        <v>46047</v>
      </c>
      <c r="I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3">
      <c r="A43" t="inlineStr">
        <is>
          <t>in-40cf750bee202579</t>
        </is>
      </c>
      <c r="B43" t="inlineStr">
        <is>
          <t>Applied Scientist II, Prime Video Personalization and Discovery Science</t>
        </is>
      </c>
      <c r="C43" t="inlineStr">
        <is>
          <t>Amazon.com</t>
        </is>
      </c>
      <c r="D43" t="inlineStr">
        <is>
          <t>indeed</t>
        </is>
      </c>
      <c r="E43" t="inlineStr"/>
      <c r="F43" t="inlineStr"/>
      <c r="G43" t="inlineStr">
        <is>
          <t>New York, NY, US</t>
        </is>
      </c>
      <c r="H43" s="1" t="n">
        <v>46047</v>
      </c>
      <c r="I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4">
      <c r="A44" t="inlineStr">
        <is>
          <t>in-7f8d658d39014e91</t>
        </is>
      </c>
      <c r="B44" t="inlineStr">
        <is>
          <t>Applied Scientist, Amazon Connect</t>
        </is>
      </c>
      <c r="C44" t="inlineStr">
        <is>
          <t>Amazon Web Services</t>
        </is>
      </c>
      <c r="D44" t="inlineStr">
        <is>
          <t>indeed</t>
        </is>
      </c>
      <c r="E44" t="inlineStr"/>
      <c r="F44" t="inlineStr"/>
      <c r="G44" t="inlineStr">
        <is>
          <t>Seattle, WA, US</t>
        </is>
      </c>
      <c r="H44" s="1" t="n">
        <v>46047</v>
      </c>
      <c r="I44"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45">
      <c r="A45" t="inlineStr">
        <is>
          <t>in-ebb4469ccf09da5c</t>
        </is>
      </c>
      <c r="B45" t="inlineStr">
        <is>
          <t>Applied Scientist II, Prime Video Personalization and Discovery Science</t>
        </is>
      </c>
      <c r="C45" t="inlineStr">
        <is>
          <t>Amazon.com</t>
        </is>
      </c>
      <c r="D45" t="inlineStr">
        <is>
          <t>indeed</t>
        </is>
      </c>
      <c r="E45" t="inlineStr"/>
      <c r="F45" t="inlineStr"/>
      <c r="G45" t="inlineStr">
        <is>
          <t>Seattle, WA, US</t>
        </is>
      </c>
      <c r="H45" s="1" t="n">
        <v>46047</v>
      </c>
      <c r="I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6">
      <c r="A46" t="inlineStr">
        <is>
          <t>in-dc37b2c16103a3f9</t>
        </is>
      </c>
      <c r="B46" t="inlineStr">
        <is>
          <t>Applied Scientist, Amazon Connect</t>
        </is>
      </c>
      <c r="C46" t="inlineStr">
        <is>
          <t>Amazon Web Services</t>
        </is>
      </c>
      <c r="D46" t="inlineStr">
        <is>
          <t>indeed</t>
        </is>
      </c>
      <c r="E46" t="inlineStr"/>
      <c r="F46" t="inlineStr"/>
      <c r="G46" t="inlineStr">
        <is>
          <t>New York, NY, US</t>
        </is>
      </c>
      <c r="H46" s="1" t="n">
        <v>46047</v>
      </c>
      <c r="I46"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47">
      <c r="A47" t="inlineStr">
        <is>
          <t>in-85e768e118be8c01</t>
        </is>
      </c>
      <c r="B47" t="inlineStr">
        <is>
          <t>Applied Scientist II, Amazon Industrial Robotics</t>
        </is>
      </c>
      <c r="C47" t="inlineStr">
        <is>
          <t>Amazon.com</t>
        </is>
      </c>
      <c r="D47" t="inlineStr">
        <is>
          <t>indeed</t>
        </is>
      </c>
      <c r="E47" t="inlineStr"/>
      <c r="F47" t="inlineStr"/>
      <c r="G47" t="inlineStr">
        <is>
          <t>Reading, MA, US</t>
        </is>
      </c>
      <c r="H47" s="1" t="n">
        <v>46043</v>
      </c>
      <c r="I47"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dexterous manipulation system that:
* Enables unprecedented generalization across diverse tasks
* Enables contact\-rich manipulation in different environments
* Seamlessly integrates low\-level skills and high\-level behaviors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methods for dexterous manipulation
* Design and implement methods for use of dexterous end effectors with force and tactile sensing
* Develop a hierarchical system that combines low\-level control with high\-level planning
* Utilize state\-of\-the\-art manipulation models and optimal control techniques
**BASIC QUALIFICATIONS**
------------------------
* PhD, or Master's degree and 4\+ years of CS, CE, ML or related field experience
* Experience with state\-of\-the\-art in robotic manipulation models
* Experience with data generation in simulation and real world
* Experience in developing techniques that utilize multi\-modal sensor data
**PREFERRED QUALIFICATIONS**
----------------------------
* Experience programming in Java, C\+\+, Python or related language
* Experience working effectively across cross\-functional teams and partnering well with people at all levels within an organization
* PhD in Robotics, with focus on dexterous manipulation
* Experience in motion primitives, vision\-language\-action models, and model predictive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t>
        </is>
      </c>
    </row>
    <row r="48">
      <c r="A48" t="inlineStr">
        <is>
          <t>in-d7729444d80a5919</t>
        </is>
      </c>
      <c r="B48" t="inlineStr">
        <is>
          <t>Applied Scientist II, Amazon Industrial Robotics</t>
        </is>
      </c>
      <c r="C48" t="inlineStr">
        <is>
          <t>Amazon.com</t>
        </is>
      </c>
      <c r="D48" t="inlineStr">
        <is>
          <t>indeed</t>
        </is>
      </c>
      <c r="E48" t="inlineStr"/>
      <c r="F48" t="inlineStr"/>
      <c r="G48" t="inlineStr">
        <is>
          <t>Reading, MA, US</t>
        </is>
      </c>
      <c r="H48" s="1" t="n">
        <v>46043</v>
      </c>
      <c r="I48"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dexterous manipulation system that:
* Enables unprecedented generalization across diverse tasks
* Enables contact\-rich manipulation in different environments
* Seamlessly integrates low\-level skills and high\-level behaviors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methods for dexterous manipulation
* Design and implement methods for use of dexterous end effectors with force and tactile sensing
* Develop a hierarchical system that combines low\-level control with high\-level planning
* Utilize state\-of\-the\-art manipulation models and optimal control techniques
**BASIC QUALIFICATIONS**
------------------------
* PhD, or Master's degree and 4\+ years of CS, CE, ML or related field experience
* Experience with state\-of\-the\-art in robotic manipulation models
* Experience with data generation in simulation and real world
* Experience in developing techniques that utilize multi\-modal sensor data
**PREFERRED QUALIFICATIONS**
----------------------------
* Experience programming in Java, C\+\+, Python or related language
* Experience working effectively across cross\-functional teams and partnering well with people at all levels within an organization
* PhD in Robotics, with focus on dexterous manipulation
* Experience in motion primitives, vision\-language\-action models, and model predictive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t>
        </is>
      </c>
    </row>
    <row r="49">
      <c r="A49" t="inlineStr">
        <is>
          <t>in-c1e32fd62a908389</t>
        </is>
      </c>
      <c r="B49" t="inlineStr">
        <is>
          <t>Applied Scientist, Safety ML</t>
        </is>
      </c>
      <c r="C49" t="inlineStr">
        <is>
          <t>Amazon.com</t>
        </is>
      </c>
      <c r="D49" t="inlineStr">
        <is>
          <t>indeed</t>
        </is>
      </c>
      <c r="E49" t="inlineStr"/>
      <c r="F49" t="inlineStr"/>
      <c r="G49" t="inlineStr">
        <is>
          <t>San Francisco, CA, US</t>
        </is>
      </c>
      <c r="H49" s="1" t="n">
        <v>46037</v>
      </c>
      <c r="I4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50">
      <c r="A50" t="inlineStr">
        <is>
          <t>in-d873ab8057a2ae8e</t>
        </is>
      </c>
      <c r="B50" t="inlineStr">
        <is>
          <t>Applied Scientist, Safety ML</t>
        </is>
      </c>
      <c r="C50" t="inlineStr">
        <is>
          <t>Amazon.com</t>
        </is>
      </c>
      <c r="D50" t="inlineStr">
        <is>
          <t>indeed</t>
        </is>
      </c>
      <c r="E50" t="inlineStr"/>
      <c r="F50" t="inlineStr"/>
      <c r="G50" t="inlineStr">
        <is>
          <t>Seattle, WA, US</t>
        </is>
      </c>
      <c r="H50" s="1" t="n">
        <v>46037</v>
      </c>
      <c r="I5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51">
      <c r="A51" t="inlineStr">
        <is>
          <t>in-f9c82b7e47286a97</t>
        </is>
      </c>
      <c r="B51" t="inlineStr">
        <is>
          <t>Applied Scientist, LLM Code Agents, Kiro Science</t>
        </is>
      </c>
      <c r="C51" t="inlineStr">
        <is>
          <t>Amazon.com</t>
        </is>
      </c>
      <c r="D51" t="inlineStr">
        <is>
          <t>indeed</t>
        </is>
      </c>
      <c r="E51" t="inlineStr"/>
      <c r="F51" t="inlineStr"/>
      <c r="G51" t="inlineStr">
        <is>
          <t>Santa Clara, CA, US</t>
        </is>
      </c>
      <c r="H51" s="1" t="n">
        <v>46035</v>
      </c>
      <c r="I51"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52">
      <c r="A52" t="inlineStr">
        <is>
          <t>in-cb51d528cf32f7a1</t>
        </is>
      </c>
      <c r="B52" t="inlineStr">
        <is>
          <t>Applied Scientist, LLM Code Agents, Kiro Science</t>
        </is>
      </c>
      <c r="C52" t="inlineStr">
        <is>
          <t>Amazon.com</t>
        </is>
      </c>
      <c r="D52" t="inlineStr">
        <is>
          <t>indeed</t>
        </is>
      </c>
      <c r="E52" t="inlineStr"/>
      <c r="F52" t="inlineStr"/>
      <c r="G52" t="inlineStr">
        <is>
          <t>Seattle, WA, US</t>
        </is>
      </c>
      <c r="H52" s="1" t="n">
        <v>46035</v>
      </c>
      <c r="I52"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53">
      <c r="A53" t="inlineStr">
        <is>
          <t>in-eaa6f1b7f8fd1798</t>
        </is>
      </c>
      <c r="B53" t="inlineStr">
        <is>
          <t>Applied Scientist II, Prime Video Personalization and Discovery Science</t>
        </is>
      </c>
      <c r="C53" t="inlineStr">
        <is>
          <t>Amazon.com</t>
        </is>
      </c>
      <c r="D53" t="inlineStr">
        <is>
          <t>indeed</t>
        </is>
      </c>
      <c r="E53" t="inlineStr"/>
      <c r="F53" t="inlineStr"/>
      <c r="G53" t="inlineStr">
        <is>
          <t>Sunnyvale, CA, US</t>
        </is>
      </c>
      <c r="H53" s="1" t="n">
        <v>46034</v>
      </c>
      <c r="I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4">
      <c r="A54" t="inlineStr">
        <is>
          <t>in-75b50a71c98931ea</t>
        </is>
      </c>
      <c r="B54" t="inlineStr">
        <is>
          <t>Applied Scientist II, Prime Video Personalization and Discovery Science</t>
        </is>
      </c>
      <c r="C54" t="inlineStr">
        <is>
          <t>Amazon.com</t>
        </is>
      </c>
      <c r="D54" t="inlineStr">
        <is>
          <t>indeed</t>
        </is>
      </c>
      <c r="E54" t="inlineStr"/>
      <c r="F54" t="inlineStr"/>
      <c r="G54" t="inlineStr">
        <is>
          <t>Seattle, WA, US</t>
        </is>
      </c>
      <c r="H54" s="1" t="n">
        <v>46034</v>
      </c>
      <c r="I5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5">
      <c r="A55" t="inlineStr">
        <is>
          <t>in-4ec6f00404a6d969</t>
        </is>
      </c>
      <c r="B55" t="inlineStr">
        <is>
          <t>Applied Scientist, Alexa Smart Home</t>
        </is>
      </c>
      <c r="C55" t="inlineStr">
        <is>
          <t>Amazon.com</t>
        </is>
      </c>
      <c r="D55" t="inlineStr">
        <is>
          <t>indeed</t>
        </is>
      </c>
      <c r="E55" t="inlineStr"/>
      <c r="F55" t="inlineStr"/>
      <c r="G55" t="inlineStr">
        <is>
          <t>Sunnyvale, CA, US</t>
        </is>
      </c>
      <c r="H55" s="1" t="n">
        <v>46033</v>
      </c>
      <c r="I55"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6">
      <c r="A56" t="inlineStr">
        <is>
          <t>in-d6ea86ca099bdd77</t>
        </is>
      </c>
      <c r="B56" t="inlineStr">
        <is>
          <t>Applied Scientist, Alexa Smart Home</t>
        </is>
      </c>
      <c r="C56" t="inlineStr">
        <is>
          <t>Amazon.com</t>
        </is>
      </c>
      <c r="D56" t="inlineStr">
        <is>
          <t>indeed</t>
        </is>
      </c>
      <c r="E56" t="inlineStr"/>
      <c r="F56" t="inlineStr"/>
      <c r="G56" t="inlineStr">
        <is>
          <t>Seattle, WA, US</t>
        </is>
      </c>
      <c r="H56" s="1" t="n">
        <v>46033</v>
      </c>
      <c r="I56"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7">
      <c r="A57" t="inlineStr">
        <is>
          <t>in-1b0b181e01eefcc0</t>
        </is>
      </c>
      <c r="B57" t="inlineStr">
        <is>
          <t>Sr Applied Scientist, AWS Proactive Security</t>
        </is>
      </c>
      <c r="C57" t="inlineStr">
        <is>
          <t>Amazon.com</t>
        </is>
      </c>
      <c r="D57" t="inlineStr">
        <is>
          <t>indeed</t>
        </is>
      </c>
      <c r="E57" t="inlineStr"/>
      <c r="F57" t="inlineStr"/>
      <c r="G57" t="inlineStr">
        <is>
          <t>Arlington, VA, US</t>
        </is>
      </c>
      <c r="H57" s="1" t="n">
        <v>46030</v>
      </c>
      <c r="I57"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58">
      <c r="A58" t="inlineStr">
        <is>
          <t>in-d3177bb79f614030</t>
        </is>
      </c>
      <c r="B58" t="inlineStr">
        <is>
          <t>Sr Applied Scientist, AWS Proactive Security</t>
        </is>
      </c>
      <c r="C58" t="inlineStr">
        <is>
          <t>Amazon.com</t>
        </is>
      </c>
      <c r="D58" t="inlineStr">
        <is>
          <t>indeed</t>
        </is>
      </c>
      <c r="E58" t="inlineStr"/>
      <c r="F58" t="inlineStr"/>
      <c r="G58" t="inlineStr">
        <is>
          <t>Sunnyvale, CA, US</t>
        </is>
      </c>
      <c r="H58" s="1" t="n">
        <v>46030</v>
      </c>
      <c r="I58"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59">
      <c r="A59" t="inlineStr">
        <is>
          <t>in-0c44803343763691</t>
        </is>
      </c>
      <c r="B59" t="inlineStr">
        <is>
          <t>Sr Applied Scientist, AWS Proactive Security</t>
        </is>
      </c>
      <c r="C59" t="inlineStr">
        <is>
          <t>Amazon.com</t>
        </is>
      </c>
      <c r="D59" t="inlineStr">
        <is>
          <t>indeed</t>
        </is>
      </c>
      <c r="E59" t="inlineStr"/>
      <c r="F59" t="inlineStr"/>
      <c r="G59" t="inlineStr">
        <is>
          <t>Herndon, VA, US</t>
        </is>
      </c>
      <c r="H59" s="1" t="n">
        <v>46030</v>
      </c>
      <c r="I59"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60">
      <c r="A60" t="inlineStr">
        <is>
          <t>in-7f6819ac5450e2ee</t>
        </is>
      </c>
      <c r="B60" t="inlineStr">
        <is>
          <t>Applied Scientist, AWS Applied AI Solutions</t>
        </is>
      </c>
      <c r="C60" t="inlineStr">
        <is>
          <t>Amazon Web Services</t>
        </is>
      </c>
      <c r="D60" t="inlineStr">
        <is>
          <t>indeed</t>
        </is>
      </c>
      <c r="E60" t="inlineStr"/>
      <c r="F60" t="inlineStr"/>
      <c r="G60" t="inlineStr">
        <is>
          <t>New York, NY, US</t>
        </is>
      </c>
      <c r="H60" s="1" t="n">
        <v>46030</v>
      </c>
      <c r="I60"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61">
      <c r="A61" t="inlineStr">
        <is>
          <t>in-f7776705cf04571e</t>
        </is>
      </c>
      <c r="B61" t="inlineStr">
        <is>
          <t>Applied Scientist, AWS Applied AI Solutions</t>
        </is>
      </c>
      <c r="C61" t="inlineStr">
        <is>
          <t>Amazon Web Services</t>
        </is>
      </c>
      <c r="D61" t="inlineStr">
        <is>
          <t>indeed</t>
        </is>
      </c>
      <c r="E61" t="inlineStr"/>
      <c r="F61" t="inlineStr"/>
      <c r="G61" t="inlineStr">
        <is>
          <t>Seattle, WA, US</t>
        </is>
      </c>
      <c r="H61" s="1" t="n">
        <v>46030</v>
      </c>
      <c r="I61"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62">
      <c r="A62" t="inlineStr">
        <is>
          <t>in-d50f542cd49f21f4</t>
        </is>
      </c>
      <c r="B62" t="inlineStr">
        <is>
          <t>Senior Applied Scientist, Amazon Industrial Robotics</t>
        </is>
      </c>
      <c r="C62" t="inlineStr">
        <is>
          <t>Amazon.com</t>
        </is>
      </c>
      <c r="D62" t="inlineStr">
        <is>
          <t>indeed</t>
        </is>
      </c>
      <c r="E62" t="inlineStr"/>
      <c r="F62" t="inlineStr"/>
      <c r="G62" t="inlineStr">
        <is>
          <t>Reading, MA, US</t>
        </is>
      </c>
      <c r="H62" s="1" t="n">
        <v>46027</v>
      </c>
      <c r="I62"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dexterous manipulation system that:
* Enables unprecedented generalization across diverse tasks
* Enables contact\-rich manipulation in different environments
* Seamlessly integrates low\-level skills and high\-level behaviors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A day in the life  
* Lead design and implementation of methods for Visual SLAM, navigation and spatial reasoning
* Leverage simulation and real\-world data collection to create large datasets for model development
* Develop a hierarchical system that combines low\-level control with high\-level planning
* Collaborate effectively with multi\-disciplinary teams to co\-design hardware and algorithms for dexterous manipulation
**BASIC QUALIFICATIONS**
------------------------
* PhD, or Master's degree and 6\+ years of applied research experience
* Experience programming in Java, C\+\+, Python or related language
* High expertise and experience with state\-of\-the\-art in SLAM techniques
* Experience with data generation in simulation and real world
**PREFERRED QUALIFICATIONS**
----------------------------
* Experience working effectively across cross\-functional teams and partnering well with people at all levels within an organization
* PhD in Robotics, with focus on SLAM
* Experience in robotic manipulation, LLM, VLA, MPC and RL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63">
      <c r="A63" t="inlineStr">
        <is>
          <t>in-a7e59af23c4c9caa</t>
        </is>
      </c>
      <c r="B63" t="inlineStr">
        <is>
          <t>Senior Applied Scientist, Amazon Industrial Robotics</t>
        </is>
      </c>
      <c r="C63" t="inlineStr">
        <is>
          <t>Amazon.com</t>
        </is>
      </c>
      <c r="D63" t="inlineStr">
        <is>
          <t>indeed</t>
        </is>
      </c>
      <c r="E63" t="inlineStr"/>
      <c r="F63" t="inlineStr"/>
      <c r="G63" t="inlineStr">
        <is>
          <t>Reading, MA, US</t>
        </is>
      </c>
      <c r="H63" s="1" t="n">
        <v>46027</v>
      </c>
      <c r="I63"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dexterous manipulation system that:
* Enables unprecedented generalization across diverse tasks
* Enables contact\-rich manipulation in different environments
* Seamlessly integrates low\-level skills and high\-level behaviors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A day in the life  
* Lead design and implementation of methods for Visual SLAM, navigation and spatial reasoning
* Leverage simulation and real\-world data collection to create large datasets for model development
* Develop a hierarchical system that combines low\-level control with high\-level planning
* Collaborate effectively with multi\-disciplinary teams to co\-design hardware and algorithms for dexterous manipulation
**BASIC QUALIFICATIONS**
------------------------
* PhD, or Master's degree and 6\+ years of applied research experience
* Experience programming in Java, C\+\+, Python or related language
* High expertise and experience with state\-of\-the\-art in SLAM techniques
* Experience with data generation in simulation and real world
**PREFERRED QUALIFICATIONS**
----------------------------
* Experience working effectively across cross\-functional teams and partnering well with people at all levels within an organization
* PhD in Robotics, with focus on SLAM
* Experience in robotic manipulation, LLM, VLA, MPC and RL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64">
      <c r="A64" t="inlineStr">
        <is>
          <t>in-c98d53ed42528101</t>
        </is>
      </c>
      <c r="B64" t="inlineStr">
        <is>
          <t>Senior Applied Scientist, Dexterous Manipulation , Amazon Industrial Robotics</t>
        </is>
      </c>
      <c r="C64" t="inlineStr">
        <is>
          <t>Amazon.com</t>
        </is>
      </c>
      <c r="D64" t="inlineStr">
        <is>
          <t>indeed</t>
        </is>
      </c>
      <c r="E64" t="inlineStr"/>
      <c r="F64" t="inlineStr"/>
      <c r="G64" t="inlineStr">
        <is>
          <t>Reading, MA, US</t>
        </is>
      </c>
      <c r="H64" s="1" t="n">
        <v>46027</v>
      </c>
      <c r="I64"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dexterous manipulation system that:
* Enables unprecedented generalization across diverse tasks
* Enables contact\-rich manipulation in different environments
* Seamlessly integrates low\-level skills and high\-level behaviors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methods for dexterous manipulation with single and dual arm manipulation
* Leverage simulation and real\-world data collection to create large datasets for model development
* Develop a hierarchical system that combines low\-level control with high\-level planning
* Utilize state\-of\-the\-art manipulation models and optimal control techniques
* Collaborate effectively with multi\-disciplinary teams to co\-design hardware and algorithms for dexterous manipulation
**BASIC QUALIFICATIONS**
------------------------
* PhD, or Master's degree and 6\+ years of applied research experience
* Experience with state\-of\-the\-art in robotic manipulation models
* Experience with data generation in simulation and real world
* Experience in developing techniques that utilize multi\-modal sensor data from the arm and hands
**PREFERRED QUALIFICATIONS**
----------------------------
* Experience programming in Java, C\+\+, Python or related language
* Experience working effectively across cross\-functional teams and partnering well with people at all levels within an organization
* PhD in Robotics, with focus on dexterous manipulation
* Experience in motion primitives, vision\-language\-action models, and model predictive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65">
      <c r="A65" t="inlineStr">
        <is>
          <t>in-db0886cdc8b33140</t>
        </is>
      </c>
      <c r="B65" t="inlineStr">
        <is>
          <t>Applied Scientist, Last Mile Delivery Automation</t>
        </is>
      </c>
      <c r="C65" t="inlineStr">
        <is>
          <t>Amazon.com</t>
        </is>
      </c>
      <c r="D65" t="inlineStr">
        <is>
          <t>indeed</t>
        </is>
      </c>
      <c r="E65" t="inlineStr"/>
      <c r="F65" t="inlineStr"/>
      <c r="G65" t="inlineStr">
        <is>
          <t>Santa Clara, CA, US</t>
        </is>
      </c>
      <c r="H65" s="1" t="n">
        <v>46026</v>
      </c>
      <c r="I65"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in-8cd3dab4351c3e7c</t>
        </is>
      </c>
      <c r="B66" t="inlineStr">
        <is>
          <t>Applied Scientist, Last Mile Delivery Automation</t>
        </is>
      </c>
      <c r="C66" t="inlineStr">
        <is>
          <t>Amazon.com</t>
        </is>
      </c>
      <c r="D66" t="inlineStr">
        <is>
          <t>indeed</t>
        </is>
      </c>
      <c r="E66" t="inlineStr"/>
      <c r="F66" t="inlineStr"/>
      <c r="G66" t="inlineStr">
        <is>
          <t>Bellevue, WA, US</t>
        </is>
      </c>
      <c r="H66" s="1" t="n">
        <v>46026</v>
      </c>
      <c r="I66"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in-e9997054f188ba7a</t>
        </is>
      </c>
      <c r="B67" t="inlineStr">
        <is>
          <t>Senior Applied Scientist, Sponsored Products and Brands, Off-Search</t>
        </is>
      </c>
      <c r="C67" t="inlineStr">
        <is>
          <t>Amazon.com</t>
        </is>
      </c>
      <c r="D67" t="inlineStr">
        <is>
          <t>indeed</t>
        </is>
      </c>
      <c r="E67" t="inlineStr"/>
      <c r="F67" t="inlineStr"/>
      <c r="G67" t="inlineStr">
        <is>
          <t>New York, NY, US</t>
        </is>
      </c>
      <c r="H67" s="1" t="n">
        <v>46017</v>
      </c>
      <c r="I67"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in-5dfef6a128297dd8</t>
        </is>
      </c>
      <c r="B68" t="inlineStr">
        <is>
          <t>Senior Applied Scientist, Sponsored Products and Brands, Off-Search</t>
        </is>
      </c>
      <c r="C68" t="inlineStr">
        <is>
          <t>Amazon.com</t>
        </is>
      </c>
      <c r="D68" t="inlineStr">
        <is>
          <t>indeed</t>
        </is>
      </c>
      <c r="E68" t="inlineStr"/>
      <c r="F68" t="inlineStr"/>
      <c r="G68" t="inlineStr">
        <is>
          <t>Palo Alto, CA, US</t>
        </is>
      </c>
      <c r="H68" s="1" t="n">
        <v>46017</v>
      </c>
      <c r="I68"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in-5bb829245cbff62f</t>
        </is>
      </c>
      <c r="B69" t="inlineStr">
        <is>
          <t>Senior Applied Scientist, Sponsored Products and Brands, Off-Search</t>
        </is>
      </c>
      <c r="C69" t="inlineStr">
        <is>
          <t>Amazon.com</t>
        </is>
      </c>
      <c r="D69" t="inlineStr">
        <is>
          <t>indeed</t>
        </is>
      </c>
      <c r="E69" t="inlineStr"/>
      <c r="F69" t="inlineStr"/>
      <c r="G69" t="inlineStr">
        <is>
          <t>Seattle, WA, US</t>
        </is>
      </c>
      <c r="H69" s="1" t="n">
        <v>46017</v>
      </c>
      <c r="I69"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in-f11ab4a9aeca1146</t>
        </is>
      </c>
      <c r="B70" t="inlineStr">
        <is>
          <t>Applied Scientist II, Prime Video - Personalization and Discovery Science</t>
        </is>
      </c>
      <c r="C70" t="inlineStr">
        <is>
          <t>Amazon.com</t>
        </is>
      </c>
      <c r="D70" t="inlineStr">
        <is>
          <t>indeed</t>
        </is>
      </c>
      <c r="E70" t="inlineStr"/>
      <c r="F70" t="inlineStr"/>
      <c r="G70" t="inlineStr">
        <is>
          <t>Sunnyvale, CA, US</t>
        </is>
      </c>
      <c r="H70" s="1" t="n">
        <v>46012</v>
      </c>
      <c r="I7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71">
      <c r="A71" t="inlineStr">
        <is>
          <t>in-f2208dd8a7dafb78</t>
        </is>
      </c>
      <c r="B71" t="inlineStr">
        <is>
          <t>Applied Scientist II, Prime Video - Personalization and Discovery Science</t>
        </is>
      </c>
      <c r="C71" t="inlineStr">
        <is>
          <t>Amazon.com</t>
        </is>
      </c>
      <c r="D71" t="inlineStr">
        <is>
          <t>indeed</t>
        </is>
      </c>
      <c r="E71" t="inlineStr"/>
      <c r="F71" t="inlineStr"/>
      <c r="G71" t="inlineStr">
        <is>
          <t>Seattle, WA, US</t>
        </is>
      </c>
      <c r="H71" s="1" t="n">
        <v>46012</v>
      </c>
      <c r="I7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72">
      <c r="A72" t="inlineStr">
        <is>
          <t>in-0b6aad9fdf46de97</t>
        </is>
      </c>
      <c r="B72" t="inlineStr">
        <is>
          <t>Applied Scientist, Delivery Foundation Model</t>
        </is>
      </c>
      <c r="C72" t="inlineStr">
        <is>
          <t>Amazon.com</t>
        </is>
      </c>
      <c r="D72" t="inlineStr">
        <is>
          <t>indeed</t>
        </is>
      </c>
      <c r="E72" t="inlineStr"/>
      <c r="F72" t="inlineStr"/>
      <c r="G72" t="inlineStr">
        <is>
          <t>Bellevue, WA, US</t>
        </is>
      </c>
      <c r="H72" s="1" t="n">
        <v>46009</v>
      </c>
      <c r="I7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73">
      <c r="A73" t="inlineStr">
        <is>
          <t>in-83cdcd9e926b8038</t>
        </is>
      </c>
      <c r="B73" t="inlineStr">
        <is>
          <t>Applied Scientist, Delivery Foundation Model</t>
        </is>
      </c>
      <c r="C73" t="inlineStr">
        <is>
          <t>Amazon.com</t>
        </is>
      </c>
      <c r="D73" t="inlineStr">
        <is>
          <t>indeed</t>
        </is>
      </c>
      <c r="E73" t="inlineStr"/>
      <c r="F73" t="inlineStr"/>
      <c r="G73" t="inlineStr">
        <is>
          <t>Santa Clara, CA, US</t>
        </is>
      </c>
      <c r="H73" s="1" t="n">
        <v>46009</v>
      </c>
      <c r="I7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74">
      <c r="A74" t="inlineStr">
        <is>
          <t>in-1a22a760cc00d3de</t>
        </is>
      </c>
      <c r="B74" t="inlineStr">
        <is>
          <t>Principal Applied Scientist, Kiro Science</t>
        </is>
      </c>
      <c r="C74" t="inlineStr">
        <is>
          <t>Amazon Web Services</t>
        </is>
      </c>
      <c r="D74" t="inlineStr">
        <is>
          <t>indeed</t>
        </is>
      </c>
      <c r="E74" t="inlineStr"/>
      <c r="F74" t="inlineStr"/>
      <c r="G74" t="inlineStr">
        <is>
          <t>New York, NY, US</t>
        </is>
      </c>
      <c r="H74" s="1" t="n">
        <v>45999</v>
      </c>
      <c r="I74"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75">
      <c r="A75" t="inlineStr">
        <is>
          <t>in-9466a768487a6da5</t>
        </is>
      </c>
      <c r="B75" t="inlineStr">
        <is>
          <t>Principal Applied Scientist, Kiro Science</t>
        </is>
      </c>
      <c r="C75" t="inlineStr">
        <is>
          <t>Amazon Web Services</t>
        </is>
      </c>
      <c r="D75" t="inlineStr">
        <is>
          <t>indeed</t>
        </is>
      </c>
      <c r="E75" t="inlineStr"/>
      <c r="F75" t="inlineStr"/>
      <c r="G75" t="inlineStr">
        <is>
          <t>Santa Clara, CA, US</t>
        </is>
      </c>
      <c r="H75" s="1" t="n">
        <v>45999</v>
      </c>
      <c r="I75"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76">
      <c r="A76" t="inlineStr">
        <is>
          <t>in-c1871419f9d586bf</t>
        </is>
      </c>
      <c r="B76" t="inlineStr">
        <is>
          <t>Senior Applied Scientist, Locomotion, Amazon Industrial Robotics</t>
        </is>
      </c>
      <c r="C76" t="inlineStr">
        <is>
          <t>Amazon.com</t>
        </is>
      </c>
      <c r="D76" t="inlineStr">
        <is>
          <t>indeed</t>
        </is>
      </c>
      <c r="E76" t="inlineStr"/>
      <c r="F76" t="inlineStr"/>
      <c r="G76" t="inlineStr">
        <is>
          <t>Reading, MA, US</t>
        </is>
      </c>
      <c r="H76" s="1" t="n">
        <v>45992</v>
      </c>
      <c r="I76"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77">
      <c r="A77" t="inlineStr">
        <is>
          <t>in-2a8cfebb4db198b4</t>
        </is>
      </c>
      <c r="B77" t="inlineStr">
        <is>
          <t>Senior Applied Scientist, Locomotion, Amazon Industrial Robotics</t>
        </is>
      </c>
      <c r="C77" t="inlineStr">
        <is>
          <t>Amazon.com</t>
        </is>
      </c>
      <c r="D77" t="inlineStr">
        <is>
          <t>indeed</t>
        </is>
      </c>
      <c r="E77" t="inlineStr"/>
      <c r="F77" t="inlineStr"/>
      <c r="G77" t="inlineStr">
        <is>
          <t>Reading, MA, US</t>
        </is>
      </c>
      <c r="H77" s="1" t="n">
        <v>45992</v>
      </c>
      <c r="I77"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78">
      <c r="A78" t="inlineStr">
        <is>
          <t>in-ba683dc69acdf326</t>
        </is>
      </c>
      <c r="B78" t="inlineStr">
        <is>
          <t>Applied Scientist, Robotic Sensing and Actuation Engineer , Amazon Industrial Robotics</t>
        </is>
      </c>
      <c r="C78" t="inlineStr">
        <is>
          <t>Amazon.com</t>
        </is>
      </c>
      <c r="D78" t="inlineStr">
        <is>
          <t>indeed</t>
        </is>
      </c>
      <c r="E78" t="inlineStr"/>
      <c r="F78" t="inlineStr"/>
      <c r="G78" t="inlineStr">
        <is>
          <t>Reading, MA, US</t>
        </is>
      </c>
      <c r="H78" s="1" t="n">
        <v>45984</v>
      </c>
      <c r="I78"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 We are pioneering the development of robotics dexterous end\-effectors that:
* Enable unprecedented generalization across diverse tasks
* Are compliant but at the same time impact resistant
* Can enable power grasps with the same reliability as fine dexterity and nonprehensile manipulation
* Can naturally cope with the uncertainty of the environment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novel sensing and actuation technologies for dexterous manipulation
* Develop parallel paths for rapid finger design and prototyping combining different actuation and sensing technologies as well as different finger morphologies
* Develop new testing and validation strategies to support fast continuous integration and modularity
* Build and test full hand prototypes to validate the performance of the solution
* Create hybrid approaches combining different actuation technologies, under\-actuation, active and passive compliance
* Hand integration into rest of the embodiment
* Partner with cross\-functional teams to rapidly create new concepts and prototypes
* Work with Amazon's robotics engineering and operations teams to grasp their requirements and develop tailored solutions
* Document the designs, performance, and validation of the final system
**BASIC QUALIFICATIONS**
------------------------
* Master's degree in Mechanical or Electrical Engineering, or 4\+ years of relevant discipline work experience
* Experience with CAD modelling software, such as Solidworks or MATLAB
* Experience applying theoretical models in an applied environment
* Experience in tactile sensing technologies
* Experience in dynamics simulation with physics engine (mujoco, drake, or similar)
* Experience in finger actuation, under\-actuation, active and passive compliance
* Experience in tactile sensing
**PREFERRED QUALIFICATIONS**
----------------------------
* Experience programming in Java, C\+\+, Python or related language
* Experience working effectively across cross\-functional teams and partnering well with people at all levels within an organization
* PhD in Robotics, with focus on mechanical design and robot control
* Experience in tendon\-driven, electrical and series elastic actuators
\- Experience Matlab \- Simulink / Real time workshop  
* Background in real\-time control, particularly in torque / impedance control and contact\-rich manipulation
* Experience with grasp planning
* Experience in ROS/ROS2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t>
        </is>
      </c>
    </row>
    <row r="79">
      <c r="A79" t="inlineStr">
        <is>
          <t>in-c63f9302b3c77558</t>
        </is>
      </c>
      <c r="B79" t="inlineStr">
        <is>
          <t>Applied Scientist, Robotic Sensing and Actuation Engineer , Amazon Industrial Robotics</t>
        </is>
      </c>
      <c r="C79" t="inlineStr">
        <is>
          <t>Amazon.com</t>
        </is>
      </c>
      <c r="D79" t="inlineStr">
        <is>
          <t>indeed</t>
        </is>
      </c>
      <c r="E79" t="inlineStr"/>
      <c r="F79" t="inlineStr"/>
      <c r="G79" t="inlineStr">
        <is>
          <t>Reading, MA, US</t>
        </is>
      </c>
      <c r="H79" s="1" t="n">
        <v>45984</v>
      </c>
      <c r="I79"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 We are pioneering the development of robotics dexterous end\-effectors that:
* Enable unprecedented generalization across diverse tasks
* Are compliant but at the same time impact resistant
* Can enable power grasps with the same reliability as fine dexterity and nonprehensile manipulation
* Can naturally cope with the uncertainty of the environment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novel sensing and actuation technologies for dexterous manipulation
* Develop parallel paths for rapid finger design and prototyping combining different actuation and sensing technologies as well as different finger morphologies
* Develop new testing and validation strategies to support fast continuous integration and modularity
* Build and test full hand prototypes to validate the performance of the solution
* Create hybrid approaches combining different actuation technologies, under\-actuation, active and passive compliance
* Hand integration into rest of the embodiment
* Partner with cross\-functional teams to rapidly create new concepts and prototypes
* Work with Amazon's robotics engineering and operations teams to grasp their requirements and develop tailored solutions
* Document the designs, performance, and validation of the final system
**BASIC QUALIFICATIONS**
------------------------
* Master's degree in Mechanical or Electrical Engineering, or 4\+ years of relevant discipline work experience
* Experience with CAD modelling software, such as Solidworks or MATLAB
* Experience applying theoretical models in an applied environment
* Experience in tactile sensing technologies
* Experience in dynamics simulation with physics engine (mujoco, drake, or similar)
* Experience in finger actuation, under\-actuation, active and passive compliance
* Experience in tactile sensing
**PREFERRED QUALIFICATIONS**
----------------------------
* Experience programming in Java, C\+\+, Python or related language
* Experience working effectively across cross\-functional teams and partnering well with people at all levels within an organization
* PhD in Robotics, with focus on mechanical design and robot control
* Experience in tendon\-driven, electrical and series elastic actuators
\- Experience Matlab \- Simulink / Real time workshop  
* Background in real\-time control, particularly in torque / impedance control and contact\-rich manipulation
* Experience with grasp planning
* Experience in ROS/ROS2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t>
        </is>
      </c>
    </row>
    <row r="80">
      <c r="A80" t="inlineStr">
        <is>
          <t>in-56f9bd0e4153d1b4</t>
        </is>
      </c>
      <c r="B80" t="inlineStr">
        <is>
          <t>Principal Applied Scientist, Sponsored Products and Brands</t>
        </is>
      </c>
      <c r="C80" t="inlineStr">
        <is>
          <t>Amazon.com</t>
        </is>
      </c>
      <c r="D80" t="inlineStr">
        <is>
          <t>indeed</t>
        </is>
      </c>
      <c r="E80" t="inlineStr"/>
      <c r="F80" t="inlineStr"/>
      <c r="G80" t="inlineStr">
        <is>
          <t>Seattle, WA, US</t>
        </is>
      </c>
      <c r="H80" s="1" t="n">
        <v>45979</v>
      </c>
      <c r="I80"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in-eb9d9ad8c49cf0b8</t>
        </is>
      </c>
      <c r="B81" t="inlineStr">
        <is>
          <t>Principal Applied Scientist, Sponsored Products and Brands</t>
        </is>
      </c>
      <c r="C81" t="inlineStr">
        <is>
          <t>Amazon.com</t>
        </is>
      </c>
      <c r="D81" t="inlineStr">
        <is>
          <t>indeed</t>
        </is>
      </c>
      <c r="E81" t="inlineStr"/>
      <c r="F81" t="inlineStr"/>
      <c r="G81" t="inlineStr">
        <is>
          <t>New York, NY, US</t>
        </is>
      </c>
      <c r="H81" s="1" t="n">
        <v>45979</v>
      </c>
      <c r="I81"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in-1252e809f3cf52dd</t>
        </is>
      </c>
      <c r="B82" t="inlineStr">
        <is>
          <t>Applied Scientist, Personalization, DTx Science</t>
        </is>
      </c>
      <c r="C82" t="inlineStr">
        <is>
          <t>Amazon.com</t>
        </is>
      </c>
      <c r="D82" t="inlineStr">
        <is>
          <t>indeed</t>
        </is>
      </c>
      <c r="E82" t="inlineStr"/>
      <c r="F82" t="inlineStr"/>
      <c r="G82" t="inlineStr">
        <is>
          <t>Seattle, WA, US</t>
        </is>
      </c>
      <c r="H82" s="1" t="n">
        <v>45979</v>
      </c>
      <c r="I82"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83">
      <c r="A83" t="inlineStr">
        <is>
          <t>in-4d389018e399f615</t>
        </is>
      </c>
      <c r="B83" t="inlineStr">
        <is>
          <t>Applied Scientist, Personalization, DTx Science</t>
        </is>
      </c>
      <c r="C83" t="inlineStr">
        <is>
          <t>Amazon.com</t>
        </is>
      </c>
      <c r="D83" t="inlineStr">
        <is>
          <t>indeed</t>
        </is>
      </c>
      <c r="E83" t="inlineStr"/>
      <c r="F83" t="inlineStr"/>
      <c r="G83" t="inlineStr">
        <is>
          <t>New York, NY, US</t>
        </is>
      </c>
      <c r="H83" s="1" t="n">
        <v>45979</v>
      </c>
      <c r="I83"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84">
      <c r="A84" t="inlineStr">
        <is>
          <t>in-67a105b2c193172b</t>
        </is>
      </c>
      <c r="B84" t="inlineStr">
        <is>
          <t>Senior Applied Scientist, Sponsored Products and Brands</t>
        </is>
      </c>
      <c r="C84" t="inlineStr">
        <is>
          <t>Amazon.com</t>
        </is>
      </c>
      <c r="D84" t="inlineStr">
        <is>
          <t>indeed</t>
        </is>
      </c>
      <c r="E84" t="inlineStr"/>
      <c r="F84" t="inlineStr"/>
      <c r="G84" t="inlineStr">
        <is>
          <t>New York, NY, US</t>
        </is>
      </c>
      <c r="H84" s="1" t="n">
        <v>45979</v>
      </c>
      <c r="I84"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85">
      <c r="A85" t="inlineStr">
        <is>
          <t>in-e6b39e68cef5d19e</t>
        </is>
      </c>
      <c r="B85" t="inlineStr">
        <is>
          <t>Senior Applied Scientist, Sponsored Products and Brands</t>
        </is>
      </c>
      <c r="C85" t="inlineStr">
        <is>
          <t>Amazon.com</t>
        </is>
      </c>
      <c r="D85" t="inlineStr">
        <is>
          <t>indeed</t>
        </is>
      </c>
      <c r="E85" t="inlineStr"/>
      <c r="F85" t="inlineStr"/>
      <c r="G85" t="inlineStr">
        <is>
          <t>Seattle, WA, US</t>
        </is>
      </c>
      <c r="H85" s="1" t="n">
        <v>45979</v>
      </c>
      <c r="I85"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86">
      <c r="A86" t="inlineStr">
        <is>
          <t>in-33ca5478128b28bc</t>
        </is>
      </c>
      <c r="B86" t="inlineStr">
        <is>
          <t>Applied Scientist II, Prime Video Personalization and Discovery Science</t>
        </is>
      </c>
      <c r="C86" t="inlineStr">
        <is>
          <t>Amazon.com</t>
        </is>
      </c>
      <c r="D86" t="inlineStr">
        <is>
          <t>indeed</t>
        </is>
      </c>
      <c r="E86" t="inlineStr"/>
      <c r="F86" t="inlineStr"/>
      <c r="G86" t="inlineStr">
        <is>
          <t>New York, NY, US</t>
        </is>
      </c>
      <c r="H86" s="1" t="n">
        <v>45978</v>
      </c>
      <c r="I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87">
      <c r="A87" t="inlineStr">
        <is>
          <t>in-dd58bcea9a24c962</t>
        </is>
      </c>
      <c r="B87" t="inlineStr">
        <is>
          <t>Applied Scientist II, Prime Video Personalization and Discovery Science</t>
        </is>
      </c>
      <c r="C87" t="inlineStr">
        <is>
          <t>Amazon.com</t>
        </is>
      </c>
      <c r="D87" t="inlineStr">
        <is>
          <t>indeed</t>
        </is>
      </c>
      <c r="E87" t="inlineStr"/>
      <c r="F87" t="inlineStr"/>
      <c r="G87" t="inlineStr">
        <is>
          <t>Sunnyvale, CA, US</t>
        </is>
      </c>
      <c r="H87" s="1" t="n">
        <v>45978</v>
      </c>
      <c r="I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88">
      <c r="A88" t="inlineStr">
        <is>
          <t>in-e0e668540c7ad412</t>
        </is>
      </c>
      <c r="B88" t="inlineStr">
        <is>
          <t>Applied Scientist II, Prime Video Personalization and Discovery Science</t>
        </is>
      </c>
      <c r="C88" t="inlineStr">
        <is>
          <t>Amazon.com</t>
        </is>
      </c>
      <c r="D88" t="inlineStr">
        <is>
          <t>indeed</t>
        </is>
      </c>
      <c r="E88" t="inlineStr"/>
      <c r="F88" t="inlineStr"/>
      <c r="G88" t="inlineStr">
        <is>
          <t>Seattle, WA, US</t>
        </is>
      </c>
      <c r="H88" s="1" t="n">
        <v>45978</v>
      </c>
      <c r="I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89">
      <c r="A89" t="inlineStr">
        <is>
          <t>in-8bd796243c8bfd95</t>
        </is>
      </c>
      <c r="B89" t="inlineStr">
        <is>
          <t>Sr. Applied Scientist, Sponsored Products</t>
        </is>
      </c>
      <c r="C89" t="inlineStr">
        <is>
          <t>Amazon.com</t>
        </is>
      </c>
      <c r="D89" t="inlineStr">
        <is>
          <t>indeed</t>
        </is>
      </c>
      <c r="E89" t="inlineStr"/>
      <c r="F89" t="inlineStr"/>
      <c r="G89" t="inlineStr">
        <is>
          <t>New York, NY, US</t>
        </is>
      </c>
      <c r="H89" s="1" t="n">
        <v>45976</v>
      </c>
      <c r="I89"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90">
      <c r="A90" t="inlineStr">
        <is>
          <t>in-fe921540321d8730</t>
        </is>
      </c>
      <c r="B90" t="inlineStr">
        <is>
          <t>Sr. Applied Scientist, Sponsored Products</t>
        </is>
      </c>
      <c r="C90" t="inlineStr">
        <is>
          <t>Amazon.com</t>
        </is>
      </c>
      <c r="D90" t="inlineStr">
        <is>
          <t>indeed</t>
        </is>
      </c>
      <c r="E90" t="inlineStr"/>
      <c r="F90" t="inlineStr"/>
      <c r="G90" t="inlineStr">
        <is>
          <t>Arlington, VA, US</t>
        </is>
      </c>
      <c r="H90" s="1" t="n">
        <v>45976</v>
      </c>
      <c r="I90"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91">
      <c r="A91" t="inlineStr">
        <is>
          <t>in-f4efc82277e8f98f</t>
        </is>
      </c>
      <c r="B91" t="inlineStr">
        <is>
          <t>Sr. Applied Scientist, Sponsored Products</t>
        </is>
      </c>
      <c r="C91" t="inlineStr">
        <is>
          <t>Amazon.com</t>
        </is>
      </c>
      <c r="D91" t="inlineStr">
        <is>
          <t>indeed</t>
        </is>
      </c>
      <c r="E91" t="inlineStr"/>
      <c r="F91" t="inlineStr"/>
      <c r="G91" t="inlineStr">
        <is>
          <t>Seattle, WA, US</t>
        </is>
      </c>
      <c r="H91" s="1" t="n">
        <v>45976</v>
      </c>
      <c r="I91"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92">
      <c r="A92" t="inlineStr">
        <is>
          <t>in-ba60642755b874a8</t>
        </is>
      </c>
      <c r="B92" t="inlineStr">
        <is>
          <t>Applied Scientist II, Amazon Industrial Robotics</t>
        </is>
      </c>
      <c r="C92" t="inlineStr">
        <is>
          <t>Amazon.com</t>
        </is>
      </c>
      <c r="D92" t="inlineStr">
        <is>
          <t>indeed</t>
        </is>
      </c>
      <c r="E92" t="inlineStr"/>
      <c r="F92" t="inlineStr"/>
      <c r="G92" t="inlineStr">
        <is>
          <t>Reading, MA, US</t>
        </is>
      </c>
      <c r="H92" s="1" t="n">
        <v>45973</v>
      </c>
      <c r="I92"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 We are pioneering the development of robotics dexterous end\-effectors that:
* Enable unprecedented generalization across diverse tasks
* Are compliant but at the same time impact resistant
* Can enable power grasps with the same reliability as fine dexterity and nonprehensile manipulation
* Can naturally cope with the uncertainty of the environment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novel highly dexterous and reliable robotic dexterous hand morphologies
* Develop parallel paths for rapid finger design and prototyping combining different actuation and sensing technologies as well as different finger morphologies
* Develop new testing and validation strategies to support fast continuous integration and modularity
* Build and test full hand prototypes to validate the performance of the solution
* Create hybrid approaches combining different actuation technologies, under\-actuation, active and passive compliance
* Hand integration into rest of the embodiment
* Partner with cross\-functional teams to rapidly create new concepts and prototypes
* Work with Amazon's robotics engineering and operations teams to grasp their requirements and develop tailored solutions
* Document the designs, performance, and validation of the final system
**BASIC QUALIFICATIONS**
------------------------
* PhD, or Master's degree and 4\+ years of CS, CE, ML or related field experience
* Experience using one or more of the following technologies (e.g., AutoCAD, Rhino, Revit, SolidWorks, CREO, SketchUp, KeyShot, etc.) to deliver high quality models and designs
* Experience applying theoretical models in an applied environment
* Experience in finger actuation, under\-actuation, active and passive compliance
* Experience in tactile sensing
**PREFERRED QUALIFICATIONS**
----------------------------
* Experience programming in Java, C\+\+, Python or related language
* Experience with at least one of the following: Matlab, R, Python, Stata
* Experience working effectively across cross\-functional teams and partnering well with people at all levels within an organization
* PhD in Robotics, with focus on mechanical design and robot control
* Experience in tendon\-driven, electrical and series elastic actuators
* Background in real\-time control, particularly in torque / impedance control and contact\-rich manipulation
* Experience with grasp planning
* Experience in ROS/ROS2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t>
        </is>
      </c>
    </row>
    <row r="93">
      <c r="A93" t="inlineStr">
        <is>
          <t>in-31e5afaa7a02767a</t>
        </is>
      </c>
      <c r="B93" t="inlineStr">
        <is>
          <t>Zappos Data Scientist III, Zappos/Shopbop Catalog Engineering</t>
        </is>
      </c>
      <c r="C93" t="inlineStr">
        <is>
          <t>Amazon.com</t>
        </is>
      </c>
      <c r="D93" t="inlineStr">
        <is>
          <t>indeed</t>
        </is>
      </c>
      <c r="E93" t="inlineStr"/>
      <c r="F93" t="inlineStr"/>
      <c r="G93" t="inlineStr">
        <is>
          <t>New York, NY, US</t>
        </is>
      </c>
      <c r="H93" s="1" t="n">
        <v>45965</v>
      </c>
      <c r="I93" t="inlineStr">
        <is>
          <t>**DESCRIPTION**
---------------
As a Data Scientist on the Shopbop/Zappos Catalog Tech team, you will design and implement scientific approaches to revolutionize how we manage and enhance our product catalog data for our world\-class selection of Shoes, Kids, and Active wear. You will work with Zappos' Senior leadership team to solve complex data challenges through advanced analytics and machine learning \- creating innovative solutions and influencing product decisions through data\-driven insights. You will lead critical initiatives to reduce catalog errors, accelerate product data capture, and develop state\-of\-the\-art image classification systems for fashion features. You will partner daily with engineering teams and business stakeholders to provide expert guidance on model selection and implementation. As a member of the Zappos technical staff, you will leverage machine learning technologies and have access to industry leaders in AI/ML and E\-Commerce to help grow your expertise. You will also routinely collaborate with data science teams across our sister companies at Amazon.com and Shopbop.com. You will push the boundaries of what's possible with applied machine learning and bring innovative solutions to bear for customers (including computer vision, NLP, and advanced ML models). You will think big about how data science can transform our catalog operations and be persistent in delivering robust, scalable solutions.  
Key job responsibilities  
Design and implement machine learning approaches to improve catalog data quality. Develop and validate scientific methodologies for automated data capture and classification. Partner with engineering teams to integrate ML models into production systems. Create and present analysis that drives decision\-making at the senior leadership level.  
A day in the life  
You start the day reviewing model performance metrics, noting some drift in the image classification system that needs investigation. You spend the morning developing a new approach to reduce product attribute errors using recent advances in LLMs. In the afternoon, you meet with engineering teams to advise on model architecture for a new feature, and wrap up by analyzing the results of your latest A/B test on data capture efficiency improvements.  
About the team  
Zappos/Shopbop Catalog Tech team owns the software that drives our photostudio, product cataloging, and integration to Amazon's marketplace. We use Amazon's Leadership Principals and Engineering Expertise but have our own fun vibe. We are located in Madison WI, and Las Vegas NV.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\- 175,100\.00 \- 236,900\.00 USD annually  
USA, WI, Madison \- 159,200\.00 \- 215,300\.00 USD annually</t>
        </is>
      </c>
    </row>
    <row r="94">
      <c r="A94" t="inlineStr">
        <is>
          <t>in-063c3bf46a787568</t>
        </is>
      </c>
      <c r="B94" t="inlineStr">
        <is>
          <t>Zappos Data Scientist III, Zappos/Shopbop Catalog Engineering</t>
        </is>
      </c>
      <c r="C94" t="inlineStr">
        <is>
          <t>Amazon.com</t>
        </is>
      </c>
      <c r="D94" t="inlineStr">
        <is>
          <t>indeed</t>
        </is>
      </c>
      <c r="E94" t="inlineStr"/>
      <c r="F94" t="inlineStr"/>
      <c r="G94" t="inlineStr">
        <is>
          <t>Madison, WI, US</t>
        </is>
      </c>
      <c r="H94" s="1" t="n">
        <v>45965</v>
      </c>
      <c r="I94" t="inlineStr">
        <is>
          <t>**DESCRIPTION**
---------------
As a Data Scientist on the Shopbop/Zappos Catalog Tech team, you will design and implement scientific approaches to revolutionize how we manage and enhance our product catalog data for our world\-class selection of Shoes, Kids, and Active wear. You will work with Zappos' Senior leadership team to solve complex data challenges through advanced analytics and machine learning \- creating innovative solutions and influencing product decisions through data\-driven insights. You will lead critical initiatives to reduce catalog errors, accelerate product data capture, and develop state\-of\-the\-art image classification systems for fashion features. You will partner daily with engineering teams and business stakeholders to provide expert guidance on model selection and implementation. As a member of the Zappos technical staff, you will leverage machine learning technologies and have access to industry leaders in AI/ML and E\-Commerce to help grow your expertise. You will also routinely collaborate with data science teams across our sister companies at Amazon.com and Shopbop.com. You will push the boundaries of what's possible with applied machine learning and bring innovative solutions to bear for customers (including computer vision, NLP, and advanced ML models). You will think big about how data science can transform our catalog operations and be persistent in delivering robust, scalable solutions.  
Key job responsibilities  
Design and implement machine learning approaches to improve catalog data quality. Develop and validate scientific methodologies for automated data capture and classification. Partner with engineering teams to integrate ML models into production systems. Create and present analysis that drives decision\-making at the senior leadership level.  
A day in the life  
You start the day reviewing model performance metrics, noting some drift in the image classification system that needs investigation. You spend the morning developing a new approach to reduce product attribute errors using recent advances in LLMs. In the afternoon, you meet with engineering teams to advise on model architecture for a new feature, and wrap up by analyzing the results of your latest A/B test on data capture efficiency improvements.  
About the team  
Zappos/Shopbop Catalog Tech team owns the software that drives our photostudio, product cataloging, and integration to Amazon's marketplace. We use Amazon's Leadership Principals and Engineering Expertise but have our own fun vibe. We are located in Madison WI, and Las Vegas NV.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\- 175,100\.00 \- 236,900\.00 USD annually  
USA, WI, Madison \- 159,200\.00 \- 215,300\.00 USD annually</t>
        </is>
      </c>
    </row>
    <row r="95">
      <c r="A95" t="inlineStr">
        <is>
          <t>in-b735805f7314f67f</t>
        </is>
      </c>
      <c r="B95" t="inlineStr">
        <is>
          <t>Applied Scientist, Sponsored Products and Brands</t>
        </is>
      </c>
      <c r="C95" t="inlineStr">
        <is>
          <t>Amazon.com</t>
        </is>
      </c>
      <c r="D95" t="inlineStr">
        <is>
          <t>indeed</t>
        </is>
      </c>
      <c r="E95" t="inlineStr"/>
      <c r="F95" t="inlineStr"/>
      <c r="G95" t="inlineStr">
        <is>
          <t>New York, NY, US</t>
        </is>
      </c>
      <c r="H95" s="1" t="n">
        <v>45965</v>
      </c>
      <c r="I95"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96">
      <c r="A96" t="inlineStr">
        <is>
          <t>in-52a34a9135b84250</t>
        </is>
      </c>
      <c r="B96" t="inlineStr">
        <is>
          <t>Applied Scientist, Sponsored Products and Brands</t>
        </is>
      </c>
      <c r="C96" t="inlineStr">
        <is>
          <t>Amazon.com</t>
        </is>
      </c>
      <c r="D96" t="inlineStr">
        <is>
          <t>indeed</t>
        </is>
      </c>
      <c r="E96" t="inlineStr"/>
      <c r="F96" t="inlineStr"/>
      <c r="G96" t="inlineStr">
        <is>
          <t>Seattle, WA, US</t>
        </is>
      </c>
      <c r="H96" s="1" t="n">
        <v>45965</v>
      </c>
      <c r="I96"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97">
      <c r="A97" t="inlineStr">
        <is>
          <t>in-e1e240d313cd9389</t>
        </is>
      </c>
      <c r="B97" t="inlineStr">
        <is>
          <t>Applied Scientist, AWS Agentic AI</t>
        </is>
      </c>
      <c r="C97" t="inlineStr">
        <is>
          <t>Amazon Web Services</t>
        </is>
      </c>
      <c r="D97" t="inlineStr">
        <is>
          <t>indeed</t>
        </is>
      </c>
      <c r="E97" t="inlineStr"/>
      <c r="F97" t="inlineStr"/>
      <c r="G97" t="inlineStr">
        <is>
          <t>New York, NY, US</t>
        </is>
      </c>
      <c r="H97" s="1" t="n">
        <v>45962</v>
      </c>
      <c r="I97"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in-434b0387507addcf</t>
        </is>
      </c>
      <c r="B98" t="inlineStr">
        <is>
          <t>Applied Scientist, AWS Agentic AI</t>
        </is>
      </c>
      <c r="C98" t="inlineStr">
        <is>
          <t>Amazon Web Services</t>
        </is>
      </c>
      <c r="D98" t="inlineStr">
        <is>
          <t>indeed</t>
        </is>
      </c>
      <c r="E98" t="inlineStr"/>
      <c r="F98" t="inlineStr"/>
      <c r="G98" t="inlineStr">
        <is>
          <t>Santa Clara, CA, US</t>
        </is>
      </c>
      <c r="H98" s="1" t="n">
        <v>45962</v>
      </c>
      <c r="I98"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in-ffc989eb5219787c</t>
        </is>
      </c>
      <c r="B99" t="inlineStr">
        <is>
          <t>Applied Scientist, AWS Agentic AI</t>
        </is>
      </c>
      <c r="C99" t="inlineStr">
        <is>
          <t>Amazon Web Services</t>
        </is>
      </c>
      <c r="D99" t="inlineStr">
        <is>
          <t>indeed</t>
        </is>
      </c>
      <c r="E99" t="inlineStr"/>
      <c r="F99" t="inlineStr"/>
      <c r="G99" t="inlineStr">
        <is>
          <t>Seattle, WA, US</t>
        </is>
      </c>
      <c r="H99" s="1" t="n">
        <v>45962</v>
      </c>
      <c r="I99"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in-ea3227121f339bb3</t>
        </is>
      </c>
      <c r="B100" t="inlineStr">
        <is>
          <t>Applied Scientist, AI Automation, Prime Video</t>
        </is>
      </c>
      <c r="C100" t="inlineStr">
        <is>
          <t>Amazon.com</t>
        </is>
      </c>
      <c r="D100" t="inlineStr">
        <is>
          <t>indeed</t>
        </is>
      </c>
      <c r="E100" t="inlineStr"/>
      <c r="F100" t="inlineStr"/>
      <c r="G100" t="inlineStr">
        <is>
          <t>Culver City, CA, US</t>
        </is>
      </c>
      <c r="H100" s="1" t="n">
        <v>45949</v>
      </c>
      <c r="I1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forming a new organization within Prime Video to redefine our operational landscape through the power of artificial intelligence. As a Applied Scientist within this initiative, you will be a technical leader helping to design and build the intelligent systems that power our vision. You will tackle complex and ambiguous problems, designing and delivering scalable and resilient agentic AI and ML solutions from the ground up. You will not only write high\-quality, maintainable software and models, but also mentor other scientists, influence our technical strategy, and drive engineering best practices across the team. Your work will directly contribute to making Prime Video's operations more efficient and will set the technical foundation for years to come.  
Key job responsibilities  
* Lead the design and architecture of highly scalable, available, and resilient services for our AI automation platform.
* Write high\-quality, maintainable, and robust code to solve complex business problems, building flexible systems without over\-engineering.
* Act as a technical leader and mentor for other engineers on the team, assisting with career growth and encouraging excellence.
* Work through ambiguous requirements, cut through complexity, and translate business needs into scalable technical solutions.
* Take ownership of the full software development lifecycle, including design, testing, deployment, and operations.
* Work closely with product managers, scientists, and other engineers to build and launch new features and systems.
About the team  
This role offers a unique opportunity to shape the future of one of Amazon's most exciting businesses through the application of AI technologies. If you're passionate about leveraging AI to drive real\-world impact at massive scale, we want to hear from you.**BASIC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in-a8632ee5737055d9</t>
        </is>
      </c>
      <c r="B101" t="inlineStr">
        <is>
          <t>Applied Scientist, AI Automation, Prime Video</t>
        </is>
      </c>
      <c r="C101" t="inlineStr">
        <is>
          <t>Amazon.com</t>
        </is>
      </c>
      <c r="D101" t="inlineStr">
        <is>
          <t>indeed</t>
        </is>
      </c>
      <c r="E101" t="inlineStr"/>
      <c r="F101" t="inlineStr"/>
      <c r="G101" t="inlineStr">
        <is>
          <t>Seattle, WA, US</t>
        </is>
      </c>
      <c r="H101" s="1" t="n">
        <v>45949</v>
      </c>
      <c r="I1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forming a new organization within Prime Video to redefine our operational landscape through the power of artificial intelligence. As a Applied Scientist within this initiative, you will be a technical leader helping to design and build the intelligent systems that power our vision. You will tackle complex and ambiguous problems, designing and delivering scalable and resilient agentic AI and ML solutions from the ground up. You will not only write high\-quality, maintainable software and models, but also mentor other scientists, influence our technical strategy, and drive engineering best practices across the team. Your work will directly contribute to making Prime Video's operations more efficient and will set the technical foundation for years to come.  
Key job responsibilities  
* Lead the design and architecture of highly scalable, available, and resilient services for our AI automation platform.
* Write high\-quality, maintainable, and robust code to solve complex business problems, building flexible systems without over\-engineering.
* Act as a technical leader and mentor for other engineers on the team, assisting with career growth and encouraging excellence.
* Work through ambiguous requirements, cut through complexity, and translate business needs into scalable technical solutions.
* Take ownership of the full software development lifecycle, including design, testing, deployment, and operations.
* Work closely with product managers, scientists, and other engineers to build and launch new features and systems.
About the team  
This role offers a unique opportunity to shape the future of one of Amazon's most exciting businesses through the application of AI technologies. If you're passionate about leveraging AI to drive real\-world impact at massive scale, we want to hear from you.**BASIC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in-8ab6f27da8cef310</t>
        </is>
      </c>
      <c r="B102" t="inlineStr">
        <is>
          <t>Principal Applied Scientist, Advertiser Growth, Amazon Sponsored Products &amp; Brands</t>
        </is>
      </c>
      <c r="C102" t="inlineStr">
        <is>
          <t>Amazon.com</t>
        </is>
      </c>
      <c r="D102" t="inlineStr">
        <is>
          <t>indeed</t>
        </is>
      </c>
      <c r="E102" t="inlineStr"/>
      <c r="F102" t="inlineStr"/>
      <c r="G102" t="inlineStr">
        <is>
          <t>New York, NY, US</t>
        </is>
      </c>
      <c r="H102" s="1" t="n">
        <v>45942</v>
      </c>
      <c r="I10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in-e504d996985e6270</t>
        </is>
      </c>
      <c r="B103" t="inlineStr">
        <is>
          <t>Principal Applied Scientist, Advertiser Growth, Amazon Sponsored Products &amp; Brands</t>
        </is>
      </c>
      <c r="C103" t="inlineStr">
        <is>
          <t>Amazon.com</t>
        </is>
      </c>
      <c r="D103" t="inlineStr">
        <is>
          <t>indeed</t>
        </is>
      </c>
      <c r="E103" t="inlineStr"/>
      <c r="F103" t="inlineStr"/>
      <c r="G103" t="inlineStr">
        <is>
          <t>Palo Alto, CA, US</t>
        </is>
      </c>
      <c r="H103" s="1" t="n">
        <v>45942</v>
      </c>
      <c r="I10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in-6d212ca64a81c985</t>
        </is>
      </c>
      <c r="B104" t="inlineStr">
        <is>
          <t>Principal Applied Scientist, Advertiser Growth, Amazon Sponsored Products &amp; Brands</t>
        </is>
      </c>
      <c r="C104" t="inlineStr">
        <is>
          <t>Amazon.com</t>
        </is>
      </c>
      <c r="D104" t="inlineStr">
        <is>
          <t>indeed</t>
        </is>
      </c>
      <c r="E104" t="inlineStr"/>
      <c r="F104" t="inlineStr"/>
      <c r="G104" t="inlineStr">
        <is>
          <t>Seattle, WA, US</t>
        </is>
      </c>
      <c r="H104" s="1" t="n">
        <v>45942</v>
      </c>
      <c r="I10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in-f67062669b78b076</t>
        </is>
      </c>
      <c r="B105" t="inlineStr">
        <is>
          <t>Applied Scientist, Workplace Health &amp; Safety</t>
        </is>
      </c>
      <c r="C105" t="inlineStr">
        <is>
          <t>Amazon.com</t>
        </is>
      </c>
      <c r="D105" t="inlineStr">
        <is>
          <t>indeed</t>
        </is>
      </c>
      <c r="E105" t="inlineStr"/>
      <c r="F105" t="inlineStr"/>
      <c r="G105" t="inlineStr">
        <is>
          <t>Nashville, TN, US</t>
        </is>
      </c>
      <c r="H105" s="1" t="n">
        <v>45917</v>
      </c>
      <c r="I105"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in-712846a8ea1f8760</t>
        </is>
      </c>
      <c r="B106" t="inlineStr">
        <is>
          <t>Applied Scientist, Workplace Health &amp; Safety</t>
        </is>
      </c>
      <c r="C106" t="inlineStr">
        <is>
          <t>Amazon.com</t>
        </is>
      </c>
      <c r="D106" t="inlineStr">
        <is>
          <t>indeed</t>
        </is>
      </c>
      <c r="E106" t="inlineStr"/>
      <c r="F106" t="inlineStr"/>
      <c r="G106" t="inlineStr">
        <is>
          <t>Bellevue, WA, US</t>
        </is>
      </c>
      <c r="H106" s="1" t="n">
        <v>45917</v>
      </c>
      <c r="I106"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in-56a5e12654ce5eb2</t>
        </is>
      </c>
      <c r="B107" t="inlineStr">
        <is>
          <t>Sr. Applied Scientist, Prime Video - Personalization and Discovery Science</t>
        </is>
      </c>
      <c r="C107" t="inlineStr">
        <is>
          <t>Amazon.com</t>
        </is>
      </c>
      <c r="D107" t="inlineStr">
        <is>
          <t>indeed</t>
        </is>
      </c>
      <c r="E107" t="inlineStr"/>
      <c r="F107" t="inlineStr"/>
      <c r="G107" t="inlineStr">
        <is>
          <t>Sunnyvale, CA, US</t>
        </is>
      </c>
      <c r="H107" s="1" t="n">
        <v>45896</v>
      </c>
      <c r="I10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08">
      <c r="A108" t="inlineStr">
        <is>
          <t>in-2898e6bfeec111e8</t>
        </is>
      </c>
      <c r="B108" t="inlineStr">
        <is>
          <t>Sr. Applied Scientist, Prime Video - Personalization and Discovery Science</t>
        </is>
      </c>
      <c r="C108" t="inlineStr">
        <is>
          <t>Amazon.com</t>
        </is>
      </c>
      <c r="D108" t="inlineStr">
        <is>
          <t>indeed</t>
        </is>
      </c>
      <c r="E108" t="inlineStr"/>
      <c r="F108" t="inlineStr"/>
      <c r="G108" t="inlineStr">
        <is>
          <t>New York, NY, US</t>
        </is>
      </c>
      <c r="H108" s="1" t="n">
        <v>45896</v>
      </c>
      <c r="I10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09">
      <c r="A109" t="inlineStr">
        <is>
          <t>in-e6a4e52f40977b80</t>
        </is>
      </c>
      <c r="B109" t="inlineStr">
        <is>
          <t>Sr. Applied Scientist, Prime Video - Personalization and Discovery Science</t>
        </is>
      </c>
      <c r="C109" t="inlineStr">
        <is>
          <t>Amazon.com</t>
        </is>
      </c>
      <c r="D109" t="inlineStr">
        <is>
          <t>indeed</t>
        </is>
      </c>
      <c r="E109" t="inlineStr"/>
      <c r="F109" t="inlineStr"/>
      <c r="G109" t="inlineStr">
        <is>
          <t>Seattle, WA, US</t>
        </is>
      </c>
      <c r="H109" s="1" t="n">
        <v>45896</v>
      </c>
      <c r="I10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10">
      <c r="A110" t="inlineStr">
        <is>
          <t>in-dafcbdc85b36db9d</t>
        </is>
      </c>
      <c r="B110" t="inlineStr">
        <is>
          <t>Applied Scientist II, Prime Video , Personalization and Discovery Science</t>
        </is>
      </c>
      <c r="C110" t="inlineStr">
        <is>
          <t>Amazon.com</t>
        </is>
      </c>
      <c r="D110" t="inlineStr">
        <is>
          <t>indeed</t>
        </is>
      </c>
      <c r="E110" t="inlineStr"/>
      <c r="F110" t="inlineStr"/>
      <c r="G110" t="inlineStr">
        <is>
          <t>New York, NY, US</t>
        </is>
      </c>
      <c r="H110" s="1" t="n">
        <v>45886</v>
      </c>
      <c r="I1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111">
      <c r="A111" t="inlineStr">
        <is>
          <t>in-22b9251d309e7608</t>
        </is>
      </c>
      <c r="B111" t="inlineStr">
        <is>
          <t>Applied Scientist II, Prime Video , Personalization and Discovery Science</t>
        </is>
      </c>
      <c r="C111" t="inlineStr">
        <is>
          <t>Amazon.com</t>
        </is>
      </c>
      <c r="D111" t="inlineStr">
        <is>
          <t>indeed</t>
        </is>
      </c>
      <c r="E111" t="inlineStr"/>
      <c r="F111" t="inlineStr"/>
      <c r="G111" t="inlineStr">
        <is>
          <t>Seattle, WA, US</t>
        </is>
      </c>
      <c r="H111" s="1" t="n">
        <v>45886</v>
      </c>
      <c r="I1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112">
      <c r="A112" t="inlineStr">
        <is>
          <t>in-b8b5f5d6057bf936</t>
        </is>
      </c>
      <c r="B112" t="inlineStr">
        <is>
          <t>Applied Scientist II, Prime Video , Personalization and Discovery Science</t>
        </is>
      </c>
      <c r="C112" t="inlineStr">
        <is>
          <t>Amazon.com</t>
        </is>
      </c>
      <c r="D112" t="inlineStr">
        <is>
          <t>indeed</t>
        </is>
      </c>
      <c r="E112" t="inlineStr"/>
      <c r="F112" t="inlineStr"/>
      <c r="G112" t="inlineStr">
        <is>
          <t>Sunnyvale, CA, US</t>
        </is>
      </c>
      <c r="H112" s="1" t="n">
        <v>45886</v>
      </c>
      <c r="I1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113">
      <c r="A113" t="inlineStr">
        <is>
          <t>in-0ed751c8057644b7</t>
        </is>
      </c>
      <c r="B113" t="inlineStr">
        <is>
          <t>Sr. Applied Scientist, Prime Video - Personalization and Discovery Science</t>
        </is>
      </c>
      <c r="C113" t="inlineStr">
        <is>
          <t>Amazon.com</t>
        </is>
      </c>
      <c r="D113" t="inlineStr">
        <is>
          <t>indeed</t>
        </is>
      </c>
      <c r="E113" t="inlineStr"/>
      <c r="F113" t="inlineStr"/>
      <c r="G113" t="inlineStr">
        <is>
          <t>New York, NY, US</t>
        </is>
      </c>
      <c r="H113" s="1" t="n">
        <v>45886</v>
      </c>
      <c r="I1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in-c26e7801aead4d4f</t>
        </is>
      </c>
      <c r="B114" t="inlineStr">
        <is>
          <t>Sr. Applied Scientist, Prime Video - Personalization and Discovery Science</t>
        </is>
      </c>
      <c r="C114" t="inlineStr">
        <is>
          <t>Amazon.com</t>
        </is>
      </c>
      <c r="D114" t="inlineStr">
        <is>
          <t>indeed</t>
        </is>
      </c>
      <c r="E114" t="inlineStr"/>
      <c r="F114" t="inlineStr"/>
      <c r="G114" t="inlineStr">
        <is>
          <t>Sunnyvale, CA, US</t>
        </is>
      </c>
      <c r="H114" s="1" t="n">
        <v>45886</v>
      </c>
      <c r="I1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in-39748e7e1bc73ffa</t>
        </is>
      </c>
      <c r="B115" t="inlineStr">
        <is>
          <t>Sr. Applied Scientist, Prime Video - Personalization and Discovery Science</t>
        </is>
      </c>
      <c r="C115" t="inlineStr">
        <is>
          <t>Amazon.com</t>
        </is>
      </c>
      <c r="D115" t="inlineStr">
        <is>
          <t>indeed</t>
        </is>
      </c>
      <c r="E115" t="inlineStr"/>
      <c r="F115" t="inlineStr"/>
      <c r="G115" t="inlineStr">
        <is>
          <t>Seattle, WA, US</t>
        </is>
      </c>
      <c r="H115" s="1" t="n">
        <v>45886</v>
      </c>
      <c r="I1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in-930e6722f926cdf1</t>
        </is>
      </c>
      <c r="B116" t="inlineStr">
        <is>
          <t>Applied Scientist III, StoreGen</t>
        </is>
      </c>
      <c r="C116" t="inlineStr">
        <is>
          <t>Amazon.com</t>
        </is>
      </c>
      <c r="D116" t="inlineStr">
        <is>
          <t>indeed</t>
        </is>
      </c>
      <c r="E116" t="inlineStr"/>
      <c r="F116" t="inlineStr"/>
      <c r="G116" t="inlineStr">
        <is>
          <t>Sunnyvale, CA, US</t>
        </is>
      </c>
      <c r="H116" s="1" t="n">
        <v>45868</v>
      </c>
      <c r="I116"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in-93e5713f303946fe</t>
        </is>
      </c>
      <c r="B117" t="inlineStr">
        <is>
          <t>Applied Scientist III, StoreGen</t>
        </is>
      </c>
      <c r="C117" t="inlineStr">
        <is>
          <t>Amazon.com</t>
        </is>
      </c>
      <c r="D117" t="inlineStr">
        <is>
          <t>indeed</t>
        </is>
      </c>
      <c r="E117" t="inlineStr"/>
      <c r="F117" t="inlineStr"/>
      <c r="G117" t="inlineStr">
        <is>
          <t>Seattle, WA, US</t>
        </is>
      </c>
      <c r="H117" s="1" t="n">
        <v>45868</v>
      </c>
      <c r="I117"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in-ac0714470c6a1350</t>
        </is>
      </c>
      <c r="B118" t="inlineStr">
        <is>
          <t>Sr. Applied Scientist, Amazon Advertising</t>
        </is>
      </c>
      <c r="C118" t="inlineStr">
        <is>
          <t>Amazon.com</t>
        </is>
      </c>
      <c r="D118" t="inlineStr">
        <is>
          <t>indeed</t>
        </is>
      </c>
      <c r="E118" t="inlineStr"/>
      <c r="F118" t="inlineStr"/>
      <c r="G118" t="inlineStr">
        <is>
          <t>Simi Valley, CA, US</t>
        </is>
      </c>
      <c r="H118" s="1" t="n">
        <v>45851</v>
      </c>
      <c r="I11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in-d774f09d947685b8</t>
        </is>
      </c>
      <c r="B119" t="inlineStr">
        <is>
          <t>Sr. Applied Scientist, Amazon Advertising</t>
        </is>
      </c>
      <c r="C119" t="inlineStr">
        <is>
          <t>Amazon.com</t>
        </is>
      </c>
      <c r="D119" t="inlineStr">
        <is>
          <t>indeed</t>
        </is>
      </c>
      <c r="E119" t="inlineStr"/>
      <c r="F119" t="inlineStr"/>
      <c r="G119" t="inlineStr">
        <is>
          <t>Palo Alto, CA, US</t>
        </is>
      </c>
      <c r="H119" s="1" t="n">
        <v>45851</v>
      </c>
      <c r="I11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in-28394d4797c1d6c9</t>
        </is>
      </c>
      <c r="B120" t="inlineStr">
        <is>
          <t>Sr. Applied Scientist, Amazon Advertising</t>
        </is>
      </c>
      <c r="C120" t="inlineStr">
        <is>
          <t>Amazon.com</t>
        </is>
      </c>
      <c r="D120" t="inlineStr">
        <is>
          <t>indeed</t>
        </is>
      </c>
      <c r="E120" t="inlineStr"/>
      <c r="F120" t="inlineStr"/>
      <c r="G120" t="inlineStr">
        <is>
          <t>New York, NY, US</t>
        </is>
      </c>
      <c r="H120" s="1" t="n">
        <v>45851</v>
      </c>
      <c r="I12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in-13dc465c836b4e1a</t>
        </is>
      </c>
      <c r="B121" t="inlineStr">
        <is>
          <t>Sr. Applied Scientist, Amazon Advertising</t>
        </is>
      </c>
      <c r="C121" t="inlineStr">
        <is>
          <t>Amazon.com</t>
        </is>
      </c>
      <c r="D121" t="inlineStr">
        <is>
          <t>indeed</t>
        </is>
      </c>
      <c r="E121" t="inlineStr"/>
      <c r="F121" t="inlineStr"/>
      <c r="G121" t="inlineStr">
        <is>
          <t>Austin, TX, US</t>
        </is>
      </c>
      <c r="H121" s="1" t="n">
        <v>45851</v>
      </c>
      <c r="I12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in-33c8edb1ff76587b</t>
        </is>
      </c>
      <c r="B122" t="inlineStr">
        <is>
          <t>Sr. Applied Scientist, Amazon Advertising</t>
        </is>
      </c>
      <c r="C122" t="inlineStr">
        <is>
          <t>Amazon.com</t>
        </is>
      </c>
      <c r="D122" t="inlineStr">
        <is>
          <t>indeed</t>
        </is>
      </c>
      <c r="E122" t="inlineStr"/>
      <c r="F122" t="inlineStr"/>
      <c r="G122" t="inlineStr">
        <is>
          <t>Los Angeles, CA, US</t>
        </is>
      </c>
      <c r="H122" s="1" t="n">
        <v>45851</v>
      </c>
      <c r="I12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in-0826adfdf257a32b</t>
        </is>
      </c>
      <c r="B123" t="inlineStr">
        <is>
          <t>Sr. Applied Scientist, Amazon Advertising</t>
        </is>
      </c>
      <c r="C123" t="inlineStr">
        <is>
          <t>Amazon.com</t>
        </is>
      </c>
      <c r="D123" t="inlineStr">
        <is>
          <t>indeed</t>
        </is>
      </c>
      <c r="E123" t="inlineStr"/>
      <c r="F123" t="inlineStr"/>
      <c r="G123" t="inlineStr">
        <is>
          <t>West Hollywood, CA, US</t>
        </is>
      </c>
      <c r="H123" s="1" t="n">
        <v>45851</v>
      </c>
      <c r="I12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in-9abf41140809028b</t>
        </is>
      </c>
      <c r="B124" t="inlineStr">
        <is>
          <t>Sr. Applied Scientist, Amazon Advertising</t>
        </is>
      </c>
      <c r="C124" t="inlineStr">
        <is>
          <t>Amazon.com</t>
        </is>
      </c>
      <c r="D124" t="inlineStr">
        <is>
          <t>indeed</t>
        </is>
      </c>
      <c r="E124" t="inlineStr"/>
      <c r="F124" t="inlineStr"/>
      <c r="G124" t="inlineStr">
        <is>
          <t>Seattle, WA, US</t>
        </is>
      </c>
      <c r="H124" s="1" t="n">
        <v>45851</v>
      </c>
      <c r="I12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in-035dd001ce701453</t>
        </is>
      </c>
      <c r="B125" t="inlineStr">
        <is>
          <t>Sr. Applied Scientist, Amazon Advertising</t>
        </is>
      </c>
      <c r="C125" t="inlineStr">
        <is>
          <t>Amazon.com</t>
        </is>
      </c>
      <c r="D125" t="inlineStr">
        <is>
          <t>indeed</t>
        </is>
      </c>
      <c r="E125" t="inlineStr"/>
      <c r="F125" t="inlineStr"/>
      <c r="G125" t="inlineStr">
        <is>
          <t>Arlington, VA, US</t>
        </is>
      </c>
      <c r="H125" s="1" t="n">
        <v>45851</v>
      </c>
      <c r="I12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in-8abe57a6b096567e</t>
        </is>
      </c>
      <c r="B126" t="inlineStr">
        <is>
          <t>Sr. Applied Scientist, Sales AI</t>
        </is>
      </c>
      <c r="C126" t="inlineStr">
        <is>
          <t>Amazon.com</t>
        </is>
      </c>
      <c r="D126" t="inlineStr">
        <is>
          <t>indeed</t>
        </is>
      </c>
      <c r="E126" t="inlineStr"/>
      <c r="F126" t="inlineStr"/>
      <c r="G126" t="inlineStr">
        <is>
          <t>New York, NY, US</t>
        </is>
      </c>
      <c r="H126" s="1" t="n">
        <v>45830</v>
      </c>
      <c r="I126"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in-039061a68d11a300</t>
        </is>
      </c>
      <c r="B127" t="inlineStr">
        <is>
          <t>Sr. Applied Scientist, Sales AI</t>
        </is>
      </c>
      <c r="C127" t="inlineStr">
        <is>
          <t>Amazon.com</t>
        </is>
      </c>
      <c r="D127" t="inlineStr">
        <is>
          <t>indeed</t>
        </is>
      </c>
      <c r="E127" t="inlineStr"/>
      <c r="F127" t="inlineStr"/>
      <c r="G127" t="inlineStr">
        <is>
          <t>Seattle, WA, US</t>
        </is>
      </c>
      <c r="H127" s="1" t="n">
        <v>45830</v>
      </c>
      <c r="I127"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in-28a2a987470636f1</t>
        </is>
      </c>
      <c r="B128" t="inlineStr">
        <is>
          <t>Sr. Applied Scientist, Sales AI</t>
        </is>
      </c>
      <c r="C128" t="inlineStr">
        <is>
          <t>Amazon.com</t>
        </is>
      </c>
      <c r="D128" t="inlineStr">
        <is>
          <t>indeed</t>
        </is>
      </c>
      <c r="E128" t="inlineStr"/>
      <c r="F128" t="inlineStr"/>
      <c r="G128" t="inlineStr">
        <is>
          <t>Sunnyvale, CA, US</t>
        </is>
      </c>
      <c r="H128" s="1" t="n">
        <v>45830</v>
      </c>
      <c r="I128"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in-6b3ce0aa88182710</t>
        </is>
      </c>
      <c r="B129" t="inlineStr">
        <is>
          <t>Senior Applied Scientist, Delivery Foundation Model</t>
        </is>
      </c>
      <c r="C129" t="inlineStr">
        <is>
          <t>Amazon.com</t>
        </is>
      </c>
      <c r="D129" t="inlineStr">
        <is>
          <t>indeed</t>
        </is>
      </c>
      <c r="E129" t="inlineStr"/>
      <c r="F129" t="inlineStr"/>
      <c r="G129" t="inlineStr">
        <is>
          <t>Santa Clara, CA, US</t>
        </is>
      </c>
      <c r="H129" s="1" t="n">
        <v>45806</v>
      </c>
      <c r="I12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in-d68a96edbe942770</t>
        </is>
      </c>
      <c r="B130" t="inlineStr">
        <is>
          <t>Senior Applied Scientist, Delivery Foundation Model</t>
        </is>
      </c>
      <c r="C130" t="inlineStr">
        <is>
          <t>Amazon.com</t>
        </is>
      </c>
      <c r="D130" t="inlineStr">
        <is>
          <t>indeed</t>
        </is>
      </c>
      <c r="E130" t="inlineStr"/>
      <c r="F130" t="inlineStr"/>
      <c r="G130" t="inlineStr">
        <is>
          <t>New York, NY, US</t>
        </is>
      </c>
      <c r="H130" s="1" t="n">
        <v>45806</v>
      </c>
      <c r="I13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in-e742355e89fb9c42</t>
        </is>
      </c>
      <c r="B131" t="inlineStr">
        <is>
          <t>Senior Applied Scientist, Delivery Foundation Model</t>
        </is>
      </c>
      <c r="C131" t="inlineStr">
        <is>
          <t>Amazon.com</t>
        </is>
      </c>
      <c r="D131" t="inlineStr">
        <is>
          <t>indeed</t>
        </is>
      </c>
      <c r="E131" t="inlineStr"/>
      <c r="F131" t="inlineStr"/>
      <c r="G131" t="inlineStr">
        <is>
          <t>Bellevue, WA, US</t>
        </is>
      </c>
      <c r="H131" s="1" t="n">
        <v>45806</v>
      </c>
      <c r="I13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in-febb7247c4a1831d</t>
        </is>
      </c>
      <c r="B132" t="inlineStr">
        <is>
          <t>Sr. Applied Scientist - Privacy, Privacy Engineering</t>
        </is>
      </c>
      <c r="C132" t="inlineStr">
        <is>
          <t>Amazon.com</t>
        </is>
      </c>
      <c r="D132" t="inlineStr">
        <is>
          <t>indeed</t>
        </is>
      </c>
      <c r="E132" t="inlineStr"/>
      <c r="F132" t="inlineStr"/>
      <c r="G132" t="inlineStr">
        <is>
          <t>Sunnyvale, CA, US</t>
        </is>
      </c>
      <c r="H132" s="1" t="n">
        <v>45787</v>
      </c>
      <c r="I132"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in-22cc0f4efa7fc82a</t>
        </is>
      </c>
      <c r="B133" t="inlineStr">
        <is>
          <t>Sr. Applied Scientist - Privacy, Privacy Engineering</t>
        </is>
      </c>
      <c r="C133" t="inlineStr">
        <is>
          <t>Amazon.com</t>
        </is>
      </c>
      <c r="D133" t="inlineStr">
        <is>
          <t>indeed</t>
        </is>
      </c>
      <c r="E133" t="inlineStr"/>
      <c r="F133" t="inlineStr"/>
      <c r="G133" t="inlineStr">
        <is>
          <t>San Francisco, CA, US</t>
        </is>
      </c>
      <c r="H133" s="1" t="n">
        <v>45787</v>
      </c>
      <c r="I133"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in-7120fcfe71078b54</t>
        </is>
      </c>
      <c r="B134" t="inlineStr">
        <is>
          <t>Sr. Applied Scientist - Privacy, Privacy Engineering</t>
        </is>
      </c>
      <c r="C134" t="inlineStr">
        <is>
          <t>Amazon.com</t>
        </is>
      </c>
      <c r="D134" t="inlineStr">
        <is>
          <t>indeed</t>
        </is>
      </c>
      <c r="E134" t="inlineStr"/>
      <c r="F134" t="inlineStr"/>
      <c r="G134" t="inlineStr">
        <is>
          <t>Santa Clara, CA, US</t>
        </is>
      </c>
      <c r="H134" s="1" t="n">
        <v>45787</v>
      </c>
      <c r="I134"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in-96b9b496d857e525</t>
        </is>
      </c>
      <c r="B135" t="inlineStr">
        <is>
          <t>Sr. Applied Scientist - Privacy, Privacy Engineering</t>
        </is>
      </c>
      <c r="C135" t="inlineStr">
        <is>
          <t>Amazon.com</t>
        </is>
      </c>
      <c r="D135" t="inlineStr">
        <is>
          <t>indeed</t>
        </is>
      </c>
      <c r="E135" t="inlineStr"/>
      <c r="F135" t="inlineStr"/>
      <c r="G135" t="inlineStr">
        <is>
          <t>Seattle, WA, US</t>
        </is>
      </c>
      <c r="H135" s="1" t="n">
        <v>45787</v>
      </c>
      <c r="I135"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in-0a219d7cd45d52c4</t>
        </is>
      </c>
      <c r="B136" t="inlineStr">
        <is>
          <t>Sr. Data Scientist- Computer Vision, Data &amp; Machine Learning (DML)</t>
        </is>
      </c>
      <c r="C136" t="inlineStr">
        <is>
          <t>Amazon Web Services</t>
        </is>
      </c>
      <c r="D136" t="inlineStr">
        <is>
          <t>indeed</t>
        </is>
      </c>
      <c r="E136" t="inlineStr"/>
      <c r="F136" t="inlineStr"/>
      <c r="G136" t="inlineStr">
        <is>
          <t>Herndon, VA, US</t>
        </is>
      </c>
      <c r="H136" s="1" t="n">
        <v>46062</v>
      </c>
      <c r="I136"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Exploring the data and brainstorming and prioritizing ideas for model development  
Implementing new features in our sizable code base  
Training models in support of experimental or performance goals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5\+ years of data querying languages (e.g. SQL), scripting languages (e.g. Python) or statistical/mathematical software (e.g. R, SAS, Matlab, etc.) experience
* Knowledge of AWS tech stack (e.g., AWS Redshift, S3, EC2, Glue)
* Bachelor's degree in a quantitative field such as statistics, mathematics, data science, business analytics, economics, finance, engineering, or computer science
* 2\+ years of experience with machine learning, statistical modeling, data analysis tools and techniques, and performance parameters for computer vision delivery requirements
* Current, active US Government Security Clearance of Top Secret or above
**PREFERRED QUALIFICATIONS**
----------------------------
* 3\+ years of data visualization using AWS QuickSight, Tableau, R Shiny, etc. experience
* Experience managing data pipelines
* Experience as a leader and mentor on a data science team
* Master's degree in a quantitative field such as statistics, mathematics, data science, business analytics, economics, finance, engineering, or computer science
* Familiarity with internals of LLMs, VLMs, and traditional Computer Vision object detection models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\- 159,200\.00 \- 215,300\.00 USD annually  
USA, VA, Herndon \- 159,200\.00 \- 215,300\.00 USD annually</t>
        </is>
      </c>
    </row>
    <row r="137">
      <c r="A137" t="inlineStr">
        <is>
          <t>in-4c897116e1d99f2a</t>
        </is>
      </c>
      <c r="B137" t="inlineStr">
        <is>
          <t>Sr. Data Scientist- Computer Vision, Data &amp; Machine Learning (DML)</t>
        </is>
      </c>
      <c r="C137" t="inlineStr">
        <is>
          <t>Amazon Web Services</t>
        </is>
      </c>
      <c r="D137" t="inlineStr">
        <is>
          <t>indeed</t>
        </is>
      </c>
      <c r="E137" t="inlineStr"/>
      <c r="F137" t="inlineStr"/>
      <c r="G137" t="inlineStr">
        <is>
          <t>Arlington, VA, US</t>
        </is>
      </c>
      <c r="H137" s="1" t="n">
        <v>46062</v>
      </c>
      <c r="I137"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Exploring the data and brainstorming and prioritizing ideas for model development  
Implementing new features in our sizable code base  
Training models in support of experimental or performance goals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5\+ years of data querying languages (e.g. SQL), scripting languages (e.g. Python) or statistical/mathematical software (e.g. R, SAS, Matlab, etc.) experience
* Knowledge of AWS tech stack (e.g., AWS Redshift, S3, EC2, Glue)
* Bachelor's degree in a quantitative field such as statistics, mathematics, data science, business analytics, economics, finance, engineering, or computer science
* 2\+ years of experience with machine learning, statistical modeling, data analysis tools and techniques, and performance parameters for computer vision delivery requirements
* Current, active US Government Security Clearance of Top Secret or above
**PREFERRED QUALIFICATIONS**
----------------------------
* 3\+ years of data visualization using AWS QuickSight, Tableau, R Shiny, etc. experience
* Experience managing data pipelines
* Experience as a leader and mentor on a data science team
* Master's degree in a quantitative field such as statistics, mathematics, data science, business analytics, economics, finance, engineering, or computer science
* Familiarity with internals of LLMs, VLMs, and traditional Computer Vision object detection models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\- 159,200\.00 \- 215,300\.00 USD annually  
USA, VA, Herndon \- 159,200\.00 \- 215,300\.00 USD annually</t>
        </is>
      </c>
    </row>
    <row r="138">
      <c r="A138" t="inlineStr">
        <is>
          <t>in-2b73eab59b5277ab</t>
        </is>
      </c>
      <c r="B138" t="inlineStr">
        <is>
          <t>Data Scientist- Vision Language Model Researcher, Data &amp; Machine Learning (DML)</t>
        </is>
      </c>
      <c r="C138" t="inlineStr">
        <is>
          <t>Amazon Web Services</t>
        </is>
      </c>
      <c r="D138" t="inlineStr">
        <is>
          <t>indeed</t>
        </is>
      </c>
      <c r="E138" t="inlineStr"/>
      <c r="F138" t="inlineStr"/>
      <c r="G138" t="inlineStr">
        <is>
          <t>Arlington, VA, US</t>
        </is>
      </c>
      <c r="H138" s="1" t="n">
        <v>46051</v>
      </c>
      <c r="I138"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TS/SCI
* Familiarity with internals of LLMs, VLMs, and traditional Computer Vision object detection models
* Ability to implement and modify deep neural networks in PyTorch
* Familiarity with techniques and libraries such as Deepspeed/ZeRO, LoRA/QLoRA, or SFT for LLMs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with AWS services including S3, Redshift, Sagemaker, EMR, Kinesis, Lambda, and EC2
* Experience in Linux, Git workflows, and use of satellite imagery for computer vision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39">
      <c r="A139" t="inlineStr">
        <is>
          <t>in-030747a4a43f329b</t>
        </is>
      </c>
      <c r="B139" t="inlineStr">
        <is>
          <t>Data Scientist - Computer Vision, Data &amp; Machine Learning (DML)</t>
        </is>
      </c>
      <c r="C139" t="inlineStr">
        <is>
          <t>Amazon Web Services</t>
        </is>
      </c>
      <c r="D139" t="inlineStr">
        <is>
          <t>indeed</t>
        </is>
      </c>
      <c r="E139" t="inlineStr"/>
      <c r="F139" t="inlineStr"/>
      <c r="G139" t="inlineStr">
        <is>
          <t>Herndon, VA, US</t>
        </is>
      </c>
      <c r="H139" s="1" t="n">
        <v>46051</v>
      </c>
      <c r="I139"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Exploring the data and brainstorming and prioritizing ideas for model development
Implementing new features in our sizable code base
Training models in support of experimental or performance goals
T\&amp;E\-ing, packaging, and delivering models  
We perform this work on both unclassified and classified networks, with portions of our team working on each network.
We seek a new team member to work primarily on the unclassified networks.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AWS Services,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Run data conversion pipelines to transform customer data into the structure needed by models for training
Perform EDA on the customer data
Train deep neural network models on overhead imagery
Develop and implement hyper\-parameter optimization strategies
Test and Evaluate models and analyze results
Package and deliver models to the customer
Implement new features to the model development code base
Collaborate with the rest of the team on long term strategy and short\-medium term implementation.
Contribute to presentations to the customer regarding the team’s work.
**BASIC QUALIFICATIONS**
------------------------
* Bachelor's degree or above in computer science, computer engineering, or related field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with AWS services including S3, Redshift, Sagemaker, EMR, Kinesis, Lambda, and EC2
* Current, active US Government Security Clearance of Top Secret or above
**PREFERRED QUALIFICATIONS**
----------------------------
* Knowledge of machine learning concepts and their application to reasoning and problem\-solving
* Experience in a ML or data scientist role with a large technology company
* Experience working on multi\-team, cross\-disciplinary projects
* Master's degree or above in computer science, machine learning, engineering, or related fields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40">
      <c r="A140" t="inlineStr">
        <is>
          <t>in-82a683ecd6136463</t>
        </is>
      </c>
      <c r="B140" t="inlineStr">
        <is>
          <t>Data Scientist - Computer Vision, Data &amp; Machine Learning (DML)</t>
        </is>
      </c>
      <c r="C140" t="inlineStr">
        <is>
          <t>Amazon Web Services</t>
        </is>
      </c>
      <c r="D140" t="inlineStr">
        <is>
          <t>indeed</t>
        </is>
      </c>
      <c r="E140" t="inlineStr"/>
      <c r="F140" t="inlineStr"/>
      <c r="G140" t="inlineStr">
        <is>
          <t>Arlington, VA, US</t>
        </is>
      </c>
      <c r="H140" s="1" t="n">
        <v>46051</v>
      </c>
      <c r="I140"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Exploring the data and brainstorming and prioritizing ideas for model development
Implementing new features in our sizable code base
Training models in support of experimental or performance goals
T\&amp;E\-ing, packaging, and delivering models  
We perform this work on both unclassified and classified networks, with portions of our team working on each network.
We seek a new team member to work primarily on the unclassified networks.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AWS Services,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Run data conversion pipelines to transform customer data into the structure needed by models for training
Perform EDA on the customer data
Train deep neural network models on overhead imagery
Develop and implement hyper\-parameter optimization strategies
Test and Evaluate models and analyze results
Package and deliver models to the customer
Implement new features to the model development code base
Collaborate with the rest of the team on long term strategy and short\-medium term implementation.
Contribute to presentations to the customer regarding the team’s work.
**BASIC QUALIFICATIONS**
------------------------
* Bachelor's degree or above in computer science, computer engineering, or related field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with AWS services including S3, Redshift, Sagemaker, EMR, Kinesis, Lambda, and EC2
* Current, active US Government Security Clearance of Top Secret or above
**PREFERRED QUALIFICATIONS**
----------------------------
* Knowledge of machine learning concepts and their application to reasoning and problem\-solving
* Experience in a ML or data scientist role with a large technology company
* Experience working on multi\-team, cross\-disciplinary projects
* Master's degree or above in computer science, machine learning, engineering, or related fields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41">
      <c r="A141" t="inlineStr">
        <is>
          <t>in-004e6955d622ae85</t>
        </is>
      </c>
      <c r="B141" t="inlineStr">
        <is>
          <t>Data Scientist, AWS Infrastructure Services Science</t>
        </is>
      </c>
      <c r="C141" t="inlineStr">
        <is>
          <t>Amazon.com</t>
        </is>
      </c>
      <c r="D141" t="inlineStr">
        <is>
          <t>indeed</t>
        </is>
      </c>
      <c r="E141">
        <f>HYPERLINK("https://www.indeed.com/viewjob?jk=004e6955d622ae85", "https://www.indeed.com/viewjob?jk=004e6955d622ae85")</f>
        <v/>
      </c>
      <c r="F141">
        <f>HYPERLINK("https://www.amazon.jobs/jobs/3181348/data-scientist-aws-infrastructure-services-science?cmpid=DA_INAD200785B", "https://www.amazon.jobs/jobs/3181348/data-scientist-aws-infrastructure-services-science?cmpid=DA_INAD200785B")</f>
        <v/>
      </c>
      <c r="G141" t="inlineStr">
        <is>
          <t>Seattle, WA, US</t>
        </is>
      </c>
      <c r="H141" s="2" t="n">
        <v>46065</v>
      </c>
      <c r="I141"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142">
      <c r="A142" t="inlineStr">
        <is>
          <t>in-48d8e10169c96c2d</t>
        </is>
      </c>
      <c r="B142" t="inlineStr">
        <is>
          <t>Data Scientist, AWS Infrastructure Services Science</t>
        </is>
      </c>
      <c r="C142" t="inlineStr">
        <is>
          <t>Amazon.com</t>
        </is>
      </c>
      <c r="D142" t="inlineStr">
        <is>
          <t>indeed</t>
        </is>
      </c>
      <c r="E142">
        <f>HYPERLINK("https://www.indeed.com/viewjob?jk=48d8e10169c96c2d", "https://www.indeed.com/viewjob?jk=48d8e10169c96c2d")</f>
        <v/>
      </c>
      <c r="F142">
        <f>HYPERLINK("https://www.amazon.jobs/jobs/3181348/data-scientist-aws-infrastructure-services-science?cmpid=DA_INAD200785B", "https://www.amazon.jobs/jobs/3181348/data-scientist-aws-infrastructure-services-science?cmpid=DA_INAD200785B")</f>
        <v/>
      </c>
      <c r="G142" t="inlineStr">
        <is>
          <t>Herndon, VA, US</t>
        </is>
      </c>
      <c r="H142" s="2" t="n">
        <v>46065</v>
      </c>
      <c r="I142"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143">
      <c r="A143" t="inlineStr">
        <is>
          <t>in-864bf41df5553330</t>
        </is>
      </c>
      <c r="B143" t="inlineStr">
        <is>
          <t>Data Scientist</t>
        </is>
      </c>
      <c r="C143" t="inlineStr">
        <is>
          <t>Invictus International Consulting, LLC</t>
        </is>
      </c>
      <c r="D143" t="inlineStr">
        <is>
          <t>indeed</t>
        </is>
      </c>
      <c r="E143">
        <f>HYPERLINK("https://www.indeed.com/viewjob?jk=864bf41df5553330", "https://www.indeed.com/viewjob?jk=864bf41df5553330")</f>
        <v/>
      </c>
      <c r="F143">
        <f>HYPERLINK("https://www.applicantpro.com/openings/invictusic/jobs/3995095-137697", "https://www.applicantpro.com/openings/invictusic/jobs/3995095-137697")</f>
        <v/>
      </c>
      <c r="G143" t="inlineStr">
        <is>
          <t>Reston, VA, US</t>
        </is>
      </c>
      <c r="H143" s="2" t="n">
        <v>46070</v>
      </c>
      <c r="I143" t="inlineStr">
        <is>
          <t>**Title:** Data Scientist
**Location:** Reston, VA
**US Citizenship:** Required
**Clearance:** TS/SCI w/ability to obtain and maintain a CI polygraph  
**Responsibilities:**
* Conduct data analytics, data engineering, data mining, exploratory analysis, predictive analysis, and statistical analysis to assist with intelligence analysis
* Use scientific techniques to correlate data into graphical, written, visual and verbal narrative products, enabling more informed analytic decisions
* Proactively retrieve information from various sources, analyze it for better understanding about the data set, and build AI tools that automate certain processes
* Create various ML\-based tools or processes, such as recommendation engines or automated lead scoring systems
* Perform statistical analysis, apply data mining techniques, and build high quality prediction systems
* 
**Requirements:**
* Bachelor's degree preferred, with 8\+ years of directly related experience within the IC
* Proficient with data visualization and the use of graphical applications, including Microsoft Sharepoint, MS Office (Power BI) and Tableau
* Proficient knowledge of data science languages such as R and Python
* Experience with the management and merging of disparate data sources, preferably through R, Python, or SQL
* Fluent with statistical analysis and data mining algorithms
* Should have prior experience with large data multi\-INT analytics, ML, and automated predictive analytics
* TS/SCI w/ability to obtain and maintain a CI polygraph
 ***Equal Opportunity Employer/Veteran/Disabled***</t>
        </is>
      </c>
    </row>
    <row r="144">
      <c r="A144" t="inlineStr">
        <is>
          <t>in-c33f1025c4a02391</t>
        </is>
      </c>
      <c r="B144" t="inlineStr">
        <is>
          <t>Senior Exploitation Specialist/Data Scientist</t>
        </is>
      </c>
      <c r="C144" t="inlineStr">
        <is>
          <t>Embedded Alliance</t>
        </is>
      </c>
      <c r="D144" t="inlineStr">
        <is>
          <t>indeed</t>
        </is>
      </c>
      <c r="E144">
        <f>HYPERLINK("https://www.indeed.com/viewjob?jk=c33f1025c4a02391", "https://www.indeed.com/viewjob?jk=c33f1025c4a02391")</f>
        <v/>
      </c>
      <c r="F144">
        <f>HYPERLINK("http://www.indeed.com/job/senior-exploitation-specialistdata-scientist-c33f1025c4a02391", "http://www.indeed.com/job/senior-exploitation-specialistdata-scientist-c33f1025c4a02391")</f>
        <v/>
      </c>
      <c r="G144" t="inlineStr">
        <is>
          <t>Miami, FL, US</t>
        </is>
      </c>
      <c r="H144" s="2" t="n">
        <v>46070</v>
      </c>
      <c r="I144" t="inlineStr">
        <is>
          <t>**Company Overview**  
Embedded Alliance is an enterprise solutions company focusing on customer workflow, needs and resources. Our core competencies are in geospatial, data storage, analytics, development and dissemination. We are passionate about our work and our team members. Understanding the desires of our employees to extend beyond their core work hours and the need for work/life balance. Giving our employees opportunities for personal growth, rather than a job.
**Summary**  
We are seeking a highly skilled Senior Exploitation Specialist or Data Scientist to join Embedded Alliance in the US. This role is vital in advancing our geospatial and data analytics capabilities to deliver innovative solutions for our clients. Based in the United States, you will contribute to projects that drive strategic insights and operational excellence.
**Requirements**
* Must have a background with intelligence experience, where they provided analysis and/or data science to an intelligence mission.
* Must be able to **operate at a senior level and in an independent environment.**
* Must be proficient at creating processes around large data sets to identify analytical discoveries,
* Must be able to **script at a Senior Level in python.**
* Must be able to take these discoveries and provide them through visualizations that are easily integrated into daily operations.
* An understanding of Transnational Criminal Organizations (TCOs) operating within the USSOUTHCOM AOR
* An understanding of coca cultivation and production areas Familiarity with Intelligence Community Directive (ICD) 203 (Analytic Standards) and ICD 206
* An understanding of how to operationalize the analytic output—shape/frame it in a way that supports operational planning
Job Type: Full\-time
Pay: $135,000\.00 \- $145,000\.00 per year
Benefits:
* 401(k)
* 401(k) matching
* Dental insurance
* Health insurance
* Life insurance
* Paid time off
* Parental leave
* Referral program
* Retirement plan
* Vision insurance
Security clearance:
* Top Secret (Required)
Work Location: In person</t>
        </is>
      </c>
    </row>
    <row r="145">
      <c r="A145" t="inlineStr">
        <is>
          <t>in-4ca3a3322edb17fe</t>
        </is>
      </c>
      <c r="B145" t="inlineStr">
        <is>
          <t>Senior Data Scientist</t>
        </is>
      </c>
      <c r="C145" t="inlineStr">
        <is>
          <t>SOSi</t>
        </is>
      </c>
      <c r="D145" t="inlineStr">
        <is>
          <t>indeed</t>
        </is>
      </c>
      <c r="E145">
        <f>HYPERLINK("https://www.indeed.com/viewjob?jk=4ca3a3322edb17fe", "https://www.indeed.com/viewjob?jk=4ca3a3322edb17fe")</f>
        <v/>
      </c>
      <c r="F145">
        <f>HYPERLINK("https://jobs.smartrecruiters.com/SOSi1/3743990011714445-senior-data-scientist", "https://jobs.smartrecruiters.com/SOSi1/3743990011714445-senior-data-scientist")</f>
        <v/>
      </c>
      <c r="G145" t="inlineStr">
        <is>
          <t>Chantilly, VA, US</t>
        </is>
      </c>
      <c r="H145" s="2" t="n">
        <v>46070</v>
      </c>
      <c r="I145" t="inlineStr">
        <is>
          <t>**Company Description**  
Founded in 1989, SOSi is among the largest private, founder\-owned technology and services integrators in the defense and government services industry. We deliver tailored solutions, tested leadership, and trusted results to enable national security missions worldwide.
 **Job Description**  
SOSi is seeking a skilled Data Scientist to support a US government customer in Chantilly, VA.
This role requires applying advanced analytics, statistical modeling, and machine learning techniques to identify, analyze, cyber related data. This role involves working closely with cyber SMEs to build AI/ML models and analytics to solve client's challenges.
 **Qualifications** **Minimum Requirements**
* Active in\-scope TS/SCI clearance with poly. This security clearance requires U.S. citizenship. Candidates will not be nominated for new clearances.
* 3\-5 years of experience as a Data Scientist, with a STEM degree (field such as computer science, statistics, data analytics, computer engineering, mathematics, etc.).
* Programming knowledge in Python or similar language.
* Experience with both Linux and Windows® Operating Systems.
* Experience working with Cyber data to include examples such as (Shodan, Censys.IO, etc.).
* Demonstrated experience with cleaning, managing, optimizing performance with, and processing large volumes of unstructured text data.
**Preferred Qualifications**
* Experience in the US Intelligence Community.
**Additional Information** **Work Environment**
* Office setting with a combination of desk work and meetings.
**Working at SOSi**
All interested individuals will receive consideration and will not be discriminated against for any reason.</t>
        </is>
      </c>
    </row>
    <row r="146">
      <c r="A146" t="inlineStr">
        <is>
          <t>in-1075d02dafeb483c</t>
        </is>
      </c>
      <c r="B146" t="inlineStr">
        <is>
          <t>Data Scientist</t>
        </is>
      </c>
      <c r="C146" t="inlineStr">
        <is>
          <t>MetroPlusHealth</t>
        </is>
      </c>
      <c r="D146" t="inlineStr">
        <is>
          <t>indeed</t>
        </is>
      </c>
      <c r="E146">
        <f>HYPERLINK("https://www.indeed.com/viewjob?jk=1075d02dafeb483c", "https://www.indeed.com/viewjob?jk=1075d02dafeb483c")</f>
        <v/>
      </c>
      <c r="F146">
        <f>HYPERLINK("https://www.metroplusjobs.org/job/3268/data-scientist-professional-new-york-ny-te0061/", "https://www.metroplusjobs.org/job/3268/data-scientist-professional-new-york-ny-te0061/")</f>
        <v/>
      </c>
      <c r="G146" t="inlineStr">
        <is>
          <t>New York, NY, US</t>
        </is>
      </c>
      <c r="H146" s="2" t="n">
        <v>46069</v>
      </c>
      <c r="I146" t="inlineStr">
        <is>
          <t>**Job Ref:** TE0061  
**Category:** Professional  
**Department:** ANALYTICS AND REPORTING  
**Location:** 50 Water Street, 7th Floor, New York, NY 10004
**Job Type:** Regular  
**Employment Type:** Full\-Time  
**Work Arrangement:** Hybrid  
**Salary Range:** $128,824\.00 \- $138,824\.00  
Under the Senior Director of Analytics, the position of Data Scientist is responsible for engaging stakeholders in understanding business requirements and needs and developing and executing reporting requirements in a timely and consistent manner. This position will assess, maintain, and enhance existing data process and reporting routines and provide support for regulatory reporting. This individual will provide meaningful and actionable insights to help drive financial and operational decision making. This role will work closely with various operational, medical management, and IT departments across the organization.
The successful candidate must have healthcare experience and knowledge in planning membership and claims data, able to work autonomously and collaboratively with other Health Analytic team members, and with various subject matter experts and stakeholders across the organization. Technical proficiency and sharp healthcare and technical knowledge are equally required—the ability to effectively communicate with business users of varying data competencies \&amp; complexity in business needs and objectives is vital. This position requires an analytical\-minded individual who enjoys and thrives working in a fast\-paced, nebulous, challenging, but rewarding environment.
Scope of Role \&amp; Resposabilities
* Working with various stakeholders throughout the organization in assessing business requirements and developing and implementing reports and dashboards
* Assist in creating comprehensive documentation of existing workflows, data processing, and reporting logics.
* Working closely with membership and roster data to create meaningful insights on membership status, retroactivities, and trends.
* Working with various departments across the organization in providing support for regulatory reporting and auditing needs.
* Create dashboards, data visualization, and presentations in communicating actionable \&amp; timely findings to a variety of key decision makers
* Translate raw data and information into concise metrics that is understandable by non\-technically individuals
* Drive the delivery \&amp; management of routine weekly, monthly, and quarterly reports, as well as providing support on numerous ad\-hoc reporting.
* Prepare and conduct projection analyses on membership, claims and utilization, including underlying trends.
* Manage and prioritize concurrently projects in a timely and consistent manner
* Works with clinical and non\-clinical users to understand reporting needs, and to ensure that reporting is done in a clear and concise manner.
* Collaborate with other Health Analytics team members and other departments \&amp; SME’s to understand company needs and devise possible solutions including data integrity / data governance solutions to remove joint obstacles to timely and high\-quality data analytics
* Able to conduct effective analysis on clinical interventions and outcomes related evaluations.
* Deep knowledge of advanced analytics tools and machine learning techniques to analyze large data sets from multiple data sources. Able to translate key findings of statistical model into understandable language and briefing.
* Familiar with the model training cycle and validation methodology. Interested in exploring feature engineering, regularization and hyperparameter tuning to improve under/over fitted models.
* Strong interest in natural langue process (NLP) and have deal with large free txt data set.
Required Education, Training \&amp; Professional Experience
* Bachelor’s degree in health sciences, Statistics, Health Informatics, Health Economics or similar fields. Master’s degree preferred.
* Health care insurance background is required.
* 3\-5 years required experience in progressively complex healthcare data analytics
* 3\+ years of Microsoft SQL (required)
* Experience working with 834 and WMS enrollment data (required)
* Previous experience with business intelligence platforms (e.g., Tableau, Power BI) (required)
* Previous experience in supervised and non\-supervised machine learning techniques (Neural Networks, SVM, Cluster Analysis, Decision Tree Based Models and Advanced Regression Models) (desired)
* Experience with healthcare data types (claim, ICD\-10/CPT Code/HCPCS Code, EHR data) (desired)
* Apply statistical techniques (e.g. propensity score matching, difference\-in\-difference, regression) to evaluate outcomes of clinical programs and estimate treatment effect from various data sources.
* Define and calculate key performance indicators (KPIs) related to care management interventions, clinical outcomes, utilization, and patient engagement.
* Superior analytical abilities: can draw insight from findings and understand business relevance.
* Strong business acumen and curiosity to understand the “why” behind the data.
Professional Competencies
* Integrity and Trust
* Customer Focus
* Functional/Technical skills
* Excellent verbal and written communication skills, including experience preparing and presenting to internal stakeholders at all levels of the organization
* Excellent problem\-solving skills, critical thinking, and conceptual thinking abilities
* Ability to work independently and in a team environment
* Strong organizational \&amp; project management skills; ability to prioritize and manage multiple projects concurrently
* Superior analytical abilities: can draw insight from findings and understand business relevance.
\#LI\-Hybrid
\#MHP50</t>
        </is>
      </c>
    </row>
    <row r="147">
      <c r="A147" t="inlineStr">
        <is>
          <t>in-3296e3783b54f048</t>
        </is>
      </c>
      <c r="B147" t="inlineStr">
        <is>
          <t>Medical Data Scientist</t>
        </is>
      </c>
      <c r="C147" t="inlineStr">
        <is>
          <t>University of Pittsburgh</t>
        </is>
      </c>
      <c r="D147" t="inlineStr">
        <is>
          <t>indeed</t>
        </is>
      </c>
      <c r="E147">
        <f>HYPERLINK("https://www.indeed.com/viewjob?jk=3296e3783b54f048", "https://www.indeed.com/viewjob?jk=3296e3783b54f048")</f>
        <v/>
      </c>
      <c r="F147">
        <f>HYPERLINK("https://cfopitt.taleo.net/careersection/pitt_staff_external/jobdetail.ftl?job=26000847&amp;tz=GMT-06%3A00&amp;tzname=America%2FChicago", "https://cfopitt.taleo.net/careersection/pitt_staff_external/jobdetail.ftl?job=26000847&amp;tz=GMT-06%3A00&amp;tzname=America%2FChicago")</f>
        <v/>
      </c>
      <c r="G147" t="inlineStr">
        <is>
          <t>Pittsburgh, PA, US</t>
        </is>
      </c>
      <c r="H147" s="2" t="n">
        <v>46069</v>
      </c>
      <c r="I147" t="inlineStr">
        <is>
          <t>**Medical Data Scientist**
UPCI Basic Research Administration \- Pennsylvania\-Pittsburgh \- (26000847\)  
Apply scientific methodology to conceptualize, propose, and implement appropriate methodologies for statistical analyses. Maintains and updates centralized research awards database. Assists with grant preparations and clinical trial budgets. Develops and validates reporting data, validates data subsets of funding data, and facilitates quality control procedures to ensure data accuracy.
**Job Summary**
Applies scientific methodology to conceptualize, propose, and implement appropriate methodologies for statistical analyses. Maintains and updates centralized research awards database. Assists with grant preparations and clinical trial budgets. Develops and validates reporting data, validates data subsets of funding data, and facilitates quality control procedures to ensure data accuracy.
**Essential Functions**
Develops and validates reporting data, validates data subsets of funding data, and facilitates quality control procedures to ensure data accuracy.
**Physical Effort**
Little physical effort required. Duties are primarily sedentary. May be required to move objects up to 25 pounds occasionally.
 *The University of Pittsburgh is an equal opportunity employer / disability / veteran.*
**Assignment Category** Full\-time regular**Job Classification** Staff.Medical Data Scientist I**Job Family** Research**Job Sub\-Family** Data Science**Campus** Pittsburgh**Minimum Education Level Required** Master's Degree**Minimum Years of Experience Required** No experience required**Will this position accept substitution in lieu of education or experience?** Combination of education and relevant experience will be considered in lieu of education and/ or experience requirement.**Work Schedule** 8am \- 5pm, flex**Work Arrangement** On\-Campus: Teams that work on campus, in an office, or in a lab.**Hiring Range** $44,311 \- $59,082**Relocation Offered** No**Visa Sponsorship Provided** No**Background Check** For position finalists, employment with the University will require successful completion of a background check**Child Protection Clearances** Not Applicable**Required Documents** Resume**Optional Documents** Cover Letter</t>
        </is>
      </c>
    </row>
    <row r="148">
      <c r="A148" t="inlineStr">
        <is>
          <t>in-503aee6c55d022f0</t>
        </is>
      </c>
      <c r="B148" t="inlineStr">
        <is>
          <t>(USA) Staff, Data Scientist</t>
        </is>
      </c>
      <c r="C148" t="inlineStr">
        <is>
          <t>Walmart</t>
        </is>
      </c>
      <c r="D148" t="inlineStr">
        <is>
          <t>indeed</t>
        </is>
      </c>
      <c r="E148">
        <f>HYPERLINK("https://www.indeed.com/viewjob?jk=503aee6c55d022f0", "https://www.indeed.com/viewjob?jk=503aee6c55d022f0")</f>
        <v/>
      </c>
      <c r="F148">
        <f>HYPERLINK("https://click.appcast.io/t/NRdF4URmr7fBKreAPZEna_GdcaNqZOeULjtYhj-NAFU=", "https://click.appcast.io/t/NRdF4URmr7fBKreAPZEna_GdcaNqZOeULjtYhj-NAFU=")</f>
        <v/>
      </c>
      <c r="G148" t="inlineStr">
        <is>
          <t>Sunnyvale, CA, US</t>
        </is>
      </c>
      <c r="H148" s="2" t="n">
        <v>46069</v>
      </c>
      <c r="I148" t="inlineStr">
        <is>
          <t>**Position Summary...**
-----------------------
**What you'll do...**
---------------------
### **About the Role**
We are seeking a seasoned **Staff Data Scientist** with deep expertise in building and scaling ML products in production. This role is ideal for someone with a strong background in recommender systems, GenAI, and LLMs, and who thrives in a fast\-paced, technically rigorous environment.
### **Key Qualifications**
* 12\+ years in applied data science/ML (or 8\+ with a PhD)
* 5\+ years leading end\-to\-end ML products in production
* Proven success in recommender systems, personalization at scale, or search—especially using LLMs and embeddings
* Experience with GenAI systems, including RAG and agentic LLM workflows
* Fine\-tuning LLMs (LoRA, DPO), reducing hallucinations, and implementing safety guardrails
* Designed LLM evaluation pipelines for factuality, consistency, and relevance
* Optimizing LLM inference: prompt caching, quantization, retrieval filtering
* ML modeling for classification tasks (e.g., boosted trees)
* Strong experimentation background: A/B testing, multi\-armed bandits, causal inference
* Deep learning expertise with PyTorch, TensorFlow, or Keras
* Data engineering collaboration: SQL/Spark pipelines, feature stores, batch serving
* MLOps: deployment, monitoring, drift detection, CI/CD
* Domain fluency in retail/food signals, seasonality, substitutions, and consumer engagement
* Technical leadership: mentors team, sets roadmap, elevates code standards
* Tooling: Python, SQL, PyTorch/TensorFlow, Spark, Airflow, GCP/Azure, Docker/Kubernetes, Git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$143,000\.00 \- $286,000\.00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Statistics, Economics, Analytics, Mathematics, Computer Science, Information Technology or related field and 5 years' experience in an analytics related field. Option 2: Masters degree in Statistics, Economics, Analytics, Mathematics, Computer Science, Information Technology or related field and 3 years' experience in an analytics related field. Option 3: 7 years' experience in an analytics or related field**Preferred Qualifications...**
-------------------------------
*Outlined below are the optional preferred qualifications for this position. If none are listed, there are no preferred qualifications.*
Data science, machine learning, optimization models, PhD in Machine Learning, Computer Science, Information Technology, Operations Research, Statistics, Applied Mathematics, Econometrics, Successful completion of one or more assessments in Python, Spark, Scala, or R, Using open source frameworks (for example, scikit learn, tensorflow, torch),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809 11th Ave, Sunnyvale, CA 94089\-4731,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49">
      <c r="A149" t="inlineStr">
        <is>
          <t>in-e77b9a7b61d67bf0</t>
        </is>
      </c>
      <c r="B149" t="inlineStr">
        <is>
          <t>Staff, Data Scientist – Conversational AI</t>
        </is>
      </c>
      <c r="C149" t="inlineStr">
        <is>
          <t>Walmart</t>
        </is>
      </c>
      <c r="D149" t="inlineStr">
        <is>
          <t>indeed</t>
        </is>
      </c>
      <c r="E149">
        <f>HYPERLINK("https://www.indeed.com/viewjob?jk=e77b9a7b61d67bf0", "https://www.indeed.com/viewjob?jk=e77b9a7b61d67bf0")</f>
        <v/>
      </c>
      <c r="F149">
        <f>HYPERLINK("https://click.appcast.io/t/Q46NtT8u6bFx_QqaZiuCk0XD_PzhYxzXZ4oq97hhWB4=", "https://click.appcast.io/t/Q46NtT8u6bFx_QqaZiuCk0XD_PzhYxzXZ4oq97hhWB4=")</f>
        <v/>
      </c>
      <c r="G149" t="inlineStr">
        <is>
          <t>Sunnyvale, CA, US</t>
        </is>
      </c>
      <c r="H149" s="2" t="n">
        <v>46069</v>
      </c>
      <c r="I149" t="inlineStr">
        <is>
          <t>**Position Summary...**
-----------------------
**What you'll do...**
---------------------
**About Us**  
The Revenue and Marketing Data Science Team at Walmart Global Tech is dedicated to incubating and developing data\-driven, ML/AI solutions that help Walmart, suppliers, sellers, creators and influencers connect with followers and customers through Marketing, Advertising and Social Commerce to reimagine discovery, storytelling, and personalization at scale. Join us to shape the future of AI\-driven social commerce initiatives to directly make an impact on business objectives and set trends in bridging influencer and social platforms with retail and ecommerce redefining inspirational shopping journeys. We are seeking a talented individual with expertise in multimodal generative AI, large language models and deep learning to elevate our AI initiatives. The ideal candidate will demonstrate a profound mastery of state\-of\-the\-art multimodal Gen AI and LLM technologies, adept at translating innovative concepts into impactful business applications in e\-commerce.  
**Job Description**  
* Develop and apply state\-of\-the\-art deep learning based generative models and multi\-modal models such as text generation, image generation, video generation and capturing multimodal data relationships etc
* Proficient in evaluating trade\-offs between open source vs Cloud APIs for multimodal Gen AI in terms of performance, cost efficiencies.
* Work with large scale data and curate in house domain datasets from scratch.
* Collaborate with Engineering teams to define interfaces, understanding and resolving dependencies;
* Standardize and build scalable and highly available systems that follow operational best practices;
* Develop visuals and reports to efficiently communicating model results and insights to business teams;
* Maintain world\-class academic credentials through patent applications, publications, conference presentations, and external collaboration and service to the research community.
**Qualifications**  
* Expertise in working with deep\-learning based generative/multi\-modal models or similar research experience with deep\-learning/AI;
* Experience in the following areas – multimodal Generative Models for Text generation, Image generation, Audio and Video generation
* Experience in VLMs for Image classification, object detection, scene/semantic segmentation, keypoint detection, CLIP/similar for similarity
* Experience in models for multimodal synthetic data generation
* Experience with large deep\-learning model fine\-tuning and deployment;
* Experience with prompt engineering and agentic AI design;
* Solid understanding of Python and expertise in working with data science related packages (Numpy, Pandas, Pytorch etc.);
* Advanced degree in computer science, statistics, data science, mathematics or other discipline (e.g., electrical engineering, economics, psychology) that exposes scientific methods of research and analysis. PhD degree is a plus;
* Publications in top ML/AI/NLP conferences (NeurIPS, ICML, EMNLP, ACL, ICLR, AAAI, IJCAI, CVPR, ICCV, ECCV, KDD etc.) are a plus.
* Demonstrated knowledge of the following programming Languages, Cloud technologies Gen AI focus, DL frameworks: Java, Python, Bash, Pytorch, BigQuery, SQL, Distributed training and Inference Frameworks, GPU MLOPS and CICD, FAISS, Vector Stores, Agent SDKs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$143,000\.00 \- $286,000\.00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Statistics, Economics, Analytics, Mathematics, Computer Science, Information Technology or related field and 4 years' experience in an analytics related field. Option 2: Masters degree in Statistics, Economics, Analytics, Mathematics, Computer Science, Information Technology or related field and 2 years' experience in an analytics related field. Option 3: 6 years' experience in an analytics or related field**Preferred Qualifications...**
-------------------------------
*Outlined below are the optional preferred qualifications for this position. If none are listed, there are no preferred qualifications.*
Data science, machine learning, optimization models, PhD in Machine Learning, Computer Science, Information Technology, Operations Research, Statistics, Applied Mathematics, Econometrics, Successful completion of one or more assessments in Python, Spark, Scala, or R, Using open source frameworks (for example, scikit learn, tensorflow, torch),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680 West California Avenue, Sunnyvale, CA 94086\-4834,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50">
      <c r="A150" t="inlineStr">
        <is>
          <t>in-a44ce18ce4c7d0db</t>
        </is>
      </c>
      <c r="B150" t="inlineStr">
        <is>
          <t>Data Scientist</t>
        </is>
      </c>
      <c r="C150" t="inlineStr">
        <is>
          <t>Westat</t>
        </is>
      </c>
      <c r="D150" t="inlineStr">
        <is>
          <t>indeed</t>
        </is>
      </c>
      <c r="E150">
        <f>HYPERLINK("https://www.indeed.com/viewjob?jk=a44ce18ce4c7d0db", "https://www.indeed.com/viewjob?jk=a44ce18ce4c7d0db")</f>
        <v/>
      </c>
      <c r="F150">
        <f>HYPERLINK("https://sjobs.brassring.com/TGnewUI/Search/home/HomeWithPreLoad?partnerid=82&amp;siteid=5197&amp;PageType=JobDetails&amp;jobid=935499", "https://sjobs.brassring.com/TGnewUI/Search/home/HomeWithPreLoad?partnerid=82&amp;siteid=5197&amp;PageType=JobDetails&amp;jobid=935499")</f>
        <v/>
      </c>
      <c r="G150" t="inlineStr">
        <is>
          <t>Atlanta, GA, US</t>
        </is>
      </c>
      <c r="H150" s="2" t="n">
        <v>46069</v>
      </c>
      <c r="I150" t="inlineStr">
        <is>
          <t>Westat is a leader in research, data collection and analysis, technical assistance, evaluation, and communications. Our evidence\-based findings help clients in government and the private sector accelerate advancements in health, education, transportation, and social and economic policy. Our dedication to improving lives through research and our approach to projects grounded in investigative curiosity, statistical and data rigor, adaptive methods, and advanced technology are why clients find exceptional value in our work.  
**Job Summary**  
Westat is seeking a Data Scientist to join our Statistics and Data Science team. The position involves programing in R, Python, and SQL; applying data science and artificial intelligence (AI) methods (e.g., natural language processing, machine learning, and large language models) to structured and unstructured data; data analytics, data visualization, and dashboard development with minimal oversight and supervision.  
This role is based in our Atlanta office and will be eligible for a hybrid work arrangement requiring 1\-2 days onsite each week.  
**Job Responsibilities**  
* Develop and test R and Python to collect, process, link, and analyze data in various formats.
* Develop SQL code to query, process, and manage large data files in databases.
* Apply supervised and unsupervised machine learning frameworks to data collected from a variety of sources.
* Use natural language processing methods and large language models to clean, parse, link, summarize and analyze large and unstructured data.
* Collect/acquire data from a variety of sources including websites using Application Programming Interface (API) and web\-scraping.
* Develop data visualizations and dashboards using open\-source libraries in R and Python and proprietary software such as Tableau and PowerBI.
* Develop and maintain code documentation using Git, implement coding standards, and apply best practices.
* Present to internal and external clients.
* Engage in thought leadership via publications and conference presentations.
**Basic Qualifications**  
* Ability to obtain a Public Trust clearance, requiring consistent U.S. residency for the majority of the last five years.
* A bachelor’s degree in data science, statistics, computer science, mathematics or other related quantitative field..
* 3\-5 years of experience in data science or related projects.
* Proficiency in R, Python, SQL, and demonstrated experience in data visualization tools (e.g., Tableau and PowerBI).
* Demonstrated experience developing machine learning and natural language processing methods.
* Developed, queried, and managed large data files in databases.
* Proven experience using Git as version control system.
**Preferred Qualifications**  
* Current or recent Public Trust Clearance is preferred.
* Master’s degree in data science, statistics, computer science, mathematics or other related quantitative field preferred.
* Experience working in a professional services research environment.
* Knowledge of industry best practices and emerging technologies.
* Strong problem\-solving abilities and experience in developing actionable insights from complex data.
* Excellent oral and written communication skills for presenting technical concepts to non\-technical stakeholders.
* Strong organizational skills, including time management, and the ability to handle multiple tasks simultaneously, and work both independently and in a team environment.
Westat offers a well\-rounded and comprehensive benefits program focused on wellness and work/life balance. Subject to plan requirements, employees may participate in:* Employee Stock Ownership Plan
* 401(k) Retirement Plan
* Paid Parental Leave
* Vacation Leave (15 days per year)
* Sick Leave (9 days per year)
* Holiday Leave (7 Government Holidays and 2 Floating Holidays)
* Professional Development
* Health Advocate
* Employee Assistance Program
* Travel Accident Insurance
* Medical Insurance
* Dental Insurance
* Vision Insurance
* Short Term Disability Insurance
* Long Term Disability Insurance
* Life and AD\&amp;D Insurance
* Critical Illness Insurance
* Supplemental Life Insurance
* Flexible Spending Account
* Health Savings Account
Any offer of employment may be contingent upon receipt of acceptable results from a post\-offer background screening, if required for the specific position, which may include, for example, identity verification, employment history, motor vehicle driving record history, and criminal or sexual offender records history. Any background screening results will be evaluated through an individualized assessment based on the individual’s specific record and the duties and requirements of the position.
This opportunity will be posted for a minimum of 5 days and applications will be accepted on an ongoing basis.
Westat is an Equal Opportunity Employer and does not discriminate on the basis of race, creed, color, religion, sex, national origin, age, veteran status, disability, marital status, sexual orientation, citizenship status, genetic information, or any other protected status under applicable law. It is unlawful in Massachusetts to require or administer a lie detector test as a condition of employment or continued employment. An employer who violates this law shall be subject to criminal penalties and civil liability.  
\#LI\-WST1
**Career Area**
Research \- Statistics
**Pay Range**
The anticipated salary range for this role is between $75,000 \- $82,000 and will commensurate with experience.
**Bonus Eligibility**
No</t>
        </is>
      </c>
    </row>
    <row r="151">
      <c r="A151" t="inlineStr">
        <is>
          <t>in-885b463c929318a6</t>
        </is>
      </c>
      <c r="B151" t="inlineStr">
        <is>
          <t>Data Scientist</t>
        </is>
      </c>
      <c r="C151" t="inlineStr">
        <is>
          <t>Radar</t>
        </is>
      </c>
      <c r="D151" t="inlineStr">
        <is>
          <t>indeed</t>
        </is>
      </c>
      <c r="E151">
        <f>HYPERLINK("https://www.indeed.com/viewjob?jk=885b463c929318a6", "https://www.indeed.com/viewjob?jk=885b463c929318a6")</f>
        <v/>
      </c>
      <c r="F151">
        <f>HYPERLINK("https://grnh.se/hw0et6rn9us", "https://grnh.se/hw0et6rn9us")</f>
        <v/>
      </c>
      <c r="G151" t="inlineStr">
        <is>
          <t>Kansas City, MO, US</t>
        </is>
      </c>
      <c r="H151" s="2" t="n">
        <v>46069</v>
      </c>
      <c r="I151" t="inlineStr">
        <is>
          <t>**Open position in RADaR office locations, including Kansas City, MO, Columbia, MO, and St. Louis, MO; Hybrid work schedule: 3 days in the office, 2 days working from home**
**Visa sponsorship** is not available for this position, now or in the future. Applicants must be legally authorized to work in the United States on a permanent basis without requiring employer sponsorship.
We're seeking a Data Scientist with exceptional statistical expertise to join our team. In this role, you'll work directly with advertising agencies and brands to analyze customer behavior patterns and advertising performance, developing sophisticated machine learning models that inform strategic marketing decisions.
**Essential Duties and Responsibilities**(Other duties may be assigned)
* Conduct deep statistical analysis of customer behavior data and advertising performance metrics across multiple channels and campaigns
* Design, develop, and deploy machine learning models to predict customer responses, optimize advertising spend, and identify high\-value audience segments
* Perform advanced statistical modeling including regression analysis, hypothesis testing, time series analysis, and causal inference
* Build predictive models for customer lifetime value, churn prediction, attribution modeling, and campaign optimization
* Communicate complex analytical findings to both technical and non\-technical stakeholders through compelling data visualizations and presentations
* Develop automated reporting solutions and dashboards that enable clients to monitor campaign performance in real\-time
* Collaborate with cross\-functional teams to ensure data quality and integrity across all analytics initiatives
* Stay current with emerging techniques in data science, machine learning, and marketing analytics
**Qualifications \-**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3\+ years of professional experience applying statistical methods and machine learning to business problems
* Strong foundation in statistical theory including probability, inference, experimental design, and multivariate analysis
* Demonstrated expertise in machine learning algorithms (e.g., random forests, gradient boosting, neural networks, clustering methods)
* Proficiency in Python or R for statistical analysis and machine learning, including libraries such as scikit\-learn, pandas, NumPy, statsmodels
* Experience with SQL and working with large\-scale databases
* Proven ability to design and analyze A/B tests and controlled experiments
* Track record of translating complex analytical insights into clear, actionable business recommendations
* Strong communication skills with the ability to present technical concepts to non\-technical audiences
**Preferred Qualifications:**
* Experience working with advertising agencies, marketing teams, or in the ad tech industry
* Knowledge of digital advertising platforms (Google Ads, Facebook Ads, programmatic platforms)
* Familiarity with marketing attribution models and multi\-touch attribution methods
* Experience with cloud computing platforms (AWS, GCP, or Azure)
* Knowledge of causal inference methods and their application to marketing effectiveness
* Experience with customer data platforms (CDPs) and marketing automation tools
**Education**
* Advanced degree (Master's or Ph.D.) in Statistics, Mathematics, Computer Science, Economics, or related quantitative field
**Total Perks Package**
* The chance to be a part of a growing company and the next success story
* Amazing opportunities for career development
* Recognition programs
* Employee referral bonus
* Hybrid work schedule; 3 days in the office, 2 days working from home
* Fun and collaborative work environment
* Casual dress code
* Insurance Coverage (medical, dental, vision, life, and disability)
* 401(k) retirement plan, with employer 4% match
* Work/life benefits, including mental health and wellbeing support
* Flexible Time Off Policy
* Paid holidays, including agency closing Christmas Eve\-New Year's Day
* Paid leave options, including sick leave, medical leave for self and family, and parental leave
California Residents \- Please review our Privacy Notice here.</t>
        </is>
      </c>
    </row>
    <row r="152">
      <c r="A152" t="inlineStr">
        <is>
          <t>in-f906559b48f83928</t>
        </is>
      </c>
      <c r="B152" t="inlineStr">
        <is>
          <t>Data Scientist</t>
        </is>
      </c>
      <c r="C152" t="inlineStr">
        <is>
          <t>Radar</t>
        </is>
      </c>
      <c r="D152" t="inlineStr">
        <is>
          <t>indeed</t>
        </is>
      </c>
      <c r="E152">
        <f>HYPERLINK("https://www.indeed.com/viewjob?jk=f906559b48f83928", "https://www.indeed.com/viewjob?jk=f906559b48f83928")</f>
        <v/>
      </c>
      <c r="F152">
        <f>HYPERLINK("https://grnh.se/08xqywbd9us", "https://grnh.se/08xqywbd9us")</f>
        <v/>
      </c>
      <c r="G152" t="inlineStr">
        <is>
          <t>St. Louis, MO, US</t>
        </is>
      </c>
      <c r="H152" s="2" t="n">
        <v>46069</v>
      </c>
      <c r="I152" t="inlineStr">
        <is>
          <t>**Open position in RADaR office locations, including Kansas City, MO, Columbia, MO, and St. Louis, MO; Hybrid work schedule: 3 days in the office, 2 days working from home**
**Visa sponsorship** is not available for this position, now or in the future. Applicants must be legally authorized to work in the United States on a permanent basis without requiring employer sponsorship.
We're seeking a Data Scientist with exceptional statistical expertise to join our team. In this role, you'll work directly with advertising agencies and brands to analyze customer behavior patterns and advertising performance, developing sophisticated machine learning models that inform strategic marketing decisions.
**Essential Duties and Responsibilities**(Other duties may be assigned)
* Conduct deep statistical analysis of customer behavior data and advertising performance metrics across multiple channels and campaigns
* Design, develop, and deploy machine learning models to predict customer responses, optimize advertising spend, and identify high\-value audience segments
* Perform advanced statistical modeling including regression analysis, hypothesis testing, time series analysis, and causal inference
* Build predictive models for customer lifetime value, churn prediction, attribution modeling, and campaign optimization
* Communicate complex analytical findings to both technical and non\-technical stakeholders through compelling data visualizations and presentations
* Develop automated reporting solutions and dashboards that enable clients to monitor campaign performance in real\-time
* Collaborate with cross\-functional teams to ensure data quality and integrity across all analytics initiatives
* Stay current with emerging techniques in data science, machine learning, and marketing analytics
**Qualifications \-**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3\+ years of professional experience applying statistical methods and machine learning to business problems
* Strong foundation in statistical theory including probability, inference, experimental design, and multivariate analysis
* Demonstrated expertise in machine learning algorithms (e.g., random forests, gradient boosting, neural networks, clustering methods)
* Proficiency in Python or R for statistical analysis and machine learning, including libraries such as scikit\-learn, pandas, NumPy, statsmodels
* Experience with SQL and working with large\-scale databases
* Proven ability to design and analyze A/B tests and controlled experiments
* Track record of translating complex analytical insights into clear, actionable business recommendations
* Strong communication skills with the ability to present technical concepts to non\-technical audiences
**Preferred Qualifications:**
* Experience working with advertising agencies, marketing teams, or in the ad tech industry
* Knowledge of digital advertising platforms (Google Ads, Facebook Ads, programmatic platforms)
* Familiarity with marketing attribution models and multi\-touch attribution methods
* Experience with cloud computing platforms (AWS, GCP, or Azure)
* Knowledge of causal inference methods and their application to marketing effectiveness
* Experience with customer data platforms (CDPs) and marketing automation tools
**Education**
* Advanced degree (Master's or Ph.D.) in Statistics, Mathematics, Computer Science, Economics, or related quantitative field
**Total Perks Package**
* The chance to be a part of a growing company and the next success story
* Amazing opportunities for career development
* Recognition programs
* Employee referral bonus
* Hybrid work schedule; 3 days in the office, 2 days working from home
* Fun and collaborative work environment
* Casual dress code
* Insurance Coverage (medical, dental, vision, life, and disability)
* 401(k) retirement plan, with employer 4% match
* Work/life benefits, including mental health and wellbeing support
* Flexible Time Off Policy
* Paid holidays, including agency closing Christmas Eve\-New Year's Day
* Paid leave options, including sick leave, medical leave for self and family, and parental leave
California Residents \- Please review our Privacy Notice here.</t>
        </is>
      </c>
    </row>
    <row r="153">
      <c r="A153" t="inlineStr">
        <is>
          <t>in-2327770211ac6917</t>
        </is>
      </c>
      <c r="B153" t="inlineStr">
        <is>
          <t>Data Scientist</t>
        </is>
      </c>
      <c r="C153" t="inlineStr">
        <is>
          <t>Radar</t>
        </is>
      </c>
      <c r="D153" t="inlineStr">
        <is>
          <t>indeed</t>
        </is>
      </c>
      <c r="E153">
        <f>HYPERLINK("https://www.indeed.com/viewjob?jk=2327770211ac6917", "https://www.indeed.com/viewjob?jk=2327770211ac6917")</f>
        <v/>
      </c>
      <c r="F153">
        <f>HYPERLINK("https://grnh.se/0jwktt2l9us", "https://grnh.se/0jwktt2l9us")</f>
        <v/>
      </c>
      <c r="G153" t="inlineStr">
        <is>
          <t>Columbia, MO, US</t>
        </is>
      </c>
      <c r="H153" s="2" t="n">
        <v>46069</v>
      </c>
      <c r="I153" t="inlineStr">
        <is>
          <t>**Open position in RADaR office locations, including Kansas City, MO, Columbia, MO, and St. Louis, MO; Hybrid work schedule: 3 days in the office, 2 days working from home**
**Visa sponsorship** is not available for this position, now or in the future. Applicants must be legally authorized to work in the United States on a permanent basis without requiring employer sponsorship.
We're seeking a Data Scientist with exceptional statistical expertise to join our team. In this role, you'll work directly with advertising agencies and brands to analyze customer behavior patterns and advertising performance, developing sophisticated machine learning models that inform strategic marketing decisions.
**Essential Duties and Responsibilities**(Other duties may be assigned)
* Conduct deep statistical analysis of customer behavior data and advertising performance metrics across multiple channels and campaigns
* Design, develop, and deploy machine learning models to predict customer responses, optimize advertising spend, and identify high\-value audience segments
* Perform advanced statistical modeling including regression analysis, hypothesis testing, time series analysis, and causal inference
* Build predictive models for customer lifetime value, churn prediction, attribution modeling, and campaign optimization
* Communicate complex analytical findings to both technical and non\-technical stakeholders through compelling data visualizations and presentations
* Develop automated reporting solutions and dashboards that enable clients to monitor campaign performance in real\-time
* Collaborate with cross\-functional teams to ensure data quality and integrity across all analytics initiatives
* Stay current with emerging techniques in data science, machine learning, and marketing analytics
**Qualifications \-**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3\+ years of professional experience applying statistical methods and machine learning to business problems
* Strong foundation in statistical theory including probability, inference, experimental design, and multivariate analysis
* Demonstrated expertise in machine learning algorithms (e.g., random forests, gradient boosting, neural networks, clustering methods)
* Proficiency in Python or R for statistical analysis and machine learning, including libraries such as scikit\-learn, pandas, NumPy, statsmodels
* Experience with SQL and working with large\-scale databases
* Proven ability to design and analyze A/B tests and controlled experiments
* Track record of translating complex analytical insights into clear, actionable business recommendations
* Strong communication skills with the ability to present technical concepts to non\-technical audiences
**Preferred Qualifications:**
* Experience working with advertising agencies, marketing teams, or in the ad tech industry
* Knowledge of digital advertising platforms (Google Ads, Facebook Ads, programmatic platforms)
* Familiarity with marketing attribution models and multi\-touch attribution methods
* Experience with cloud computing platforms (AWS, GCP, or Azure)
* Knowledge of causal inference methods and their application to marketing effectiveness
* Experience with customer data platforms (CDPs) and marketing automation tools
**Education**
* Advanced degree (Master's or Ph.D.) in Statistics, Mathematics, Computer Science, Economics, or related quantitative field
**Total Perks Package**
* The chance to be a part of a growing company and the next success story
* Amazing opportunities for career development
* Recognition programs
* Employee referral bonus
* Hybrid work schedule; 3 days in the office, 2 days working from home
* Fun and collaborative work environment
* Casual dress code
* Insurance Coverage (medical, dental, vision, life, and disability)
* 401(k) retirement plan, with employer 4% match
* Work/life benefits, including mental health and wellbeing support
* Flexible Time Off Policy
* Paid holidays, including agency closing Christmas Eve\-New Year's Day
* Paid leave options, including sick leave, medical leave for self and family, and parental leave
California Residents \- Please review our Privacy Notice here.</t>
        </is>
      </c>
    </row>
    <row r="154">
      <c r="A154" t="inlineStr">
        <is>
          <t>in-0e8c12aa9755214d</t>
        </is>
      </c>
      <c r="B154" t="inlineStr">
        <is>
          <t>Sr. Applied Scientist, Sponsored Products Off-Search Sourcing</t>
        </is>
      </c>
      <c r="C154" t="inlineStr">
        <is>
          <t>Amazon.com</t>
        </is>
      </c>
      <c r="D154" t="inlineStr">
        <is>
          <t>indeed</t>
        </is>
      </c>
      <c r="E154">
        <f>HYPERLINK("https://www.indeed.com/viewjob?jk=0e8c12aa9755214d", "https://www.indeed.com/viewjob?jk=0e8c12aa9755214d")</f>
        <v/>
      </c>
      <c r="F154">
        <f>HYPERLINK("https://www.amazon.jobs/jobs/3169094/sr-applied-scientist-sponsored-products-offsearch-sourcing?cmpid=DA_INAD200785B", "https://www.amazon.jobs/jobs/3169094/sr-applied-scientist-sponsored-products-offsearch-sourcing?cmpid=DA_INAD200785B")</f>
        <v/>
      </c>
      <c r="G154" t="inlineStr">
        <is>
          <t>New York, NY, US</t>
        </is>
      </c>
      <c r="H154" s="2" t="n">
        <v>46049</v>
      </c>
      <c r="I154"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155">
      <c r="A155" t="inlineStr">
        <is>
          <t>in-0981619d74876b19</t>
        </is>
      </c>
      <c r="B155" t="inlineStr">
        <is>
          <t>Sr. Applied Scientist, Sponsored Products Off-Search Sourcing</t>
        </is>
      </c>
      <c r="C155" t="inlineStr">
        <is>
          <t>Amazon.com</t>
        </is>
      </c>
      <c r="D155" t="inlineStr">
        <is>
          <t>indeed</t>
        </is>
      </c>
      <c r="E155">
        <f>HYPERLINK("https://www.indeed.com/viewjob?jk=0981619d74876b19", "https://www.indeed.com/viewjob?jk=0981619d74876b19")</f>
        <v/>
      </c>
      <c r="F155">
        <f>HYPERLINK("https://www.amazon.jobs/jobs/3169094/sr-applied-scientist-sponsored-products-offsearch-sourcing?cmpid=DA_INAD200785B", "https://www.amazon.jobs/jobs/3169094/sr-applied-scientist-sponsored-products-offsearch-sourcing?cmpid=DA_INAD200785B")</f>
        <v/>
      </c>
      <c r="G155" t="inlineStr">
        <is>
          <t>Seattle, WA, US</t>
        </is>
      </c>
      <c r="H155" s="2" t="n">
        <v>46049</v>
      </c>
      <c r="I155"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156">
      <c r="A156" t="inlineStr">
        <is>
          <t>in-e54c91bfa7e1772f</t>
        </is>
      </c>
      <c r="B156" t="inlineStr">
        <is>
          <t>Sr. Applied Scientist, Sponsored Products Off-Search Sourcing</t>
        </is>
      </c>
      <c r="C156" t="inlineStr">
        <is>
          <t>Amazon.com</t>
        </is>
      </c>
      <c r="D156" t="inlineStr">
        <is>
          <t>indeed</t>
        </is>
      </c>
      <c r="E156">
        <f>HYPERLINK("https://www.indeed.com/viewjob?jk=e54c91bfa7e1772f", "https://www.indeed.com/viewjob?jk=e54c91bfa7e1772f")</f>
        <v/>
      </c>
      <c r="F156">
        <f>HYPERLINK("https://www.amazon.jobs/jobs/3169094/sr-applied-scientist-sponsored-products-offsearch-sourcing?cmpid=DA_INAD200785B", "https://www.amazon.jobs/jobs/3169094/sr-applied-scientist-sponsored-products-offsearch-sourcing?cmpid=DA_INAD200785B")</f>
        <v/>
      </c>
      <c r="G156" t="inlineStr">
        <is>
          <t>Palo Alto, CA, US</t>
        </is>
      </c>
      <c r="H156" s="2" t="n">
        <v>46049</v>
      </c>
      <c r="I156"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157">
      <c r="A157" t="inlineStr">
        <is>
          <t>in-5e44afb287ad56fb</t>
        </is>
      </c>
      <c r="B157" t="inlineStr">
        <is>
          <t>Applied Scientist II, Prime Video Personalization and Discovery Science</t>
        </is>
      </c>
      <c r="C157" t="inlineStr">
        <is>
          <t>Amazon.com</t>
        </is>
      </c>
      <c r="D157" t="inlineStr">
        <is>
          <t>indeed</t>
        </is>
      </c>
      <c r="E157">
        <f>HYPERLINK("https://www.indeed.com/viewjob?jk=5e44afb287ad56fb", "https://www.indeed.com/viewjob?jk=5e44afb287ad56fb")</f>
        <v/>
      </c>
      <c r="F157">
        <f>HYPERLINK("https://www.amazon.jobs/jobs/3168905/applied-scientist-ii-prime-video-personalization-and-discovery-science?cmpid=DA_INAD200785B", "https://www.amazon.jobs/jobs/3168905/applied-scientist-ii-prime-video-personalization-and-discovery-science?cmpid=DA_INAD200785B")</f>
        <v/>
      </c>
      <c r="G157" t="inlineStr">
        <is>
          <t>Sunnyvale, CA, US</t>
        </is>
      </c>
      <c r="H157" s="2" t="n">
        <v>46047</v>
      </c>
      <c r="I15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58">
      <c r="A158" t="inlineStr">
        <is>
          <t>in-40cf750bee202579</t>
        </is>
      </c>
      <c r="B158" t="inlineStr">
        <is>
          <t>Applied Scientist II, Prime Video Personalization and Discovery Science</t>
        </is>
      </c>
      <c r="C158" t="inlineStr">
        <is>
          <t>Amazon.com</t>
        </is>
      </c>
      <c r="D158" t="inlineStr">
        <is>
          <t>indeed</t>
        </is>
      </c>
      <c r="E158">
        <f>HYPERLINK("https://www.indeed.com/viewjob?jk=40cf750bee202579", "https://www.indeed.com/viewjob?jk=40cf750bee202579")</f>
        <v/>
      </c>
      <c r="F158">
        <f>HYPERLINK("https://www.amazon.jobs/jobs/3168905/applied-scientist-ii-prime-video-personalization-and-discovery-science?cmpid=DA_INAD200785B", "https://www.amazon.jobs/jobs/3168905/applied-scientist-ii-prime-video-personalization-and-discovery-science?cmpid=DA_INAD200785B")</f>
        <v/>
      </c>
      <c r="G158" t="inlineStr">
        <is>
          <t>New York, NY, US</t>
        </is>
      </c>
      <c r="H158" s="2" t="n">
        <v>46047</v>
      </c>
      <c r="I15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59">
      <c r="A159" t="inlineStr">
        <is>
          <t>in-7f8d658d39014e91</t>
        </is>
      </c>
      <c r="B159" t="inlineStr">
        <is>
          <t>Applied Scientist, Amazon Connect</t>
        </is>
      </c>
      <c r="C159" t="inlineStr">
        <is>
          <t>Amazon Web Services</t>
        </is>
      </c>
      <c r="D159" t="inlineStr">
        <is>
          <t>indeed</t>
        </is>
      </c>
      <c r="E159">
        <f>HYPERLINK("https://www.indeed.com/viewjob?jk=7f8d658d39014e91", "https://www.indeed.com/viewjob?jk=7f8d658d39014e91")</f>
        <v/>
      </c>
      <c r="F159">
        <f>HYPERLINK("https://www.amazon.jobs/jobs/3168981/applied-scientist-amazon-connect?cmpid=DA_INAD200785B", "https://www.amazon.jobs/jobs/3168981/applied-scientist-amazon-connect?cmpid=DA_INAD200785B")</f>
        <v/>
      </c>
      <c r="G159" t="inlineStr">
        <is>
          <t>Seattle, WA, US</t>
        </is>
      </c>
      <c r="H159" s="2" t="n">
        <v>46047</v>
      </c>
      <c r="I159"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60">
      <c r="A160" t="inlineStr">
        <is>
          <t>in-ebb4469ccf09da5c</t>
        </is>
      </c>
      <c r="B160" t="inlineStr">
        <is>
          <t>Applied Scientist II, Prime Video Personalization and Discovery Science</t>
        </is>
      </c>
      <c r="C160" t="inlineStr">
        <is>
          <t>Amazon.com</t>
        </is>
      </c>
      <c r="D160" t="inlineStr">
        <is>
          <t>indeed</t>
        </is>
      </c>
      <c r="E160">
        <f>HYPERLINK("https://www.indeed.com/viewjob?jk=ebb4469ccf09da5c", "https://www.indeed.com/viewjob?jk=ebb4469ccf09da5c")</f>
        <v/>
      </c>
      <c r="F160">
        <f>HYPERLINK("https://www.amazon.jobs/jobs/3168905/applied-scientist-ii-prime-video-personalization-and-discovery-science?cmpid=DA_INAD200785B", "https://www.amazon.jobs/jobs/3168905/applied-scientist-ii-prime-video-personalization-and-discovery-science?cmpid=DA_INAD200785B")</f>
        <v/>
      </c>
      <c r="G160" t="inlineStr">
        <is>
          <t>Seattle, WA, US</t>
        </is>
      </c>
      <c r="H160" s="2" t="n">
        <v>46047</v>
      </c>
      <c r="I16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61">
      <c r="A161" t="inlineStr">
        <is>
          <t>in-dc37b2c16103a3f9</t>
        </is>
      </c>
      <c r="B161" t="inlineStr">
        <is>
          <t>Applied Scientist, Amazon Connect</t>
        </is>
      </c>
      <c r="C161" t="inlineStr">
        <is>
          <t>Amazon Web Services</t>
        </is>
      </c>
      <c r="D161" t="inlineStr">
        <is>
          <t>indeed</t>
        </is>
      </c>
      <c r="E161">
        <f>HYPERLINK("https://www.indeed.com/viewjob?jk=dc37b2c16103a3f9", "https://www.indeed.com/viewjob?jk=dc37b2c16103a3f9")</f>
        <v/>
      </c>
      <c r="F161">
        <f>HYPERLINK("https://www.amazon.jobs/jobs/3168981/applied-scientist-amazon-connect?cmpid=DA_INAD200785B", "https://www.amazon.jobs/jobs/3168981/applied-scientist-amazon-connect?cmpid=DA_INAD200785B")</f>
        <v/>
      </c>
      <c r="G161" t="inlineStr">
        <is>
          <t>New York, NY, US</t>
        </is>
      </c>
      <c r="H161" s="2" t="n">
        <v>46047</v>
      </c>
      <c r="I161"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62">
      <c r="A162" t="inlineStr">
        <is>
          <t>in-c1e32fd62a908389</t>
        </is>
      </c>
      <c r="B162" t="inlineStr">
        <is>
          <t>Applied Scientist, Safety ML</t>
        </is>
      </c>
      <c r="C162" t="inlineStr">
        <is>
          <t>Amazon.com</t>
        </is>
      </c>
      <c r="D162" t="inlineStr">
        <is>
          <t>indeed</t>
        </is>
      </c>
      <c r="E162">
        <f>HYPERLINK("https://www.indeed.com/viewjob?jk=c1e32fd62a908389", "https://www.indeed.com/viewjob?jk=c1e32fd62a908389")</f>
        <v/>
      </c>
      <c r="F162">
        <f>HYPERLINK("https://www.amazon.jobs/jobs/3161224/applied-scientist-safety-ml?cmpid=DA_INAD200785B", "https://www.amazon.jobs/jobs/3161224/applied-scientist-safety-ml?cmpid=DA_INAD200785B")</f>
        <v/>
      </c>
      <c r="G162" t="inlineStr">
        <is>
          <t>San Francisco, CA, US</t>
        </is>
      </c>
      <c r="H162" s="2" t="n">
        <v>46037</v>
      </c>
      <c r="I16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63">
      <c r="A163" t="inlineStr">
        <is>
          <t>in-d873ab8057a2ae8e</t>
        </is>
      </c>
      <c r="B163" t="inlineStr">
        <is>
          <t>Applied Scientist, Safety ML</t>
        </is>
      </c>
      <c r="C163" t="inlineStr">
        <is>
          <t>Amazon.com</t>
        </is>
      </c>
      <c r="D163" t="inlineStr">
        <is>
          <t>indeed</t>
        </is>
      </c>
      <c r="E163">
        <f>HYPERLINK("https://www.indeed.com/viewjob?jk=d873ab8057a2ae8e", "https://www.indeed.com/viewjob?jk=d873ab8057a2ae8e")</f>
        <v/>
      </c>
      <c r="F163">
        <f>HYPERLINK("https://www.amazon.jobs/jobs/3161224/applied-scientist-safety-ml?cmpid=DA_INAD200785B", "https://www.amazon.jobs/jobs/3161224/applied-scientist-safety-ml?cmpid=DA_INAD200785B")</f>
        <v/>
      </c>
      <c r="G163" t="inlineStr">
        <is>
          <t>Seattle, WA, US</t>
        </is>
      </c>
      <c r="H163" s="2" t="n">
        <v>46037</v>
      </c>
      <c r="I16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64">
      <c r="A164" t="inlineStr">
        <is>
          <t>in-f9c82b7e47286a97</t>
        </is>
      </c>
      <c r="B164" t="inlineStr">
        <is>
          <t>Applied Scientist, LLM Code Agents, Kiro Science</t>
        </is>
      </c>
      <c r="C164" t="inlineStr">
        <is>
          <t>Amazon.com</t>
        </is>
      </c>
      <c r="D164" t="inlineStr">
        <is>
          <t>indeed</t>
        </is>
      </c>
      <c r="E164">
        <f>HYPERLINK("https://www.indeed.com/viewjob?jk=f9c82b7e47286a97", "https://www.indeed.com/viewjob?jk=f9c82b7e47286a97")</f>
        <v/>
      </c>
      <c r="F164">
        <f>HYPERLINK("https://www.amazon.jobs/jobs/3161363/applied-scientist-llm-code-agents-kiro-science?cmpid=DA_INAD200785B", "https://www.amazon.jobs/jobs/3161363/applied-scientist-llm-code-agents-kiro-science?cmpid=DA_INAD200785B")</f>
        <v/>
      </c>
      <c r="G164" t="inlineStr">
        <is>
          <t>Santa Clara, CA, US</t>
        </is>
      </c>
      <c r="H164" s="2" t="n">
        <v>46035</v>
      </c>
      <c r="I164"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65">
      <c r="A165" t="inlineStr">
        <is>
          <t>in-cb51d528cf32f7a1</t>
        </is>
      </c>
      <c r="B165" t="inlineStr">
        <is>
          <t>Applied Scientist, LLM Code Agents, Kiro Science</t>
        </is>
      </c>
      <c r="C165" t="inlineStr">
        <is>
          <t>Amazon.com</t>
        </is>
      </c>
      <c r="D165" t="inlineStr">
        <is>
          <t>indeed</t>
        </is>
      </c>
      <c r="E165">
        <f>HYPERLINK("https://www.indeed.com/viewjob?jk=cb51d528cf32f7a1", "https://www.indeed.com/viewjob?jk=cb51d528cf32f7a1")</f>
        <v/>
      </c>
      <c r="F165">
        <f>HYPERLINK("https://www.amazon.jobs/jobs/3161363/applied-scientist-llm-code-agents-kiro-science?cmpid=DA_INAD200785B", "https://www.amazon.jobs/jobs/3161363/applied-scientist-llm-code-agents-kiro-science?cmpid=DA_INAD200785B")</f>
        <v/>
      </c>
      <c r="G165" t="inlineStr">
        <is>
          <t>Seattle, WA, US</t>
        </is>
      </c>
      <c r="H165" s="2" t="n">
        <v>46035</v>
      </c>
      <c r="I165"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66">
      <c r="A166" t="inlineStr">
        <is>
          <t>in-eaa6f1b7f8fd1798</t>
        </is>
      </c>
      <c r="B166" t="inlineStr">
        <is>
          <t>Applied Scientist II, Prime Video Personalization and Discovery Science</t>
        </is>
      </c>
      <c r="C166" t="inlineStr">
        <is>
          <t>Amazon.com</t>
        </is>
      </c>
      <c r="D166" t="inlineStr">
        <is>
          <t>indeed</t>
        </is>
      </c>
      <c r="E166">
        <f>HYPERLINK("https://www.indeed.com/viewjob?jk=eaa6f1b7f8fd1798", "https://www.indeed.com/viewjob?jk=eaa6f1b7f8fd1798")</f>
        <v/>
      </c>
      <c r="F166">
        <f>HYPERLINK("https://www.amazon.jobs/jobs/3165157/applied-scientist-ii-prime-video-personalization-and-discovery-science?cmpid=DA_INAD200785B", "https://www.amazon.jobs/jobs/3165157/applied-scientist-ii-prime-video-personalization-and-discovery-science?cmpid=DA_INAD200785B")</f>
        <v/>
      </c>
      <c r="G166" t="inlineStr">
        <is>
          <t>Sunnyvale, CA, US</t>
        </is>
      </c>
      <c r="H166" s="2" t="n">
        <v>46034</v>
      </c>
      <c r="I16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67">
      <c r="A167" t="inlineStr">
        <is>
          <t>in-75b50a71c98931ea</t>
        </is>
      </c>
      <c r="B167" t="inlineStr">
        <is>
          <t>Applied Scientist II, Prime Video Personalization and Discovery Science</t>
        </is>
      </c>
      <c r="C167" t="inlineStr">
        <is>
          <t>Amazon.com</t>
        </is>
      </c>
      <c r="D167" t="inlineStr">
        <is>
          <t>indeed</t>
        </is>
      </c>
      <c r="E167">
        <f>HYPERLINK("https://www.indeed.com/viewjob?jk=75b50a71c98931ea", "https://www.indeed.com/viewjob?jk=75b50a71c98931ea")</f>
        <v/>
      </c>
      <c r="F167">
        <f>HYPERLINK("https://www.amazon.jobs/jobs/3165157/applied-scientist-ii-prime-video-personalization-and-discovery-science?cmpid=DA_INAD200785B", "https://www.amazon.jobs/jobs/3165157/applied-scientist-ii-prime-video-personalization-and-discovery-science?cmpid=DA_INAD200785B")</f>
        <v/>
      </c>
      <c r="G167" t="inlineStr">
        <is>
          <t>Seattle, WA, US</t>
        </is>
      </c>
      <c r="H167" s="2" t="n">
        <v>46034</v>
      </c>
      <c r="I1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68">
      <c r="A168" t="inlineStr">
        <is>
          <t>in-1b0b181e01eefcc0</t>
        </is>
      </c>
      <c r="B168" t="inlineStr">
        <is>
          <t>Sr Applied Scientist, AWS Proactive Security</t>
        </is>
      </c>
      <c r="C168" t="inlineStr">
        <is>
          <t>Amazon.com</t>
        </is>
      </c>
      <c r="D168" t="inlineStr">
        <is>
          <t>indeed</t>
        </is>
      </c>
      <c r="E168">
        <f>HYPERLINK("https://www.indeed.com/viewjob?jk=1b0b181e01eefcc0", "https://www.indeed.com/viewjob?jk=1b0b181e01eefcc0")</f>
        <v/>
      </c>
      <c r="F168">
        <f>HYPERLINK("https://www.amazon.jobs/jobs/3164664/sr-applied-scientist-aws-proactive-security?cmpid=DA_INAD200785B", "https://www.amazon.jobs/jobs/3164664/sr-applied-scientist-aws-proactive-security?cmpid=DA_INAD200785B")</f>
        <v/>
      </c>
      <c r="G168" t="inlineStr">
        <is>
          <t>Arlington, VA, US</t>
        </is>
      </c>
      <c r="H168" s="2" t="n">
        <v>46030</v>
      </c>
      <c r="I168"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169">
      <c r="A169" t="inlineStr">
        <is>
          <t>in-d3177bb79f614030</t>
        </is>
      </c>
      <c r="B169" t="inlineStr">
        <is>
          <t>Sr Applied Scientist, AWS Proactive Security</t>
        </is>
      </c>
      <c r="C169" t="inlineStr">
        <is>
          <t>Amazon.com</t>
        </is>
      </c>
      <c r="D169" t="inlineStr">
        <is>
          <t>indeed</t>
        </is>
      </c>
      <c r="E169">
        <f>HYPERLINK("https://www.indeed.com/viewjob?jk=d3177bb79f614030", "https://www.indeed.com/viewjob?jk=d3177bb79f614030")</f>
        <v/>
      </c>
      <c r="F169">
        <f>HYPERLINK("https://www.amazon.jobs/jobs/3164664/sr-applied-scientist-aws-proactive-security?cmpid=DA_INAD200785B", "https://www.amazon.jobs/jobs/3164664/sr-applied-scientist-aws-proactive-security?cmpid=DA_INAD200785B")</f>
        <v/>
      </c>
      <c r="G169" t="inlineStr">
        <is>
          <t>Sunnyvale, CA, US</t>
        </is>
      </c>
      <c r="H169" s="2" t="n">
        <v>46030</v>
      </c>
      <c r="I169"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170">
      <c r="A170" t="inlineStr">
        <is>
          <t>in-0c44803343763691</t>
        </is>
      </c>
      <c r="B170" t="inlineStr">
        <is>
          <t>Sr Applied Scientist, AWS Proactive Security</t>
        </is>
      </c>
      <c r="C170" t="inlineStr">
        <is>
          <t>Amazon.com</t>
        </is>
      </c>
      <c r="D170" t="inlineStr">
        <is>
          <t>indeed</t>
        </is>
      </c>
      <c r="E170">
        <f>HYPERLINK("https://www.indeed.com/viewjob?jk=0c44803343763691", "https://www.indeed.com/viewjob?jk=0c44803343763691")</f>
        <v/>
      </c>
      <c r="F170">
        <f>HYPERLINK("https://www.amazon.jobs/jobs/3164664/sr-applied-scientist-aws-proactive-security?cmpid=DA_INAD200785B", "https://www.amazon.jobs/jobs/3164664/sr-applied-scientist-aws-proactive-security?cmpid=DA_INAD200785B")</f>
        <v/>
      </c>
      <c r="G170" t="inlineStr">
        <is>
          <t>Herndon, VA, US</t>
        </is>
      </c>
      <c r="H170" s="2" t="n">
        <v>46030</v>
      </c>
      <c r="I170"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171">
      <c r="A171" t="inlineStr">
        <is>
          <t>in-7f6819ac5450e2ee</t>
        </is>
      </c>
      <c r="B171" t="inlineStr">
        <is>
          <t>Applied Scientist, AWS Applied AI Solutions</t>
        </is>
      </c>
      <c r="C171" t="inlineStr">
        <is>
          <t>Amazon Web Services</t>
        </is>
      </c>
      <c r="D171" t="inlineStr">
        <is>
          <t>indeed</t>
        </is>
      </c>
      <c r="E171">
        <f>HYPERLINK("https://www.indeed.com/viewjob?jk=7f6819ac5450e2ee", "https://www.indeed.com/viewjob?jk=7f6819ac5450e2ee")</f>
        <v/>
      </c>
      <c r="F171">
        <f>HYPERLINK("https://www.amazon.jobs/jobs/3166907/applied-scientist-aws-applied-ai-solutions?cmpid=DA_INAD200785B", "https://www.amazon.jobs/jobs/3166907/applied-scientist-aws-applied-ai-solutions?cmpid=DA_INAD200785B")</f>
        <v/>
      </c>
      <c r="G171" t="inlineStr">
        <is>
          <t>New York, NY, US</t>
        </is>
      </c>
      <c r="H171" s="2" t="n">
        <v>46030</v>
      </c>
      <c r="I171"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72">
      <c r="A172" t="inlineStr">
        <is>
          <t>in-f7776705cf04571e</t>
        </is>
      </c>
      <c r="B172" t="inlineStr">
        <is>
          <t>Applied Scientist, AWS Applied AI Solutions</t>
        </is>
      </c>
      <c r="C172" t="inlineStr">
        <is>
          <t>Amazon Web Services</t>
        </is>
      </c>
      <c r="D172" t="inlineStr">
        <is>
          <t>indeed</t>
        </is>
      </c>
      <c r="E172">
        <f>HYPERLINK("https://www.indeed.com/viewjob?jk=f7776705cf04571e", "https://www.indeed.com/viewjob?jk=f7776705cf04571e")</f>
        <v/>
      </c>
      <c r="F172">
        <f>HYPERLINK("https://www.amazon.jobs/jobs/3166907/applied-scientist-aws-applied-ai-solutions?cmpid=DA_INAD200785B", "https://www.amazon.jobs/jobs/3166907/applied-scientist-aws-applied-ai-solutions?cmpid=DA_INAD200785B")</f>
        <v/>
      </c>
      <c r="G172" t="inlineStr">
        <is>
          <t>Seattle, WA, US</t>
        </is>
      </c>
      <c r="H172" s="2" t="n">
        <v>46030</v>
      </c>
      <c r="I172"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73">
      <c r="A173" t="inlineStr">
        <is>
          <t>in-db0886cdc8b33140</t>
        </is>
      </c>
      <c r="B173" t="inlineStr">
        <is>
          <t>Applied Scientist, Last Mile Delivery Automation</t>
        </is>
      </c>
      <c r="C173" t="inlineStr">
        <is>
          <t>Amazon.com</t>
        </is>
      </c>
      <c r="D173" t="inlineStr">
        <is>
          <t>indeed</t>
        </is>
      </c>
      <c r="E173">
        <f>HYPERLINK("https://www.indeed.com/viewjob?jk=db0886cdc8b33140", "https://www.indeed.com/viewjob?jk=db0886cdc8b33140")</f>
        <v/>
      </c>
      <c r="F173">
        <f>HYPERLINK("https://www.amazon.jobs/jobs/3155354/applied-scientist-last-mile-delivery-automation?cmpid=DA_INAD200785B", "https://www.amazon.jobs/jobs/3155354/applied-scientist-last-mile-delivery-automation?cmpid=DA_INAD200785B")</f>
        <v/>
      </c>
      <c r="G173" t="inlineStr">
        <is>
          <t>Santa Clara, CA, US</t>
        </is>
      </c>
      <c r="H173" s="2" t="n">
        <v>46026</v>
      </c>
      <c r="I173"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in-8cd3dab4351c3e7c</t>
        </is>
      </c>
      <c r="B174" t="inlineStr">
        <is>
          <t>Applied Scientist, Last Mile Delivery Automation</t>
        </is>
      </c>
      <c r="C174" t="inlineStr">
        <is>
          <t>Amazon.com</t>
        </is>
      </c>
      <c r="D174" t="inlineStr">
        <is>
          <t>indeed</t>
        </is>
      </c>
      <c r="E174">
        <f>HYPERLINK("https://www.indeed.com/viewjob?jk=8cd3dab4351c3e7c", "https://www.indeed.com/viewjob?jk=8cd3dab4351c3e7c")</f>
        <v/>
      </c>
      <c r="F174">
        <f>HYPERLINK("https://www.amazon.jobs/jobs/3155354/applied-scientist-last-mile-delivery-automation?cmpid=DA_INAD200785B", "https://www.amazon.jobs/jobs/3155354/applied-scientist-last-mile-delivery-automation?cmpid=DA_INAD200785B")</f>
        <v/>
      </c>
      <c r="G174" t="inlineStr">
        <is>
          <t>Bellevue, WA, US</t>
        </is>
      </c>
      <c r="H174" s="2" t="n">
        <v>46026</v>
      </c>
      <c r="I174"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in-e9997054f188ba7a</t>
        </is>
      </c>
      <c r="B175" t="inlineStr">
        <is>
          <t>Senior Applied Scientist, Sponsored Products and Brands, Off-Search</t>
        </is>
      </c>
      <c r="C175" t="inlineStr">
        <is>
          <t>Amazon.com</t>
        </is>
      </c>
      <c r="D175" t="inlineStr">
        <is>
          <t>indeed</t>
        </is>
      </c>
      <c r="E175">
        <f>HYPERLINK("https://www.indeed.com/viewjob?jk=e9997054f188ba7a", "https://www.indeed.com/viewjob?jk=e9997054f188ba7a")</f>
        <v/>
      </c>
      <c r="F175">
        <f>HYPERLINK("https://www.amazon.jobs/jobs/3153569/senior-applied-scientist-sponsored-products-and-brands-offsearch?cmpid=DA_INAD200785B", "https://www.amazon.jobs/jobs/3153569/senior-applied-scientist-sponsored-products-and-brands-offsearch?cmpid=DA_INAD200785B")</f>
        <v/>
      </c>
      <c r="G175" t="inlineStr">
        <is>
          <t>New York, NY, US</t>
        </is>
      </c>
      <c r="H175" s="2" t="n">
        <v>46017</v>
      </c>
      <c r="I175"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in-5dfef6a128297dd8</t>
        </is>
      </c>
      <c r="B176" t="inlineStr">
        <is>
          <t>Senior Applied Scientist, Sponsored Products and Brands, Off-Search</t>
        </is>
      </c>
      <c r="C176" t="inlineStr">
        <is>
          <t>Amazon.com</t>
        </is>
      </c>
      <c r="D176" t="inlineStr">
        <is>
          <t>indeed</t>
        </is>
      </c>
      <c r="E176">
        <f>HYPERLINK("https://www.indeed.com/viewjob?jk=5dfef6a128297dd8", "https://www.indeed.com/viewjob?jk=5dfef6a128297dd8")</f>
        <v/>
      </c>
      <c r="F176">
        <f>HYPERLINK("https://www.amazon.jobs/jobs/3153569/senior-applied-scientist-sponsored-products-and-brands-offsearch?cmpid=DA_INAD200785B", "https://www.amazon.jobs/jobs/3153569/senior-applied-scientist-sponsored-products-and-brands-offsearch?cmpid=DA_INAD200785B")</f>
        <v/>
      </c>
      <c r="G176" t="inlineStr">
        <is>
          <t>Palo Alto, CA, US</t>
        </is>
      </c>
      <c r="H176" s="2" t="n">
        <v>46017</v>
      </c>
      <c r="I176"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in-5bb829245cbff62f</t>
        </is>
      </c>
      <c r="B177" t="inlineStr">
        <is>
          <t>Senior Applied Scientist, Sponsored Products and Brands, Off-Search</t>
        </is>
      </c>
      <c r="C177" t="inlineStr">
        <is>
          <t>Amazon.com</t>
        </is>
      </c>
      <c r="D177" t="inlineStr">
        <is>
          <t>indeed</t>
        </is>
      </c>
      <c r="E177">
        <f>HYPERLINK("https://www.indeed.com/viewjob?jk=5bb829245cbff62f", "https://www.indeed.com/viewjob?jk=5bb829245cbff62f")</f>
        <v/>
      </c>
      <c r="F177">
        <f>HYPERLINK("https://www.amazon.jobs/jobs/3153569/senior-applied-scientist-sponsored-products-and-brands-offsearch?cmpid=DA_INAD200785B", "https://www.amazon.jobs/jobs/3153569/senior-applied-scientist-sponsored-products-and-brands-offsearch?cmpid=DA_INAD200785B")</f>
        <v/>
      </c>
      <c r="G177" t="inlineStr">
        <is>
          <t>Seattle, WA, US</t>
        </is>
      </c>
      <c r="H177" s="2" t="n">
        <v>46017</v>
      </c>
      <c r="I177"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in-f11ab4a9aeca1146</t>
        </is>
      </c>
      <c r="B178" t="inlineStr">
        <is>
          <t>Applied Scientist II, Prime Video - Personalization and Discovery Science</t>
        </is>
      </c>
      <c r="C178" t="inlineStr">
        <is>
          <t>Amazon.com</t>
        </is>
      </c>
      <c r="D178" t="inlineStr">
        <is>
          <t>indeed</t>
        </is>
      </c>
      <c r="E178">
        <f>HYPERLINK("https://www.indeed.com/viewjob?jk=f11ab4a9aeca1146", "https://www.indeed.com/viewjob?jk=f11ab4a9aeca1146")</f>
        <v/>
      </c>
      <c r="F178">
        <f>HYPERLINK("https://www.amazon.jobs/jobs/3154128/applied-scientist-ii-prime-video--personalization-and-discovery-science?cmpid=DA_INAD200785B", "https://www.amazon.jobs/jobs/3154128/applied-scientist-ii-prime-video--personalization-and-discovery-science?cmpid=DA_INAD200785B")</f>
        <v/>
      </c>
      <c r="G178" t="inlineStr">
        <is>
          <t>Sunnyvale, CA, US</t>
        </is>
      </c>
      <c r="H178" s="2" t="n">
        <v>46012</v>
      </c>
      <c r="I1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79">
      <c r="A179" t="inlineStr">
        <is>
          <t>in-f2208dd8a7dafb78</t>
        </is>
      </c>
      <c r="B179" t="inlineStr">
        <is>
          <t>Applied Scientist II, Prime Video - Personalization and Discovery Science</t>
        </is>
      </c>
      <c r="C179" t="inlineStr">
        <is>
          <t>Amazon.com</t>
        </is>
      </c>
      <c r="D179" t="inlineStr">
        <is>
          <t>indeed</t>
        </is>
      </c>
      <c r="E179">
        <f>HYPERLINK("https://www.indeed.com/viewjob?jk=f2208dd8a7dafb78", "https://www.indeed.com/viewjob?jk=f2208dd8a7dafb78")</f>
        <v/>
      </c>
      <c r="F179">
        <f>HYPERLINK("https://www.amazon.jobs/jobs/3154128/applied-scientist-ii-prime-video--personalization-and-discovery-science?cmpid=DA_INAD200785B", "https://www.amazon.jobs/jobs/3154128/applied-scientist-ii-prime-video--personalization-and-discovery-science?cmpid=DA_INAD200785B")</f>
        <v/>
      </c>
      <c r="G179" t="inlineStr">
        <is>
          <t>Seattle, WA, US</t>
        </is>
      </c>
      <c r="H179" s="2" t="n">
        <v>46012</v>
      </c>
      <c r="I1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80">
      <c r="A180" t="inlineStr">
        <is>
          <t>in-1a22a760cc00d3de</t>
        </is>
      </c>
      <c r="B180" t="inlineStr">
        <is>
          <t>Principal Applied Scientist, Kiro Science</t>
        </is>
      </c>
      <c r="C180" t="inlineStr">
        <is>
          <t>Amazon Web Services</t>
        </is>
      </c>
      <c r="D180" t="inlineStr">
        <is>
          <t>indeed</t>
        </is>
      </c>
      <c r="E180">
        <f>HYPERLINK("https://www.indeed.com/viewjob?jk=1a22a760cc00d3de", "https://www.indeed.com/viewjob?jk=1a22a760cc00d3de")</f>
        <v/>
      </c>
      <c r="F180">
        <f>HYPERLINK("https://www.amazon.jobs/jobs/3161064/principal-applied-scientist-kiro-science?cmpid=DA_INAD200785B", "https://www.amazon.jobs/jobs/3161064/principal-applied-scientist-kiro-science?cmpid=DA_INAD200785B")</f>
        <v/>
      </c>
      <c r="G180" t="inlineStr">
        <is>
          <t>New York, NY, US</t>
        </is>
      </c>
      <c r="H180" s="2" t="n">
        <v>45999</v>
      </c>
      <c r="I180"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81">
      <c r="A181" t="inlineStr">
        <is>
          <t>in-9466a768487a6da5</t>
        </is>
      </c>
      <c r="B181" t="inlineStr">
        <is>
          <t>Principal Applied Scientist, Kiro Science</t>
        </is>
      </c>
      <c r="C181" t="inlineStr">
        <is>
          <t>Amazon Web Services</t>
        </is>
      </c>
      <c r="D181" t="inlineStr">
        <is>
          <t>indeed</t>
        </is>
      </c>
      <c r="E181">
        <f>HYPERLINK("https://www.indeed.com/viewjob?jk=9466a768487a6da5", "https://www.indeed.com/viewjob?jk=9466a768487a6da5")</f>
        <v/>
      </c>
      <c r="F181">
        <f>HYPERLINK("https://www.amazon.jobs/jobs/3161064/principal-applied-scientist-kiro-science?cmpid=DA_INAD200785B", "https://www.amazon.jobs/jobs/3161064/principal-applied-scientist-kiro-science?cmpid=DA_INAD200785B")</f>
        <v/>
      </c>
      <c r="G181" t="inlineStr">
        <is>
          <t>Santa Clara, CA, US</t>
        </is>
      </c>
      <c r="H181" s="2" t="n">
        <v>45999</v>
      </c>
      <c r="I181"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82">
      <c r="A182" t="inlineStr">
        <is>
          <t>in-d4597831ef6fee4b</t>
        </is>
      </c>
      <c r="B182" t="inlineStr">
        <is>
          <t>Sr. Applied Scientist, Amazon Ads</t>
        </is>
      </c>
      <c r="C182" t="inlineStr">
        <is>
          <t>Amazon.com</t>
        </is>
      </c>
      <c r="D182" t="inlineStr">
        <is>
          <t>indeed</t>
        </is>
      </c>
      <c r="E182">
        <f>HYPERLINK("https://www.indeed.com/viewjob?jk=d4597831ef6fee4b", "https://www.indeed.com/viewjob?jk=d4597831ef6fee4b")</f>
        <v/>
      </c>
      <c r="F182">
        <f>HYPERLINK("https://www.amazon.jobs/jobs/3139328/sr-applied-scientist-amazon-ads?cmpid=DA_INAD200785B", "https://www.amazon.jobs/jobs/3139328/sr-applied-scientist-amazon-ads?cmpid=DA_INAD200785B")</f>
        <v/>
      </c>
      <c r="G182" t="inlineStr">
        <is>
          <t>Palo Alto, CA, US</t>
        </is>
      </c>
      <c r="H182" s="2" t="n">
        <v>45998</v>
      </c>
      <c r="I18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83">
      <c r="A183" t="inlineStr">
        <is>
          <t>in-2c009fdab5dcd7c2</t>
        </is>
      </c>
      <c r="B183" t="inlineStr">
        <is>
          <t>Sr. Applied Scientist, Amazon Ads</t>
        </is>
      </c>
      <c r="C183" t="inlineStr">
        <is>
          <t>Amazon.com</t>
        </is>
      </c>
      <c r="D183" t="inlineStr">
        <is>
          <t>indeed</t>
        </is>
      </c>
      <c r="E183">
        <f>HYPERLINK("https://www.indeed.com/viewjob?jk=2c009fdab5dcd7c2", "https://www.indeed.com/viewjob?jk=2c009fdab5dcd7c2")</f>
        <v/>
      </c>
      <c r="F183">
        <f>HYPERLINK("https://www.amazon.jobs/jobs/3139328/sr-applied-scientist-amazon-ads?cmpid=DA_INAD200785B", "https://www.amazon.jobs/jobs/3139328/sr-applied-scientist-amazon-ads?cmpid=DA_INAD200785B")</f>
        <v/>
      </c>
      <c r="G183" t="inlineStr">
        <is>
          <t>Tukwila, WA, US</t>
        </is>
      </c>
      <c r="H183" s="2" t="n">
        <v>45998</v>
      </c>
      <c r="I18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84">
      <c r="A184" t="inlineStr">
        <is>
          <t>in-0213348a1ba8cf4f</t>
        </is>
      </c>
      <c r="B184" t="inlineStr">
        <is>
          <t>Sr. Applied Scientist, Amazon Ads</t>
        </is>
      </c>
      <c r="C184" t="inlineStr">
        <is>
          <t>Amazon.com</t>
        </is>
      </c>
      <c r="D184" t="inlineStr">
        <is>
          <t>indeed</t>
        </is>
      </c>
      <c r="E184">
        <f>HYPERLINK("https://www.indeed.com/viewjob?jk=0213348a1ba8cf4f", "https://www.indeed.com/viewjob?jk=0213348a1ba8cf4f")</f>
        <v/>
      </c>
      <c r="F184">
        <f>HYPERLINK("https://www.amazon.jobs/jobs/3139328/sr-applied-scientist-amazon-ads?cmpid=DA_INAD200785B", "https://www.amazon.jobs/jobs/3139328/sr-applied-scientist-amazon-ads?cmpid=DA_INAD200785B")</f>
        <v/>
      </c>
      <c r="G184" t="inlineStr">
        <is>
          <t>Seattle, WA, US</t>
        </is>
      </c>
      <c r="H184" s="2" t="n">
        <v>45998</v>
      </c>
      <c r="I18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85">
      <c r="A185" t="inlineStr">
        <is>
          <t>in-7b54c502f750622c</t>
        </is>
      </c>
      <c r="B185" t="inlineStr">
        <is>
          <t>Sr. Applied Scientist, Amazon Ads</t>
        </is>
      </c>
      <c r="C185" t="inlineStr">
        <is>
          <t>Amazon.com</t>
        </is>
      </c>
      <c r="D185" t="inlineStr">
        <is>
          <t>indeed</t>
        </is>
      </c>
      <c r="E185">
        <f>HYPERLINK("https://www.indeed.com/viewjob?jk=7b54c502f750622c", "https://www.indeed.com/viewjob?jk=7b54c502f750622c")</f>
        <v/>
      </c>
      <c r="F185">
        <f>HYPERLINK("https://www.amazon.jobs/jobs/3139328/sr-applied-scientist-amazon-ads?cmpid=DA_INAD200785B", "https://www.amazon.jobs/jobs/3139328/sr-applied-scientist-amazon-ads?cmpid=DA_INAD200785B")</f>
        <v/>
      </c>
      <c r="G185" t="inlineStr">
        <is>
          <t>Brooklyn, NY, US</t>
        </is>
      </c>
      <c r="H185" s="2" t="n">
        <v>45998</v>
      </c>
      <c r="I18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86">
      <c r="A186" t="inlineStr">
        <is>
          <t>in-be93f3288cdb10a3</t>
        </is>
      </c>
      <c r="B186" t="inlineStr">
        <is>
          <t>Sr. Applied Scientist, Amazon Ads</t>
        </is>
      </c>
      <c r="C186" t="inlineStr">
        <is>
          <t>Amazon.com</t>
        </is>
      </c>
      <c r="D186" t="inlineStr">
        <is>
          <t>indeed</t>
        </is>
      </c>
      <c r="E186">
        <f>HYPERLINK("https://www.indeed.com/viewjob?jk=be93f3288cdb10a3", "https://www.indeed.com/viewjob?jk=be93f3288cdb10a3")</f>
        <v/>
      </c>
      <c r="F186">
        <f>HYPERLINK("https://www.amazon.jobs/jobs/3139328/sr-applied-scientist-amazon-ads?cmpid=DA_INAD200785B", "https://www.amazon.jobs/jobs/3139328/sr-applied-scientist-amazon-ads?cmpid=DA_INAD200785B")</f>
        <v/>
      </c>
      <c r="G186" t="inlineStr">
        <is>
          <t>Santa Monica, CA, US</t>
        </is>
      </c>
      <c r="H186" s="2" t="n">
        <v>45998</v>
      </c>
      <c r="I18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87">
      <c r="A187" t="inlineStr">
        <is>
          <t>in-b1d86b5b07ae072d</t>
        </is>
      </c>
      <c r="B187" t="inlineStr">
        <is>
          <t>Sr. Applied Scientist, Amazon Ads</t>
        </is>
      </c>
      <c r="C187" t="inlineStr">
        <is>
          <t>Amazon.com</t>
        </is>
      </c>
      <c r="D187" t="inlineStr">
        <is>
          <t>indeed</t>
        </is>
      </c>
      <c r="E187">
        <f>HYPERLINK("https://www.indeed.com/viewjob?jk=b1d86b5b07ae072d", "https://www.indeed.com/viewjob?jk=b1d86b5b07ae072d")</f>
        <v/>
      </c>
      <c r="F187">
        <f>HYPERLINK("https://www.amazon.jobs/jobs/3139328/sr-applied-scientist-amazon-ads?cmpid=DA_INAD200785B", "https://www.amazon.jobs/jobs/3139328/sr-applied-scientist-amazon-ads?cmpid=DA_INAD200785B")</f>
        <v/>
      </c>
      <c r="G187" t="inlineStr">
        <is>
          <t>Corvallis, OR, US</t>
        </is>
      </c>
      <c r="H187" s="2" t="n">
        <v>45998</v>
      </c>
      <c r="I18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88">
      <c r="A188" t="inlineStr">
        <is>
          <t>in-99553db6f5002305</t>
        </is>
      </c>
      <c r="B188" t="inlineStr">
        <is>
          <t>Sr. Applied Scientist, Amazon Ads</t>
        </is>
      </c>
      <c r="C188" t="inlineStr">
        <is>
          <t>Amazon.com</t>
        </is>
      </c>
      <c r="D188" t="inlineStr">
        <is>
          <t>indeed</t>
        </is>
      </c>
      <c r="E188">
        <f>HYPERLINK("https://www.indeed.com/viewjob?jk=99553db6f5002305", "https://www.indeed.com/viewjob?jk=99553db6f5002305")</f>
        <v/>
      </c>
      <c r="F188">
        <f>HYPERLINK("https://www.amazon.jobs/jobs/3139328/sr-applied-scientist-amazon-ads?cmpid=DA_INAD200785B", "https://www.amazon.jobs/jobs/3139328/sr-applied-scientist-amazon-ads?cmpid=DA_INAD200785B")</f>
        <v/>
      </c>
      <c r="G188" t="inlineStr">
        <is>
          <t>Sunnyvale, CA, US</t>
        </is>
      </c>
      <c r="H188" s="2" t="n">
        <v>45998</v>
      </c>
      <c r="I18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89">
      <c r="A189" t="inlineStr">
        <is>
          <t>in-7d3299501027bb14</t>
        </is>
      </c>
      <c r="B189" t="inlineStr">
        <is>
          <t>Sr. Applied Scientist, Amazon Ads</t>
        </is>
      </c>
      <c r="C189" t="inlineStr">
        <is>
          <t>Amazon.com</t>
        </is>
      </c>
      <c r="D189" t="inlineStr">
        <is>
          <t>indeed</t>
        </is>
      </c>
      <c r="E189">
        <f>HYPERLINK("https://www.indeed.com/viewjob?jk=7d3299501027bb14", "https://www.indeed.com/viewjob?jk=7d3299501027bb14")</f>
        <v/>
      </c>
      <c r="F189">
        <f>HYPERLINK("https://www.amazon.jobs/jobs/3139328/sr-applied-scientist-amazon-ads?cmpid=DA_INAD200785B", "https://www.amazon.jobs/jobs/3139328/sr-applied-scientist-amazon-ads?cmpid=DA_INAD200785B")</f>
        <v/>
      </c>
      <c r="G189" t="inlineStr">
        <is>
          <t>Boulder, CO, US</t>
        </is>
      </c>
      <c r="H189" s="2" t="n">
        <v>45998</v>
      </c>
      <c r="I18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90">
      <c r="A190" t="inlineStr">
        <is>
          <t>in-f2a6884af458cd7c</t>
        </is>
      </c>
      <c r="B190" t="inlineStr">
        <is>
          <t>Sr. Applied Scientist, Amazon Ads</t>
        </is>
      </c>
      <c r="C190" t="inlineStr">
        <is>
          <t>Amazon.com</t>
        </is>
      </c>
      <c r="D190" t="inlineStr">
        <is>
          <t>indeed</t>
        </is>
      </c>
      <c r="E190">
        <f>HYPERLINK("https://www.indeed.com/viewjob?jk=f2a6884af458cd7c", "https://www.indeed.com/viewjob?jk=f2a6884af458cd7c")</f>
        <v/>
      </c>
      <c r="F190">
        <f>HYPERLINK("https://www.amazon.jobs/jobs/3139328/sr-applied-scientist-amazon-ads?cmpid=DA_INAD200785B", "https://www.amazon.jobs/jobs/3139328/sr-applied-scientist-amazon-ads?cmpid=DA_INAD200785B")</f>
        <v/>
      </c>
      <c r="G190" t="inlineStr">
        <is>
          <t>New York, NY, US</t>
        </is>
      </c>
      <c r="H190" s="2" t="n">
        <v>45998</v>
      </c>
      <c r="I19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91">
      <c r="A191" t="inlineStr">
        <is>
          <t>in-d1ce32eaea6c4d91</t>
        </is>
      </c>
      <c r="B191" t="inlineStr">
        <is>
          <t>Sr. Applied Scientist, Amazon Ads</t>
        </is>
      </c>
      <c r="C191" t="inlineStr">
        <is>
          <t>Amazon.com</t>
        </is>
      </c>
      <c r="D191" t="inlineStr">
        <is>
          <t>indeed</t>
        </is>
      </c>
      <c r="E191">
        <f>HYPERLINK("https://www.indeed.com/viewjob?jk=d1ce32eaea6c4d91", "https://www.indeed.com/viewjob?jk=d1ce32eaea6c4d91")</f>
        <v/>
      </c>
      <c r="F191">
        <f>HYPERLINK("https://www.amazon.jobs/jobs/3139328/sr-applied-scientist-amazon-ads?cmpid=DA_INAD200785B", "https://www.amazon.jobs/jobs/3139328/sr-applied-scientist-amazon-ads?cmpid=DA_INAD200785B")</f>
        <v/>
      </c>
      <c r="G191" t="inlineStr">
        <is>
          <t>Boston, MA, US</t>
        </is>
      </c>
      <c r="H191" s="2" t="n">
        <v>45998</v>
      </c>
      <c r="I19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92">
      <c r="A192" t="inlineStr">
        <is>
          <t>in-56f9bd0e4153d1b4</t>
        </is>
      </c>
      <c r="B192" t="inlineStr">
        <is>
          <t>Principal Applied Scientist, Sponsored Products and Brands</t>
        </is>
      </c>
      <c r="C192" t="inlineStr">
        <is>
          <t>Amazon.com</t>
        </is>
      </c>
      <c r="D192" t="inlineStr">
        <is>
          <t>indeed</t>
        </is>
      </c>
      <c r="E192">
        <f>HYPERLINK("https://www.indeed.com/viewjob?jk=56f9bd0e4153d1b4", "https://www.indeed.com/viewjob?jk=56f9bd0e4153d1b4")</f>
        <v/>
      </c>
      <c r="F192">
        <f>HYPERLINK("https://www.amazon.jobs/jobs/3130855/principal-applied-scientist-sponsored-products-and-brands?cmpid=DA_INAD200785B", "https://www.amazon.jobs/jobs/3130855/principal-applied-scientist-sponsored-products-and-brands?cmpid=DA_INAD200785B")</f>
        <v/>
      </c>
      <c r="G192" t="inlineStr">
        <is>
          <t>Seattle, WA, US</t>
        </is>
      </c>
      <c r="H192" s="2" t="n">
        <v>45979</v>
      </c>
      <c r="I19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in-eb9d9ad8c49cf0b8</t>
        </is>
      </c>
      <c r="B193" t="inlineStr">
        <is>
          <t>Principal Applied Scientist, Sponsored Products and Brands</t>
        </is>
      </c>
      <c r="C193" t="inlineStr">
        <is>
          <t>Amazon.com</t>
        </is>
      </c>
      <c r="D193" t="inlineStr">
        <is>
          <t>indeed</t>
        </is>
      </c>
      <c r="E193">
        <f>HYPERLINK("https://www.indeed.com/viewjob?jk=eb9d9ad8c49cf0b8", "https://www.indeed.com/viewjob?jk=eb9d9ad8c49cf0b8")</f>
        <v/>
      </c>
      <c r="F193">
        <f>HYPERLINK("https://www.amazon.jobs/jobs/3130855/principal-applied-scientist-sponsored-products-and-brands?cmpid=DA_INAD200785B", "https://www.amazon.jobs/jobs/3130855/principal-applied-scientist-sponsored-products-and-brands?cmpid=DA_INAD200785B")</f>
        <v/>
      </c>
      <c r="G193" t="inlineStr">
        <is>
          <t>New York, NY, US</t>
        </is>
      </c>
      <c r="H193" s="2" t="n">
        <v>45979</v>
      </c>
      <c r="I19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in-1252e809f3cf52dd</t>
        </is>
      </c>
      <c r="B194" t="inlineStr">
        <is>
          <t>Applied Scientist, Personalization, DTx Science</t>
        </is>
      </c>
      <c r="C194" t="inlineStr">
        <is>
          <t>Amazon.com</t>
        </is>
      </c>
      <c r="D194" t="inlineStr">
        <is>
          <t>indeed</t>
        </is>
      </c>
      <c r="E194">
        <f>HYPERLINK("https://www.indeed.com/viewjob?jk=1252e809f3cf52dd", "https://www.indeed.com/viewjob?jk=1252e809f3cf52dd")</f>
        <v/>
      </c>
      <c r="F194">
        <f>HYPERLINK("https://www.amazon.jobs/jobs/3136853/applied-scientist-personalization-dtx-science?cmpid=DA_INAD200785B", "https://www.amazon.jobs/jobs/3136853/applied-scientist-personalization-dtx-science?cmpid=DA_INAD200785B")</f>
        <v/>
      </c>
      <c r="G194" t="inlineStr">
        <is>
          <t>Seattle, WA, US</t>
        </is>
      </c>
      <c r="H194" s="2" t="n">
        <v>45979</v>
      </c>
      <c r="I194"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95">
      <c r="A195" t="inlineStr">
        <is>
          <t>in-4d389018e399f615</t>
        </is>
      </c>
      <c r="B195" t="inlineStr">
        <is>
          <t>Applied Scientist, Personalization, DTx Science</t>
        </is>
      </c>
      <c r="C195" t="inlineStr">
        <is>
          <t>Amazon.com</t>
        </is>
      </c>
      <c r="D195" t="inlineStr">
        <is>
          <t>indeed</t>
        </is>
      </c>
      <c r="E195">
        <f>HYPERLINK("https://www.indeed.com/viewjob?jk=4d389018e399f615", "https://www.indeed.com/viewjob?jk=4d389018e399f615")</f>
        <v/>
      </c>
      <c r="F195">
        <f>HYPERLINK("https://www.amazon.jobs/jobs/3136853/applied-scientist-personalization-dtx-science?cmpid=DA_INAD200785B", "https://www.amazon.jobs/jobs/3136853/applied-scientist-personalization-dtx-science?cmpid=DA_INAD200785B")</f>
        <v/>
      </c>
      <c r="G195" t="inlineStr">
        <is>
          <t>New York, NY, US</t>
        </is>
      </c>
      <c r="H195" s="2" t="n">
        <v>45979</v>
      </c>
      <c r="I195"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96">
      <c r="A196" t="inlineStr">
        <is>
          <t>in-67a105b2c193172b</t>
        </is>
      </c>
      <c r="B196" t="inlineStr">
        <is>
          <t>Senior Applied Scientist, Sponsored Products and Brands</t>
        </is>
      </c>
      <c r="C196" t="inlineStr">
        <is>
          <t>Amazon.com</t>
        </is>
      </c>
      <c r="D196" t="inlineStr">
        <is>
          <t>indeed</t>
        </is>
      </c>
      <c r="E196">
        <f>HYPERLINK("https://www.indeed.com/viewjob?jk=67a105b2c193172b", "https://www.indeed.com/viewjob?jk=67a105b2c193172b")</f>
        <v/>
      </c>
      <c r="F196">
        <f>HYPERLINK("https://www.amazon.jobs/jobs/3130062/senior-applied-scientist-sponsored-products-and-brands?cmpid=DA_INAD200785B", "https://www.amazon.jobs/jobs/3130062/senior-applied-scientist-sponsored-products-and-brands?cmpid=DA_INAD200785B")</f>
        <v/>
      </c>
      <c r="G196" t="inlineStr">
        <is>
          <t>New York, NY, US</t>
        </is>
      </c>
      <c r="H196" s="2" t="n">
        <v>45979</v>
      </c>
      <c r="I196"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97">
      <c r="A197" t="inlineStr">
        <is>
          <t>in-e6b39e68cef5d19e</t>
        </is>
      </c>
      <c r="B197" t="inlineStr">
        <is>
          <t>Senior Applied Scientist, Sponsored Products and Brands</t>
        </is>
      </c>
      <c r="C197" t="inlineStr">
        <is>
          <t>Amazon.com</t>
        </is>
      </c>
      <c r="D197" t="inlineStr">
        <is>
          <t>indeed</t>
        </is>
      </c>
      <c r="E197">
        <f>HYPERLINK("https://www.indeed.com/viewjob?jk=e6b39e68cef5d19e", "https://www.indeed.com/viewjob?jk=e6b39e68cef5d19e")</f>
        <v/>
      </c>
      <c r="F197">
        <f>HYPERLINK("https://www.amazon.jobs/jobs/3130062/senior-applied-scientist-sponsored-products-and-brands?cmpid=DA_INAD200785B", "https://www.amazon.jobs/jobs/3130062/senior-applied-scientist-sponsored-products-and-brands?cmpid=DA_INAD200785B")</f>
        <v/>
      </c>
      <c r="G197" t="inlineStr">
        <is>
          <t>Seattle, WA, US</t>
        </is>
      </c>
      <c r="H197" s="2" t="n">
        <v>45979</v>
      </c>
      <c r="I197"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98">
      <c r="A198" t="inlineStr">
        <is>
          <t>in-33ca5478128b28bc</t>
        </is>
      </c>
      <c r="B198" t="inlineStr">
        <is>
          <t>Applied Scientist II, Prime Video Personalization and Discovery Science</t>
        </is>
      </c>
      <c r="C198" t="inlineStr">
        <is>
          <t>Amazon.com</t>
        </is>
      </c>
      <c r="D198" t="inlineStr">
        <is>
          <t>indeed</t>
        </is>
      </c>
      <c r="E198">
        <f>HYPERLINK("https://www.indeed.com/viewjob?jk=33ca5478128b28bc", "https://www.indeed.com/viewjob?jk=33ca5478128b28bc")</f>
        <v/>
      </c>
      <c r="F198">
        <f>HYPERLINK("https://www.amazon.jobs/jobs/3129475/applied-scientist-ii-prime-video-personalization-and-discovery-science?cmpid=DA_INAD200785B", "https://www.amazon.jobs/jobs/3129475/applied-scientist-ii-prime-video-personalization-and-discovery-science?cmpid=DA_INAD200785B")</f>
        <v/>
      </c>
      <c r="G198" t="inlineStr">
        <is>
          <t>New York, NY, US</t>
        </is>
      </c>
      <c r="H198" s="2" t="n">
        <v>45978</v>
      </c>
      <c r="I19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99">
      <c r="A199" t="inlineStr">
        <is>
          <t>in-dd58bcea9a24c962</t>
        </is>
      </c>
      <c r="B199" t="inlineStr">
        <is>
          <t>Applied Scientist II, Prime Video Personalization and Discovery Science</t>
        </is>
      </c>
      <c r="C199" t="inlineStr">
        <is>
          <t>Amazon.com</t>
        </is>
      </c>
      <c r="D199" t="inlineStr">
        <is>
          <t>indeed</t>
        </is>
      </c>
      <c r="E199">
        <f>HYPERLINK("https://www.indeed.com/viewjob?jk=dd58bcea9a24c962", "https://www.indeed.com/viewjob?jk=dd58bcea9a24c962")</f>
        <v/>
      </c>
      <c r="F199">
        <f>HYPERLINK("https://www.amazon.jobs/jobs/3129475/applied-scientist-ii-prime-video-personalization-and-discovery-science?cmpid=DA_INAD200785B", "https://www.amazon.jobs/jobs/3129475/applied-scientist-ii-prime-video-personalization-and-discovery-science?cmpid=DA_INAD200785B")</f>
        <v/>
      </c>
      <c r="G199" t="inlineStr">
        <is>
          <t>Sunnyvale, CA, US</t>
        </is>
      </c>
      <c r="H199" s="2" t="n">
        <v>45978</v>
      </c>
      <c r="I19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00">
      <c r="A200" t="inlineStr">
        <is>
          <t>in-e0e668540c7ad412</t>
        </is>
      </c>
      <c r="B200" t="inlineStr">
        <is>
          <t>Applied Scientist II, Prime Video Personalization and Discovery Science</t>
        </is>
      </c>
      <c r="C200" t="inlineStr">
        <is>
          <t>Amazon.com</t>
        </is>
      </c>
      <c r="D200" t="inlineStr">
        <is>
          <t>indeed</t>
        </is>
      </c>
      <c r="E200">
        <f>HYPERLINK("https://www.indeed.com/viewjob?jk=e0e668540c7ad412", "https://www.indeed.com/viewjob?jk=e0e668540c7ad412")</f>
        <v/>
      </c>
      <c r="F200">
        <f>HYPERLINK("https://www.amazon.jobs/jobs/3129475/applied-scientist-ii-prime-video-personalization-and-discovery-science?cmpid=DA_INAD200785B", "https://www.amazon.jobs/jobs/3129475/applied-scientist-ii-prime-video-personalization-and-discovery-science?cmpid=DA_INAD200785B")</f>
        <v/>
      </c>
      <c r="G200" t="inlineStr">
        <is>
          <t>Seattle, WA, US</t>
        </is>
      </c>
      <c r="H200" s="2" t="n">
        <v>45978</v>
      </c>
      <c r="I2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01">
      <c r="A201" t="inlineStr">
        <is>
          <t>in-8bd796243c8bfd95</t>
        </is>
      </c>
      <c r="B201" t="inlineStr">
        <is>
          <t>Sr. Applied Scientist, Sponsored Products</t>
        </is>
      </c>
      <c r="C201" t="inlineStr">
        <is>
          <t>Amazon.com</t>
        </is>
      </c>
      <c r="D201" t="inlineStr">
        <is>
          <t>indeed</t>
        </is>
      </c>
      <c r="E201">
        <f>HYPERLINK("https://www.indeed.com/viewjob?jk=8bd796243c8bfd95", "https://www.indeed.com/viewjob?jk=8bd796243c8bfd95")</f>
        <v/>
      </c>
      <c r="F201">
        <f>HYPERLINK("https://www.amazon.jobs/jobs/3136156/sr-applied-scientist-sponsored-products?cmpid=DA_INAD200785B", "https://www.amazon.jobs/jobs/3136156/sr-applied-scientist-sponsored-products?cmpid=DA_INAD200785B")</f>
        <v/>
      </c>
      <c r="G201" t="inlineStr">
        <is>
          <t>New York, NY, US</t>
        </is>
      </c>
      <c r="H201" s="2" t="n">
        <v>45976</v>
      </c>
      <c r="I201"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202">
      <c r="A202" t="inlineStr">
        <is>
          <t>in-fe921540321d8730</t>
        </is>
      </c>
      <c r="B202" t="inlineStr">
        <is>
          <t>Sr. Applied Scientist, Sponsored Products</t>
        </is>
      </c>
      <c r="C202" t="inlineStr">
        <is>
          <t>Amazon.com</t>
        </is>
      </c>
      <c r="D202" t="inlineStr">
        <is>
          <t>indeed</t>
        </is>
      </c>
      <c r="E202">
        <f>HYPERLINK("https://www.indeed.com/viewjob?jk=fe921540321d8730", "https://www.indeed.com/viewjob?jk=fe921540321d8730")</f>
        <v/>
      </c>
      <c r="F202">
        <f>HYPERLINK("https://www.amazon.jobs/jobs/3136156/sr-applied-scientist-sponsored-products?cmpid=DA_INAD200785B", "https://www.amazon.jobs/jobs/3136156/sr-applied-scientist-sponsored-products?cmpid=DA_INAD200785B")</f>
        <v/>
      </c>
      <c r="G202" t="inlineStr">
        <is>
          <t>Arlington, VA, US</t>
        </is>
      </c>
      <c r="H202" s="2" t="n">
        <v>45976</v>
      </c>
      <c r="I202"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203">
      <c r="A203" t="inlineStr">
        <is>
          <t>in-f4efc82277e8f98f</t>
        </is>
      </c>
      <c r="B203" t="inlineStr">
        <is>
          <t>Sr. Applied Scientist, Sponsored Products</t>
        </is>
      </c>
      <c r="C203" t="inlineStr">
        <is>
          <t>Amazon.com</t>
        </is>
      </c>
      <c r="D203" t="inlineStr">
        <is>
          <t>indeed</t>
        </is>
      </c>
      <c r="E203">
        <f>HYPERLINK("https://www.indeed.com/viewjob?jk=f4efc82277e8f98f", "https://www.indeed.com/viewjob?jk=f4efc82277e8f98f")</f>
        <v/>
      </c>
      <c r="F203">
        <f>HYPERLINK("https://www.amazon.jobs/jobs/3136156/sr-applied-scientist-sponsored-products?cmpid=DA_INAD200785B", "https://www.amazon.jobs/jobs/3136156/sr-applied-scientist-sponsored-products?cmpid=DA_INAD200785B")</f>
        <v/>
      </c>
      <c r="G203" t="inlineStr">
        <is>
          <t>Seattle, WA, US</t>
        </is>
      </c>
      <c r="H203" s="2" t="n">
        <v>45976</v>
      </c>
      <c r="I203"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204">
      <c r="A204" t="inlineStr">
        <is>
          <t>in-e1e240d313cd9389</t>
        </is>
      </c>
      <c r="B204" t="inlineStr">
        <is>
          <t>Applied Scientist, AWS Agentic AI</t>
        </is>
      </c>
      <c r="C204" t="inlineStr">
        <is>
          <t>Amazon Web Services</t>
        </is>
      </c>
      <c r="D204" t="inlineStr">
        <is>
          <t>indeed</t>
        </is>
      </c>
      <c r="E204">
        <f>HYPERLINK("https://www.indeed.com/viewjob?jk=e1e240d313cd9389", "https://www.indeed.com/viewjob?jk=e1e240d313cd9389")</f>
        <v/>
      </c>
      <c r="F204">
        <f>HYPERLINK("https://www.amazon.jobs/jobs/3141517/applied-scientist-aws-agentic-ai-?cmpid=DA_INAD200785B", "https://www.amazon.jobs/jobs/3141517/applied-scientist-aws-agentic-ai-?cmpid=DA_INAD200785B")</f>
        <v/>
      </c>
      <c r="G204" t="inlineStr">
        <is>
          <t>New York, NY, US</t>
        </is>
      </c>
      <c r="H204" s="2" t="n">
        <v>45962</v>
      </c>
      <c r="I204"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in-434b0387507addcf</t>
        </is>
      </c>
      <c r="B205" t="inlineStr">
        <is>
          <t>Applied Scientist, AWS Agentic AI</t>
        </is>
      </c>
      <c r="C205" t="inlineStr">
        <is>
          <t>Amazon Web Services</t>
        </is>
      </c>
      <c r="D205" t="inlineStr">
        <is>
          <t>indeed</t>
        </is>
      </c>
      <c r="E205">
        <f>HYPERLINK("https://www.indeed.com/viewjob?jk=434b0387507addcf", "https://www.indeed.com/viewjob?jk=434b0387507addcf")</f>
        <v/>
      </c>
      <c r="F205">
        <f>HYPERLINK("https://www.amazon.jobs/jobs/3141517/applied-scientist-aws-agentic-ai-?cmpid=DA_INAD200785B", "https://www.amazon.jobs/jobs/3141517/applied-scientist-aws-agentic-ai-?cmpid=DA_INAD200785B")</f>
        <v/>
      </c>
      <c r="G205" t="inlineStr">
        <is>
          <t>Santa Clara, CA, US</t>
        </is>
      </c>
      <c r="H205" s="2" t="n">
        <v>45962</v>
      </c>
      <c r="I205"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in-ffc989eb5219787c</t>
        </is>
      </c>
      <c r="B206" t="inlineStr">
        <is>
          <t>Applied Scientist, AWS Agentic AI</t>
        </is>
      </c>
      <c r="C206" t="inlineStr">
        <is>
          <t>Amazon Web Services</t>
        </is>
      </c>
      <c r="D206" t="inlineStr">
        <is>
          <t>indeed</t>
        </is>
      </c>
      <c r="E206">
        <f>HYPERLINK("https://www.indeed.com/viewjob?jk=ffc989eb5219787c", "https://www.indeed.com/viewjob?jk=ffc989eb5219787c")</f>
        <v/>
      </c>
      <c r="F206">
        <f>HYPERLINK("https://www.amazon.jobs/jobs/3141517/applied-scientist-aws-agentic-ai-?cmpid=DA_INAD200785B", "https://www.amazon.jobs/jobs/3141517/applied-scientist-aws-agentic-ai-?cmpid=DA_INAD200785B")</f>
        <v/>
      </c>
      <c r="G206" t="inlineStr">
        <is>
          <t>Seattle, WA, US</t>
        </is>
      </c>
      <c r="H206" s="2" t="n">
        <v>45962</v>
      </c>
      <c r="I206"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in-ea3227121f339bb3</t>
        </is>
      </c>
      <c r="B207" t="inlineStr">
        <is>
          <t>Applied Scientist, AI Automation, Prime Video</t>
        </is>
      </c>
      <c r="C207" t="inlineStr">
        <is>
          <t>Amazon.com</t>
        </is>
      </c>
      <c r="D207" t="inlineStr">
        <is>
          <t>indeed</t>
        </is>
      </c>
      <c r="E207">
        <f>HYPERLINK("https://www.indeed.com/viewjob?jk=ea3227121f339bb3", "https://www.indeed.com/viewjob?jk=ea3227121f339bb3")</f>
        <v/>
      </c>
      <c r="F207">
        <f>HYPERLINK("https://www.amazon.jobs/jobs/3119822/applied-scientist-ai-automation-prime-video?cmpid=DA_INAD200785B", "https://www.amazon.jobs/jobs/3119822/applied-scientist-ai-automation-prime-video?cmpid=DA_INAD200785B")</f>
        <v/>
      </c>
      <c r="G207" t="inlineStr">
        <is>
          <t>Culver City, CA, US</t>
        </is>
      </c>
      <c r="H207" s="2" t="n">
        <v>45949</v>
      </c>
      <c r="I20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forming a new organization within Prime Video to redefine our operational landscape through the power of artificial intelligence. As a Applied Scientist within this initiative, you will be a technical leader helping to design and build the intelligent systems that power our vision. You will tackle complex and ambiguous problems, designing and delivering scalable and resilient agentic AI and ML solutions from the ground up. You will not only write high\-quality, maintainable software and models, but also mentor other scientists, influence our technical strategy, and drive engineering best practices across the team. Your work will directly contribute to making Prime Video's operations more efficient and will set the technical foundation for years to come.  
Key job responsibilities  
* Lead the design and architecture of highly scalable, available, and resilient services for our AI automation platform.
* Write high\-quality, maintainable, and robust code to solve complex business problems, building flexible systems without over\-engineering.
* Act as a technical leader and mentor for other engineers on the team, assisting with career growth and encouraging excellence.
* Work through ambiguous requirements, cut through complexity, and translate business needs into scalable technical solutions.
* Take ownership of the full software development lifecycle, including design, testing, deployment, and operations.
* Work closely with product managers, scientists, and other engineers to build and launch new features and systems.
About the team  
This role offers a unique opportunity to shape the future of one of Amazon's most exciting businesses through the application of AI technologies. If you're passionate about leveraging AI to drive real\-world impact at massive scale, we want to hear from you.**BASIC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in-a8632ee5737055d9</t>
        </is>
      </c>
      <c r="B208" t="inlineStr">
        <is>
          <t>Applied Scientist, AI Automation, Prime Video</t>
        </is>
      </c>
      <c r="C208" t="inlineStr">
        <is>
          <t>Amazon.com</t>
        </is>
      </c>
      <c r="D208" t="inlineStr">
        <is>
          <t>indeed</t>
        </is>
      </c>
      <c r="E208">
        <f>HYPERLINK("https://www.indeed.com/viewjob?jk=a8632ee5737055d9", "https://www.indeed.com/viewjob?jk=a8632ee5737055d9")</f>
        <v/>
      </c>
      <c r="F208">
        <f>HYPERLINK("https://www.amazon.jobs/jobs/3119822/applied-scientist-ai-automation-prime-video?cmpid=DA_INAD200785B", "https://www.amazon.jobs/jobs/3119822/applied-scientist-ai-automation-prime-video?cmpid=DA_INAD200785B")</f>
        <v/>
      </c>
      <c r="G208" t="inlineStr">
        <is>
          <t>Seattle, WA, US</t>
        </is>
      </c>
      <c r="H208" s="2" t="n">
        <v>45949</v>
      </c>
      <c r="I20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forming a new organization within Prime Video to redefine our operational landscape through the power of artificial intelligence. As a Applied Scientist within this initiative, you will be a technical leader helping to design and build the intelligent systems that power our vision. You will tackle complex and ambiguous problems, designing and delivering scalable and resilient agentic AI and ML solutions from the ground up. You will not only write high\-quality, maintainable software and models, but also mentor other scientists, influence our technical strategy, and drive engineering best practices across the team. Your work will directly contribute to making Prime Video's operations more efficient and will set the technical foundation for years to come.  
Key job responsibilities  
* Lead the design and architecture of highly scalable, available, and resilient services for our AI automation platform.
* Write high\-quality, maintainable, and robust code to solve complex business problems, building flexible systems without over\-engineering.
* Act as a technical leader and mentor for other engineers on the team, assisting with career growth and encouraging excellence.
* Work through ambiguous requirements, cut through complexity, and translate business needs into scalable technical solutions.
* Take ownership of the full software development lifecycle, including design, testing, deployment, and operations.
* Work closely with product managers, scientists, and other engineers to build and launch new features and systems.
About the team  
This role offers a unique opportunity to shape the future of one of Amazon's most exciting businesses through the application of AI technologies. If you're passionate about leveraging AI to drive real\-world impact at massive scale, we want to hear from you.**BASIC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in-8ab6f27da8cef310</t>
        </is>
      </c>
      <c r="B209" t="inlineStr">
        <is>
          <t>Principal Applied Scientist, Advertiser Growth, Amazon Sponsored Products &amp; Brands</t>
        </is>
      </c>
      <c r="C209" t="inlineStr">
        <is>
          <t>Amazon.com</t>
        </is>
      </c>
      <c r="D209" t="inlineStr">
        <is>
          <t>indeed</t>
        </is>
      </c>
      <c r="E209">
        <f>HYPERLINK("https://www.indeed.com/viewjob?jk=8ab6f27da8cef310", "https://www.indeed.com/viewjob?jk=8ab6f27da8cef310")</f>
        <v/>
      </c>
      <c r="F209">
        <f>HYPERLINK("https://www.amazon.jobs/jobs/3115279/principal-applied-scientist-advertiser-growth-amazon-sponsored-products--brands?cmpid=DA_INAD200785B", "https://www.amazon.jobs/jobs/3115279/principal-applied-scientist-advertiser-growth-amazon-sponsored-products--brands?cmpid=DA_INAD200785B")</f>
        <v/>
      </c>
      <c r="G209" t="inlineStr">
        <is>
          <t>New York, NY, US</t>
        </is>
      </c>
      <c r="H209" s="2" t="n">
        <v>45942</v>
      </c>
      <c r="I20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in-e504d996985e6270</t>
        </is>
      </c>
      <c r="B210" t="inlineStr">
        <is>
          <t>Principal Applied Scientist, Advertiser Growth, Amazon Sponsored Products &amp; Brands</t>
        </is>
      </c>
      <c r="C210" t="inlineStr">
        <is>
          <t>Amazon.com</t>
        </is>
      </c>
      <c r="D210" t="inlineStr">
        <is>
          <t>indeed</t>
        </is>
      </c>
      <c r="E210">
        <f>HYPERLINK("https://www.indeed.com/viewjob?jk=e504d996985e6270", "https://www.indeed.com/viewjob?jk=e504d996985e6270")</f>
        <v/>
      </c>
      <c r="F210">
        <f>HYPERLINK("https://www.amazon.jobs/jobs/3115279/principal-applied-scientist-advertiser-growth-amazon-sponsored-products--brands?cmpid=DA_INAD200785B", "https://www.amazon.jobs/jobs/3115279/principal-applied-scientist-advertiser-growth-amazon-sponsored-products--brands?cmpid=DA_INAD200785B")</f>
        <v/>
      </c>
      <c r="G210" t="inlineStr">
        <is>
          <t>Palo Alto, CA, US</t>
        </is>
      </c>
      <c r="H210" s="2" t="n">
        <v>45942</v>
      </c>
      <c r="I210"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in-6d212ca64a81c985</t>
        </is>
      </c>
      <c r="B211" t="inlineStr">
        <is>
          <t>Principal Applied Scientist, Advertiser Growth, Amazon Sponsored Products &amp; Brands</t>
        </is>
      </c>
      <c r="C211" t="inlineStr">
        <is>
          <t>Amazon.com</t>
        </is>
      </c>
      <c r="D211" t="inlineStr">
        <is>
          <t>indeed</t>
        </is>
      </c>
      <c r="E211">
        <f>HYPERLINK("https://www.indeed.com/viewjob?jk=6d212ca64a81c985", "https://www.indeed.com/viewjob?jk=6d212ca64a81c985")</f>
        <v/>
      </c>
      <c r="F211">
        <f>HYPERLINK("https://www.amazon.jobs/jobs/3115279/principal-applied-scientist-advertiser-growth-amazon-sponsored-products--brands?cmpid=DA_INAD200785B", "https://www.amazon.jobs/jobs/3115279/principal-applied-scientist-advertiser-growth-amazon-sponsored-products--brands?cmpid=DA_INAD200785B")</f>
        <v/>
      </c>
      <c r="G211" t="inlineStr">
        <is>
          <t>Seattle, WA, US</t>
        </is>
      </c>
      <c r="H211" s="2" t="n">
        <v>45942</v>
      </c>
      <c r="I21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in-31e7c307dc11bf88</t>
        </is>
      </c>
      <c r="B212" t="inlineStr">
        <is>
          <t>Sr. Applied Scientist, SPB Advertiser Guidance</t>
        </is>
      </c>
      <c r="C212" t="inlineStr">
        <is>
          <t>Amazon.com</t>
        </is>
      </c>
      <c r="D212" t="inlineStr">
        <is>
          <t>indeed</t>
        </is>
      </c>
      <c r="E212">
        <f>HYPERLINK("https://www.indeed.com/viewjob?jk=31e7c307dc11bf88", "https://www.indeed.com/viewjob?jk=31e7c307dc11bf88")</f>
        <v/>
      </c>
      <c r="F212">
        <f>HYPERLINK("https://www.amazon.jobs/jobs/3106497/sr-applied-scientist-spb-advertiser-guidance?cmpid=DA_INAD200785B", "https://www.amazon.jobs/jobs/3106497/sr-applied-scientist-spb-advertiser-guidance?cmpid=DA_INAD200785B")</f>
        <v/>
      </c>
      <c r="G212" t="inlineStr">
        <is>
          <t>New York, NY, US</t>
        </is>
      </c>
      <c r="H212" s="2" t="n">
        <v>45939</v>
      </c>
      <c r="I21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in-f5808def7f55a454</t>
        </is>
      </c>
      <c r="B213" t="inlineStr">
        <is>
          <t>Applied Scientist</t>
        </is>
      </c>
      <c r="C213" t="inlineStr">
        <is>
          <t>Amazon.com</t>
        </is>
      </c>
      <c r="D213" t="inlineStr">
        <is>
          <t>indeed</t>
        </is>
      </c>
      <c r="E213">
        <f>HYPERLINK("https://www.indeed.com/viewjob?jk=f5808def7f55a454", "https://www.indeed.com/viewjob?jk=f5808def7f55a454")</f>
        <v/>
      </c>
      <c r="F213">
        <f>HYPERLINK("https://www.amazon.jobs/jobs/3106501/applied-scientist?cmpid=DA_INAD200785B", "https://www.amazon.jobs/jobs/3106501/applied-scientist?cmpid=DA_INAD200785B")</f>
        <v/>
      </c>
      <c r="G213" t="inlineStr">
        <is>
          <t>New York, NY, US</t>
        </is>
      </c>
      <c r="H213" s="2" t="n">
        <v>45939</v>
      </c>
      <c r="I21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in-4907485b76674f61</t>
        </is>
      </c>
      <c r="B214" t="inlineStr">
        <is>
          <t>Sr. Applied Scientist, SPB Advertiser Guidance</t>
        </is>
      </c>
      <c r="C214" t="inlineStr">
        <is>
          <t>Amazon.com</t>
        </is>
      </c>
      <c r="D214" t="inlineStr">
        <is>
          <t>indeed</t>
        </is>
      </c>
      <c r="E214">
        <f>HYPERLINK("https://www.indeed.com/viewjob?jk=4907485b76674f61", "https://www.indeed.com/viewjob?jk=4907485b76674f61")</f>
        <v/>
      </c>
      <c r="F214">
        <f>HYPERLINK("https://www.amazon.jobs/jobs/3106497/sr-applied-scientist-spb-advertiser-guidance?cmpid=DA_INAD200785B", "https://www.amazon.jobs/jobs/3106497/sr-applied-scientist-spb-advertiser-guidance?cmpid=DA_INAD200785B")</f>
        <v/>
      </c>
      <c r="G214" t="inlineStr">
        <is>
          <t>Palo Alto, CA, US</t>
        </is>
      </c>
      <c r="H214" s="2" t="n">
        <v>45939</v>
      </c>
      <c r="I21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in-395c31e97fd54a9d</t>
        </is>
      </c>
      <c r="B215" t="inlineStr">
        <is>
          <t>Applied Scientist</t>
        </is>
      </c>
      <c r="C215" t="inlineStr">
        <is>
          <t>Amazon.com</t>
        </is>
      </c>
      <c r="D215" t="inlineStr">
        <is>
          <t>indeed</t>
        </is>
      </c>
      <c r="E215">
        <f>HYPERLINK("https://www.indeed.com/viewjob?jk=395c31e97fd54a9d", "https://www.indeed.com/viewjob?jk=395c31e97fd54a9d")</f>
        <v/>
      </c>
      <c r="F215">
        <f>HYPERLINK("https://www.amazon.jobs/jobs/3106501/applied-scientist?cmpid=DA_INAD200785B", "https://www.amazon.jobs/jobs/3106501/applied-scientist?cmpid=DA_INAD200785B")</f>
        <v/>
      </c>
      <c r="G215" t="inlineStr">
        <is>
          <t>Seattle, WA, US</t>
        </is>
      </c>
      <c r="H215" s="2" t="n">
        <v>45939</v>
      </c>
      <c r="I21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in-2aa3ab980dada3f7</t>
        </is>
      </c>
      <c r="B216" t="inlineStr">
        <is>
          <t>Sr. Applied Scientist, SPB Advertiser Guidance</t>
        </is>
      </c>
      <c r="C216" t="inlineStr">
        <is>
          <t>Amazon.com</t>
        </is>
      </c>
      <c r="D216" t="inlineStr">
        <is>
          <t>indeed</t>
        </is>
      </c>
      <c r="E216">
        <f>HYPERLINK("https://www.indeed.com/viewjob?jk=2aa3ab980dada3f7", "https://www.indeed.com/viewjob?jk=2aa3ab980dada3f7")</f>
        <v/>
      </c>
      <c r="F216">
        <f>HYPERLINK("https://www.amazon.jobs/jobs/3106497/sr-applied-scientist-spb-advertiser-guidance?cmpid=DA_INAD200785B", "https://www.amazon.jobs/jobs/3106497/sr-applied-scientist-spb-advertiser-guidance?cmpid=DA_INAD200785B")</f>
        <v/>
      </c>
      <c r="G216" t="inlineStr">
        <is>
          <t>Seattle, WA, US</t>
        </is>
      </c>
      <c r="H216" s="2" t="n">
        <v>45939</v>
      </c>
      <c r="I21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in-0502822a7929a83c</t>
        </is>
      </c>
      <c r="B217" t="inlineStr">
        <is>
          <t>Applied Scientist</t>
        </is>
      </c>
      <c r="C217" t="inlineStr">
        <is>
          <t>Amazon.com</t>
        </is>
      </c>
      <c r="D217" t="inlineStr">
        <is>
          <t>indeed</t>
        </is>
      </c>
      <c r="E217">
        <f>HYPERLINK("https://www.indeed.com/viewjob?jk=0502822a7929a83c", "https://www.indeed.com/viewjob?jk=0502822a7929a83c")</f>
        <v/>
      </c>
      <c r="F217">
        <f>HYPERLINK("https://www.amazon.jobs/jobs/3106501/applied-scientist?cmpid=DA_INAD200785B", "https://www.amazon.jobs/jobs/3106501/applied-scientist?cmpid=DA_INAD200785B")</f>
        <v/>
      </c>
      <c r="G217" t="inlineStr">
        <is>
          <t>Palo Alto, CA, US</t>
        </is>
      </c>
      <c r="H217" s="2" t="n">
        <v>45939</v>
      </c>
      <c r="I21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in-b88aae801851fd57</t>
        </is>
      </c>
      <c r="B218" t="inlineStr">
        <is>
          <t>Applied Scientist II, Prime Video - Personalization and Discovery Science, Personalization and Discovery Science</t>
        </is>
      </c>
      <c r="C218" t="inlineStr">
        <is>
          <t>Amazon.com</t>
        </is>
      </c>
      <c r="D218" t="inlineStr">
        <is>
          <t>indeed</t>
        </is>
      </c>
      <c r="E218">
        <f>HYPERLINK("https://www.indeed.com/viewjob?jk=b88aae801851fd57", "https://www.indeed.com/viewjob?jk=b88aae801851fd57")</f>
        <v/>
      </c>
      <c r="F218">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18" t="inlineStr">
        <is>
          <t>New York, NY, US</t>
        </is>
      </c>
      <c r="H218" s="2" t="n">
        <v>45930</v>
      </c>
      <c r="I2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in-41f1543583cb3e55</t>
        </is>
      </c>
      <c r="B219" t="inlineStr">
        <is>
          <t>Applied Scientist II, Prime Video - Personalization and Discovery Science, Personalization and Discovery Science</t>
        </is>
      </c>
      <c r="C219" t="inlineStr">
        <is>
          <t>Amazon.com</t>
        </is>
      </c>
      <c r="D219" t="inlineStr">
        <is>
          <t>indeed</t>
        </is>
      </c>
      <c r="E219">
        <f>HYPERLINK("https://www.indeed.com/viewjob?jk=41f1543583cb3e55", "https://www.indeed.com/viewjob?jk=41f1543583cb3e55")</f>
        <v/>
      </c>
      <c r="F219">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19" t="inlineStr">
        <is>
          <t>Sunnyvale, CA, US</t>
        </is>
      </c>
      <c r="H219" s="2" t="n">
        <v>45930</v>
      </c>
      <c r="I2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in-1869376af139a1d0</t>
        </is>
      </c>
      <c r="B220" t="inlineStr">
        <is>
          <t>Applied Scientist II, Prime Video - Personalization and Discovery Science, Personalization and Discovery Science</t>
        </is>
      </c>
      <c r="C220" t="inlineStr">
        <is>
          <t>Amazon.com</t>
        </is>
      </c>
      <c r="D220" t="inlineStr">
        <is>
          <t>indeed</t>
        </is>
      </c>
      <c r="E220">
        <f>HYPERLINK("https://www.indeed.com/viewjob?jk=1869376af139a1d0", "https://www.indeed.com/viewjob?jk=1869376af139a1d0")</f>
        <v/>
      </c>
      <c r="F220">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20" t="inlineStr">
        <is>
          <t>Seattle, WA, US</t>
        </is>
      </c>
      <c r="H220" s="2" t="n">
        <v>45930</v>
      </c>
      <c r="I2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in-f67062669b78b076</t>
        </is>
      </c>
      <c r="B221" t="inlineStr">
        <is>
          <t>Applied Scientist, Workplace Health &amp; Safety</t>
        </is>
      </c>
      <c r="C221" t="inlineStr">
        <is>
          <t>Amazon.com</t>
        </is>
      </c>
      <c r="D221" t="inlineStr">
        <is>
          <t>indeed</t>
        </is>
      </c>
      <c r="E221">
        <f>HYPERLINK("https://www.indeed.com/viewjob?jk=f67062669b78b076", "https://www.indeed.com/viewjob?jk=f67062669b78b076")</f>
        <v/>
      </c>
      <c r="F221">
        <f>HYPERLINK("https://www.amazon.jobs/jobs/3144886/applied-scientist-workplace-health--safety-?cmpid=DA_INAD200785B", "https://www.amazon.jobs/jobs/3144886/applied-scientist-workplace-health--safety-?cmpid=DA_INAD200785B")</f>
        <v/>
      </c>
      <c r="G221" t="inlineStr">
        <is>
          <t>Nashville, TN, US</t>
        </is>
      </c>
      <c r="H221" s="2" t="n">
        <v>45917</v>
      </c>
      <c r="I221"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in-712846a8ea1f8760</t>
        </is>
      </c>
      <c r="B222" t="inlineStr">
        <is>
          <t>Applied Scientist, Workplace Health &amp; Safety</t>
        </is>
      </c>
      <c r="C222" t="inlineStr">
        <is>
          <t>Amazon.com</t>
        </is>
      </c>
      <c r="D222" t="inlineStr">
        <is>
          <t>indeed</t>
        </is>
      </c>
      <c r="E222">
        <f>HYPERLINK("https://www.indeed.com/viewjob?jk=712846a8ea1f8760", "https://www.indeed.com/viewjob?jk=712846a8ea1f8760")</f>
        <v/>
      </c>
      <c r="F222">
        <f>HYPERLINK("https://www.amazon.jobs/jobs/3144886/applied-scientist-workplace-health--safety-?cmpid=DA_INAD200785B", "https://www.amazon.jobs/jobs/3144886/applied-scientist-workplace-health--safety-?cmpid=DA_INAD200785B")</f>
        <v/>
      </c>
      <c r="G222" t="inlineStr">
        <is>
          <t>Bellevue, WA, US</t>
        </is>
      </c>
      <c r="H222" s="2" t="n">
        <v>45917</v>
      </c>
      <c r="I222"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3">
      <c r="A223" t="inlineStr">
        <is>
          <t>in-56a5e12654ce5eb2</t>
        </is>
      </c>
      <c r="B223" t="inlineStr">
        <is>
          <t>Sr. Applied Scientist, Prime Video - Personalization and Discovery Science</t>
        </is>
      </c>
      <c r="C223" t="inlineStr">
        <is>
          <t>Amazon.com</t>
        </is>
      </c>
      <c r="D223" t="inlineStr">
        <is>
          <t>indeed</t>
        </is>
      </c>
      <c r="E223">
        <f>HYPERLINK("https://www.indeed.com/viewjob?jk=56a5e12654ce5eb2", "https://www.indeed.com/viewjob?jk=56a5e12654ce5eb2")</f>
        <v/>
      </c>
      <c r="F223">
        <f>HYPERLINK("https://www.amazon.jobs/jobs/3084479/sr-applied-scientist-prime-video--personalization-and-discovery-science?cmpid=DA_INAD200785B", "https://www.amazon.jobs/jobs/3084479/sr-applied-scientist-prime-video--personalization-and-discovery-science?cmpid=DA_INAD200785B")</f>
        <v/>
      </c>
      <c r="G223" t="inlineStr">
        <is>
          <t>Sunnyvale, CA, US</t>
        </is>
      </c>
      <c r="H223" s="2" t="n">
        <v>45896</v>
      </c>
      <c r="I2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24">
      <c r="A224" t="inlineStr">
        <is>
          <t>in-2898e6bfeec111e8</t>
        </is>
      </c>
      <c r="B224" t="inlineStr">
        <is>
          <t>Sr. Applied Scientist, Prime Video - Personalization and Discovery Science</t>
        </is>
      </c>
      <c r="C224" t="inlineStr">
        <is>
          <t>Amazon.com</t>
        </is>
      </c>
      <c r="D224" t="inlineStr">
        <is>
          <t>indeed</t>
        </is>
      </c>
      <c r="E224">
        <f>HYPERLINK("https://www.indeed.com/viewjob?jk=2898e6bfeec111e8", "https://www.indeed.com/viewjob?jk=2898e6bfeec111e8")</f>
        <v/>
      </c>
      <c r="F224">
        <f>HYPERLINK("https://www.amazon.jobs/jobs/3084479/sr-applied-scientist-prime-video--personalization-and-discovery-science?cmpid=DA_INAD200785B", "https://www.amazon.jobs/jobs/3084479/sr-applied-scientist-prime-video--personalization-and-discovery-science?cmpid=DA_INAD200785B")</f>
        <v/>
      </c>
      <c r="G224" t="inlineStr">
        <is>
          <t>New York, NY, US</t>
        </is>
      </c>
      <c r="H224" s="2" t="n">
        <v>45896</v>
      </c>
      <c r="I2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25">
      <c r="A225" t="inlineStr">
        <is>
          <t>in-e6a4e52f40977b80</t>
        </is>
      </c>
      <c r="B225" t="inlineStr">
        <is>
          <t>Sr. Applied Scientist, Prime Video - Personalization and Discovery Science</t>
        </is>
      </c>
      <c r="C225" t="inlineStr">
        <is>
          <t>Amazon.com</t>
        </is>
      </c>
      <c r="D225" t="inlineStr">
        <is>
          <t>indeed</t>
        </is>
      </c>
      <c r="E225">
        <f>HYPERLINK("https://www.indeed.com/viewjob?jk=e6a4e52f40977b80", "https://www.indeed.com/viewjob?jk=e6a4e52f40977b80")</f>
        <v/>
      </c>
      <c r="F225">
        <f>HYPERLINK("https://www.amazon.jobs/jobs/3084479/sr-applied-scientist-prime-video--personalization-and-discovery-science?cmpid=DA_INAD200785B", "https://www.amazon.jobs/jobs/3084479/sr-applied-scientist-prime-video--personalization-and-discovery-science?cmpid=DA_INAD200785B")</f>
        <v/>
      </c>
      <c r="G225" t="inlineStr">
        <is>
          <t>Seattle, WA, US</t>
        </is>
      </c>
      <c r="H225" s="2" t="n">
        <v>45896</v>
      </c>
      <c r="I2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26">
      <c r="A226" t="inlineStr">
        <is>
          <t>in-dafcbdc85b36db9d</t>
        </is>
      </c>
      <c r="B226" t="inlineStr">
        <is>
          <t>Applied Scientist II, Prime Video , Personalization and Discovery Science</t>
        </is>
      </c>
      <c r="C226" t="inlineStr">
        <is>
          <t>Amazon.com</t>
        </is>
      </c>
      <c r="D226" t="inlineStr">
        <is>
          <t>indeed</t>
        </is>
      </c>
      <c r="E226">
        <f>HYPERLINK("https://www.indeed.com/viewjob?jk=dafcbdc85b36db9d", "https://www.indeed.com/viewjob?jk=dafcbdc85b36db9d")</f>
        <v/>
      </c>
      <c r="F226">
        <f>HYPERLINK("https://www.amazon.jobs/jobs/3061303/applied-scientist-ii-prime-video--personalization-and-discovery-science?cmpid=DA_INAD200785B", "https://www.amazon.jobs/jobs/3061303/applied-scientist-ii-prime-video--personalization-and-discovery-science?cmpid=DA_INAD200785B")</f>
        <v/>
      </c>
      <c r="G226" t="inlineStr">
        <is>
          <t>New York, NY, US</t>
        </is>
      </c>
      <c r="H226" s="2" t="n">
        <v>45886</v>
      </c>
      <c r="I2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227">
      <c r="A227" t="inlineStr">
        <is>
          <t>in-22b9251d309e7608</t>
        </is>
      </c>
      <c r="B227" t="inlineStr">
        <is>
          <t>Applied Scientist II, Prime Video , Personalization and Discovery Science</t>
        </is>
      </c>
      <c r="C227" t="inlineStr">
        <is>
          <t>Amazon.com</t>
        </is>
      </c>
      <c r="D227" t="inlineStr">
        <is>
          <t>indeed</t>
        </is>
      </c>
      <c r="E227">
        <f>HYPERLINK("https://www.indeed.com/viewjob?jk=22b9251d309e7608", "https://www.indeed.com/viewjob?jk=22b9251d309e7608")</f>
        <v/>
      </c>
      <c r="F227">
        <f>HYPERLINK("https://www.amazon.jobs/jobs/3061303/applied-scientist-ii-prime-video--personalization-and-discovery-science?cmpid=DA_INAD200785B", "https://www.amazon.jobs/jobs/3061303/applied-scientist-ii-prime-video--personalization-and-discovery-science?cmpid=DA_INAD200785B")</f>
        <v/>
      </c>
      <c r="G227" t="inlineStr">
        <is>
          <t>Seattle, WA, US</t>
        </is>
      </c>
      <c r="H227" s="2" t="n">
        <v>45886</v>
      </c>
      <c r="I2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228">
      <c r="A228" t="inlineStr">
        <is>
          <t>in-b8b5f5d6057bf936</t>
        </is>
      </c>
      <c r="B228" t="inlineStr">
        <is>
          <t>Applied Scientist II, Prime Video , Personalization and Discovery Science</t>
        </is>
      </c>
      <c r="C228" t="inlineStr">
        <is>
          <t>Amazon.com</t>
        </is>
      </c>
      <c r="D228" t="inlineStr">
        <is>
          <t>indeed</t>
        </is>
      </c>
      <c r="E228">
        <f>HYPERLINK("https://www.indeed.com/viewjob?jk=b8b5f5d6057bf936", "https://www.indeed.com/viewjob?jk=b8b5f5d6057bf936")</f>
        <v/>
      </c>
      <c r="F228">
        <f>HYPERLINK("https://www.amazon.jobs/jobs/3061303/applied-scientist-ii-prime-video--personalization-and-discovery-science?cmpid=DA_INAD200785B", "https://www.amazon.jobs/jobs/3061303/applied-scientist-ii-prime-video--personalization-and-discovery-science?cmpid=DA_INAD200785B")</f>
        <v/>
      </c>
      <c r="G228" t="inlineStr">
        <is>
          <t>Sunnyvale, CA, US</t>
        </is>
      </c>
      <c r="H228" s="2" t="n">
        <v>45886</v>
      </c>
      <c r="I2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229">
      <c r="A229" t="inlineStr">
        <is>
          <t>in-6bc014124ea9ca42</t>
        </is>
      </c>
      <c r="B229" t="inlineStr">
        <is>
          <t>Applied Scientist II, Prime Video - Personalization and Discovery Science</t>
        </is>
      </c>
      <c r="C229" t="inlineStr">
        <is>
          <t>Amazon.com</t>
        </is>
      </c>
      <c r="D229" t="inlineStr">
        <is>
          <t>indeed</t>
        </is>
      </c>
      <c r="E229">
        <f>HYPERLINK("https://www.indeed.com/viewjob?jk=6bc014124ea9ca42", "https://www.indeed.com/viewjob?jk=6bc014124ea9ca42")</f>
        <v/>
      </c>
      <c r="F229">
        <f>HYPERLINK("https://www.amazon.jobs/jobs/3059253/applied-scientist-ii-prime-video--personalization-and-discovery-science?cmpid=DA_INAD200785B", "https://www.amazon.jobs/jobs/3059253/applied-scientist-ii-prime-video--personalization-and-discovery-science?cmpid=DA_INAD200785B")</f>
        <v/>
      </c>
      <c r="G229" t="inlineStr">
        <is>
          <t>New York, NY, US</t>
        </is>
      </c>
      <c r="H229" s="2" t="n">
        <v>45881</v>
      </c>
      <c r="I2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in-86def11c5c61994e</t>
        </is>
      </c>
      <c r="B230" t="inlineStr">
        <is>
          <t>Sr. Applied Scientist, Prime Video - Personalization and Discovery Science</t>
        </is>
      </c>
      <c r="C230" t="inlineStr">
        <is>
          <t>Amazon.com</t>
        </is>
      </c>
      <c r="D230" t="inlineStr">
        <is>
          <t>indeed</t>
        </is>
      </c>
      <c r="E230">
        <f>HYPERLINK("https://www.indeed.com/viewjob?jk=86def11c5c61994e", "https://www.indeed.com/viewjob?jk=86def11c5c61994e")</f>
        <v/>
      </c>
      <c r="F230">
        <f>HYPERLINK("https://www.amazon.jobs/jobs/3059256/sr-applied-scientist-prime-video--personalization-and-discovery-science?cmpid=DA_INAD200785B", "https://www.amazon.jobs/jobs/3059256/sr-applied-scientist-prime-video--personalization-and-discovery-science?cmpid=DA_INAD200785B")</f>
        <v/>
      </c>
      <c r="G230" t="inlineStr">
        <is>
          <t>Seattle, WA, US</t>
        </is>
      </c>
      <c r="H230" s="2" t="n">
        <v>45881</v>
      </c>
      <c r="I2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in-f421826614f133f0</t>
        </is>
      </c>
      <c r="B231" t="inlineStr">
        <is>
          <t>Applied Scientist II, Prime Video - Personalization and Discovery Science</t>
        </is>
      </c>
      <c r="C231" t="inlineStr">
        <is>
          <t>Amazon.com</t>
        </is>
      </c>
      <c r="D231" t="inlineStr">
        <is>
          <t>indeed</t>
        </is>
      </c>
      <c r="E231">
        <f>HYPERLINK("https://www.indeed.com/viewjob?jk=f421826614f133f0", "https://www.indeed.com/viewjob?jk=f421826614f133f0")</f>
        <v/>
      </c>
      <c r="F231">
        <f>HYPERLINK("https://www.amazon.jobs/jobs/3059253/applied-scientist-ii-prime-video--personalization-and-discovery-science?cmpid=DA_INAD200785B", "https://www.amazon.jobs/jobs/3059253/applied-scientist-ii-prime-video--personalization-and-discovery-science?cmpid=DA_INAD200785B")</f>
        <v/>
      </c>
      <c r="G231" t="inlineStr">
        <is>
          <t>Sunnyvale, CA, US</t>
        </is>
      </c>
      <c r="H231" s="2" t="n">
        <v>45881</v>
      </c>
      <c r="I2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in-f27bc33d343f4903</t>
        </is>
      </c>
      <c r="B232" t="inlineStr">
        <is>
          <t>Applied Scientist II, Prime Video - Personalization and Discovery Science</t>
        </is>
      </c>
      <c r="C232" t="inlineStr">
        <is>
          <t>Amazon.com</t>
        </is>
      </c>
      <c r="D232" t="inlineStr">
        <is>
          <t>indeed</t>
        </is>
      </c>
      <c r="E232">
        <f>HYPERLINK("https://www.indeed.com/viewjob?jk=f27bc33d343f4903", "https://www.indeed.com/viewjob?jk=f27bc33d343f4903")</f>
        <v/>
      </c>
      <c r="F232">
        <f>HYPERLINK("https://www.amazon.jobs/jobs/3059253/applied-scientist-ii-prime-video--personalization-and-discovery-science?cmpid=DA_INAD200785B", "https://www.amazon.jobs/jobs/3059253/applied-scientist-ii-prime-video--personalization-and-discovery-science?cmpid=DA_INAD200785B")</f>
        <v/>
      </c>
      <c r="G232" t="inlineStr">
        <is>
          <t>Seattle, WA, US</t>
        </is>
      </c>
      <c r="H232" s="2" t="n">
        <v>45881</v>
      </c>
      <c r="I2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3">
      <c r="A233" t="inlineStr">
        <is>
          <t>in-f72dc11f6c3be348</t>
        </is>
      </c>
      <c r="B233" t="inlineStr">
        <is>
          <t>Sr. Applied Scientist, Prime Video - Personalization and Discovery Science</t>
        </is>
      </c>
      <c r="C233" t="inlineStr">
        <is>
          <t>Amazon.com</t>
        </is>
      </c>
      <c r="D233" t="inlineStr">
        <is>
          <t>indeed</t>
        </is>
      </c>
      <c r="E233">
        <f>HYPERLINK("https://www.indeed.com/viewjob?jk=f72dc11f6c3be348", "https://www.indeed.com/viewjob?jk=f72dc11f6c3be348")</f>
        <v/>
      </c>
      <c r="F233">
        <f>HYPERLINK("https://www.amazon.jobs/jobs/3059256/sr-applied-scientist-prime-video--personalization-and-discovery-science?cmpid=DA_INAD200785B", "https://www.amazon.jobs/jobs/3059256/sr-applied-scientist-prime-video--personalization-and-discovery-science?cmpid=DA_INAD200785B")</f>
        <v/>
      </c>
      <c r="G233" t="inlineStr">
        <is>
          <t>Sunnyvale, CA, US</t>
        </is>
      </c>
      <c r="H233" s="2" t="n">
        <v>45881</v>
      </c>
      <c r="I2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4">
      <c r="A234" t="inlineStr">
        <is>
          <t>in-2d755f929fa4fdb7</t>
        </is>
      </c>
      <c r="B234" t="inlineStr">
        <is>
          <t>Sr. Applied Scientist, Prime Video - Personalization and Discovery Science</t>
        </is>
      </c>
      <c r="C234" t="inlineStr">
        <is>
          <t>Amazon.com</t>
        </is>
      </c>
      <c r="D234" t="inlineStr">
        <is>
          <t>indeed</t>
        </is>
      </c>
      <c r="E234">
        <f>HYPERLINK("https://www.indeed.com/viewjob?jk=2d755f929fa4fdb7", "https://www.indeed.com/viewjob?jk=2d755f929fa4fdb7")</f>
        <v/>
      </c>
      <c r="F234">
        <f>HYPERLINK("https://www.amazon.jobs/jobs/3059256/sr-applied-scientist-prime-video--personalization-and-discovery-science?cmpid=DA_INAD200785B", "https://www.amazon.jobs/jobs/3059256/sr-applied-scientist-prime-video--personalization-and-discovery-science?cmpid=DA_INAD200785B")</f>
        <v/>
      </c>
      <c r="G234" t="inlineStr">
        <is>
          <t>New York, NY, US</t>
        </is>
      </c>
      <c r="H234" s="2" t="n">
        <v>45881</v>
      </c>
      <c r="I2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5">
      <c r="A235" t="inlineStr">
        <is>
          <t>in-930e6722f926cdf1</t>
        </is>
      </c>
      <c r="B235" t="inlineStr">
        <is>
          <t>Applied Scientist III, StoreGen</t>
        </is>
      </c>
      <c r="C235" t="inlineStr">
        <is>
          <t>Amazon.com</t>
        </is>
      </c>
      <c r="D235" t="inlineStr">
        <is>
          <t>indeed</t>
        </is>
      </c>
      <c r="E235">
        <f>HYPERLINK("https://www.indeed.com/viewjob?jk=930e6722f926cdf1", "https://www.indeed.com/viewjob?jk=930e6722f926cdf1")</f>
        <v/>
      </c>
      <c r="F235">
        <f>HYPERLINK("https://www.amazon.jobs/jobs/3065534/applied-scientist-iii-storegen?cmpid=DA_INAD200785B", "https://www.amazon.jobs/jobs/3065534/applied-scientist-iii-storegen?cmpid=DA_INAD200785B")</f>
        <v/>
      </c>
      <c r="G235" t="inlineStr">
        <is>
          <t>Sunnyvale, CA, US</t>
        </is>
      </c>
      <c r="H235" s="2" t="n">
        <v>45868</v>
      </c>
      <c r="I235"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6">
      <c r="A236" t="inlineStr">
        <is>
          <t>in-93e5713f303946fe</t>
        </is>
      </c>
      <c r="B236" t="inlineStr">
        <is>
          <t>Applied Scientist III, StoreGen</t>
        </is>
      </c>
      <c r="C236" t="inlineStr">
        <is>
          <t>Amazon.com</t>
        </is>
      </c>
      <c r="D236" t="inlineStr">
        <is>
          <t>indeed</t>
        </is>
      </c>
      <c r="E236">
        <f>HYPERLINK("https://www.indeed.com/viewjob?jk=93e5713f303946fe", "https://www.indeed.com/viewjob?jk=93e5713f303946fe")</f>
        <v/>
      </c>
      <c r="F236">
        <f>HYPERLINK("https://www.amazon.jobs/jobs/3065534/applied-scientist-iii-storegen?cmpid=DA_INAD200785B", "https://www.amazon.jobs/jobs/3065534/applied-scientist-iii-storegen?cmpid=DA_INAD200785B")</f>
        <v/>
      </c>
      <c r="G236" t="inlineStr">
        <is>
          <t>Seattle, WA, US</t>
        </is>
      </c>
      <c r="H236" s="2" t="n">
        <v>45868</v>
      </c>
      <c r="I236"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7">
      <c r="A237" t="inlineStr">
        <is>
          <t>in-ac0714470c6a1350</t>
        </is>
      </c>
      <c r="B237" t="inlineStr">
        <is>
          <t>Sr. Applied Scientist, Amazon Advertising</t>
        </is>
      </c>
      <c r="C237" t="inlineStr">
        <is>
          <t>Amazon.com</t>
        </is>
      </c>
      <c r="D237" t="inlineStr">
        <is>
          <t>indeed</t>
        </is>
      </c>
      <c r="E237">
        <f>HYPERLINK("https://www.indeed.com/viewjob?jk=ac0714470c6a1350", "https://www.indeed.com/viewjob?jk=ac0714470c6a1350")</f>
        <v/>
      </c>
      <c r="F237">
        <f>HYPERLINK("https://www.amazon.jobs/jobs/3035686/sr-applied-scientist-amazon-advertising?cmpid=DA_INAD200785B", "https://www.amazon.jobs/jobs/3035686/sr-applied-scientist-amazon-advertising?cmpid=DA_INAD200785B")</f>
        <v/>
      </c>
      <c r="G237" t="inlineStr">
        <is>
          <t>Simi Valley, CA, US</t>
        </is>
      </c>
      <c r="H237" s="2" t="n">
        <v>45851</v>
      </c>
      <c r="I23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8">
      <c r="A238" t="inlineStr">
        <is>
          <t>in-d774f09d947685b8</t>
        </is>
      </c>
      <c r="B238" t="inlineStr">
        <is>
          <t>Sr. Applied Scientist, Amazon Advertising</t>
        </is>
      </c>
      <c r="C238" t="inlineStr">
        <is>
          <t>Amazon.com</t>
        </is>
      </c>
      <c r="D238" t="inlineStr">
        <is>
          <t>indeed</t>
        </is>
      </c>
      <c r="E238">
        <f>HYPERLINK("https://www.indeed.com/viewjob?jk=d774f09d947685b8", "https://www.indeed.com/viewjob?jk=d774f09d947685b8")</f>
        <v/>
      </c>
      <c r="F238">
        <f>HYPERLINK("https://www.amazon.jobs/jobs/3035686/sr-applied-scientist-amazon-advertising?cmpid=DA_INAD200785B", "https://www.amazon.jobs/jobs/3035686/sr-applied-scientist-amazon-advertising?cmpid=DA_INAD200785B")</f>
        <v/>
      </c>
      <c r="G238" t="inlineStr">
        <is>
          <t>Palo Alto, CA, US</t>
        </is>
      </c>
      <c r="H238" s="2" t="n">
        <v>45851</v>
      </c>
      <c r="I23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9">
      <c r="A239" t="inlineStr">
        <is>
          <t>in-28394d4797c1d6c9</t>
        </is>
      </c>
      <c r="B239" t="inlineStr">
        <is>
          <t>Sr. Applied Scientist, Amazon Advertising</t>
        </is>
      </c>
      <c r="C239" t="inlineStr">
        <is>
          <t>Amazon.com</t>
        </is>
      </c>
      <c r="D239" t="inlineStr">
        <is>
          <t>indeed</t>
        </is>
      </c>
      <c r="E239">
        <f>HYPERLINK("https://www.indeed.com/viewjob?jk=28394d4797c1d6c9", "https://www.indeed.com/viewjob?jk=28394d4797c1d6c9")</f>
        <v/>
      </c>
      <c r="F239">
        <f>HYPERLINK("https://www.amazon.jobs/jobs/3035686/sr-applied-scientist-amazon-advertising?cmpid=DA_INAD200785B", "https://www.amazon.jobs/jobs/3035686/sr-applied-scientist-amazon-advertising?cmpid=DA_INAD200785B")</f>
        <v/>
      </c>
      <c r="G239" t="inlineStr">
        <is>
          <t>New York, NY, US</t>
        </is>
      </c>
      <c r="H239" s="2" t="n">
        <v>45851</v>
      </c>
      <c r="I23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0">
      <c r="A240" t="inlineStr">
        <is>
          <t>in-13dc465c836b4e1a</t>
        </is>
      </c>
      <c r="B240" t="inlineStr">
        <is>
          <t>Sr. Applied Scientist, Amazon Advertising</t>
        </is>
      </c>
      <c r="C240" t="inlineStr">
        <is>
          <t>Amazon.com</t>
        </is>
      </c>
      <c r="D240" t="inlineStr">
        <is>
          <t>indeed</t>
        </is>
      </c>
      <c r="E240">
        <f>HYPERLINK("https://www.indeed.com/viewjob?jk=13dc465c836b4e1a", "https://www.indeed.com/viewjob?jk=13dc465c836b4e1a")</f>
        <v/>
      </c>
      <c r="F240">
        <f>HYPERLINK("https://www.amazon.jobs/jobs/3035686/sr-applied-scientist-amazon-advertising?cmpid=DA_INAD200785B", "https://www.amazon.jobs/jobs/3035686/sr-applied-scientist-amazon-advertising?cmpid=DA_INAD200785B")</f>
        <v/>
      </c>
      <c r="G240" t="inlineStr">
        <is>
          <t>Austin, TX, US</t>
        </is>
      </c>
      <c r="H240" s="2" t="n">
        <v>45851</v>
      </c>
      <c r="I24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1">
      <c r="A241" t="inlineStr">
        <is>
          <t>in-33c8edb1ff76587b</t>
        </is>
      </c>
      <c r="B241" t="inlineStr">
        <is>
          <t>Sr. Applied Scientist, Amazon Advertising</t>
        </is>
      </c>
      <c r="C241" t="inlineStr">
        <is>
          <t>Amazon.com</t>
        </is>
      </c>
      <c r="D241" t="inlineStr">
        <is>
          <t>indeed</t>
        </is>
      </c>
      <c r="E241">
        <f>HYPERLINK("https://www.indeed.com/viewjob?jk=33c8edb1ff76587b", "https://www.indeed.com/viewjob?jk=33c8edb1ff76587b")</f>
        <v/>
      </c>
      <c r="F241">
        <f>HYPERLINK("https://www.amazon.jobs/jobs/3035686/sr-applied-scientist-amazon-advertising?cmpid=DA_INAD200785B", "https://www.amazon.jobs/jobs/3035686/sr-applied-scientist-amazon-advertising?cmpid=DA_INAD200785B")</f>
        <v/>
      </c>
      <c r="G241" t="inlineStr">
        <is>
          <t>Los Angeles, CA, US</t>
        </is>
      </c>
      <c r="H241" s="2" t="n">
        <v>45851</v>
      </c>
      <c r="I24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2">
      <c r="A242" t="inlineStr">
        <is>
          <t>in-0826adfdf257a32b</t>
        </is>
      </c>
      <c r="B242" t="inlineStr">
        <is>
          <t>Sr. Applied Scientist, Amazon Advertising</t>
        </is>
      </c>
      <c r="C242" t="inlineStr">
        <is>
          <t>Amazon.com</t>
        </is>
      </c>
      <c r="D242" t="inlineStr">
        <is>
          <t>indeed</t>
        </is>
      </c>
      <c r="E242">
        <f>HYPERLINK("https://www.indeed.com/viewjob?jk=0826adfdf257a32b", "https://www.indeed.com/viewjob?jk=0826adfdf257a32b")</f>
        <v/>
      </c>
      <c r="F242">
        <f>HYPERLINK("https://www.amazon.jobs/jobs/3035686/sr-applied-scientist-amazon-advertising?cmpid=DA_INAD200785B", "https://www.amazon.jobs/jobs/3035686/sr-applied-scientist-amazon-advertising?cmpid=DA_INAD200785B")</f>
        <v/>
      </c>
      <c r="G242" t="inlineStr">
        <is>
          <t>West Hollywood, CA, US</t>
        </is>
      </c>
      <c r="H242" s="2" t="n">
        <v>45851</v>
      </c>
      <c r="I24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3">
      <c r="A243" t="inlineStr">
        <is>
          <t>in-9abf41140809028b</t>
        </is>
      </c>
      <c r="B243" t="inlineStr">
        <is>
          <t>Sr. Applied Scientist, Amazon Advertising</t>
        </is>
      </c>
      <c r="C243" t="inlineStr">
        <is>
          <t>Amazon.com</t>
        </is>
      </c>
      <c r="D243" t="inlineStr">
        <is>
          <t>indeed</t>
        </is>
      </c>
      <c r="E243">
        <f>HYPERLINK("https://www.indeed.com/viewjob?jk=9abf41140809028b", "https://www.indeed.com/viewjob?jk=9abf41140809028b")</f>
        <v/>
      </c>
      <c r="F243">
        <f>HYPERLINK("https://www.amazon.jobs/jobs/3035686/sr-applied-scientist-amazon-advertising?cmpid=DA_INAD200785B", "https://www.amazon.jobs/jobs/3035686/sr-applied-scientist-amazon-advertising?cmpid=DA_INAD200785B")</f>
        <v/>
      </c>
      <c r="G243" t="inlineStr">
        <is>
          <t>Seattle, WA, US</t>
        </is>
      </c>
      <c r="H243" s="2" t="n">
        <v>45851</v>
      </c>
      <c r="I24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4">
      <c r="A244" t="inlineStr">
        <is>
          <t>in-035dd001ce701453</t>
        </is>
      </c>
      <c r="B244" t="inlineStr">
        <is>
          <t>Sr. Applied Scientist, Amazon Advertising</t>
        </is>
      </c>
      <c r="C244" t="inlineStr">
        <is>
          <t>Amazon.com</t>
        </is>
      </c>
      <c r="D244" t="inlineStr">
        <is>
          <t>indeed</t>
        </is>
      </c>
      <c r="E244">
        <f>HYPERLINK("https://www.indeed.com/viewjob?jk=035dd001ce701453", "https://www.indeed.com/viewjob?jk=035dd001ce701453")</f>
        <v/>
      </c>
      <c r="F244">
        <f>HYPERLINK("https://www.amazon.jobs/jobs/3035686/sr-applied-scientist-amazon-advertising?cmpid=DA_INAD200785B", "https://www.amazon.jobs/jobs/3035686/sr-applied-scientist-amazon-advertising?cmpid=DA_INAD200785B")</f>
        <v/>
      </c>
      <c r="G244" t="inlineStr">
        <is>
          <t>Arlington, VA, US</t>
        </is>
      </c>
      <c r="H244" s="2" t="n">
        <v>45851</v>
      </c>
      <c r="I24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5">
      <c r="A245" t="inlineStr">
        <is>
          <t>in-8abe57a6b096567e</t>
        </is>
      </c>
      <c r="B245" t="inlineStr">
        <is>
          <t>Sr. Applied Scientist, Sales AI</t>
        </is>
      </c>
      <c r="C245" t="inlineStr">
        <is>
          <t>Amazon.com</t>
        </is>
      </c>
      <c r="D245" t="inlineStr">
        <is>
          <t>indeed</t>
        </is>
      </c>
      <c r="E245">
        <f>HYPERLINK("https://www.indeed.com/viewjob?jk=8abe57a6b096567e", "https://www.indeed.com/viewjob?jk=8abe57a6b096567e")</f>
        <v/>
      </c>
      <c r="F245">
        <f>HYPERLINK("https://www.amazon.jobs/jobs/3020528/sr-applied-scientist-sales-ai?cmpid=DA_INAD200785B", "https://www.amazon.jobs/jobs/3020528/sr-applied-scientist-sales-ai?cmpid=DA_INAD200785B")</f>
        <v/>
      </c>
      <c r="G245" t="inlineStr">
        <is>
          <t>New York, NY, US</t>
        </is>
      </c>
      <c r="H245" s="2" t="n">
        <v>45830</v>
      </c>
      <c r="I245"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6">
      <c r="A246" t="inlineStr">
        <is>
          <t>in-039061a68d11a300</t>
        </is>
      </c>
      <c r="B246" t="inlineStr">
        <is>
          <t>Sr. Applied Scientist, Sales AI</t>
        </is>
      </c>
      <c r="C246" t="inlineStr">
        <is>
          <t>Amazon.com</t>
        </is>
      </c>
      <c r="D246" t="inlineStr">
        <is>
          <t>indeed</t>
        </is>
      </c>
      <c r="E246">
        <f>HYPERLINK("https://www.indeed.com/viewjob?jk=039061a68d11a300", "https://www.indeed.com/viewjob?jk=039061a68d11a300")</f>
        <v/>
      </c>
      <c r="F246">
        <f>HYPERLINK("https://www.amazon.jobs/jobs/3020528/sr-applied-scientist-sales-ai?cmpid=DA_INAD200785B", "https://www.amazon.jobs/jobs/3020528/sr-applied-scientist-sales-ai?cmpid=DA_INAD200785B")</f>
        <v/>
      </c>
      <c r="G246" t="inlineStr">
        <is>
          <t>Seattle, WA, US</t>
        </is>
      </c>
      <c r="H246" s="2" t="n">
        <v>45830</v>
      </c>
      <c r="I246"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7">
      <c r="A247" t="inlineStr">
        <is>
          <t>in-28a2a987470636f1</t>
        </is>
      </c>
      <c r="B247" t="inlineStr">
        <is>
          <t>Sr. Applied Scientist, Sales AI</t>
        </is>
      </c>
      <c r="C247" t="inlineStr">
        <is>
          <t>Amazon.com</t>
        </is>
      </c>
      <c r="D247" t="inlineStr">
        <is>
          <t>indeed</t>
        </is>
      </c>
      <c r="E247">
        <f>HYPERLINK("https://www.indeed.com/viewjob?jk=28a2a987470636f1", "https://www.indeed.com/viewjob?jk=28a2a987470636f1")</f>
        <v/>
      </c>
      <c r="F247">
        <f>HYPERLINK("https://www.amazon.jobs/jobs/3020528/sr-applied-scientist-sales-ai?cmpid=DA_INAD200785B", "https://www.amazon.jobs/jobs/3020528/sr-applied-scientist-sales-ai?cmpid=DA_INAD200785B")</f>
        <v/>
      </c>
      <c r="G247" t="inlineStr">
        <is>
          <t>Sunnyvale, CA, US</t>
        </is>
      </c>
      <c r="H247" s="2" t="n">
        <v>45830</v>
      </c>
      <c r="I247"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8">
      <c r="A248" t="inlineStr">
        <is>
          <t>in-6b3ce0aa88182710</t>
        </is>
      </c>
      <c r="B248" t="inlineStr">
        <is>
          <t>Senior Applied Scientist, Delivery Foundation Model</t>
        </is>
      </c>
      <c r="C248" t="inlineStr">
        <is>
          <t>Amazon.com</t>
        </is>
      </c>
      <c r="D248" t="inlineStr">
        <is>
          <t>indeed</t>
        </is>
      </c>
      <c r="E248">
        <f>HYPERLINK("https://www.indeed.com/viewjob?jk=6b3ce0aa88182710", "https://www.indeed.com/viewjob?jk=6b3ce0aa88182710")</f>
        <v/>
      </c>
      <c r="F248">
        <f>HYPERLINK("https://www.amazon.jobs/jobs/2998435/senior-applied-scientist-delivery-foundation-model-?cmpid=DA_INAD200785B", "https://www.amazon.jobs/jobs/2998435/senior-applied-scientist-delivery-foundation-model-?cmpid=DA_INAD200785B")</f>
        <v/>
      </c>
      <c r="G248" t="inlineStr">
        <is>
          <t>Santa Clara, CA, US</t>
        </is>
      </c>
      <c r="H248" s="2" t="n">
        <v>45806</v>
      </c>
      <c r="I24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9">
      <c r="A249" t="inlineStr">
        <is>
          <t>in-d68a96edbe942770</t>
        </is>
      </c>
      <c r="B249" t="inlineStr">
        <is>
          <t>Senior Applied Scientist, Delivery Foundation Model</t>
        </is>
      </c>
      <c r="C249" t="inlineStr">
        <is>
          <t>Amazon.com</t>
        </is>
      </c>
      <c r="D249" t="inlineStr">
        <is>
          <t>indeed</t>
        </is>
      </c>
      <c r="E249">
        <f>HYPERLINK("https://www.indeed.com/viewjob?jk=d68a96edbe942770", "https://www.indeed.com/viewjob?jk=d68a96edbe942770")</f>
        <v/>
      </c>
      <c r="F249">
        <f>HYPERLINK("https://www.amazon.jobs/jobs/2998435/senior-applied-scientist-delivery-foundation-model-?cmpid=DA_INAD200785B", "https://www.amazon.jobs/jobs/2998435/senior-applied-scientist-delivery-foundation-model-?cmpid=DA_INAD200785B")</f>
        <v/>
      </c>
      <c r="G249" t="inlineStr">
        <is>
          <t>New York, NY, US</t>
        </is>
      </c>
      <c r="H249" s="2" t="n">
        <v>45806</v>
      </c>
      <c r="I24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0">
      <c r="A250" t="inlineStr">
        <is>
          <t>in-e742355e89fb9c42</t>
        </is>
      </c>
      <c r="B250" t="inlineStr">
        <is>
          <t>Senior Applied Scientist, Delivery Foundation Model</t>
        </is>
      </c>
      <c r="C250" t="inlineStr">
        <is>
          <t>Amazon.com</t>
        </is>
      </c>
      <c r="D250" t="inlineStr">
        <is>
          <t>indeed</t>
        </is>
      </c>
      <c r="E250">
        <f>HYPERLINK("https://www.indeed.com/viewjob?jk=e742355e89fb9c42", "https://www.indeed.com/viewjob?jk=e742355e89fb9c42")</f>
        <v/>
      </c>
      <c r="F250">
        <f>HYPERLINK("https://www.amazon.jobs/jobs/2998435/senior-applied-scientist-delivery-foundation-model-?cmpid=DA_INAD200785B", "https://www.amazon.jobs/jobs/2998435/senior-applied-scientist-delivery-foundation-model-?cmpid=DA_INAD200785B")</f>
        <v/>
      </c>
      <c r="G250" t="inlineStr">
        <is>
          <t>Bellevue, WA, US</t>
        </is>
      </c>
      <c r="H250" s="2" t="n">
        <v>45806</v>
      </c>
      <c r="I25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1">
      <c r="A251" t="inlineStr">
        <is>
          <t>in-febb7247c4a1831d</t>
        </is>
      </c>
      <c r="B251" t="inlineStr">
        <is>
          <t>Sr. Applied Scientist - Privacy, Privacy Engineering</t>
        </is>
      </c>
      <c r="C251" t="inlineStr">
        <is>
          <t>Amazon.com</t>
        </is>
      </c>
      <c r="D251" t="inlineStr">
        <is>
          <t>indeed</t>
        </is>
      </c>
      <c r="E251">
        <f>HYPERLINK("https://www.indeed.com/viewjob?jk=febb7247c4a1831d", "https://www.indeed.com/viewjob?jk=febb7247c4a1831d")</f>
        <v/>
      </c>
      <c r="F251">
        <f>HYPERLINK("https://www.amazon.jobs/jobs/2997657/sr-applied-scientist--privacy-privacy-engineering?cmpid=DA_INAD200785B", "https://www.amazon.jobs/jobs/2997657/sr-applied-scientist--privacy-privacy-engineering?cmpid=DA_INAD200785B")</f>
        <v/>
      </c>
      <c r="G251" t="inlineStr">
        <is>
          <t>Sunnyvale, CA, US</t>
        </is>
      </c>
      <c r="H251" s="2" t="n">
        <v>45787</v>
      </c>
      <c r="I251"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2">
      <c r="A252" t="inlineStr">
        <is>
          <t>in-22cc0f4efa7fc82a</t>
        </is>
      </c>
      <c r="B252" t="inlineStr">
        <is>
          <t>Sr. Applied Scientist - Privacy, Privacy Engineering</t>
        </is>
      </c>
      <c r="C252" t="inlineStr">
        <is>
          <t>Amazon.com</t>
        </is>
      </c>
      <c r="D252" t="inlineStr">
        <is>
          <t>indeed</t>
        </is>
      </c>
      <c r="E252">
        <f>HYPERLINK("https://www.indeed.com/viewjob?jk=22cc0f4efa7fc82a", "https://www.indeed.com/viewjob?jk=22cc0f4efa7fc82a")</f>
        <v/>
      </c>
      <c r="F252">
        <f>HYPERLINK("https://www.amazon.jobs/jobs/2997657/sr-applied-scientist--privacy-privacy-engineering?cmpid=DA_INAD200785B", "https://www.amazon.jobs/jobs/2997657/sr-applied-scientist--privacy-privacy-engineering?cmpid=DA_INAD200785B")</f>
        <v/>
      </c>
      <c r="G252" t="inlineStr">
        <is>
          <t>San Francisco, CA, US</t>
        </is>
      </c>
      <c r="H252" s="2" t="n">
        <v>45787</v>
      </c>
      <c r="I252"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3">
      <c r="A253" t="inlineStr">
        <is>
          <t>in-7120fcfe71078b54</t>
        </is>
      </c>
      <c r="B253" t="inlineStr">
        <is>
          <t>Sr. Applied Scientist - Privacy, Privacy Engineering</t>
        </is>
      </c>
      <c r="C253" t="inlineStr">
        <is>
          <t>Amazon.com</t>
        </is>
      </c>
      <c r="D253" t="inlineStr">
        <is>
          <t>indeed</t>
        </is>
      </c>
      <c r="E253">
        <f>HYPERLINK("https://www.indeed.com/viewjob?jk=7120fcfe71078b54", "https://www.indeed.com/viewjob?jk=7120fcfe71078b54")</f>
        <v/>
      </c>
      <c r="F253">
        <f>HYPERLINK("https://www.amazon.jobs/jobs/2997657/sr-applied-scientist--privacy-privacy-engineering?cmpid=DA_INAD200785B", "https://www.amazon.jobs/jobs/2997657/sr-applied-scientist--privacy-privacy-engineering?cmpid=DA_INAD200785B")</f>
        <v/>
      </c>
      <c r="G253" t="inlineStr">
        <is>
          <t>Santa Clara, CA, US</t>
        </is>
      </c>
      <c r="H253" s="2" t="n">
        <v>45787</v>
      </c>
      <c r="I253"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4">
      <c r="A254" t="inlineStr">
        <is>
          <t>in-96b9b496d857e525</t>
        </is>
      </c>
      <c r="B254" t="inlineStr">
        <is>
          <t>Sr. Applied Scientist - Privacy, Privacy Engineering</t>
        </is>
      </c>
      <c r="C254" t="inlineStr">
        <is>
          <t>Amazon.com</t>
        </is>
      </c>
      <c r="D254" t="inlineStr">
        <is>
          <t>indeed</t>
        </is>
      </c>
      <c r="E254">
        <f>HYPERLINK("https://www.indeed.com/viewjob?jk=96b9b496d857e525", "https://www.indeed.com/viewjob?jk=96b9b496d857e525")</f>
        <v/>
      </c>
      <c r="F254">
        <f>HYPERLINK("https://www.amazon.jobs/jobs/2997657/sr-applied-scientist--privacy-privacy-engineering?cmpid=DA_INAD200785B", "https://www.amazon.jobs/jobs/2997657/sr-applied-scientist--privacy-privacy-engineering?cmpid=DA_INAD200785B")</f>
        <v/>
      </c>
      <c r="G254" t="inlineStr">
        <is>
          <t>Seattle, WA, US</t>
        </is>
      </c>
      <c r="H254" s="2" t="n">
        <v>45787</v>
      </c>
      <c r="I254"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5">
      <c r="A255" t="inlineStr">
        <is>
          <t>in-0a219d7cd45d52c4</t>
        </is>
      </c>
      <c r="B255" t="inlineStr">
        <is>
          <t>Sr. Data Scientist- Computer Vision, Data &amp; Machine Learning (DML)</t>
        </is>
      </c>
      <c r="C255" t="inlineStr">
        <is>
          <t>Amazon Web Services</t>
        </is>
      </c>
      <c r="D255" t="inlineStr">
        <is>
          <t>indeed</t>
        </is>
      </c>
      <c r="E255">
        <f>HYPERLINK("https://www.indeed.com/viewjob?jk=0a219d7cd45d52c4", "https://www.indeed.com/viewjob?jk=0a219d7cd45d52c4")</f>
        <v/>
      </c>
      <c r="F255">
        <f>HYPERLINK("https://www.amazon.jobs/jobs/3181194/sr-data-scientist-computer-vision-data--machine-learning-dml?cmpid=DA_INAD200785B", "https://www.amazon.jobs/jobs/3181194/sr-data-scientist-computer-vision-data--machine-learning-dml?cmpid=DA_INAD200785B")</f>
        <v/>
      </c>
      <c r="G255" t="inlineStr">
        <is>
          <t>Herndon, VA, US</t>
        </is>
      </c>
      <c r="H255" s="2" t="n">
        <v>46062</v>
      </c>
      <c r="I255"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Exploring the data and brainstorming and prioritizing ideas for model development  
Implementing new features in our sizable code base  
Training models in support of experimental or performance goals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5\+ years of data querying languages (e.g. SQL), scripting languages (e.g. Python) or statistical/mathematical software (e.g. R, SAS, Matlab, etc.) experience
* Knowledge of AWS tech stack (e.g., AWS Redshift, S3, EC2, Glue)
* Bachelor's degree in a quantitative field such as statistics, mathematics, data science, business analytics, economics, finance, engineering, or computer science
* 2\+ years of experience with machine learning, statistical modeling, data analysis tools and techniques, and performance parameters for computer vision delivery requirements
* Current, active US Government Security Clearance of Top Secret or above
**PREFERRED QUALIFICATIONS**
----------------------------
* 3\+ years of data visualization using AWS QuickSight, Tableau, R Shiny, etc. experience
* Experience managing data pipelines
* Experience as a leader and mentor on a data science team
* Master's degree in a quantitative field such as statistics, mathematics, data science, business analytics, economics, finance, engineering, or computer science
* Familiarity with internals of LLMs, VLMs, and traditional Computer Vision object detection models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\- 159,200\.00 \- 215,300\.00 USD annually  
USA, VA, Herndon \- 159,200\.00 \- 215,300\.00 USD annually</t>
        </is>
      </c>
    </row>
    <row r="256">
      <c r="A256" t="inlineStr">
        <is>
          <t>in-4c897116e1d99f2a</t>
        </is>
      </c>
      <c r="B256" t="inlineStr">
        <is>
          <t>Sr. Data Scientist- Computer Vision, Data &amp; Machine Learning (DML)</t>
        </is>
      </c>
      <c r="C256" t="inlineStr">
        <is>
          <t>Amazon Web Services</t>
        </is>
      </c>
      <c r="D256" t="inlineStr">
        <is>
          <t>indeed</t>
        </is>
      </c>
      <c r="E256">
        <f>HYPERLINK("https://www.indeed.com/viewjob?jk=4c897116e1d99f2a", "https://www.indeed.com/viewjob?jk=4c897116e1d99f2a")</f>
        <v/>
      </c>
      <c r="F256">
        <f>HYPERLINK("https://www.amazon.jobs/jobs/3181194/sr-data-scientist-computer-vision-data--machine-learning-dml?cmpid=DA_INAD200785B", "https://www.amazon.jobs/jobs/3181194/sr-data-scientist-computer-vision-data--machine-learning-dml?cmpid=DA_INAD200785B")</f>
        <v/>
      </c>
      <c r="G256" t="inlineStr">
        <is>
          <t>Arlington, VA, US</t>
        </is>
      </c>
      <c r="H256" s="2" t="n">
        <v>46062</v>
      </c>
      <c r="I256"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Exploring the data and brainstorming and prioritizing ideas for model development  
Implementing new features in our sizable code base  
Training models in support of experimental or performance goals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5\+ years of data querying languages (e.g. SQL), scripting languages (e.g. Python) or statistical/mathematical software (e.g. R, SAS, Matlab, etc.) experience
* Knowledge of AWS tech stack (e.g., AWS Redshift, S3, EC2, Glue)
* Bachelor's degree in a quantitative field such as statistics, mathematics, data science, business analytics, economics, finance, engineering, or computer science
* 2\+ years of experience with machine learning, statistical modeling, data analysis tools and techniques, and performance parameters for computer vision delivery requirements
* Current, active US Government Security Clearance of Top Secret or above
**PREFERRED QUALIFICATIONS**
----------------------------
* 3\+ years of data visualization using AWS QuickSight, Tableau, R Shiny, etc. experience
* Experience managing data pipelines
* Experience as a leader and mentor on a data science team
* Master's degree in a quantitative field such as statistics, mathematics, data science, business analytics, economics, finance, engineering, or computer science
* Familiarity with internals of LLMs, VLMs, and traditional Computer Vision object detection models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\- 159,200\.00 \- 215,300\.00 USD annually  
USA, VA, Herndon \- 159,200\.00 \- 215,300\.00 USD annually</t>
        </is>
      </c>
    </row>
    <row r="257">
      <c r="A257" t="inlineStr">
        <is>
          <t>in-bb5f7db95c6565ad</t>
        </is>
      </c>
      <c r="B257" t="inlineStr">
        <is>
          <t>Data Scientist - Computer Vision, Data &amp; Machine Learning (DML)</t>
        </is>
      </c>
      <c r="C257" t="inlineStr">
        <is>
          <t>Amazon Web Services</t>
        </is>
      </c>
      <c r="D257" t="inlineStr">
        <is>
          <t>indeed</t>
        </is>
      </c>
      <c r="E257">
        <f>HYPERLINK("https://www.indeed.com/viewjob?jk=bb5f7db95c6565ad", "https://www.indeed.com/viewjob?jk=bb5f7db95c6565ad")</f>
        <v/>
      </c>
      <c r="F257">
        <f>HYPERLINK("https://www.amazon.jobs/jobs/3171977/data-scientist--computer-vision-data--machine-learning-dml?cmpid=DA_INAD200785B", "https://www.amazon.jobs/jobs/3171977/data-scientist--computer-vision-data--machine-learning-dml?cmpid=DA_INAD200785B")</f>
        <v/>
      </c>
      <c r="G257" t="inlineStr">
        <is>
          <t>Arlington, VA, US</t>
        </is>
      </c>
      <c r="H257" s="2" t="n">
        <v>46051</v>
      </c>
      <c r="I257"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 Exploring the data and brainstorming and prioritizing ideas for model development
* Implementing new features in our sizable code base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Experience with AWS services including S3, Redshift, Sagemaker, EMR, Kinesis, Lambda, and EC2
* Current, active US Government Security Clearance of Top Secret or above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effectively communicating complex concepts through written and verbal communication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58">
      <c r="A258" t="inlineStr">
        <is>
          <t>in-d95689f557b8014a</t>
        </is>
      </c>
      <c r="B258" t="inlineStr">
        <is>
          <t>Data Scientist - Computer Vision, Data &amp; Machine Learning (DML)</t>
        </is>
      </c>
      <c r="C258" t="inlineStr">
        <is>
          <t>Amazon Web Services</t>
        </is>
      </c>
      <c r="D258" t="inlineStr">
        <is>
          <t>indeed</t>
        </is>
      </c>
      <c r="E258">
        <f>HYPERLINK("https://www.indeed.com/viewjob?jk=d95689f557b8014a", "https://www.indeed.com/viewjob?jk=d95689f557b8014a")</f>
        <v/>
      </c>
      <c r="F258">
        <f>HYPERLINK("https://www.amazon.jobs/jobs/3171977/data-scientist--computer-vision-data--machine-learning-dml?cmpid=DA_INAD200785B", "https://www.amazon.jobs/jobs/3171977/data-scientist--computer-vision-data--machine-learning-dml?cmpid=DA_INAD200785B")</f>
        <v/>
      </c>
      <c r="G258" t="inlineStr">
        <is>
          <t>Herndon, VA, US</t>
        </is>
      </c>
      <c r="H258" s="2" t="n">
        <v>46051</v>
      </c>
      <c r="I258"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 Exploring the data and brainstorming and prioritizing ideas for model development
* Implementing new features in our sizable code base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Experience with AWS services including S3, Redshift, Sagemaker, EMR, Kinesis, Lambda, and EC2
* Current, active US Government Security Clearance of Top Secret or above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effectively communicating complex concepts through written and verbal communication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59">
      <c r="A259" t="inlineStr">
        <is>
          <t>in-b941a38ed623c3d0</t>
        </is>
      </c>
      <c r="B259" t="inlineStr">
        <is>
          <t>Data Scientist- Vision Language Model Researcher, Data &amp; Machine Learning (DML)</t>
        </is>
      </c>
      <c r="C259" t="inlineStr">
        <is>
          <t>Amazon Web Services</t>
        </is>
      </c>
      <c r="D259" t="inlineStr">
        <is>
          <t>indeed</t>
        </is>
      </c>
      <c r="E259">
        <f>HYPERLINK("https://www.indeed.com/viewjob?jk=b941a38ed623c3d0", "https://www.indeed.com/viewjob?jk=b941a38ed623c3d0")</f>
        <v/>
      </c>
      <c r="F259">
        <f>HYPERLINK("https://www.amazon.jobs/jobs/3172308/data-scientist-vision-language-model-researcher-data--machine-learning-dml?cmpid=DA_INAD200785B", "https://www.amazon.jobs/jobs/3172308/data-scientist-vision-language-model-researcher-data--machine-learning-dml?cmpid=DA_INAD200785B")</f>
        <v/>
      </c>
      <c r="G259" t="inlineStr">
        <is>
          <t>Herndon, VA, US</t>
        </is>
      </c>
      <c r="H259" s="2" t="n">
        <v>46051</v>
      </c>
      <c r="I259"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TS/SCI
* Familiarity with internals of LLMs, VLMs, and traditional Computer Vision object detection models
* Ability to implement and modify deep neural networks in PyTorch
* Familiarity with techniques and libraries such as Deepspeed/ZeRO, LoRA/QLoRA, or SFT for LLMs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with AWS services including S3, Redshift, Sagemaker, EMR, Kinesis, Lambda, and EC2
* Experience in Linux, Git workflows, and use of satellite imagery for computer vision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60">
      <c r="A260" t="inlineStr">
        <is>
          <t>in-2b73eab59b5277ab</t>
        </is>
      </c>
      <c r="B260" t="inlineStr">
        <is>
          <t>Data Scientist- Vision Language Model Researcher, Data &amp; Machine Learning (DML)</t>
        </is>
      </c>
      <c r="C260" t="inlineStr">
        <is>
          <t>Amazon Web Services</t>
        </is>
      </c>
      <c r="D260" t="inlineStr">
        <is>
          <t>indeed</t>
        </is>
      </c>
      <c r="E260">
        <f>HYPERLINK("https://www.indeed.com/viewjob?jk=2b73eab59b5277ab", "https://www.indeed.com/viewjob?jk=2b73eab59b5277ab")</f>
        <v/>
      </c>
      <c r="F260">
        <f>HYPERLINK("https://www.amazon.jobs/jobs/3172308/data-scientist-vision-language-model-researcher-data--machine-learning-dml?cmpid=DA_INAD200785B", "https://www.amazon.jobs/jobs/3172308/data-scientist-vision-language-model-researcher-data--machine-learning-dml?cmpid=DA_INAD200785B")</f>
        <v/>
      </c>
      <c r="G260" t="inlineStr">
        <is>
          <t>Arlington, VA, US</t>
        </is>
      </c>
      <c r="H260" s="2" t="n">
        <v>46051</v>
      </c>
      <c r="I260"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TS/SCI
* Familiarity with internals of LLMs, VLMs, and traditional Computer Vision object detection models
* Ability to implement and modify deep neural networks in PyTorch
* Familiarity with techniques and libraries such as Deepspeed/ZeRO, LoRA/QLoRA, or SFT for LLMs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with AWS services including S3, Redshift, Sagemaker, EMR, Kinesis, Lambda, and EC2
* Experience in Linux, Git workflows, and use of satellite imagery for computer vision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61">
      <c r="A261" t="inlineStr">
        <is>
          <t>in-030747a4a43f329b</t>
        </is>
      </c>
      <c r="B261" t="inlineStr">
        <is>
          <t>Data Scientist - Computer Vision, Data &amp; Machine Learning (DML)</t>
        </is>
      </c>
      <c r="C261" t="inlineStr">
        <is>
          <t>Amazon Web Services</t>
        </is>
      </c>
      <c r="D261" t="inlineStr">
        <is>
          <t>indeed</t>
        </is>
      </c>
      <c r="E261">
        <f>HYPERLINK("https://www.indeed.com/viewjob?jk=030747a4a43f329b", "https://www.indeed.com/viewjob?jk=030747a4a43f329b")</f>
        <v/>
      </c>
      <c r="F261">
        <f>HYPERLINK("https://www.amazon.jobs/jobs/3178354/data-scientist--computer-vision-data--machine-learning-dml?cmpid=DA_INAD200785B", "https://www.amazon.jobs/jobs/3178354/data-scientist--computer-vision-data--machine-learning-dml?cmpid=DA_INAD200785B")</f>
        <v/>
      </c>
      <c r="G261" t="inlineStr">
        <is>
          <t>Herndon, VA, US</t>
        </is>
      </c>
      <c r="H261" s="2" t="n">
        <v>46051</v>
      </c>
      <c r="I261"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Exploring the data and brainstorming and prioritizing ideas for model development
Implementing new features in our sizable code base
Training models in support of experimental or performance goals
T\&amp;E\-ing, packaging, and delivering models  
We perform this work on both unclassified and classified networks, with portions of our team working on each network.
We seek a new team member to work primarily on the unclassified networks.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AWS Services,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Run data conversion pipelines to transform customer data into the structure needed by models for training
Perform EDA on the customer data
Train deep neural network models on overhead imagery
Develop and implement hyper\-parameter optimization strategies
Test and Evaluate models and analyze results
Package and deliver models to the customer
Implement new features to the model development code base
Collaborate with the rest of the team on long term strategy and short\-medium term implementation.
Contribute to presentations to the customer regarding the team’s work.
**BASIC QUALIFICATIONS**
------------------------
* Bachelor's degree or above in computer science, computer engineering, or related field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with AWS services including S3, Redshift, Sagemaker, EMR, Kinesis, Lambda, and EC2
* Current, active US Government Security Clearance of Top Secret or above
**PREFERRED QUALIFICATIONS**
----------------------------
* Knowledge of machine learning concepts and their application to reasoning and problem\-solving
* Experience in a ML or data scientist role with a large technology company
* Experience working on multi\-team, cross\-disciplinary projects
* Master's degree or above in computer science, machine learning, engineering, or related fields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62">
      <c r="A262" t="inlineStr">
        <is>
          <t>in-82a683ecd6136463</t>
        </is>
      </c>
      <c r="B262" t="inlineStr">
        <is>
          <t>Data Scientist - Computer Vision, Data &amp; Machine Learning (DML)</t>
        </is>
      </c>
      <c r="C262" t="inlineStr">
        <is>
          <t>Amazon Web Services</t>
        </is>
      </c>
      <c r="D262" t="inlineStr">
        <is>
          <t>indeed</t>
        </is>
      </c>
      <c r="E262">
        <f>HYPERLINK("https://www.indeed.com/viewjob?jk=82a683ecd6136463", "https://www.indeed.com/viewjob?jk=82a683ecd6136463")</f>
        <v/>
      </c>
      <c r="F262">
        <f>HYPERLINK("https://www.amazon.jobs/jobs/3178354/data-scientist--computer-vision-data--machine-learning-dml?cmpid=DA_INAD200785B", "https://www.amazon.jobs/jobs/3178354/data-scientist--computer-vision-data--machine-learning-dml?cmpid=DA_INAD200785B")</f>
        <v/>
      </c>
      <c r="G262" t="inlineStr">
        <is>
          <t>Arlington, VA, US</t>
        </is>
      </c>
      <c r="H262" s="2" t="n">
        <v>46051</v>
      </c>
      <c r="I262"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Exploring the data and brainstorming and prioritizing ideas for model development
Implementing new features in our sizable code base
Training models in support of experimental or performance goals
T\&amp;E\-ing, packaging, and delivering models  
We perform this work on both unclassified and classified networks, with portions of our team working on each network.
We seek a new team member to work primarily on the unclassified networks.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AWS Services,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Run data conversion pipelines to transform customer data into the structure needed by models for training
Perform EDA on the customer data
Train deep neural network models on overhead imagery
Develop and implement hyper\-parameter optimization strategies
Test and Evaluate models and analyze results
Package and deliver models to the customer
Implement new features to the model development code base
Collaborate with the rest of the team on long term strategy and short\-medium term implementation.
Contribute to presentations to the customer regarding the team’s work.
**BASIC QUALIFICATIONS**
------------------------
* Bachelor's degree or above in computer science, computer engineering, or related field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with AWS services including S3, Redshift, Sagemaker, EMR, Kinesis, Lambda, and EC2
* Current, active US Government Security Clearance of Top Secret or above
**PREFERRED QUALIFICATIONS**
----------------------------
* Knowledge of machine learning concepts and their application to reasoning and problem\-solving
* Experience in a ML or data scientist role with a large technology company
* Experience working on multi\-team, cross\-disciplinary projects
* Master's degree or above in computer science, machine learning, engineering, or related fields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63">
      <c r="A263" t="inlineStr">
        <is>
          <t>in-4ec6f00404a6d969</t>
        </is>
      </c>
      <c r="B263" t="inlineStr">
        <is>
          <t>Applied Scientist, Alexa Smart Home</t>
        </is>
      </c>
      <c r="C263" t="inlineStr">
        <is>
          <t>Amazon.com</t>
        </is>
      </c>
      <c r="D263" t="inlineStr">
        <is>
          <t>indeed</t>
        </is>
      </c>
      <c r="E263">
        <f>HYPERLINK("https://www.indeed.com/viewjob?jk=4ec6f00404a6d969", "https://www.indeed.com/viewjob?jk=4ec6f00404a6d969")</f>
        <v/>
      </c>
      <c r="F263">
        <f>HYPERLINK("https://www.amazon.jobs/jobs/3169205/applied-scientist-alexa-smart-home?cmpid=DA_INAD200785B", "https://www.amazon.jobs/jobs/3169205/applied-scientist-alexa-smart-home?cmpid=DA_INAD200785B")</f>
        <v/>
      </c>
      <c r="G263" t="inlineStr">
        <is>
          <t>Sunnyvale, CA, US</t>
        </is>
      </c>
      <c r="H263" s="2" t="n">
        <v>46033</v>
      </c>
      <c r="I263"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64">
      <c r="A264" t="inlineStr">
        <is>
          <t>in-d6ea86ca099bdd77</t>
        </is>
      </c>
      <c r="B264" t="inlineStr">
        <is>
          <t>Applied Scientist, Alexa Smart Home</t>
        </is>
      </c>
      <c r="C264" t="inlineStr">
        <is>
          <t>Amazon.com</t>
        </is>
      </c>
      <c r="D264" t="inlineStr">
        <is>
          <t>indeed</t>
        </is>
      </c>
      <c r="E264">
        <f>HYPERLINK("https://www.indeed.com/viewjob?jk=d6ea86ca099bdd77", "https://www.indeed.com/viewjob?jk=d6ea86ca099bdd77")</f>
        <v/>
      </c>
      <c r="F264">
        <f>HYPERLINK("https://www.amazon.jobs/jobs/3169205/applied-scientist-alexa-smart-home?cmpid=DA_INAD200785B", "https://www.amazon.jobs/jobs/3169205/applied-scientist-alexa-smart-home?cmpid=DA_INAD200785B")</f>
        <v/>
      </c>
      <c r="G264" t="inlineStr">
        <is>
          <t>Seattle, WA, US</t>
        </is>
      </c>
      <c r="H264" s="2" t="n">
        <v>46033</v>
      </c>
      <c r="I264"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4"/>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li-4357492872</t>
        </is>
      </c>
      <c r="B2" t="inlineStr">
        <is>
          <t>Data Engineer / Data Scientist / Data Architect - Full time</t>
        </is>
      </c>
      <c r="C2" t="inlineStr">
        <is>
          <t>Ztek Consulting</t>
        </is>
      </c>
      <c r="D2" t="inlineStr">
        <is>
          <t>linkedin</t>
        </is>
      </c>
      <c r="E2" t="inlineStr"/>
      <c r="F2" t="inlineStr"/>
      <c r="G2" t="inlineStr">
        <is>
          <t>Vienna, VA</t>
        </is>
      </c>
      <c r="H2" t="inlineStr"/>
      <c r="I2" t="inlineStr">
        <is>
          <t>Below are the 3 roles open:
 1\) Data Engineer
 2\) Data Scientist
 3\) Data Architect
**Job Descriptions:** 
**Data Engineer Job Description :** 
* Design, build, and optimize batch and real\-time data pipelines using Python, SQL, Airflow, Kafka, and AWS Glue
* Lead scalable ETL and data lake architectures across distributed cloud environments
* Ensure data quality, governance, security, and compliance while supporting analytics and data science needs
* Mentor junior engineers and collaborate with stakeholders to deliver reliable, well\-documented data solutions
**Data Scientist Job Description :** 
* 3\+ years of experience in statistical modeling and applied data analysis, including regression, classification, clustering, and time\-series analysis
* Proficient in Python or R, with hands\-on experience in data wrangling, visualization, and model development
* Strong experience with SQL/Spark SQL, basic data modeling, and cloud platforms (AWS, Azure, or GCP)
* Excellent ability to communicate complex insights and manage multiple priorities effectively
**Data Architect Job Description :** 
* Lead and mentor data engineering teams while architecting and building enterprise\-scale data platforms from design through production
* Develop and optimize production\-grade ETL/ELT pipelines, data models, and data warehouses using Python, SQL, PySpark, and cloud platforms (AWS/GCP)
* Implement CI/CD, data governance, quality frameworks, and secure, compliant data solutions aligned with federal/VA standards
* Collaborate with cross\-functional stakeholders to translate business requirements into scalable, high\-quality data solutions</t>
        </is>
      </c>
    </row>
    <row r="3">
      <c r="A3" t="inlineStr">
        <is>
          <t>li-4301485474</t>
        </is>
      </c>
      <c r="B3" t="inlineStr">
        <is>
          <t>Data Scientist, Product Analytics</t>
        </is>
      </c>
      <c r="C3" t="inlineStr">
        <is>
          <t>Meta</t>
        </is>
      </c>
      <c r="D3" t="inlineStr">
        <is>
          <t>linkedin</t>
        </is>
      </c>
      <c r="E3" t="inlineStr"/>
      <c r="F3" t="inlineStr"/>
      <c r="G3" t="inlineStr">
        <is>
          <t>New York, NY</t>
        </is>
      </c>
      <c r="H3" t="inlineStr"/>
      <c r="I3"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Currently has, or is in the process of obtaining a Bachelor's degree in Computer Science, Computer Engineering, relevant technical field, or equivalent practical experience. Degree must be completed prior to joining Meta
* Bachelor's degree in Mathematics, Statistics, a relevant technical field, or equivalent
* 2\+ years of work experience in analytics and data querying languages (e.g. SQL), scripting languages (e.g. Python), and/or statistical/mathematical software (e.g. R)
* 2\+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$119,000/year to $173,000/year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4">
      <c r="A4" t="inlineStr">
        <is>
          <t>li-4301496278</t>
        </is>
      </c>
      <c r="B4" t="inlineStr">
        <is>
          <t>Data Scientist, Product Analytics</t>
        </is>
      </c>
      <c r="C4" t="inlineStr">
        <is>
          <t>Meta</t>
        </is>
      </c>
      <c r="D4" t="inlineStr">
        <is>
          <t>linkedin</t>
        </is>
      </c>
      <c r="E4" t="inlineStr"/>
      <c r="F4" t="inlineStr"/>
      <c r="G4" t="inlineStr">
        <is>
          <t>Menlo Park, CA</t>
        </is>
      </c>
      <c r="H4" t="inlineStr"/>
      <c r="I4"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Currently has, or is in the process of obtaining a Bachelor's degree in Computer Science, Computer Engineering, relevant technical field, or equivalent practical experience. Degree must be completed prior to joining Meta
* Bachelor's degree in Mathematics, Statistics, a relevant technical field, or equivalent
* 2\+ years of work experience in analytics and data querying languages (e.g. SQL), scripting languages (e.g. Python), and/or statistical/mathematical software (e.g. R)
* 2\+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$119,000/year to $173,000/year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
      <c r="A5" t="inlineStr">
        <is>
          <t>li-4366267633</t>
        </is>
      </c>
      <c r="B5" t="inlineStr">
        <is>
          <t>Data Scientist, All Levels</t>
        </is>
      </c>
      <c r="C5" t="inlineStr">
        <is>
          <t>Ramp</t>
        </is>
      </c>
      <c r="D5" t="inlineStr">
        <is>
          <t>linkedin</t>
        </is>
      </c>
      <c r="E5" t="inlineStr"/>
      <c r="F5" t="inlineStr"/>
      <c r="G5" t="inlineStr"/>
      <c r="H5" t="inlineStr"/>
      <c r="I5"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We’re looking for someone to help lead the future of analytics at Ramp. This person will enable Ramp to get 1% better every day by developing data products and insights. They will partner closely with business stakeholders and product, engineering, and design counterparts to prioritize and execute on work, improve reporting, as well as drive results and process improvements.
**What You’ll Do**
* Full stack development, building models to consume, transform, and expose data to stakeholders and production systems
* Drive a culture of experimental design, testing agenda, and best practices
* Contribute to the culture of Ramp’s data team by influencing processes, tools, and systems that will allow us to make better decisions in a scalable way
* Collaborate with P/E/D/D (product, engineering, data and design) teams to develop product roadmaps and measure success
* Work closely with data engineering teams to capture, move, store, and transform raw data into highly actionable insights, and partner with business teams to turn those insights into action
**What You Need**
* Strong knowledge of SQL (preferably Redshift, Snowflake, BigQuery) and how to write efficient SQL queries
* Familiarity with BI tools (preferably Looker, Omni, Sigma, Hex or equivalent) and experience distributing data insights via reports and dashboards
* Track record of shipping high quality products and features at scale
* Ability to thrive in a fast\-paced, constantly improving, start\-up environment that focuses on solving problems with iterative technical solutions
**Nice\-to\-Haves**
* Experience with the modern data stack (Fivetran / Snowflake / dbt / Looker / Hightouch or equivalents)
* Strong perspective on analytics engineering development cycle (data modeling, version control, documentation \+ testing, best practices for codebase development)
* Experience within the payments and financial technology space
* Familiarity with B2B enterprise sales cycle metrics and processes
**About Our Teams**
* Product Data \| Ramp’s Product Data team is responsible for delivering data products and insights that shape Ramp’s product direction and unlock business value. The Product Analytics team is also responsible for building out the platform through which new products are launched, instrumented, tested, and QA’d. The team embeds deeply as a partner to engineering, product, and design.
* Risk \&amp; Capital Markets Data \| Ramp’s Risk Data team is responsible for how risk is evaluated, and building the risk infrastructure to scale to millions of businesses in the United States. Areas include risk operations and underwriting, limit setting and pricing across financial products as well as fraud detection, regulatory reporting, and capital market relationships.
* Growth Data \| Ramp's Growth Data team ships data products and insights that allow Ramp to acquire new business and expand existing business and partnerships at scale. Current areas of focus include: Web \&amp; Martech, Outbound Automation, Customer Data Platform, Self\-Service Product, GTM Strategic Finance, and Business Systems.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Unlimited AI token usage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Ramp Applicant Privacy Notice</t>
        </is>
      </c>
    </row>
    <row r="6">
      <c r="A6" t="inlineStr">
        <is>
          <t>li-4366263813</t>
        </is>
      </c>
      <c r="B6" t="inlineStr">
        <is>
          <t>Data Scientist, All Levels</t>
        </is>
      </c>
      <c r="C6" t="inlineStr">
        <is>
          <t>Ramp</t>
        </is>
      </c>
      <c r="D6" t="inlineStr">
        <is>
          <t>linkedin</t>
        </is>
      </c>
      <c r="E6" t="inlineStr"/>
      <c r="F6" t="inlineStr"/>
      <c r="G6" t="inlineStr">
        <is>
          <t>New York, United States</t>
        </is>
      </c>
      <c r="H6" t="inlineStr"/>
      <c r="I6"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We’re looking for someone to help lead the future of analytics at Ramp. This person will enable Ramp to get 1% better every day by developing data products and insights. They will partner closely with business stakeholders and product, engineering, and design counterparts to prioritize and execute on work, improve reporting, as well as drive results and process improvements.
**What You’ll Do**
* Full stack development, building models to consume, transform, and expose data to stakeholders and production systems
* Drive a culture of experimental design, testing agenda, and best practices
* Contribute to the culture of Ramp’s data team by influencing processes, tools, and systems that will allow us to make better decisions in a scalable way
* Collaborate with P/E/D/D (product, engineering, data and design) teams to develop product roadmaps and measure success
* Work closely with data engineering teams to capture, move, store, and transform raw data into highly actionable insights, and partner with business teams to turn those insights into action
**What You Need**
* Strong knowledge of SQL (preferably Redshift, Snowflake, BigQuery) and how to write efficient SQL queries
* Familiarity with BI tools (preferably Looker, Omni, Sigma, Hex or equivalent) and experience distributing data insights via reports and dashboards
* Track record of shipping high quality products and features at scale
* Ability to thrive in a fast\-paced, constantly improving, start\-up environment that focuses on solving problems with iterative technical solutions
**Nice\-to\-Haves**
* Experience with the modern data stack (Fivetran / Snowflake / dbt / Looker / Hightouch or equivalents)
* Strong perspective on analytics engineering development cycle (data modeling, version control, documentation \+ testing, best practices for codebase development)
* Experience within the payments and financial technology space
* Familiarity with B2B enterprise sales cycle metrics and processes
**About Our Teams**
* Product Data \| Ramp’s Product Data team is responsible for delivering data products and insights that shape Ramp’s product direction and unlock business value. The Product Analytics team is also responsible for building out the platform through which new products are launched, instrumented, tested, and QA’d. The team embeds deeply as a partner to engineering, product, and design.
* Risk \&amp; Capital Markets Data \| Ramp’s Risk Data team is responsible for how risk is evaluated, and building the risk infrastructure to scale to millions of businesses in the United States. Areas include risk operations and underwriting, limit setting and pricing across financial products as well as fraud detection, regulatory reporting, and capital market relationships.
* Growth Data \| Ramp's Growth Data team ships data products and insights that allow Ramp to acquire new business and expand existing business and partnerships at scale. Current areas of focus include: Web \&amp; Martech, Outbound Automation, Customer Data Platform, Self\-Service Product, GTM Strategic Finance, and Business Systems.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Unlimited AI token usage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Ramp Applicant Privacy Notice</t>
        </is>
      </c>
    </row>
    <row r="7">
      <c r="A7" t="inlineStr">
        <is>
          <t>li-4306629597</t>
        </is>
      </c>
      <c r="B7" t="inlineStr">
        <is>
          <t>Data Scientist - Data-Driven Global Investment Firm</t>
        </is>
      </c>
      <c r="C7" t="inlineStr">
        <is>
          <t>Andiamo</t>
        </is>
      </c>
      <c r="D7" t="inlineStr">
        <is>
          <t>linkedin</t>
        </is>
      </c>
      <c r="E7" t="inlineStr"/>
      <c r="F7" t="inlineStr"/>
      <c r="G7" t="inlineStr">
        <is>
          <t>Seattle, WA</t>
        </is>
      </c>
      <c r="H7" t="inlineStr"/>
      <c r="I7" t="inlineStr">
        <is>
          <t>Data Scientist
**About The Role**
 When you work in this role, you’ll tackle tough problems alongside other scientists and engineers—people who will challenge your ideas, share knowledge, and collaborate on impactful projects. You’ll be doing work that matters, developing solutions to complex real\-world problems using data, invention, and rigorous inquiry.
**Responsibilities**
* Independently research and develop hypotheses based on diverse real\-world datasets.
* Conduct literature reviews to apply cutting\-edge methodologies for extracting meaningful signals from data.
* Partner with engineers and stakeholders to rigorously explore and test your theories.
* Stay engaged in the academic community by joining reading circles and attending seminars to keep up with the latest research.
**Qualifications**
* 1–5\+ years of experience in applied data analysis and prediction, preferably in an industry setting.
* Degree in a technical or quantitative discipline such as statistics, mathematics, physics, electrical engineering, or computer science.
* Proficiency in Python and SQL.
* Experience conducting in\-depth research projects involving real\-world data.
* Ability to think independently, approach analysis creatively, and communicate complex ideas clearly.
* Background in finance is not required—strong research skills are most important.
**Benefits**
* Core Benefits: Fully paid medical and dental insurance premiums for employees and dependents, competitive 401k match, employer\-paid life and disability insurance.
* Perks: Onsite gyms with laundry service, wellness activities, casual dress, snacks, game rooms.
* Learning: Tuition reimbursement, conference and training sponsorship.
* Time Off: Generous vacation and unlimited sick days, competitive paid caregiver leaves.
* Hybrid Work Policy: Flexible in\-office days with budget for home office setup.
**Compensation**
 The base pay for this role will be between
 **$165,000 and $300,000** 
 . This role may also be eligible for additional forms of compensation and benefits such as discretionary bonuses, health and wellness plans, and 401(k) contributions. Discretionary bonus can be a significant portion of total compensation. Actual compensation will depend on skills, qualifications, and experience.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8">
      <c r="A8" t="inlineStr">
        <is>
          <t>li-4366263812</t>
        </is>
      </c>
      <c r="B8" t="inlineStr">
        <is>
          <t>Data Scientist, All Levels</t>
        </is>
      </c>
      <c r="C8" t="inlineStr">
        <is>
          <t>Ramp</t>
        </is>
      </c>
      <c r="D8" t="inlineStr">
        <is>
          <t>linkedin</t>
        </is>
      </c>
      <c r="E8" t="inlineStr"/>
      <c r="F8" t="inlineStr"/>
      <c r="G8" t="inlineStr">
        <is>
          <t>San Francisco, CA</t>
        </is>
      </c>
      <c r="H8" t="inlineStr"/>
      <c r="I8"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We’re looking for someone to help lead the future of analytics at Ramp. This person will enable Ramp to get 1% better every day by developing data products and insights. They will partner closely with business stakeholders and product, engineering, and design counterparts to prioritize and execute on work, improve reporting, as well as drive results and process improvements.
**What You’ll Do**
* Full stack development, building models to consume, transform, and expose data to stakeholders and production systems
* Drive a culture of experimental design, testing agenda, and best practices
* Contribute to the culture of Ramp’s data team by influencing processes, tools, and systems that will allow us to make better decisions in a scalable way
* Collaborate with P/E/D/D (product, engineering, data and design) teams to develop product roadmaps and measure success
* Work closely with data engineering teams to capture, move, store, and transform raw data into highly actionable insights, and partner with business teams to turn those insights into action
**What You Need**
* Strong knowledge of SQL (preferably Redshift, Snowflake, BigQuery) and how to write efficient SQL queries
* Familiarity with BI tools (preferably Looker, Omni, Sigma, Hex or equivalent) and experience distributing data insights via reports and dashboards
* Track record of shipping high quality products and features at scale
* Ability to thrive in a fast\-paced, constantly improving, start\-up environment that focuses on solving problems with iterative technical solutions
**Nice\-to\-Haves**
* Experience with the modern data stack (Fivetran / Snowflake / dbt / Looker / Hightouch or equivalents)
* Strong perspective on analytics engineering development cycle (data modeling, version control, documentation \+ testing, best practices for codebase development)
* Experience within the payments and financial technology space
* Familiarity with B2B enterprise sales cycle metrics and processes
**About Our Teams**
* Product Data \| Ramp’s Product Data team is responsible for delivering data products and insights that shape Ramp’s product direction and unlock business value. The Product Analytics team is also responsible for building out the platform through which new products are launched, instrumented, tested, and QA’d. The team embeds deeply as a partner to engineering, product, and design.
* Risk \&amp; Capital Markets Data \| Ramp’s Risk Data team is responsible for how risk is evaluated, and building the risk infrastructure to scale to millions of businesses in the United States. Areas include risk operations and underwriting, limit setting and pricing across financial products as well as fraud detection, regulatory reporting, and capital market relationships.
* Growth Data \| Ramp's Growth Data team ships data products and insights that allow Ramp to acquire new business and expand existing business and partnerships at scale. Current areas of focus include: Web \&amp; Martech, Outbound Automation, Customer Data Platform, Self\-Service Product, GTM Strategic Finance, and Business Systems.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Unlimited AI token usage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Ramp Applicant Privacy Notice</t>
        </is>
      </c>
    </row>
    <row r="9">
      <c r="A9" t="inlineStr">
        <is>
          <t>li-4373979003</t>
        </is>
      </c>
      <c r="B9" t="inlineStr">
        <is>
          <t>Data Scientist I</t>
        </is>
      </c>
      <c r="C9" t="inlineStr">
        <is>
          <t>Lensa</t>
        </is>
      </c>
      <c r="D9" t="inlineStr">
        <is>
          <t>linkedin</t>
        </is>
      </c>
      <c r="E9" t="inlineStr"/>
      <c r="F9" t="inlineStr"/>
      <c r="G9" t="inlineStr">
        <is>
          <t>New York, NY</t>
        </is>
      </c>
      <c r="H9" t="inlineStr"/>
      <c r="I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Bank of America. Clicking "Apply Now" or "Read more" on Lensa redirects you to the job board/employer site. Any information collected there is subject to their terms and privacy notice.
 Data Scientist I
 New York, New York;Charlotte, North Carolina
**To proceed with your application, you must be at least 18 years of age.**
 Acknowledge
 Refer a friend
**To proceed with your application, you must be at least 18 years of age.**
 Acknowledge (https://ghr.wd1\.myworkdayjobs.com/Lateral\-US/job/New\-York/Data\-Scientist\-I\_25030183\)
**Job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**The Data and AI team within Global Payment Solutions (GPS) at Bank of America** 
 is looking for a highly technicalResearch Engineerthat is a self\-starter who can translate complex concepts and generate actionable insights.
**Who We Are**
 The GPS Data and AI team drives and powers innovation within the one of the largest payment businesses in the world. We are the core data scientists building end\-to\-end production level solutions at scale. The team is a collection of individuals that welcomes challenging problems because that is where the learning begins. Many of our projects begin with "think tank" sessions with business teams that is later translated to tangible solutions and products.
**Representative Projects**
* Develop advanced statistical methods to determine the optimal interest\-rate or product pricing strategies for clients
* Build a Generative AI\-powered search platform that enables sales and product teams to access high quality answers to product, servicing, and client related questions
* Develop AI models that shift foreign currency conversion "up the payment stream," reducing reliability on beneficiary banks
* Apply advanced NLP techniques to generate near real\-time insights into what clients are reaching out to servicing teams about, helping servicing teams anticipate client needs and improve service quality
**Who We're Looking For**
 As aResearch Engineeron the GPS team, you will tackle one of our most import challenges: building models that transform data into revenue\-driving insights and products. This role blends research, engineering, and product responsibilities, requiring you to design statistical models, build scalable ML pipelines, and deploy algorithms directly into our production systems. You will work across teams to solve problems in recommendation, stochastic optimization, and time\-series forecasting; while running large A/B tests on new methods we design to push the boundaries of what data can achieve.
 If you are passionate about working in cross\-functional teams and utilizing your skills for technical product management, statistical analytics, predictive modeling, and generating revenue, consider applying to this role.
**Responsibilities**
* Frame abstract business problems using advanced data science and machine learning algorithms
* Work with stakeholders throughout the organization to identify opportunities for leveraging internal and external data to drive business solutions
* Own critical research and application development, strengthening the firm's competitive advantage
* Shape cross\-team collaboration to advance the firm's data science capabilities
**Required Skills**
* Minimum Bachelor's degree in a quantitative field such as computer science, math, statistics, and physics
* Minimum 3 years of experience with translating mathematical models and algorithms into code (Python and/or C\+\+)
* Strong foundation in probability, statistics, and applied machine learning (NLP, time\-series analysis, Generative AI)
* Prior experience working in a highly technical data driven research environment
* Ability to communicate complex topics in a concise and coherent manner
**Desired Skills**
* Graduate level degree in a quantitative field such as, computer science, math, statistics, and physics
* Demonstrated prior experience through work, research or passion projects in RAG, Agentic Frameworks, LLMs, Reinforcement Learning
* Are energized by the high stakes and intensity of dynamic environments and ready to dive in whenever
* Are excited to dive into new technical areas on a regular basis
**Shift**
 1st shift (United States of America)
**Hours Per Week**
 40
 Bank of America and its affiliates consider for employment and hire qualified candidates without regard to race, religious creed, religion, color, sex, sexual orientation, genetic information, gender, gender identity, gender expression, age, national origin, ancestry, citizenship, protected veteran or disability status or any factor prohibited by law, and as such affirms in policy and practice to support and promote the concept of equal employment opportunity, in accordance with all applicable federal, state, provincial and municipal laws. The company also prohibits discrimination on other bases such as medical condition, marital status or any other factor that is irrelevant to the performance of our teammates.
 View your
 **"Know your Rights (https://www.eeoc.gov/sites/default/files/2023\-06/22\-088\_EEOC\_KnowYourRights6\.12\.pdf) "** 
 poster.
**View the LA County Fair Chance Ordinance (https://dcba.lacounty.gov/wp\-content/uploads/2024/08/FCOE\-Official\-Notice\-Eng\-Final\-8\.30\.2024\.pdf) .**
 Bank of America aims to create a workplace free from the dangers and resulting consequences of illegal and illicit drug use and alcohol abuse. Our Drug\-Free Workplace and Alcohol Policy ("Policy") establishes requirements to prevent the presence or use of illegal or illicit drugs or unauthorized alcohol on Bank of America premises and to provide a safe work environment.
 Bank of America is committed to an in\-office culture with specific requirements for office\-based attendance and which allows for an appropriate level of flexibility for our teammates and businesses based on role\-specific considerations. Should you be offered a role with Bank of America, your hiring manager will provide you with information on the in\-office expectations associated with your role. These expectations are subject to change at any time and at the sole discretion of the Company. To the extent you have a disability or sincerely held religious belief for which you believe you need a reasonable accommodation from this requirement, you must seek an accommodation through the Bank's required accommodation request process before your first day of work.
 This communication provides information about certain Bank of America benefits. Receipt of this document does not automatically entitle you to benefits offered by Bank of America. Every effort has been made to ensure the accuracy of this communication. However, if there are discrepancies between this communication and the official plan documents, the plan documents will always govern. Bank of America retains the discretion to interpret the terms or language used in any of its communications according to the provisions contained in the plan documents. Bank of America also reserves the right to amend or terminate any benefit plan in its sole discretion at any time for any reason.
 If you have questions about this posting, please contact support@lensa.com</t>
        </is>
      </c>
    </row>
    <row r="10">
      <c r="A10" t="inlineStr">
        <is>
          <t>li-4373957870</t>
        </is>
      </c>
      <c r="B10" t="inlineStr">
        <is>
          <t>Data Scientist (REMOTE)</t>
        </is>
      </c>
      <c r="C10" t="inlineStr">
        <is>
          <t>Lensa</t>
        </is>
      </c>
      <c r="D10" t="inlineStr">
        <is>
          <t>linkedin</t>
        </is>
      </c>
      <c r="E10" t="inlineStr"/>
      <c r="F10" t="inlineStr"/>
      <c r="G10" t="inlineStr">
        <is>
          <t>Austin, TX</t>
        </is>
      </c>
      <c r="H10" t="inlineStr"/>
      <c r="I1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Sedgwick. Clicking "Apply Now" or "Read more" on Lensa redirects you to the job board/employer site. Any information collected there is subject to their terms and privacy notice.
 By joining Sedgwick, you'll be part of something truly meaningful. It's what our 33,000 colleagues do every day for people around the world who are facing the unexpected. We invite you to grow your career with us, experience our caring culture, and enjoy work\-life balance. Here, there's no limit to what you can achieve.
 Newsweek Recognizes Sedgwick as America's Greatest Workplaces National Top Companies
 Certified as a Great Place to Work®
 Fortune Best Workplaces in Financial Services \&amp; Insurance
 Data Scientist (REMOTE)
 Data Scientist (Remote)
**PRIMARY PURPOSE OF THE ROLE:** 
 To develop and manage predictive modeling assignments through completion; to communicate results; to make recommendations to management; and to ensure model ownership, implementation, and monitoring; to spot trends and to gain maximum insight that can give the company a competitive advantage.
**ARE YOU AN IDEAL CANDIDATE?** 
 We are looking for enthusiastic candidates who thrive in a collaborative environment, who are driven to deliver great work, are customer\-oriented and are naturally empathetic.
**Essential Responsiblities May Include**
* Execute data science projects as identified by Sr Data Scientists, leadership, and stakeholders
* Help to build, prototype, and deploy machine learning models in sandbox and production environments
* Produce reports to communicate metrics and outcomes of stakeholder interest
* Assist with developing and maintaining end\-to\-end ETL data pipelines
* Work to explore new internal data sources and their utility within projects
* Communicate modeling challenges, findings, and outcomes to stakeholders
**Qualifications**
* Insurance claims knowledge preferred
* Minimum one year of predictive modeling, data science, and analysis experience with solid background in the using data visualization tools and libraries and data exploration, data wrangling, and feature engineering
* Experience writing Python or R code, and notebook environments
* Knowledge of common unsupervised/supervised ML techniques
**TAKING CARE OF YOU**
* Career development and promotional growth opportunities.
* A diverse and comprehensive benefits offering including medical, dental vision, 401k, PTO and more.
 \#DataEngineering
 \#HiringDataScientists
 \#DataScienceJobs
 \#Python
 \#DataScientist
 Work environment requirements for entry\-level opportunities include \-
 Physical: Computer keyboarding
 Auditory/visual: Hearing, vision and talking
 Mental: Clear and conceptual thinking ability; excellent judgement and discretion; ability to meet deadlines
 The statements contained in this document are intended to describe the general nature and level of work being performed by a colleague assigned to this description. They are not intended to constitute a comprehensive list of functions, duties, or local variances. Sedgwick retains the discretion to add or to change the duties of the position at any time.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the world's leading risk and claims administration partner, which helps clients thrive by navigating the unexpected. The company's expertise, combined with the most advanced AI\-enabled technology available, sets the standard for solutions in claims administration, loss adjusting, benefits administration, and product recall. With over 33,000 colleagues and 10,000 clients across 80 countries, Sedgwick provides unmatched perspective, caring that counts, and solutions for the rapidly changing and complex risk landscape. For more, see
 **sedgwick.com**
 If you have questions about this posting, please contact support@lensa.com</t>
        </is>
      </c>
    </row>
    <row r="11">
      <c r="A11" t="inlineStr">
        <is>
          <t>li-4371968416</t>
        </is>
      </c>
      <c r="B11" t="inlineStr">
        <is>
          <t>Data Scientist - Up to $130k + Bonus + Benefits</t>
        </is>
      </c>
      <c r="C11" t="inlineStr">
        <is>
          <t>Hunter Bond</t>
        </is>
      </c>
      <c r="D11" t="inlineStr">
        <is>
          <t>linkedin</t>
        </is>
      </c>
      <c r="E11" t="inlineStr"/>
      <c r="F11" t="inlineStr"/>
      <c r="G11" t="inlineStr">
        <is>
          <t>Houston, TX</t>
        </is>
      </c>
      <c r="H11" t="inlineStr"/>
      <c r="I11" t="inlineStr">
        <is>
          <t>**Role: Data Scientist** 
**Salary:** 
 Up to $130,000 base \+ Bonus \+ Benefits
**Location:** 
**Houston, TX** 
 (On\-site 4 days per week)
**Client:** 
**Technology Driven Investment Management Firm** 
 My client is a
 **modern, technology\-led investment management firm** 
 leveraging advanced data science and machine learning to drive smarter decisions across global financial markets. They’re looking for a
 **Data Scientist** 
 at junior–mid level who’s excited by real\-world data, complex systems, and the chance to see models directly influence trading and investment strategies.
 You’ll be joining a collaborative team of data scientists, engineers, and quantitative analysts working at the intersection of
 **finance, technology, and analytics** 
 . This is a hands\-on role with exposure to live market data, large datasets, and decision\-making systems that operate at scale.
 From exploratory analysis through to production\-ready models, you’ll play a meaningful role in shaping how data is used across the firm — with visibility, ownership, and room to grow.
 This is an on\-site\-first environment designed for collaboration, mentorship, and fast learning, with flexibility built in where it counts.
**Requirements:** 
* 1\-4 years of hands\-on experience in data analysis, EDA, and machine learning
* Solid understanding of ML and statistical techniques (regression, classification, clustering, time series, model evaluation)
* Strong Python skills and experience working with real\-world datasets
* Exposure to (or an interest in) finance/ financial data is a strong plus
* Degree in Data Science, Computer Science, Engineering, Mathematics, or similar
**Perks that make it different:** 
* Extremely Competitive bonus tied to firm and individual performance
* Direct exposure to investment and trading decision\-making
* Modern tech stack with real production ownership
* Structured learning budget for courses, conferences, and certifications
* Clear progression path into senior data science or quantitative roles
* High\-impact work — your models won’t sit on a shelf
 If you’re looking to build serious data science experience inside a fast\-moving investment environment, this is a standout opportunity.
 Interviews are already underway — apply now to be considered.</t>
        </is>
      </c>
    </row>
    <row r="12">
      <c r="A12" t="inlineStr">
        <is>
          <t>li-4373976141</t>
        </is>
      </c>
      <c r="B12" t="inlineStr">
        <is>
          <t>Data Scientist (REMOTE)</t>
        </is>
      </c>
      <c r="C12" t="inlineStr">
        <is>
          <t>Lensa</t>
        </is>
      </c>
      <c r="D12" t="inlineStr">
        <is>
          <t>linkedin</t>
        </is>
      </c>
      <c r="E12" t="inlineStr"/>
      <c r="F12" t="inlineStr"/>
      <c r="G12" t="inlineStr">
        <is>
          <t>Atlanta, GA</t>
        </is>
      </c>
      <c r="H12" t="inlineStr"/>
      <c r="I1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Sedgwick. Clicking "Apply Now" or "Read more" on Lensa redirects you to the job board/employer site. Any information collected there is subject to their terms and privacy notice.
 By joining Sedgwick, you'll be part of something truly meaningful. It’s what our 33,000 colleagues do every day for people around the world who are facing the unexpected. We invite you to grow your career with us, experience our caring culture, and enjoy work\-life balance. Here, there’s no limit to what you can achieve.
 Newsweek Recognizes Sedgwick as America’s Greatest Workplaces National Top Companies
 Certified as a Great Place to Work®
 Fortune Best Workplaces in Financial Services \&amp; Insurance
 Data Scientist (REMOTE)
 Data Scientist (Remote)
**PRIMARY PURPOSE OF THE ROLE:** 
 To develop and manage predictive modeling assignments through completion; to communicate results; to make recommendations to management; and to ensure model ownership, implementation, and monitoring; to spot trends and to gain maximum insight that can give the company a competitive advantage.
**ARE YOU AN IDEAL CANDIDATE?** 
 We are looking for enthusiastic candidates who thrive in a collaborative environment, who are driven to deliver great work, are customer\-oriented and are naturally empathetic.
**Essential Responsiblities May Include**
* Execute data science projects as identified by Sr Data Scientists, leadership, and stakeholders
* Help to build, prototype, and deploy machine learning models in sandbox and production environments
* Produce reports to communicate metrics and outcomes of stakeholder interest
* Assist with developing and maintaining end\-to\-end ETL data pipelines
* Work to explore new internal data sources and their utility within projects
* Communicate modeling challenges, findings, and outcomes to stakeholders
**Qualifications**
* Insurance claims knowledge preferred
* Minimum one year of predictive modeling, data science, and analysis experience with solid background in the using data visualization tools and libraries and data exploration, data wrangling, and feature engineering
* Experience writing Python or R code, and notebook environments
* Knowledge of common unsupervised/supervised ML techniques
**TAKING CARE OF YOU**
* Career development and promotional growth opportunities.
* A diverse and comprehensive benefits offering including medical, dental vision, 401k, PTO and more.
 \#DataEngineering
 \#HiringDataScientists
 \#DataScienceJobs
 \#Python
 \#DataScientist
 Work environment requirements for entry\-level opportunities include –
 Physical: Computer keyboarding
 Auditory/visual: Hearing, vision and talking
 Mental: Clear and conceptual thinking ability; excellent judgement and discretion; ability to meet deadlines
 The statements contained in this document are intended to describe the general nature and level of work being performed by a colleague assigned to this description. They are not intended to constitute a comprehensive list of functions, duties, or local variances. Sedgwick retains the discretion to add or to change the duties of the position at any time.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the world’s leading risk and claims administration partner, which helps clients thrive by navigating the unexpected. The company’s expertise, combined with the most advanced AI\-enabled technology available, sets the standard for solutions in claims administration, loss adjusting, benefits administration, and product recall. With over 33,000 colleagues and 10,000 clients across 80 countries, Sedgwick provides unmatched perspective, caring that counts, and solutions for the rapidly changing and complex risk landscape. For more, see
 **sedgwick.com**
 If you have questions about this posting, please contact support@lensa.com</t>
        </is>
      </c>
    </row>
    <row r="13">
      <c r="A13" t="inlineStr">
        <is>
          <t>li-4306628631</t>
        </is>
      </c>
      <c r="B13" t="inlineStr">
        <is>
          <t>Data Scientist - Global Tech Leader</t>
        </is>
      </c>
      <c r="C13" t="inlineStr">
        <is>
          <t>Andiamo</t>
        </is>
      </c>
      <c r="D13" t="inlineStr">
        <is>
          <t>linkedin</t>
        </is>
      </c>
      <c r="E13" t="inlineStr"/>
      <c r="F13" t="inlineStr"/>
      <c r="G13" t="inlineStr">
        <is>
          <t>New York, NY</t>
        </is>
      </c>
      <c r="H13" t="inlineStr"/>
      <c r="I13" t="inlineStr">
        <is>
          <t>Data Scientist – Product \&amp; AI
**About The Role**
 We are looking for a
 **Data Scientist** 
 to help solve complex, high\-impact problems in product development and AI. You will work with
 **large\-scale, high\-dimensional data sets** 
 , applying statistical methods, machine learning, and experimentation to guide product decisions and improve user experiences. Your insights will influence the direction of features, platforms, and strategies used by thousands of organizations.
 As a mid\-level data scientist, you’ll own projects end\-to\-end: defining success metrics, designing experiments, building predictive models, and communicating findings to cross\-functional partners. You’ll collaborate with product managers, engineers, and designers to turn raw data into actionable insights that drive measurable business and product outcomes.
 This role is a chance to move beyond dashboards—you’ll uncover patterns, tell compelling stories with data, and contribute to building scalable data science practices that push the boundaries of what’s possible.
 What You’ll Do
* Apply Analytical Methods: Use statistical modeling, machine learning, and data visualization to extract insights and guide product strategy.
* Experiment \&amp; Learn: Design, run, and analyze A/B tests and other experiments to evaluate product changes and quantify impact.
* Build Predictive Models: Develop models that forecast user behavior, product performance, and key metrics.
* Define Success Metrics: Establish clear goals and KPIs that align product teams around measurable outcomes.
* Collaborate Across Teams: Partner with engineers, designers, and product leaders to ensure insights are translated into impactful features.
* Communicate Findings: Present results and recommendations to stakeholders, framing technical insights in clear, actionable terms.
* Contribute to Data Platforms: Work with engineering partners to improve data pipelines, instrumentation, and experimentation frameworks.
 What We’re Looking For
* Professional Experience: Around 5 years of applied data science experience in product analytics, business intelligence, or machine learning.
* Programming Skills: Proficiency in SQL and Python (or R) for data manipulation, modeling, and analysis.
* Experimentation: Familiarity with experimental design, causal inference, and A/B testing at scale.
* Statistical Foundation: Strong grounding in probability, statistics, and data\-driven problem solving.
* Communication: Ability to clearly present technical analyses to non\-technical audiences and drive alignment on decisions.
* Education: Bachelor’s degree in Statistics, Mathematics, Computer Science, Engineering, or related field; Master’s degree a plus.
**Preferred Qualifications**
* Experience working with product teams or SaaS platforms.
* Knowledge of ML frameworks (scikit\-learn, TensorFlow, or PyTorch) and data visualization tools (Tableau, Looker, or similar).
* Exposure to cloud data environments (AWS, GCP, or Azure).
 ✨
 **Why Join** 
 : This is your chance to tackle challenging data problems in AI and product development. You’ll apply advanced methods, work with talented colleagues, and contribute to products that affect millions of users and billions of data points—all while growing your skills and career.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14">
      <c r="A14" t="inlineStr">
        <is>
          <t>li-4373970381</t>
        </is>
      </c>
      <c r="B14" t="inlineStr">
        <is>
          <t>Junior Data Scientist</t>
        </is>
      </c>
      <c r="C14" t="inlineStr">
        <is>
          <t>Lensa</t>
        </is>
      </c>
      <c r="D14" t="inlineStr">
        <is>
          <t>linkedin</t>
        </is>
      </c>
      <c r="E14" t="inlineStr"/>
      <c r="F14" t="inlineStr"/>
      <c r="G14" t="inlineStr">
        <is>
          <t>Chicago, IL</t>
        </is>
      </c>
      <c r="H14" t="inlineStr"/>
      <c r="I1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Serco. Clicking "Apply Now" or "Read more" on Lensa redirects you to the job board/employer site. Any information collected there is subject to their terms and privacy notice.
**Position Description \&amp; Qualifications**
 At Serco, we foster a dynamic and collaborative work environment where team members contribute to innovative, high\-impact projects for leading government clients. We provide opportunities to solve complex challenges, improve processes, and utilize the latest technologies to deliver top\-tier products and services to our customers. The positions on this contract are located both CONUS and OCONUS in support of Army Sustainment Command (ASC).
 As a Junior Data Scientist you will play a key role in supporting Army Sustainment Command (ASC).
**In This Role, You Will**
* Perform advanced analysis and analytics to produce algorithms and/or businessprocess recommendations.
* Develop and use data, algorithms, and analyses to identify and applymechanisms to both overcome impediments to materiel readiness and exploitopportunities to improve readiness through feasible, cost\-effective software andbusiness process improvements, changes, and interventions.
* Forecast and address complex analytical challenges and identify the challengesand opportunities within systems, develop comprehensive solutions, andincorporate these capabilities solutions into software and workflows.
* Develop analytics and process solution sets, the criteria for recommendedalgorithms and processes shall include preference for efficient methods that useas simple of a process as possible given the current state\-of\-the\-art practices.The analytics and process solution sets shall provide appropriate, economicsavings\-driven answers.
* Regularly identify and communicate courses of actions required for program andproject success, including appropriate reporting processes and applicablemetrics to monitor and assess outcomes.
* Proactively identify mechanisms to improve mission performance.
* Use appropriate quantitative analytics techniques to include time series analysisand forecasting, advanced multivariate regression (including Probit and LogitModels), systems dynamics modelling, Bayesian inference procedures, minimaxprocedures (statistical), subjective probability utilization, expected utility analysis,operational risk analysis, and uncertainty evaluation.
* Use appropriate qualitative analytics techniques to include multi\-criteria decisionanalysis, qualitative comparative analysis, causal mapping, formal game theory,minimax procedures (game theory), decision architecture, systems architectureanalysis, organizational analysis and structural reform, supply chain analysis,and multinational best practices (military and industry) evaluation.
* Use logistics and agent\-based modeling and simulation.
* Conduct business process analysis and optimization across the Doctrine,Organization, Training, Materiel, Leadership, Education, Personnel, Facilities,Policy (DOTMLPF\-P) spectrum and beyond.
* Produce formal use cases, software program change requests, and otherrequired documentation for technology insertion into related defense logisticssupport software.
* Interface and liaise with software program offices and contractors.
* Develop requirements for defense analytics software.
* Conduct stakeholder analysis and create products for stakeholdercommunications and messaging.
**To Be Successful In This Role, You Will Have**
* U.S. Citizenship
* An Active Secret Clearance or an interim Secret Clearance.
* A Bachelor's degree in data science, mathematics, statistics, economics, computer science, engineering, or other related business or quantitativediscipline.
* Minimum 1 year of experience working directly on a data science team.
* Experience working with tools, including object\-oriented programming (Python, Java), computational analysis tools (R, MATLAB), and associated data science libraries (scikit\-learn).
* Experience creating meaningful data visualizations and interactive dashboards using platforms such as Tableau, Qlik, Power BI, RShiny, plotly, and d3\.js to communicate findings and relate them back to how your insights create business impact.
* Working knowledge of databases and SQL; preferred qualifications include linking analytic and data visualization products to database connections.
* Superior communication skills, both oral and written.
* Understand data science methods related to data architecture, data munging, data and feature engineering, and predictive analytics.
* Unstructured text and natural language processing.
* Experience using tools or langauges like R, Python, SAS, or MATLAB, Anaconda, IBM Blue, and Oracle Big Data to analyze large data sets and develop automated analytics in making sense of data.
* Experience using machine learning, data mining, statistical networks, natural language processing, text analytics, and graph\-based algorithms to analyze massive data sets.
* Experience developing software to generate reports and visualizations that summarize data sets and provide data\-driven insights.
* Experience developing and implementing statistical, machine learning, and heuristic techniques to create descriptive, predictive, and prescriptive analytics as well as to develop statistical tests to make data\-driven recommendations and decisions.
**Company Overview**
 Serco Inc. (Serco) is the Americas division of Serco Group, plc. In North America, Serco’s 9,000\+ employees strive to make an impact every day across 100\+ sites in the areas of Defense, Citizen Services, and Transportation. We help our clients deliver vital services more efficiently while increasing the satisfaction of their end customers. Serco serves every branch of the U.S. military, numerous U.S. Federal civilian agencies, the Intelligence Community, the Canadian government, state, provincial and local governments, and commercial clients. While your place may look a little different depending on your role, we know you will find yours here. Wherever you work and whatever you do, we invite you to discover your place in our world. Serco is a place you can count on and where you can make an impact because every contribution matters.
 To review Serco benefits please visit: https://careers.serco\-na.com/us/en/what\-we\-offer . If you require an accommodation with the application process please email: careers@serco\-na.com or call the HR Service Desk at 800\-628\-6458, option 1\. Please note, due to EEOC/OFCCP compliance, Serco is unable to accept resumes by email.
 Candidates may be asked to present proof of identify during the selection process. If requested, this will require presentation of a government\-issued I.D. (with photo) with name and address that match the information entered on the application. Serco will not take possession of or retain/store the information provided as proof of identity. For more information on how Serco uses your information, please see our Applicant Privacy Policy and Notice.
 Serco does not accept unsolicited resumes through or from search firms or staffing agencies without being a contracted approved vendor. All unsolicited resumes will be considered the property of Serco and will not be obligated to pay a placement or contract fee. If you are interested in becoming an approved vendor at Serco, please email Agencies@serco\-na.com .
 Serco is an equal opportunity employer. We evaluate qualified applicants without regard to race, color, religion, sex, sexual orientation, gender identity, national origin, disability, veteran status, and other legally protected characteristics.
**Pay Transparency**
 Our Total Rewards package includes competitive pay, performance\-based incentives, and benefits that promote well\-being and work\-life balance—so you can thrive both professionally and personally. Eligible employees also gain access to a wide range of benefits from comprehensive health coverage and health savings accounts to retirement plans, life and disability insurance, and time\-off programs that support work\-life balance. Program availability may vary based on factors such as contract type, location, hire date, and applicable collective bargaining agreements.
 Salary range: The range for this position can be found at the top of this posting. This range is provided as a general guideline and represents a good faith estimate across all experience levels. Actual base salary will be determined by a variety of factors, including but not limited to, the scope of the role, relevant experience, job\-related knowledge, education and training, key skills, and geographic market considerations. For roles available in multiple states, the range may vary to reflect differences in local labor markets. In addition to base salary, eligible positions may include other forms of compensation such as annual bonuses or long\-term incentive opportunities. Benefits – Comprehensible benefits for full\-time employees (part\-time employees receive a limited package tailored to their role):
* Medical, dental, and vision insurance
* Robust vacation and sick leave benefits, and flexible work arrangements where permitted by role or contract
* 401(k) plan that includes employer matching funds
* Tuition reimbursement program
* Life insurance and disability coverage
* Optional coverages that can be purchased, including pet insurance, home and auto insurance, additional life and accident insurance, critical illness insurance, group legal, ID theft protection
* Birth, adoption, parental leave benefits
* Employee Assistance Plan
 To review all Serco benefits please visit: https://careers.serco\-na.com/us/en/about\-us .
 Serco complies with all applicable state and local leave laws, including providing time off under the Colorado Healthy Families and Workplaces Act for eligible Colorado residents, in alignment with our policies and benefit plans. The application window for this position is for no more than 60 days. We encourage candidates to apply promptly after the posting date, as the position may close earlier if filled or if the application volume exceeds expectations. Please submit applications exclusively through Serco’s external (or internal) career site. If an applicant has any concerns with job posting compliance, please send an email to: careers@serco\-na.com .
 If you have questions about this posting, please contact support@lensa.com</t>
        </is>
      </c>
    </row>
    <row r="15">
      <c r="A15" t="inlineStr">
        <is>
          <t>li-4132917033</t>
        </is>
      </c>
      <c r="B15" t="inlineStr">
        <is>
          <t>Health Data Scientist</t>
        </is>
      </c>
      <c r="C15" t="inlineStr">
        <is>
          <t>Voloridge Investment Management, LLC</t>
        </is>
      </c>
      <c r="D15" t="inlineStr">
        <is>
          <t>linkedin</t>
        </is>
      </c>
      <c r="E15" t="inlineStr"/>
      <c r="F15" t="inlineStr"/>
      <c r="G15" t="inlineStr">
        <is>
          <t>Jupiter, FL</t>
        </is>
      </c>
      <c r="H15" t="inlineStr"/>
      <c r="I15" t="inlineStr">
        <is>
          <t>Voloridge Health, headquartered in Jupiter, FL, is a proactive healthcare technology company. We develop advanced tools to deliver predictive, personalized insights to empower individuals and organizations to make data\-driven decisions, promoting longer, healthier lives. Voloridge Health is dedicated to developing a data\-science\-driven approach to assess, track, and improve healthspan. Founded in 2023 with the same data science background that has propelled its sister company, Voloridge Investment Management, as an award\-winning quantitative hedge fund.
 Data Science is at the core of our business. We are seeking
 **Data Scientists** 
 who have dedicated themselves to excellence in quantitative disciples such as mathematics, statistics or physics and who share our mission of improving health outcomes through data science. If you are eager to collaborate with a world\-renowned team Voloridge Health could be the home for you.
**Summary Of Job Functions**
* Building and evaluating modern numerical/modeling techniques
* Working daily with complex, large\-scale datasets
* Collaborative research projects requiring deep thinking, technical skills, and ingenuity
* Keeping abreast of the latest research related to applications of machine learning to health
**Minimum Requirements**
* Deep understanding of modern machine learning techniques and algorithms
* Must demonstrate exceptional aptitude in descriptive and inferential statistics
* Extremely detail\-oriented and self\-motivated
* Experience with time series data
* Extensive experience working with large data
* Creative thinker and self\-learner, able to demonstrate extraordinary critical thinking and analytical skills
* Competent skills in programming languages such as Python, R, C/\#/\+\+
* Ability to communicate actionable results with present senior leadership
* Advanced degree in Physics, Statistics, Mathematics or other quantitative disciplines or equivalent experience
* Ability to work onsite in our Jupiter, FL office
**Preferred Skills And Previous Experience**
* Outstanding achievements such as Math competitions, Kaggle – Grandmaster/Master, exceptional scores on SAT/GRE/LSAT, Chess Grandmaster, etc.
* Experience with relational SQL databases
**Benefits**
* Relocation assistance available for the right candidate
* Highly competitive base salary
* Health, dental, vision, life, and disability insurance
* 401K
 Voloridge Health is an Equal Opportunity Employer. All qualified applicants are encouraged to apply and will receive consideration for employment without regard to race, color, religion, sex, sexual orientation, gender identity, national origin, disability, protected veteran status, or any other legally protected characteristic or status.</t>
        </is>
      </c>
    </row>
    <row r="16">
      <c r="A16" t="inlineStr">
        <is>
          <t>li-4302840618</t>
        </is>
      </c>
      <c r="B16" t="inlineStr">
        <is>
          <t>Applied Scientist II</t>
        </is>
      </c>
      <c r="C16" t="inlineStr">
        <is>
          <t>Uber</t>
        </is>
      </c>
      <c r="D16" t="inlineStr">
        <is>
          <t>linkedin</t>
        </is>
      </c>
      <c r="E16" t="inlineStr"/>
      <c r="F16" t="inlineStr"/>
      <c r="G16" t="inlineStr">
        <is>
          <t>New York, NY</t>
        </is>
      </c>
      <c r="H16" t="inlineStr"/>
      <c r="I16" t="inlineStr">
        <is>
          <t>**About The Role**
 We're looking for an Applied Scientist to join our Brand Science team to provide strategic, actionable insights around how to measure and optimize a large brand marketing budget. In the role, you'll be part of and collaborate with a cross\-functional team consisting of marketing/media stakeholders, our in\-house research and insights team, as well as other scientists across the broader organization.
**Problems We're Working On Include**
* How do we measure the impact of advertising on television and billboards?
* Can we find a better way to allocate our brand budget across a diverse set of advertising platforms, marketing initiatives, and audiences?
* How can we improve our existing measurement tools to improve sensitivity and reduce bias?
 The ideal candidate is both technically deep and intellectually humble. You enjoy out\-of\-the\-box thinking, and are not afraid to roll up your sleeves to get things done. You prioritize practical solutions over novelty but stay curious about new methods and their tradeoffs. You focus on tangible progress and results, but also have a generous spirit, giving others the benefit of the doubt and actively seeking to understand their perspectives.
**What You'll Do**
* Apply statistical/econometric methods to estimate the incremental impact of changes in marketing and product strategy on brand\-relevant KPIs like sentiment, awareness, and purchase intent \- as well as on business outcomes like trips/orders and gross bookings.
* Build and improve technical tools for marketing problems. Examples include media mix models, statistical estimators to gauge the impact of various interventions (experimental or otherwise), optimization engines that determine how to best distribute resources, etc.
* Interface closely with external partners (media agencies, advertising platforms, measurement vendors) to deeply understand the existing capabilities and limitations of their platforms and solutions, and to push the envelope on what is possible.
* Collaborate with our in\-house media, research, product, and operations teams to develop actionable customer insights and recommendations to guide high level business and marketing strategy.
**Basic Qualifications**
* Ph.D., M.S., or B.S. degree in Statistics, Computer Science, Applied Mathematics, Electrical Engineering, Economics, or other quantitative fields is preferred. (If M.S. degree, a minimum of 2\+ years of industry experience required, if B.S. degree a minimum of 3\+ years of industry experience required)
* Advanced skills in SQL, Python, and BI tools for data analysis/visualization
* In\-depth understanding of and experience with experimental design
**Preferred Qualifications**
* Experience with solving quantitative problems in the marketing/AdTech space
* PhD in a quantitative field such as statistics, economics, or operations research
 For New York, NY\-based roles: The base salary range for this role is USD$161,000 per year \- USD$179,000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7">
      <c r="A17" t="inlineStr">
        <is>
          <t>li-4306616933</t>
        </is>
      </c>
      <c r="B17" t="inlineStr">
        <is>
          <t>Data Scientist - Global Tech Leader</t>
        </is>
      </c>
      <c r="C17" t="inlineStr">
        <is>
          <t>Andiamo</t>
        </is>
      </c>
      <c r="D17" t="inlineStr">
        <is>
          <t>linkedin</t>
        </is>
      </c>
      <c r="E17" t="inlineStr"/>
      <c r="F17" t="inlineStr"/>
      <c r="G17" t="inlineStr">
        <is>
          <t>Boston, MA</t>
        </is>
      </c>
      <c r="H17" t="inlineStr"/>
      <c r="I17" t="inlineStr">
        <is>
          <t>Data Scientist – Product \&amp; AI
**About The Role**
 We are looking for a
 **Data Scientist** 
 to help solve complex, high\-impact problems in product development and AI. You will work with
 **large\-scale, high\-dimensional data sets** 
 , applying statistical methods, machine learning, and experimentation to guide product decisions and improve user experiences. Your insights will influence the direction of features, platforms, and strategies used by thousands of organizations.
 As a mid\-level data scientist, you’ll own projects end\-to\-end: defining success metrics, designing experiments, building predictive models, and communicating findings to cross\-functional partners. You’ll collaborate with product managers, engineers, and designers to turn raw data into actionable insights that drive measurable business and product outcomes.
 This role is a chance to move beyond dashboards—you’ll uncover patterns, tell compelling stories with data, and contribute to building scalable data science practices that push the boundaries of what’s possible.
 What You’ll Do
* Apply Analytical Methods: Use statistical modeling, machine learning, and data visualization to extract insights and guide product strategy.
* Experiment \&amp; Learn: Design, run, and analyze A/B tests and other experiments to evaluate product changes and quantify impact.
* Build Predictive Models: Develop models that forecast user behavior, product performance, and key metrics.
* Define Success Metrics: Establish clear goals and KPIs that align product teams around measurable outcomes.
* Collaborate Across Teams: Partner with engineers, designers, and product leaders to ensure insights are translated into impactful features.
* Communicate Findings: Present results and recommendations to stakeholders, framing technical insights in clear, actionable terms.
* Contribute to Data Platforms: Work with engineering partners to improve data pipelines, instrumentation, and experimentation frameworks.
 What We’re Looking For
* Professional Experience: Around 5 years of applied data science experience in product analytics, business intelligence, or machine learning.
* Programming Skills: Proficiency in SQL and Python (or R) for data manipulation, modeling, and analysis.
* Experimentation: Familiarity with experimental design, causal inference, and A/B testing at scale.
* Statistical Foundation: Strong grounding in probability, statistics, and data\-driven problem solving.
* Communication: Ability to clearly present technical analyses to non\-technical audiences and drive alignment on decisions.
* Education: Bachelor’s degree in Statistics, Mathematics, Computer Science, Engineering, or related field; Master’s degree a plus.
**Preferred Qualifications**
* Experience working with product teams or SaaS platforms.
* Knowledge of ML frameworks (scikit\-learn, TensorFlow, or PyTorch) and data visualization tools (Tableau, Looker, or similar).
* Exposure to cloud data environments (AWS, GCP, or Azure).
 ✨
 **Why Join** 
 : This is your chance to tackle challenging data problems in AI and product development. You’ll apply advanced methods, work with talented colleagues, and contribute to products that affect millions of users and billions of data points—all while growing your skills and career.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18">
      <c r="A18" t="inlineStr">
        <is>
          <t>li-4368329497</t>
        </is>
      </c>
      <c r="B18" t="inlineStr">
        <is>
          <t>Data Scientist</t>
        </is>
      </c>
      <c r="C18" t="inlineStr">
        <is>
          <t>Raptive</t>
        </is>
      </c>
      <c r="D18" t="inlineStr">
        <is>
          <t>linkedin</t>
        </is>
      </c>
      <c r="E18" t="inlineStr"/>
      <c r="F18" t="inlineStr"/>
      <c r="G18" t="inlineStr"/>
      <c r="H18" t="inlineStr"/>
      <c r="I18" t="inlineStr">
        <is>
          <t>Raptive is seeking a Data Scientist to join our RevOps Data Science team. Your mission is to leverage our vast data set to surface meaningful insights that drive decision\-making across the business. Given the broad scope of this effort, the ideal candidate will be driven by understanding and improving work processes and developing solutions that potentially use a wide variety of technologies.
 As a Data Scientist, you will be responsible for helping to derive meaningful insights from large amounts of data, building metrics, finding answers, and creating dependable, repeatable solutions.
 Applicants must be authorized to work for any employer in the U.S. We are unable to sponsor or take over sponsorship of an employment Visa at this time.
**What you’ll be doing:** 
* Design and analyze experiments to improve revenue
* Classify audience and content to support programmatic direct and indirect sales
* Deliver evolutionary floor price guidance
* Visualize complex systems
* Build deep understanding of data generating processes
**The skills and experience you bring to the job:** 
* Graduate degree or equivalent in Statistics, Industrial Systems Engineering, or comparable field
* Familiarity with real time advertising markets
* Familiarity with processing large data sets (eg with Snowflake, Hive, Presto or BigQuery), scripting (eg Bash or Python), the AWS environment, \&amp; statistical software (eg NumPy, scikit\-learn, R)
* Familiarity with cutting edge classification and regression libraries (eg TensorFlow, Keras, Pytorch) and algorithms eg (XGBoost, Convolutional NN, etc)
* Familiarity with deploying, scaling, and maintaining data science models in production environments, including experience with cloud platforms, containerization, orchestration, or related tools.
**About Raptive** 
 Raptive is a new kind of media company built for creators and home to one of the largest and most diverse audiences on the internet. Raptive combines its position as the world’s largest ad management platform with a comprehensive suite of monetization, audience and business solutions that enable creators to turn their passions and talents into thriving independent companies and enduring brands. We stand for the future of a diverse, open internet powered by the creativity and entrepreneurship of the independent creators and publishers it serves. To date, Raptive has paid over $2\.5 billion to thousands of independent creators. Join us in creating a more equitable and inclusive future for media. Raptive was recognized as a Fortune 100 Best Places To Work for 2024\-2025\.
 The base salary range for this position is $100,000\-$150,000\. The range provided is Raptive’s reasonable estimate of the annualized base compensation for this role. The actual amount may be higher or lower, based on non\-discriminatory factors such as experience, geographic location, knowledge, skills and abilities. This role is eligible for additional incentive compensation that isn’t included in the posted range.
 For more information, visit www.Raptive.com or follow us on LinkedIn or Instagram.
*Raptive is committed to diversity, equity, and inclusion. We believe we are most impactful when people with a wide range of backgrounds, experiences, and identities come together with a common purpose. We encourage candidates from all backgrounds to apply. Raptive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reach out to a member of our recruiting team.*</t>
        </is>
      </c>
    </row>
    <row r="19">
      <c r="A19" t="inlineStr">
        <is>
          <t>li-4306639004</t>
        </is>
      </c>
      <c r="B19" t="inlineStr">
        <is>
          <t>Senior Data Scientist - Global Finance Leader</t>
        </is>
      </c>
      <c r="C19" t="inlineStr">
        <is>
          <t>Andiamo</t>
        </is>
      </c>
      <c r="D19" t="inlineStr">
        <is>
          <t>linkedin</t>
        </is>
      </c>
      <c r="E19" t="inlineStr"/>
      <c r="F19" t="inlineStr"/>
      <c r="G19" t="inlineStr">
        <is>
          <t>Boston, MA</t>
        </is>
      </c>
      <c r="H19" t="inlineStr"/>
      <c r="I19" t="inlineStr">
        <is>
          <t>Senior Data Scientist – Global Finance
 Senior Data Scientist – Global Finance
**About The Role**
 We are seeking a highly skilled
 **Senior Data Scientist** 
 to join a global finance firm and tackle some of the most complex challenges in markets, risk, and investment strategy. You will work with large\-scale financial, transactional, and alternative datasets, applying advanced statistical methods, machine learning, and AI to generate insights that directly influence trading, risk management, and business decisions across global markets.
 This role sits at the intersection of data science, engineering, and finance. You will partner with quantitative researchers, traders, and technologists to design models, build scalable data products, and deliver solutions that provide a measurable competitive advantage. You will also contribute to the evolution of firm\-wide data science practices, mentoring peers and setting best practices for analytics in high\-stakes environments.
 What You’ll Do
* Model Development: Build, test, and deploy predictive and statistical models for trading, risk, and investment strategies.
* Experimentation: Design and analyze experiments to evaluate new data sources, trading hypotheses, or risk frameworks.
* Advanced Analytics: Apply machine learning, natural language processing, and time\-series forecasting to financial and alternative datasets.
* Data Engineering Collaboration: Partner with data engineers to ensure data pipelines and infrastructure are scalable, reliable, and optimized for research.
* Business Impact: Translate complex data findings into actionable insights for executives, traders, and global stakeholders.
* Mentorship: Share knowledge of statistical methodology, ML techniques, and applied research best practices with junior team members.
 What We’re Looking For
* Professional Experience: 6\+ years of applied data science experience, preferably in finance, technology, or similarly data\-rich industries.
* Technical Skills: Proficiency in Python, R, or Scala, with strong SQL expertise; experience with ML libraries such as scikit\-learn, TensorFlow, or PyTorch.
* Statistical Foundation: Strong knowledge of probability, econometrics, experimental design, and causal inference.
* Financial Domain Knowledge: Familiarity with markets, risk modeling, or portfolio optimization is highly desirable (but not strictly required).
* Big Data Tools: Experience working with large\-scale distributed systems (Spark, Hadoop, or cloud\-native data platforms).
* Collaboration: Ability to work effectively with quantitative researchers, engineers, and business leaders in a global setting.
* Education: Master’s or PhD in Computer Science, Statistics, Mathematics, Engineering, or a related quantitative field.
 Why Join
 This is a unique opportunity to apply cutting\-edge data science to problems of global financial significance. As Senior Data Scientist, you will help shape strategies that impact markets and clients worldwide, while working alongside some of the most talented minds in finance and technology. The challenges are complex, the datasets are massive, and the potential impact is extraordinary.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20">
      <c r="A20" t="inlineStr">
        <is>
          <t>li-4373991736</t>
        </is>
      </c>
      <c r="B20" t="inlineStr">
        <is>
          <t>Data Scientist - Real World Oncology</t>
        </is>
      </c>
      <c r="C20" t="inlineStr">
        <is>
          <t>McKesson</t>
        </is>
      </c>
      <c r="D20" t="inlineStr">
        <is>
          <t>linkedin</t>
        </is>
      </c>
      <c r="E20" t="inlineStr"/>
      <c r="F20" t="inlineStr"/>
      <c r="G20" t="inlineStr">
        <is>
          <t>Texas, United States</t>
        </is>
      </c>
      <c r="H20" t="inlineStr"/>
      <c r="I20"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**Job Description**
 Join the growing Ontada team, backed by a Fortune 8 company, and help transform oncology care. Ontada develops technologies that support oncology providers in delivering evidence‑based, personalized care and provides insights that help biopharma accelerate drug development, optimize clinical trials, support treatment decisions, and guide commercial strategies.
 We are seeking a self‑motivated, collaborative, and detail‑oriented
 **Data Scientist** 
 to support our Data Science \&amp; Analytics team in delivering high‑quality data and insights to Life Sciences customers.
**Position Summary**
 Ontada leverages deep expertise in data science, analytics, and real‑world clinical data to deliver clinical data products and insights across the drug development and commercialization lifecycle. Our work helps Life Science partners understand markets, demonstrate value, inform decisions, and evaluate real‑world treatment effectiveness.
 The Data Scientist will work with complex business questions using our in‑house EMR/EHR data. Responsibilities include data preparation, analysis, quality assurance, and maintaining analytical tools and pipelines. This role involves acquiring and validating raw data, performing analyses, contributing to tooling improvements, and producing both mock‑up and production‑ready deliverables. Success requires strong analytical skills, experience with longitudinal patient‑level data, and excellent communication abilities.
**Key Responsibilities**
* Apply analytical rigor to longitudinal patient‑level data, synthesizing business rules, methods, and client objectives with limited oversight.
* Create clear, compelling materials that communicate insights from clinical data and present findings to both technical and business audiences.
* Build reproducible analytical workflows and advanced algorithms in Databricks (PySpark and SQL) to prepare and analyze large‑scale healthcare datasets (EHR, medical/pharmacy claims, RWD).
* Ensure accuracy and customer readiness by delivering high‑quality datasets and reports that meet exact specifications and highlight meaningful insights.
* Contribute to quality and consistency through self‑review and peer review of methodologies, code, and deliverables.
* Manage multiple projects in a fast‑paced environment while maintaining strong analytical and documentation standards.
* Develop data visualizations and dashboards to communicate trends and enable data‑driven decision‑making for clients.
**Minimum Requirements**
* Bachelor’s / Master’s degree, with a focus in Data and Analytics, Information Sciences, Healthcare, Statistics, Computer Science or related fields strongly preferred
* 3\+ years of experience of relevant experience
* Able to work Central Time Zone hours
**Critical Skills**
**Communication \&amp; Stakeholder Engagement:**
 Strong interpersonal, written, and verbal communication skills with experience collaborating across cross‑functional teams and presenting insights to diverse audiences. Able to clearly explain complex data issues. Experience gathering and documenting requirements is a plus.
**Healthcare Analytics Expertise (3\+ years):**
 Hands‑on experience analyzing large real‑world healthcare datasets (EHR/EMR, medical and pharmacy claims, labs, etc.) and translating complex findings into clear, actionable insights. Solid understanding of treatment pathways, patient journeys, and real‑world evidence (RWE) analysis.
**Advanced Programming:**
 At least 2 years of practical experience with Python, PySpark, and SQL in Databricks or similar cloud analytics platforms to build and deploy repeatable, production‑ready data pipelines. SAS experience is a plus.
**Data Preparation \&amp; Quality Management:**
 Skilled in data wrangling, cleansing, transformation, and preparation for final data lock, ensuring accuracy, reproducibility, and adherence to quality standards. Strong grasp of real‑world data nuances and limitations.
**Independent \&amp; Proactive Work Style:**
 Self‑starter who delivers high‑quality work with minimal supervision in a fast‑paced environment.
**Collaboration \&amp; Team Effectiveness:**
 Able to work independently and collaboratively while contributing positively to team goals.
**Curiosity \&amp; Problem Solving:**
 Demonstrates intellectual curiosity and creativity in solving ambiguous analytical challenges.
**Precision \&amp; Attention to Detail:**
 Strong commitment to analytical accuracy, documentation, and reproducibility.
**Continuous Learning:**
 Motivated to stay current with emerging analytical methods, tools, and industry trends.
**Core Productivity Tools:**
 Proficient in Microsoft Word, Excel, and PowerPoint for documentation and presentations.
**Additional Preferred Skills**
* Experience in healthcare or life sciences consulting or analytics roles within biopharma.
* Oncology experience.
* Experience within EMR, CRO, or transaction‑processing environments.
**Work Authorization Requirement**
 At this time, we can only consider applicants who are legally authorized to work in the United States and who do not require current or future sponsorship for employment visas.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$109,900 \- $183,100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McKesson welcomes and encourages applications from people with disabilities. Accommodations are available on request for candidates taking part in all aspects of the selection process. If you require accommodation please contact us by sending an email to Disability\_Accommodation@McKesson.com.
**Join us at McKesson!**</t>
        </is>
      </c>
    </row>
    <row r="21">
      <c r="A21" t="inlineStr">
        <is>
          <t>li-4372877977</t>
        </is>
      </c>
      <c r="B21" t="inlineStr">
        <is>
          <t>Data Scientist</t>
        </is>
      </c>
      <c r="C21" t="inlineStr">
        <is>
          <t>Provider Resources, LLC</t>
        </is>
      </c>
      <c r="D21" t="inlineStr">
        <is>
          <t>linkedin</t>
        </is>
      </c>
      <c r="E21" t="inlineStr"/>
      <c r="F21" t="inlineStr"/>
      <c r="G21" t="inlineStr">
        <is>
          <t>Erie, PA</t>
        </is>
      </c>
      <c r="H21" t="inlineStr"/>
      <c r="I21" t="inlineStr">
        <is>
          <t>Reference \#: 6957e289123d11daa9d9ecc8
**Job Description**
 Join Provider Resources (PRI) and Make an Impact in Healthcare!
 At PRI, we're passionate about driving integrity and advancing quality across the healthcare system. As a trusted leader in the industry, we're tackling some of healthcare's biggest challenges\-improving compliance, advancing health equity, and enhancing quality and clinical outcomes while helping organizations improve care delivery and create meaningful change.
 We believe that people are at the heart of healthcare, and focus on scalable, person\-centered strategies that prioritize clinical excellence and evidence\-based practices. Our work supports a broad network of stakeholders, including providers, patients, caregivers, payers, and regulators. We strive to enhance experiences, improve outcomes, and foster a healthier future for all.
 If you're looking to be part of a forward\-thinking team that makes a difference, PRI is the place for you!
 Job Title: Data Scientist
 We are seeking a Data Scientist to join our dynamic team. In this role, you will support data inputs, prepare management reports, assist in long\-range strategy planning, and provide internal consulting. You will also work with Business Intelligence (BI) tools to drive data\-driven decision\-making.
**Key Responsibilities**
* Support the business team with planning and analysis inputs.
* Prepare and present management reports as necessary.
* Assist in long\-range strategy planning and internal consulting projects.
* Utilize BI tools to analyze data and provide actionable insights.
* Collaborate cross\-functionally to support multiple senior\-level clients.
**Requirements**
* 5\+ years of relevant work experience in forecasting, reporting, and analysis.
* Experience with Planning, Reporting, BI, and visualization systems; Planful/Host Analytics and PowerBI preferred.
* Advanced Excel modeling skills.
* Strong communication (oral and written), interpersonal, and organizational skills.
* Ability to interact effectively with all levels within the organization.
* High level of initiative and ability to formulate business issues into analytical problems and devise actionable solutions.
* Comfortable working with large volumes of data.
* Excellent analytical skills.
**Qualifications**
* Degree in Data Science or Economics.
* 5\+ years of experience in a similar role.
* Proven ability to work cross\-functionally and support multiple senior\-level clients.
* Demonstrated proficiency in financial forecasting, reporting, and analysis.
* Strong background in using BI tools and advanced Excel modeling.
 Why Join PRI?
* 100% remote work environment
* Collaborative and mission\-driven culture
* Opportunities for professional growth and development
* Competitive compensation and benefits
**EEO Statement**
 Provider Resources, LLC is an Equal Opportunity Employer. We do not discriminate against qualified applicants based upon any protected group status, including but not limited to race, religion, color, creed, sex (including breastfeeding and related conditions), gender identity/gender expression, pregnancy (including childbirth and related conditions), national origin, ancestry, age, marital status, military or veteran status, sexual orientation, genetic information, physical or mental disability or medical condition as defined by applicable equal opportunity laws. Any request for accommodation can be directed to Human Resources.
**Benefits And Compensation**
 Provider Resources provides a competitive benefits package that includes access to Medical, Dental, and Vision Insurance, Life Insurance, Disability, Health Savings Account (HSA), Flexible Spending Accounts (FSA), Critical Illness, Accident, Legal and ID Theft, 401k plan, PTO, and ESPP (Employee Stock Purchase Plan).
 The anticipated salary range for fully qualified candidates applying for this role will be $111,000\-150,000 (not including discretionary bonus, equity, and benefits). The final salary offered will be dependent on several factors that include but are not limited to relevant previous experience including duration and type of experience within the industry, education, and internal equity.
 \*Qualified candidates may apply by clicking, "Apply Now". Next, submit your resume. You may complete a cover letter on the following screen. \*\*You must contact the employer via one of the methods listed on the screen after clicking "Apply for this job". \*\* Please be sure to identify PA CareerLink as your referral source.\*</t>
        </is>
      </c>
    </row>
    <row r="22">
      <c r="A22" t="inlineStr">
        <is>
          <t>li-4366193024</t>
        </is>
      </c>
      <c r="B22" t="inlineStr">
        <is>
          <t>Data Scientist III (Product Analytics)</t>
        </is>
      </c>
      <c r="C22" t="inlineStr">
        <is>
          <t>Cedar</t>
        </is>
      </c>
      <c r="D22" t="inlineStr">
        <is>
          <t>linkedin</t>
        </is>
      </c>
      <c r="E22" t="inlineStr"/>
      <c r="F22" t="inlineStr"/>
      <c r="G22" t="inlineStr"/>
      <c r="H22" t="inlineStr"/>
      <c r="I22" t="inlineStr">
        <is>
          <t>Our healthcare system is the leading cause of personal bankruptcy in the U.S. Every year, over 50 million Americans suffer adverse financial consequences as a result of seeking care, from lower credit scores to garnished wages. The challenge is only getting worse, as high deductible health plans are the fastest growing plan design in the U.S.
 Cedar’s mission is to leverage data science, smart product design and personalization to make healthcare more affordable and accessible. Today, healthcare providers still engage with its consumers in a “one\-size\-fits\-all” approach; and Cedar is excited to leverage consumer best practices to deliver a superior experience.
**Background:** 
 Cedar is a patient payment and engagement platform that leverages data science, AI, consumer\-centric design and technology to improve the healthcare experience for patients.
 The Data Science team plays a critical role in achieving Cedar’s vision. We ensure data and insights are accessible and trusted by all internal and external stakeholders to enable data\-driven decision\-making. Through analytics, descriptive analyses, and statistical models, we consistently aim to better understand the needs of patients, find improvement opportunities, and impact the product development process. We run experiments to test our various hypotheses and measure our progress. We build ML models and embed them into our web app to deliver a personalized experience to patients. We help differentiate Cedar's product offerings with hard\-to\-copy competitive advantages.
 To do this, we have built an open, supportive, and collaborative team culture. “Love thy teammate” is one of our Data Science values, and we live into this value by operating from a mindset of curiosity, possibility, and the best intentions of each of our team members. As a team, we are dedicated to continually growing our technical excellence and collaborative excellence, equally.
**The Role:** 
 Cedar is growing rapidly and the demand for data expertise is increasing exponentially along with our growth. We’re seeking a
 **Data Scientist III (Product Analytics)** 
 on our Data Science team to work with our product development teams to enable robust data\-driven decisions and understand user behavior through in\-depth data analysis. 
 As a
 **Data Scientist III (Product Analytics)** 
 , you will be responsible for ensuring that we are building world\-class products that truly address the needs of our users and customers through data insights. You will identify clear and strategic product opportunities, measure the success of our products and AI personalization platform, understand product strengths and areas for improvement \- by immersing yourself in Cedar data and the stories that it tells. You will continuously apply a growth mindset in your approach to problems. 
**Responsibilities:** 
* Partner with the Product, Design, and Engineering teams to develop an understanding of user behavior and opportunities for product improvement using data
* Influence data focused decision making on product teams to move metrics and improve the patient experience
* Perform exploratory research to provide product teams with new strategic ideas and levers to improve impactful metrics
* Analyze, measure, and track the performance and success of product features
* Identify data insights and recommendations for product teams to act and iterate on
* Ideate, design, and evaluate product experiments
* Build dashboards and visualizations to democratize data insights
* Present and clearly communicate data findings and underlying methodology to partners across all levels of the organization
* Think from the perspective of a user and develop expert intuition of Cedar’s data models and product
**Skills and Experience:** 
* 5\+ years of experience in an analytical role, bonus points for healthcare, fintech, e\-commerce, or other related industries
* A go\-getter attitude, passion for delivering a world\-class product experience, and a mindset focused on growth and learning
* An analytical attitude and passion for finding opportunities and insights within data
* Understanding of statistical methods for research and experimentation purposes
* Experience collaborating with product, design, and engineering teams
* SQL and Python expertise is a must\-have
* Experience with dbt, Hex, and Looker is a nice to have
**Compensation Range and Benefits** 
* Salary/Hourly Rate Range\*: $148,750 \- $175,000
* This role is equity eligible
* This role offers a competitive benefits and wellness package
 \*Subject to location, experience, and education
*CR1* 
**What do we offer to the ideal candidate?** 
* A chance to improve the U.S. healthcare system at a high\-growth company! Our leading healthcare financial platform is scaling rapidly, helping millions of patients per year
* Unless stated otherwise, most roles have flexibility to work from home or in the office, depending on what works best for you
* For exempt employees: Unlimited PTO for vacation, sick and mental health days–we encourage everyone to take at least 20 days of vacation per year to ensure dedicated time to spend with loved ones, explore, rest and recharge
* 16 weeks paid parental leave with health benefits for all parents, plus flexible re\-entry schedules for returning to work
* Diversity initiatives that encourage Cedarians to bring their whole selves to work, including three employee resource groups: be@cedar (for BIPOC\-identifying Cedarians and their allies), Pridecones (for LGBTQIA\+ Cedarians and their allies) and Cedar Women\+ (for female\-identifying Cedarians)
* Competitive pay, equity (for qualifying roles), and health benefits, including fertility \&amp; adoption assistance, that start on the first of the month following your start date (or on your start date if your start date coincides with the first of the month)
* Cedar matches 100% of your 401(k) contributions, up to 3% of your annual compensation
* Access to hands\-on mentorship, employee and management coaching, and a team discretionary budget for learning and development resources to help you grow both professionally and personally
**About us** 
 Cedar was co\-founded by Florian Otto and Arel Lidow in 2016 after a negative medical billing experience inspired them to help improve our healthcare system. With a commitment to solving billing and patient experience issues, Cedar has become a leading healthcare technology company fueled by remarkable growth. "Over the past several years, we've raised more than $350 million in funding \&amp; have the active support of Thrive and Andreessen Horowitz (a16z).
 As of November 2024, Cedar is engaging with 26 million patients annually and is on target to process $3\.5 billion in patient payments annually. Cedar partners with more than 55 leading healthcare providers and payers including Highmark Inc., Allegheny Health Network, Novant Health, Allina Health and Providence.</t>
        </is>
      </c>
    </row>
    <row r="23">
      <c r="A23" t="inlineStr">
        <is>
          <t>li-4330450855</t>
        </is>
      </c>
      <c r="B23" t="inlineStr">
        <is>
          <t>Data Scientist, Privacy</t>
        </is>
      </c>
      <c r="C23" t="inlineStr">
        <is>
          <t>Datavant</t>
        </is>
      </c>
      <c r="D23" t="inlineStr">
        <is>
          <t>linkedin</t>
        </is>
      </c>
      <c r="E23" t="inlineStr"/>
      <c r="F23" t="inlineStr"/>
      <c r="G23" t="inlineStr"/>
      <c r="H23" t="inlineStr"/>
      <c r="I23" t="inlineStr">
        <is>
          <t>Datavant is the data collaboration platform trusted for healthcare. Guided by our mission to make the world’s health data secure, accessible and actionable, we provide critical data solutions for organizations across the healthcare ecosystem \- including providers, health plans, researchers, and life sciences companies. From fulfilling a single patient’s request for their medical records to powering the AI revolution in healthcare, Datavanters are building the future of how data is connected and used to improve health.
 By joining Datavant today, you’re stepping onto a driven and highly collaborative team that is passionate about creating transformative change in healthcare.
 As part of the Privacy Science team within Privacy Hub you will play a crucial role in ensuring that privacy of patients is safeguarded in the modern world of data sharing. As well as working on real data, you will be involved in exciting research to keep us as industry leaders in this area, and stimulating discussions on re\-identification risk. You will be supported in developing/consolidating data analysis and coding skills to become proficient in the analysis of large health\-related datasets.
**You Will**
* Critically analyze large health datasets using standard and bespoke software libraries
* Discuss your findings and progress with internal and external stakeholders
* Produce high quality reports which summarise your findings
* Contribute to research activities as we explore novel and established sources of re\-identification risk
**What You Will Bring To The Table**
* Excellent communication skills. Meticulous attention to detail in the production of comprehensive, well\-presented reports
* A good understanding of statistical probability distributions, bias, error and power as well as sampling and resampling methods
* Seeks to understand real\-world data in context rather than consider it in abstraction.
* Familiarity or proficiency with programmable data analysis software R or Python, and the desire to develop expertise in its language
* Application of scientific methods to practical problems through experimental design, exploratory data analysis and hypothesis testing to reach robust conclusions
* Strong time management skills and demonstrable experience of prioritising work to meet tight deadlines
* Initiative and ability to independently explore and research novel topics and concepts as they arise, to expand Privacy Hub’s knowledge base
* An appreciation of the need for effective methods in data privacy and security, and an awareness of the relevant legislation
* Familiarity with Amazon Web Services cloud\-based storage and computing facilities
**Bonus Points If You Have**
* Experience creating documents using LATEX
* Detailed knowledge of one or more types of health information, e.g., genomics, disease, health images
* Experience working with or supporting public sector organizations, such as federal agencies (e.g., CMS, NIH, VA, CDC), state health departments, or public health research partners. Familiarity with government data environments, procurement processes, or privacy frameworks in regulated settings is highly valued.
 We are committed to building a diverse team of Datavanters who are all responsible for stewarding a high\-performance culture in which all Datavanters belong and thrive. We are proud to be an Equal Employment Opportunity employer and all qualified applicants will receive consideration for employment without regard to race, color, sex, sexual orientation, gender identity, religion, national origin, disability, veteran status, or other legally protected status.
 At Datavant our total rewards strategy powers a high\-growth, high\-performance, health technology company that rewards our employees for transforming health care through creating industry\-defining data logistics products and services.
 The range posted is for a given job title, which can include multiple levels. Individual rates for the same job title may differ based on their level, responsibilities, skills, and experience for a specific job.
 The estimated total cash compensation range for this role is:
 $104,000—$130,000 USD
 To ensure the safety of patients and staff, many of our clients require post\-offer health screenings and proof and/or completion of various vaccinations such as the flu shot, Tdap, COVID\-19, etc. Any requests to be exempted from these requirements will be reviewed by Datavant Human Resources and determined on a case\-by\-case basis. Depending on the state in which you will be working, exemptions may be available on the basis of disability, medical contraindications to the vaccine or any of its components, pregnancy or pregnancy\-related medical conditions, and/or religion.
 This job is not eligible for employment sponsorship.
 Datavant is committed to a work environment free from job discrimination. We are proud to be an Equal Employment Opportunity employer and all qualified applicants will receive consideration for employment without regard to race, color, sex, sexual orientation, gender identity, religion, national origin, disability, veteran status, or other legally protected status. To learn more about our commitment, please review our EEO Commitment Statement here. Know Your Rights, explore the resources available through the EEOC for more information regarding your legal rights and protections. In addition, Datavant does not and will not discharge or in any other manner discriminate against employees or applicants because they have inquired about, discussed, or disclosed their own pay.
 At the end of this application, you will find a set of voluntary demographic questions. If you choose to respond, your answers will be anonymous and will help us identify areas for improvement in our recruitment process. (We can only see aggregate responses, not individual ones. In fact, we aren’t even able to see whether you’ve responded.) Responding is entirely optional and will not affect your application or hiring process in any way.
 Datavant is committed to working with and providing reasonable accommodations to individuals with physical and mental disabilities. If you need an accommodation while seeking employment, please request it here, by selecting the ‘Interview Accommodation Request’ category. You will need your requisition ID when submitting your request, you can find instructions for locating it here. Requests for reasonable accommodations will be reviewed on a case\-by\-case basis.
 For more information about how we collect and use your data, please review our Privacy Policy.</t>
        </is>
      </c>
    </row>
    <row r="24">
      <c r="A24" t="inlineStr">
        <is>
          <t>li-4372862057</t>
        </is>
      </c>
      <c r="B24" t="inlineStr">
        <is>
          <t>Data Scientist</t>
        </is>
      </c>
      <c r="C24" t="inlineStr">
        <is>
          <t>RemoteHunter</t>
        </is>
      </c>
      <c r="D24" t="inlineStr">
        <is>
          <t>linkedin</t>
        </is>
      </c>
      <c r="E24" t="inlineStr"/>
      <c r="F24" t="inlineStr"/>
      <c r="G24" t="inlineStr"/>
      <c r="H24" t="inlineStr"/>
      <c r="I24" t="inlineStr">
        <is>
          <t>About the Opportunity:
 This team is focused on revolutionizing healthcare by leveraging data to uncover key insights, shape product development, and promote a culture of data\-informed decision\-making. The Product Data Scientist role involves working cross\-functionally to guide product creation and ensure solutions deliver real\-world impact in telehealth.
 Responsibilities:
 • Uncover actionable insights through data analysis
 • Challenge assumptions and reveal stories hidden in data to guide decisions
 • Apply analytical, statistical, and technical expertise to influence product and business strategy
 • Utilize regression analysis, segmentation, and A/B testing for product optimization and improvement
 • Collaborate across teams to shape innovative telehealth solutions
 Requirements:
 • Bachelor’s degree in Data Science, Computer Science, Statistics, Mathematics, or related field; advanced degrees preferred
 • 3\+ years of experience in data analysis or data science with a proven impact on product decisions
 • Experience working with cross\-functional teams including product managers, engineers, and designers
 • Healthcare or telehealth industry experience is desirable but not required
 • Proficiency in Python and SQL for data manipulation and analysis
 • Strong experience with data visualization tools such as Tableau or Looker
 • At least 1 year of experience with Alteryx
 • Skilled in statistical techniques including regression analysis, hypothesis testing, clustering, and segmentation
 • Experience designing and analyzing A/B tests
 • Familiarity with data tools like Segment and Snowflake, ETL processes, and cloud platforms such as AWS or Google Cloud is a plus
 • Ability to extract actionable insights from complex datasets
 • Strong problem\-solving skills and curiosity
 • Experience with machine learning techniques is a plus
 • Excellent communication skills to convey complex data insights to non\-technical stakeholders
 • Strong project management skills and ability to prioritize tasks and meet deadlines
 • Collaborative and proactive mindset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5">
      <c r="A25" t="inlineStr">
        <is>
          <t>li-4372894145</t>
        </is>
      </c>
      <c r="B25" t="inlineStr">
        <is>
          <t>Data Scientist</t>
        </is>
      </c>
      <c r="C25" t="inlineStr">
        <is>
          <t>OtB Tech LLC</t>
        </is>
      </c>
      <c r="D25" t="inlineStr">
        <is>
          <t>linkedin</t>
        </is>
      </c>
      <c r="E25" t="inlineStr"/>
      <c r="F25" t="inlineStr"/>
      <c r="G25" t="inlineStr">
        <is>
          <t>Richardson, TX</t>
        </is>
      </c>
      <c r="H25" t="inlineStr"/>
      <c r="I25" t="inlineStr">
        <is>
          <t>Job Title: AI Engineer/Data Scientist/Data Engineer/Python Developer
 Employment Type: Full\-Time
 Experience: 3–7 Years
 Location: Charlotte, NC / Richardson, TX (Onsite) Relocation is Fine
 Visa: GC / GC EAD
 Required Skills:
 Experience with Machine Learning, Deep Learning, and AI algorithms
 Knowledge of data preprocessing, feature engineering, and model evaluation
 Experience with REST APIs and model integration
 Familiarity with cloud platforms (AWS, Azure, or GCP)
 Good understanding of SQL/NoSQL databases
 Eligibility:
 GC / GC EAD candidates only
 Open to candidates actively looking for full\-time roles
 Willing to work onsite in Charlotte, NC or Richardson, TX</t>
        </is>
      </c>
    </row>
    <row r="26">
      <c r="A26" t="inlineStr">
        <is>
          <t>li-4330363099</t>
        </is>
      </c>
      <c r="B26" t="inlineStr">
        <is>
          <t>Senior Data Scientist</t>
        </is>
      </c>
      <c r="C26" t="inlineStr">
        <is>
          <t>Headway</t>
        </is>
      </c>
      <c r="D26" t="inlineStr">
        <is>
          <t>linkedin</t>
        </is>
      </c>
      <c r="E26" t="inlineStr"/>
      <c r="F26" t="inlineStr"/>
      <c r="G26" t="inlineStr">
        <is>
          <t>New York, NY</t>
        </is>
      </c>
      <c r="H26" t="inlineStr"/>
      <c r="I26" t="inlineStr">
        <is>
          <t>Headway’s mission is a big one – to build a new mental health care system everyone can access. We’ve built technology that helps people find great therapists with the first software\-enabled national network of providers accepting insurance.
 1 in 4 people in the US have a treatable mental health condition, but the majority of providers don’t accept insurance, making therapy too expensive for most people. Headway is building a new mental healthcare system that everyone can access by making it easy for therapists to accept insurance and scale their practice.
 Headway was founded in 2019\. Since then, we’ve grown into a diverse, national network of over 60,000 mental healthcare providers across all 50 states who run their practice on our software and have served over 1 million patients. We’re a Series D company with over $325m in funding from a16z (Andreessen Horowitz), Accel, GV (formerly Google Ventures), Spark Capital, Thrive Capital, Forerunner Ventures and Health Care Service Corporation.
 We want your time here to be the most meaningful experience of your career.
 **Join us, and help change mental healthcare for the better.**
**About The Role**
 Join us to build the decision engine for better mental health outcomes.
 As a
 **Senior Data Scientist,** 
 you will sit in the heart of a cross\-functional product team and help turn messy, real\-world signals into clear decisions. You will make sure we are capturing the right data, designing experiments that tell us what is actually driving outcomes, and translating findings into recommendations that teams can act on quickly. When the insight is stable and valuable, you will help operationalize it through predictive models that improve provider and patient experiences.
 If you like ambiguity, enjoy hard problems, and want your work to matter in the world, you will fit right in.
**What You Will Do**
* Be the analytics partner inside the pod. Work closely with Product, Engineering, Design, Ops, and Clinical stakeholders to define the questions, the metrics, the guardrails, and the decision rules.
* Run rigorous experiments. Design and analyze A/B tests and quasi\-experiments with clear hypotheses, power considerations, and pre\-defined success criteria.
* Connect behavior to strategy. Use funnel, cohort, segmentation, and lifecycle analysis to understand how people and providers experience Headway, and where product changes will have the biggest impact.
* Use causal inference when experiments are not possible. Apply approaches like diff\-in\-diff, matching, and regression\-based designs with principled uncertainty quantification.
* Build models when they should exist. Develop predictive models that operationalize vetted insights (feature development, validation, backtesting, calibration), with clear launch criteria and monitoring plans.
* Create decision\-ready work. Produce analysis and narratives that are crisp, honest about uncertainty, and drive action.
* Help raise the bar. Contribute to shared standards for metrics, experimentation, and analytical quality, so teams can move faster with confidence.
**What Will Make You Successful**
* 6\+ years using data to drive product or business decisions in product, growth, engineering, or operations environments.
* Strong SQL and strong proficiency in Python or R for analysis and modeling.
* Demonstrated depth in experimentation and causal inference under real\-world constraints. Bayesian experimentation experience strongly preferred.
* Practical modeling skill: feature engineering, model comparison, cross\-validation or backtesting, calibration, and post\-launch monitoring.
* Strong product sense and opinions, including a track record of connecting analytics recommendations to measurable outcomes.
* Clear communication: you can explain complex work to non\-technical audiences without losing the truth.
* A self\-starter mindset: you prioritize well, follow through, and do not need heavy oversight.
* Motivation for our mission: improving access and affordability in mental healthcare.
**Compensation \&amp; Benefits**
 The expected base pay range for this position is $180,000 \- $225,000, based on a variety of factors including qualifications, experience, and geographic location. In addition to base salary, this role may be eligible for an equity grant, depending on the position and level.
*We are committed to offering a comprehensive and competitive total rewards package, including robust health and wellness benefits, retirement savings, and meaningful ownership opportunities through equity. Compensation decisions are made holistically, ensuring fairness and alignment with market benchmarks while recognizing individual contributions and potential.*
* Benefits offered include:
+ Equity compensation
+ Medical, Dental, and Vision coverage
+ HSA / FSA
+ 401K
+ Work\-from\-Home Stipend
+ Therapy Reimbursement
+ 16\-week parental leave for eligible employees
+ Carrot Fertility annual reimbursement and membership
+ 13 paid holidays each year as well as a Holiday Break during the week between December 25th and December 31st
+ Flexible PTO
+ Employee Assistance Program (EAP)
+ Training and professional development
 We believe a team's strength is in its people, and we cannot achieve this mission without a team that reflects the diversity of this problem – across race, ethnicity, gender, sexuality, age, national origin, religion, family status, disability, military status, and experience. Headway is committed to the full inclusion of all qualified individuals. As part of this commitment, Headway will ensure that persons with disabilities are provided with reasonable accommodations. If reasonable accommodation is needed to participate in the job application or interview process, to perform essential job functions, and/or receive other benefits and privileges of employment, please inform the recruiter when they contact you to schedule your interview.
 Headway participates in E\-Verify. To learn more, click here.
 A notice to Headway applicants: To protect yourself against phishing and recruitment fraud, please note that Headway only accepts applications through our official careers page at https://headway.co/careers. Headway will never refer you to external websites, ask for payment or personal information, or conduct interviews via messaging apps. All official communication will come from a @findheadway.com email address. If you are contacted by someone claiming to be from Headway via an unofficial channel, please do not share any information and report it as spam.</t>
        </is>
      </c>
    </row>
    <row r="27">
      <c r="A27" t="inlineStr">
        <is>
          <t>li-4351206558</t>
        </is>
      </c>
      <c r="B27" t="inlineStr">
        <is>
          <t>Data Scientist (Generative AI Focus)</t>
        </is>
      </c>
      <c r="C27" t="inlineStr">
        <is>
          <t>Known</t>
        </is>
      </c>
      <c r="D27" t="inlineStr">
        <is>
          <t>linkedin</t>
        </is>
      </c>
      <c r="E27" t="inlineStr"/>
      <c r="F27" t="inlineStr"/>
      <c r="G27" t="inlineStr">
        <is>
          <t>New York, NY</t>
        </is>
      </c>
      <c r="H27" t="inlineStr"/>
      <c r="I27" t="inlineStr">
        <is>
          <t>**WE HAVE CREATED A WORLD WHERE ART AND SCIENCE ARE BEST FRIENDS**
 Known is a modern marketing company engineered for the unprecedented opportunities and challenges facing marketers today. We are about 250\+ people strong, pairing PhD data scientists with award\-winning creatives, strategists, engineers and expert research teams to produce some of the most innovative and cutting\-edge creative work in culture. We believe that when creative truly collaborates with science, strategy, and technology, amazing things can happen.
*Ad Age* 
 touted that “Known may be the ultimate example of a full\-service agency,” and honored us with top ten status on
 *The Agency A\-List for 2024 \&amp; 2025* 
 , and as
 *Ad Age’s* 
 Data \&amp; Insights Agency of the year for a record third year in a row. Without our incredible partnerships with our clients, spanning across the leading brands in finance, technology, entertainment, media, CPG, real estate, and many other categories, honors like this could not be possible, and also have helped us earn additional awards and recognitions over the years like:
 *Emmys, Clios, Effies, Cannes Lions Awards, ProMax Agency of the Year, Fast Company’s World Changing Ideas, Digiday’s 2025 Best AI Platform* 
 and
 *Digiday’s Most Innovative Media Agency* 
 , to name a few.
 We couldn’t create this award\-winning work without seeking out and hiring the best talent. What does it mean to be a Knowner? We are curious innovators, knowledge\-hunters who are constantly challenging ourselves to do better and be better for our clients, for our team and for our world at large. Our offices around the U.S. are open and while most of our people work in a hybrid setting, we are a distributed workforce with a number of Knowners working remotely.
**About The Role**
**BUT ENOUGH ABOUT US, LET'S TALK ABOUT YOU**
 Known’s Channel Data Science team is a group of data scientists embedded in our media buying practice to translate the domain knowledge we gain from running media for our clients to smart tools that push the limits of advanced advertising. Our work includes predictive modeling/optimization, building workflow automation apps, and the pioneering application of Generative AI for novel marketing solutions – all in the service of making our work less repetitive and manual, more optimized, and seeking better outcomes for our media activation and media consulting clients.
 We are seeking a Data Scientist who can understand the core business objectives of our internal teams and our clients, and ideate, design, and develop innovative tools leveraging text\-based Large Language Models (LLMs) and other Generative AI techniques. While experience in media is a plus, a passion for applying cutting\-edge AI to marketing challenges is crucial.
 A significant focus of this role will be to champion and implement Generative AI initiatives. In this role more generally, you will work with, and guide (for senior levels), other data scientists on a variety of projects, interface with our other teams at Known, and drive forward some of our most difficult and innovative data science projects, particularly those harnessing the power of LLMs.
**What You’ll Do**
* Explore, develop, and deploy Generative AI (specifically LLM\-based) tools for marketing applications, such as content ideation/generation, audience persona creation, automated reporting with natural language summaries, campaign strategy assistance, and enhanced customer insights
* Develop new techniques (e.g., traditional ML models, optimization algorithms, LLM fine\-tuning, prompt engineering strategies, and automation) to improve Known IP and create tools for Known's clients
* Work with other data scientists and engineers to productionalize new tools, including GenAI\-powered applications
* Stay current with advancements in Data Science and AI and identify opportunities for their application in the marketing domain
**Who You Are And What You Have**
* A Bachelors, Masters or PhD from a well\-regarded college or university. STEM degrees (e.g., Statistics, Economics, Data Science, Mathematics, Computer Science) are preferred
* Hands\-on experience doing quantitative analysis, statistical modeling, optimization and/or machine learning
* Proven experience in developing and deploying solutions using Generative AI, particularly text\-based Large Language Models (e.g., experience with APIs like OpenAI's, or open\-source models)
* Experience utilizing Python and SQL
* Experience building data science software or analytical workflows
* Experience in advertising or advertising technology is a strong plus, especially if combined with GenAI application in this domain
* 2\+ years (with Masters/PhD) or 3\+ years (with Bachelors) of relevant experience
* 1\+ years of experience building data science software, ideally including applications leveraging AI/ML models
* Academic projects, internships, or personal projects demonstrating application of modeling techniques preferred
**Skills, Abilities, And Knowledge**
* Superb communication and presentation skills
* An ability to translate business challenges into quantitative problems, and solve them by whatever means necessary, which may not always be strict machine learning
+ Strong understanding of LLM capabilities, limitations, ethical considerations, and the evolving landscape of Generative AI technologies
* Proven ownership of projects taken to completion
* A commitment to managing the quality \&amp; accuracy of analytics, ensuring high standards with your and others’ work
* Experience working on a tech team, with experience in cloud technologies, version control, etc
* Experience in advertising or advertising technology is a plus
**Competencies**
* Ability to prioritize time, work and effort while multitasking on multiple projects
* Desire to mentor and teach others
* Collaborative attitude
* Self motivated and exhibits initiative
* Willing \&amp; able to learn quickly
* Abundant intellectual curiosity and integrity
**SOME OF OUR PERKS**
* Unlimited paid time off
* 401k with company matching and no vesting period
* Annual bonuses
* Generous medical plan
* Paid parental leave
**ONE LAST THING TO ASK YOURSELF**
 All this might sound great, but you’re probably still wondering, “Would I be a good fit for Known?” or “Would Known be a good fit for me?” Our culture is propped up by four values that we aspire to every day: We are one team. We see the good. We never stop learning. There’s always a better way. At Known we are setting out to build something more than just a company. We are building a legacy filled with exceptionally talented people with a kaleidoscope of backgrounds, experiences, and origin stories who feel encouraged and empowered to bring their whole selves to work, and to partner with us in molding and shaping our culture through our values.
*Known is an equal opportunity employer and does not discriminate against employees or qualified job applicants on the basis of race, color, sex, age, national origin, religion, sexual orientation, gender identity and/or expression, status as a veteran, and basis of disability or any other federal, state or locally protected class.*
**The Base Salary For This Position Is**
***Data Scientist: $110K \- $130K***
*This range is posted in compliance with state and municipal Pay Transparency laws. In addition to base compensation, this role is eligible to receive additional Known benefits.*</t>
        </is>
      </c>
    </row>
    <row r="28">
      <c r="A28" t="inlineStr">
        <is>
          <t>li-4371975409</t>
        </is>
      </c>
      <c r="B28" t="inlineStr">
        <is>
          <t>Data Scientist</t>
        </is>
      </c>
      <c r="C28" t="inlineStr">
        <is>
          <t>NR Consulting</t>
        </is>
      </c>
      <c r="D28" t="inlineStr">
        <is>
          <t>linkedin</t>
        </is>
      </c>
      <c r="E28" t="inlineStr"/>
      <c r="F28" t="inlineStr"/>
      <c r="G28" t="inlineStr">
        <is>
          <t>Houston, TX</t>
        </is>
      </c>
      <c r="H28" t="inlineStr"/>
      <c r="I28" t="inlineStr">
        <is>
          <t>**Job Title: Data Scientist** 
**Location: Houston TX, 77077** 
**Shift: Hybrid \- 2 days in Office 3 days WFH** 
**Summary:** 
 This is a Direct Hire Role
* **Interviews will be** 
 1st 15 min phone screen
* 2nd Technical Interview 1hr
* 3rd 30min with Hiring Manager
* 4th Onsite 4Hours Onsite
 Relocation \= yes
 Must be authorized to work in the US
**Role Summary:** 
 Build, train, and deploy large\-scale, self\-supervised "foundation" models that learn rich representations of time series, sequential sensor data in addition to textual and vision data, to be fine\-tuned for tasks such as anomaly/event detection, predictive maintenance, forecasting, classification, or multi\-modal sensor fusion for industrial and scientific applications.
* **Data/Signal Processing** 
 Time Series \&amp; Sequential Data: processing, augmentation, feature engineering for financial, industrial, IoT, medical, or other sensor streams (univariate/multivariate time series).
* Sensor Data Analysis: expertise with diverse sensor modalities (e.g., accelerometers, temperature, vibration, audio, images), sampling rates, synchronization, and real\-world noise/artifact handling.
* Multi\-Modality Learning: integrating heterogeneous data types (time series, images, text, audio, structured) into robust deep learning architectures; cross\-modal representation learning.
* Machine Learning \&amp; Foundation Model Expertise
* Self\-supervised and Semi\-supervised Learning: time series foundation models, masked modeling, contrastive methods, temporal predictive coding, multimodal alignment and fusion.
* Model Architectures: sequence models (RNNs, GRU/LSTM, TCN), 1D/2D/3D CNNs, Transformers (BERT, ViT, TimeSFormer), graph neural networks, diffusion/generative models, multi\-modal/fusion encoders.
* Transfer Learning \&amp; Fine\-Tuning at Scale: prompt/adapter\-based strategies, temporal domain adaptation, few\-shot learning for specialized tasks.
* Evaluation Metrics: regression/classification (MSE, F1, AUC), time series similarity (DTW, correlation), event detection/segmentation (IoU, accuracy), business/end\-user KPIs.
* **Software \&amp; Infrastructure** 
 Programming: expert Python (NumPy, SciPy, Pandas), C\+\+/CUDA for custom kernels and high\-performance preprocessing.
* Deep Learning Frameworks: PyTorch (Lightning, Distributed), TensorFlow/Keras, JAX/Flax.
* Large\-scale Training: multi\-GPU, multi\-node clusters, mixed\-precision, ZeRO optimization, scalable data loaders for long sequences.
* Data Engineering: robust pipelines for ingesting, cleaning, segmenting, and aligning large\-scale, time\-synchronized multi\-sensor datasets.
* **Mathematical \&amp; Algorithmic Foundations** 
 Linear Algebra, Probability \&amp; Statistics, Optimization (stochastic, convex/non\-convex, Bayesian).
* Signal Processing: Fourier/wavelet analysis, filters (Kalman, Savitzky–Golay), resampling, noise modeling.
* Numerical Methods: ODE/PDE solvers, inverse problems, regularization, time\-frequency methods for complex systems.
* **Collaboration \&amp; Communication** 
 Cross\-disciplinary teamwork with domain experts, engineers, product owners, and end\-users from industrial, scientific, or medical backgrounds.
* Clear presentation of complex model behaviors (interpretability, attention analysis), uncertainty quantification, and value impact.
* MS / Ph.D. in computer science, data science and AI or related fields.
* 3\+ years of relevant experience in data science and AI or related fields</t>
        </is>
      </c>
    </row>
    <row r="29">
      <c r="A29" t="inlineStr">
        <is>
          <t>li-4366185796</t>
        </is>
      </c>
      <c r="B29" t="inlineStr">
        <is>
          <t>Senior Data Scientist (AI)</t>
        </is>
      </c>
      <c r="C29" t="inlineStr">
        <is>
          <t>SewerAI</t>
        </is>
      </c>
      <c r="D29" t="inlineStr">
        <is>
          <t>linkedin</t>
        </is>
      </c>
      <c r="E29" t="inlineStr"/>
      <c r="F29" t="inlineStr"/>
      <c r="G29" t="inlineStr"/>
      <c r="H29" t="inlineStr"/>
      <c r="I29" t="inlineStr">
        <is>
          <t>**About SewerAI Corporation**
 SewerAI is transforming underground infrastructure management through AI\-powered inspection and risk analysis. Our platform helps contractors, engineering firms, and utilities unlock valuable insights from sewer inspection data—turning hours of manual video review into actionable intelligence in minutes. After doubling our customer base over the past year, we’re now entering an exciting phase of accelerated growth.
**About The Role**
 We're looking for a
 **Senior Data Scientist** 
 to join our AI team and work on applied machine learning for sewer infrastructure. In this role, you'll develop anomaly detection systems, time series forecasting models, and predictive analytics that help utilities anticipate and prevent infrastructure failures.
 You'll work closely with our engineering and data teams to build ML systems that analyze sensor data, detect anomalies, and deliver actionable insights to our customers.
 What You'll Work On
* Anomaly Detection — Develop models to identify unusual patterns and potential issues in sewer infrastructure data
* Time Series Forecasting — Build predictive models for maintenance scheduling and infrastructure health predictions
* ML Model Development — Design, train, and iterate on ML models for sewer\-specific applications
* Data Analysis \&amp; Pipelines — Build pipelines for processing and analyzing infrastructure data at scale
* Dashboards \&amp; Reporting — Create visualizations and reports in Hex to surface insights for stakeholders
**Required Technical Skills**
* Python — Deep experience with pandas, scikit\-learn, and statistical analysis
* Deep Learning Frameworks — PyTorch or TensorFlow for advanced modeling
* SQL — Complex queries, window functions, analytical queries
* Time Series Analysis — Forecasting techniques, trend analysis, seasonality handling, signal processing
* Anomaly Detection — Statistical and ML\-based anomaly detection techniques
* Data Stack — Hex, dbt, ClickHouse
 Nice\-to\-Have Skills
* Infrastructure or IoT domain experience
* Sewer/Water industry experience or knowledge
* Sensor data analysis
* MLOps experience (model deployment, monitoring)
* Cloud platforms (AWS)
 What We're Looking For
* 4\-6 years of applied machine learning experience
* Strong statistical and ML fundamentals
* Experience with time series analysis or anomaly detection
* Knowledge of Bayesian statistics and/or Bayesian optimization
* Experience creating and applying custom metrics to complex datasets and problems
* Collaborative mindset — you enjoy working across teams
* Clear communicator — you can explain complex ML concepts to non\-technical stakeholders
 What You'll Gain
* Impact — Your models directly improve infrastructure maintenance for cities and utilities
* Modern Stack — Work with a modern data and ML stack (Hex, dbt, ClickHouse, PyTorch)
* Growth — Expand your skills across applied ML in a high\-impact domain
* Ownership — Shape the direction of our predictive analytics capabilities as we scale
**Compensation:** 
 $150,000\-$180,000
**Benefits Include**
* Medical, Dental, Vision, Basic Life, 401(k), and more
* Unlimited PTO
* Tools you need to get the job done
* Competitive salary and potential equity\-based remuneration
**Why Join SewerAI?**
 Join the fastest\-growing team in wastewater tech and help modernize critical infrastructure with AI. You’ll own high\-visibility projects, influence how our brand meets the market, and see your work drive measurable impact for customers and communities.
 \_\_\_\_\_\_\_\_\_\_\_\_\_\_\_\_\_\_\_\_\_\_\_\_\_\_\_\_\_\_\_\_\_\_\_\_\_\_\_\_\_\_\_\_\_\_\_\_\_\_\_\_\_\_\_\_\_\_\_\_\_\_\_\_\_\_\_\_\_\_\_
*SewerAI is proud to be an Equal Opportunity Employer. We are committed to providing a workplace free from discrimination or harassment on the basis of age, disability, sex, race, religion or belief, gender reassignment, marriage/civil partnership, pregnancy/maternity, or sexual orientation. All your information will be kept confidential according to EEO guidelines.*
 Compensation Range: $150K \- $180K</t>
        </is>
      </c>
    </row>
    <row r="30">
      <c r="A30" t="inlineStr">
        <is>
          <t>li-4354608408</t>
        </is>
      </c>
      <c r="B30" t="inlineStr">
        <is>
          <t>Data Scientist</t>
        </is>
      </c>
      <c r="C30" t="inlineStr">
        <is>
          <t>Advance Auto Parts</t>
        </is>
      </c>
      <c r="D30" t="inlineStr">
        <is>
          <t>linkedin</t>
        </is>
      </c>
      <c r="E30" t="inlineStr"/>
      <c r="F30" t="inlineStr"/>
      <c r="G30" t="inlineStr">
        <is>
          <t>Raleigh, NC</t>
        </is>
      </c>
      <c r="H30" t="inlineStr"/>
      <c r="I30" t="inlineStr">
        <is>
          <t>**Job Description**
**Role Summary**
 We are seeking an experienced
 **Data Scientist** 
 with strong expertise in Data Science, machine learning engineering with hands on experience in designing and deploying ML solutions in production. This role focuses on building scalable ML solutions, productionizing models, and enabling robust ML platforms for enterprise\-grade deployments.
**This position is 4 days in office, 1 day remote per week, based at our corporate headquarters in Raleigh, North Carolina (North Hills)**
**Key Responsibilities**
* Build ML Models: Design and implement predictive and prescriptive models for regression, classification, and optimization problems.Apply advanced techniques such as structural time series modeling and boosting algorithms (e.g., XGBoost, LightGBM).
* Train and Tune Models: Develop and tune machine learning models using Python, PySpark, TensorFlow, and PyTorch.
* Collaboration \&amp; Communication: Work closely with stakeholders to understand business challenges and translate them into data science solutions and work in the end\-to\-end solutioning. Collaborate with cross\-functional teams to ensure successful integration of models into business processes.
* Monitoring \&amp; Visualization: Rapidly prototype and test hypotheses to validate model approaches. Build automated workflows for model monitoring and performance evaluation. Create dashboards using tools like Databricks and Palantir to visualize key model metrics like model drift, Shapley values etc.
* Productionize ML: Build repeatable paths from experimentation to deployment (batch, streaming, and low\-latency endpoints), including feature engineering, training, evaluation,
* Own ML Platform: Stand up and operate core platform components—model registry, feature store, experiment tracking, artifact stores, and standardized CI/CD for ML.
* Pipeline Engineering: Author robust data/ML pipelines (orchestrated with Step Functions / Airflow / Argo) that train, validate, and release models on schedules or events.
* Observability \&amp; Quality: Implement end\-to\-end monitoring, data validation, model/drift checks, and alerting SLA/SLOs.
* Governance \&amp; Risk: Enforce model/version lineage, reproducibility, approvals, rollback plans, auditability, and cost controls aligned to enterprise policies.
* Partner \&amp; Mentor: Collaborate with on\-shore/off\-shore teams; coach data scientists on packaging, testing, and performance; contribute to standards and reviews.
* Hands\-on Delivery: Prototype new patterns; troubleshoot production issues across data, model, and infrastructure layers.
**Required Qualifications**
* Education: Bachelor’s degree in Computer Science, Information Technology, Data Science, or related field.
* Programming: 5\+ years experience with Python (pandas, PySpark, scikit\-learn; familiarity with PyTorch/TensorFlow helpful), bash, experience with Docker.
* ML Experimentation: Design and implement predictive and prescriptive models for regression, classification, and optimization problems. Apply advanced techniques such as structural time series modeling and boosting algorithms (e.g., XGBoost, LightGBM).
* ML Tooling: 5\+ years experience with SageMaker (training, processing, pipelines, model registry, endpoints) or equivalents (Kubeflow, MLflow/Feast, Vertex, Databricks ML).
* Pipelines \&amp; Orchestration: 5\+ years’ experience with Databricks DABS or Airflow or Step Functions, e\-driven designs with EventBridge/SQS/Kinesis.
* Cloud Foundations: 3\+ years experience with AWS/Azure/GCP on various services like ECR/ECS, Lambda, API Gateway, S3, Glue/Athena/EMR, RDS/Aurora (PostgreSQL/MySQL), DynamoDB, CloudWatch, IAM, VPC, WAF.
* Snowflake Foundations: Warehouses, databases, schemas, stages, Snowflake SQL, RBAC, UDF, Snowpark.
* CI/CD: 3\+ years hands\-on experience with CodeBuild/Code Pipeline or GitHub Actions/GitLab; blue/green, canary, and shadow deployments for models and services.
* Feature Pipelines: Proven experience with batch/stream pipelines, schema management, partitioning, performance tuning; parquet/iceberg best practices.
* Testing \&amp; Monitoring: Unit/integration tests for data and models, contract tests for features, reproducible training; data drift/performance monitoring.
* Operational Mindset: Incident response for model services, SLOs, dashboards, runbooks; strong debugging across data, model, and infra layers.
* Soft Skills: Clear communication, collaborative mindset, and a bias to automate \&amp; document.
**Additional Qualification**
* Experience in retail/manufacturing is preferred.
**California Residents Click Below For Privacy Notice**
 https://jobs.advanceautoparts.com/us/en/disclosures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is>
      </c>
    </row>
    <row r="31">
      <c r="A31" t="inlineStr">
        <is>
          <t>li-4355983714</t>
        </is>
      </c>
      <c r="B31" t="inlineStr">
        <is>
          <t>Senior Data Scientist</t>
        </is>
      </c>
      <c r="C31" t="inlineStr">
        <is>
          <t>Copeland</t>
        </is>
      </c>
      <c r="D31" t="inlineStr">
        <is>
          <t>linkedin</t>
        </is>
      </c>
      <c r="E31" t="inlineStr"/>
      <c r="F31" t="inlineStr"/>
      <c r="G31" t="inlineStr">
        <is>
          <t>Kennesaw, GA</t>
        </is>
      </c>
      <c r="H31" t="inlineStr"/>
      <c r="I31" t="inlineStr">
        <is>
          <t>**About Us**
 We are a global climate technologies company engineered for sustainability. We create sustainable and efficient residential, commercial and industrial spaces through HVACR technologies. We protect temperature\-sensitive goods throughout the cold chain. And we bring comfort to people globally. Best\-in\-class engineering, design and manufacturing combined with category\-leading brands in compression, controls, software and monitoring solutions result in next\-generation climate technology that is built for the needs of the world ahead.
 Whether you are a professional looking for a career change, an undergraduate student exploring your first opportunity, or recent graduate with an advanced degree, we have opportunities that will allow you to innovate, be challenged and make an impact. Join our team and start your journey today!
 We are a global climate technologies company engineered for sustainability. We create sustainable and efficient residential, commercial and industrial spaces through HVACR technologies. We protect temperature\-sensitive goods throughout the cold chain. And we bring comfort to people globally. Best\-in\-class engineering, design and manufacturing combined with category\-leading brands in compression, controls, software and monitoring solutions result in next\-generation climate technology that is built for the needs of the world ahead.
 Whether you are a professional looking for a career change, an undergraduate student exploring your first opportunity, or a recent graduate with an advanced degree, we have opportunities that will allow you to innovate, be challenged and make an impact. Join our team and start your journey today!
**As a Senior Data Scientist, You Will**
* Apply machine learning, econometrics, and operations research to optimize HVACR system performance and energy consumption
* Discover and deliver on opportunities to improve processes in our enterprise through data analytics and automation
* Develop customer\-focused solutions that address global resource and efficiency challenges
* Work on an array of problem types, including optimization, forecasting, statistical analysis, control theory, and LLM’s
* Establish and maintain collaboration with other internal teams to apply cloud and edge\-computing capabilities for production and proprietary algorithms
* Develop a deep understanding of the HVACR and cold chain industries to ensure technical solutions align with business goals
* Adapt advanced techniques from peer\-reviewed journals and conferences into practical, scalable solutions for real\-world engineering challenges
**Required Education, Experience, \&amp; Skills**
* Bachelor’s degree in Computer Science, Statistics, Chemical Engineering, Mechanical Engineering, Electronic / Electrical Engineering, Aerospace Engineering, Mathematics, or other relevant degree
* 3\+ years of relevant experience
* Experience in data wrangling and modeling in Python or similar language
* Proficient in verifying raw data integrity through automation and exploratory data analysis (EDA) techniques
* Proficient in robust statistics, hypothesis testing, experimental design
* Ability to work virtually with a global team
* Ability to translate ambiguous business problems into actionable analytics and data science tasks
**Preferred Education, Experience, \&amp; Skills**
* Interdisciplinary background, combining data science expertise with a solid grounding in traditional engineering fields such as Chemical, Mechanical, Aerospace, or related disciplines.
* Advanced Degree in Analytics / Computer Science / Artificial Intelligence / Mathematics, Statistics, Chemical Engineering, Mechanical Engineering, Electronic / Electrical Engineering, Aerospace Engineering
* Knowledge of HVAC and refrigeration related thermodynamics, system operation and system control logic
* Experience in applying signal processing (time and frequency domain) for feature engineering
* Experience in applying optimal control theory and reinforcement learning (RL)
* Proven experience as the technical lead for project(s) or research or acted as a change agent for transformation initiatives
* Experience with Azure DevOps and Agile sprints
* Ability and interest in translating highly sophisticated and abstract concepts to internal and external team members with minimum analytics knowledge
**Our Commitment to Our People**
 Across the globe, we are united by a singular Purpose: Sustainability is no small ambition. That’s why everything we do is geared toward a sustainable future—for our generation and all those to come. Through groundbreaking innovations, HVACR technology and cold chain solutions, we are reducing carbon emissions and improving energy efficiency in spaces of all sizes, from residential to commercial to industrial.
 Our employees are our greatest strength. We believe that our culture of passion, openness, and collaboration empowers us to work toward the same goal \- to make the world a better place. We invest in the end\-to\-end development of our people, beginning at onboarding and through senior leadership, so they can thrive personally and professionally.
 Flexible and competitive benefits plans offer the right options to meet your individual/family needs: medical insurance plans, dental and vision coverage, 401(k) and more. We provide employees with flexible time off plans, including paid parental leave, vacation and holiday leave.
 Together, we have the opportunity – and the power – to continue to revolutionize the technology behind air conditioning, heating and refrigeration, and cultivate a better future. Learn more about us and how you can join our team!
**Our Commitment to Inclusion \&amp; Belonging**
 At Copeland, we cultivate a strong sense of inclusion and belonging where individuals of all backgrounds, and with diverse perspectives, are embraced and treated fairly to enable a stronger workforce. Our employee resource groups play an important role in culture and community building at Copeland.
**Work Authorization**
 Copeland will only employ those who are legally authorized to work in the United States. This is not a position for which sponsorship will be provided. Individuals with temporary visas such as E, F\-1 with OPT or CPT, H\-1, H\-2, L\-1, B, J or TN, or who need sponsorship for work authorization now or in the future, are not eligible for hire.
**Equal Opportunity Employer**
 Copeland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If you have a disability and are having difficulty accessing or using this website to apply for a position, please contact: copeland.careers@copeland.com</t>
        </is>
      </c>
    </row>
    <row r="32">
      <c r="A32" t="inlineStr">
        <is>
          <t>li-4356161520</t>
        </is>
      </c>
      <c r="B32" t="inlineStr">
        <is>
          <t>Senior Data Scientist</t>
        </is>
      </c>
      <c r="C32" t="inlineStr">
        <is>
          <t>Copeland</t>
        </is>
      </c>
      <c r="D32" t="inlineStr">
        <is>
          <t>linkedin</t>
        </is>
      </c>
      <c r="E32" t="inlineStr"/>
      <c r="F32" t="inlineStr"/>
      <c r="G32" t="inlineStr">
        <is>
          <t>Sidney, OH</t>
        </is>
      </c>
      <c r="H32" t="inlineStr"/>
      <c r="I32" t="inlineStr">
        <is>
          <t>**About Us**
 We are a global climate technologies company engineered for sustainability. We create sustainable and efficient residential, commercial and industrial spaces through HVACR technologies. We protect temperature\-sensitive goods throughout the cold chain. And we bring comfort to people globally. Best\-in\-class engineering, design and manufacturing combined with category\-leading brands in compression, controls, software and monitoring solutions result in next\-generation climate technology that is built for the needs of the world ahead.
 Whether you are a professional looking for a career change, an undergraduate student exploring your first opportunity, or recent graduate with an advanced degree, we have opportunities that will allow you to innovate, be challenged and make an impact. Join our team and start your journey today!
 We are a global climate technologies company engineered for sustainability. We create sustainable and efficient residential, commercial and industrial spaces through HVACR technologies. We protect temperature\-sensitive goods throughout the cold chain. And we bring comfort to people globally. Best\-in\-class engineering, design and manufacturing combined with category\-leading brands in compression, controls, software and monitoring solutions result in next\-generation climate technology that is built for the needs of the world ahead.
 Whether you are a professional looking for a career change, an undergraduate student exploring your first opportunity, or a recent graduate with an advanced degree, we have opportunities that will allow you to innovate, be challenged and make an impact. Join our team and start your journey today!
**As a Senior Data Scientist, You Will**
* Apply machine learning, econometrics, and operations research to optimize HVACR system performance and energy consumption
* Discover and deliver on opportunities to improve processes in our enterprise through data analytics and automation
* Develop customer\-focused solutions that address global resource and efficiency challenges
* Work on an array of problem types, including optimization, forecasting, statistical analysis, control theory, and LLM’s
* Establish and maintain collaboration with other internal teams to apply cloud and edge\-computing capabilities for production and proprietary algorithms
* Develop a deep understanding of the HVACR and cold chain industries to ensure technical solutions align with business goals
* Adapt advanced techniques from peer\-reviewed journals and conferences into practical, scalable solutions for real\-world engineering challenges
**Required Education, Experience, \&amp; Skills**
* Bachelor’s degree in Computer Science, Statistics, Chemical Engineering, Mechanical Engineering, Electronic / Electrical Engineering, Aerospace Engineering, Mathematics, or other relevant degree
* 3\+ years of relevant experience
* Experience in data wrangling and modeling in Python or similar language
* Proficient in verifying raw data integrity through automation and exploratory data analysis (EDA) techniques
* Proficient in robust statistics, hypothesis testing, experimental design
* Ability to work virtually with a global team
* Ability to translate ambiguous business problems into actionable analytics and data science tasks
**Preferred Education, Experience, \&amp; Skills**
* Interdisciplinary background, combining data science expertise with a solid grounding in traditional engineering fields such as Chemical, Mechanical, Aerospace, or related disciplines.
* Advanced Degree in Analytics / Computer Science / Artificial Intelligence / Mathematics, Statistics, Chemical Engineering, Mechanical Engineering, Electronic / Electrical Engineering, Aerospace Engineering
* Knowledge of HVAC and refrigeration related thermodynamics, system operation and system control logic
* Experience in applying signal processing (time and frequency domain) for feature engineering
* Experience in applying optimal control theory and reinforcement learning (RL)
* Proven experience as the technical lead for project(s) or research or acted as a change agent for transformation initiatives
* Experience with Azure DevOps and Agile sprints
* Ability and interest in translating highly sophisticated and abstract concepts to internal and external team members with minimum analytics knowledge
**Our Commitment to Our People**
 Across the globe, we are united by a singular Purpose: Sustainability is no small ambition. That’s why everything we do is geared toward a sustainable future—for our generation and all those to come. Through groundbreaking innovations, HVACR technology and cold chain solutions, we are reducing carbon emissions and improving energy efficiency in spaces of all sizes, from residential to commercial to industrial.
 Our employees are our greatest strength. We believe that our culture of passion, openness, and collaboration empowers us to work toward the same goal \- to make the world a better place. We invest in the end\-to\-end development of our people, beginning at onboarding and through senior leadership, so they can thrive personally and professionally.
 Flexible and competitive benefits plans offer the right options to meet your individual/family needs: medical insurance plans, dental and vision coverage, 401(k) and more. We provide employees with flexible time off plans, including paid parental leave, vacation and holiday leave.
 Together, we have the opportunity – and the power – to continue to revolutionize the technology behind air conditioning, heating and refrigeration, and cultivate a better future. Learn more about us and how you can join our team!
**Our Commitment to Inclusion \&amp; Belonging**
 At Copeland, we cultivate a strong sense of inclusion and belonging where individuals of all backgrounds, and with diverse perspectives, are embraced and treated fairly to enable a stronger workforce. Our employee resource groups play an important role in culture and community building at Copeland.
**Work Authorization**
 Copeland will only employ those who are legally authorized to work in the United States. This is not a position for which sponsorship will be provided. Individuals with temporary visas such as E, F\-1 with OPT or CPT, H\-1, H\-2, L\-1, B, J or TN, or who need sponsorship for work authorization now or in the future, are not eligible for hire.
**Equal Opportunity Employer**
 Copeland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If you have a disability and are having difficulty accessing or using this website to apply for a position, please contact: copeland.careers@copeland.com</t>
        </is>
      </c>
    </row>
    <row r="33">
      <c r="A33" t="inlineStr">
        <is>
          <t>li-4372877984</t>
        </is>
      </c>
      <c r="B33" t="inlineStr">
        <is>
          <t>AI/ML Engineer – Data Scientist</t>
        </is>
      </c>
      <c r="C33" t="inlineStr">
        <is>
          <t>Smart IT Frame LLC</t>
        </is>
      </c>
      <c r="D33" t="inlineStr">
        <is>
          <t>linkedin</t>
        </is>
      </c>
      <c r="E33" t="inlineStr"/>
      <c r="F33" t="inlineStr"/>
      <c r="G33" t="inlineStr">
        <is>
          <t>Reston, VA</t>
        </is>
      </c>
      <c r="H33" t="inlineStr"/>
      <c r="I33" t="inlineStr">
        <is>
          <t>**Title: AI/ML Engineer – Data Scientist**
**Location: Reston, VA**
**Type \- Full time**
**Job Description** 
 We are seeking a skilled
 **AI/ML Engineer – Data Scientist** 
 to design, develop, and deploy advanced machine learning solutions. The ideal candidate will have strong programming expertise, hands\-on experience in AI frameworks, and the ability to build scalable AI pipelines on cloud platforms.
**Key Responsibilities** 
* Develop, train, and optimize machine learning and deep learning models using frameworks such as
 **TensorFlow** 
 and
 **PyTorch** 
 .
* Build and maintain end\-to\-end AI pipelines, including data processing, model training, deployment, and monitoring.
* Analyze complex datasets to extract insights and improve model accuracy and performance.
* Design AI\-driven solutions to solve complex business problems.
* Deploy and manage AI solutions on cloud platforms, particularly
 **AWS** 
 .
* Collaborate with technical teams and business stakeholders to identify AI opportunities and deliver impactful solutions.
* Implement and manage AI deployments within CI/CD environments.
**Required Qualifications** 
* Strong programming skills in
 **Python, R, or Java** 
 .
* Hands\-on experience with machine learning algorithms and frameworks.
* Familiarity with cloud platforms for AI deployment.
* Strong analytical, problem\-solving, and data interpretation skills.
* Solid foundation in mathematics and statistics.
**Preferred Qualifications** 
* Experience with MLOps tools such as
 **MLflow** 
 and
 **Kubeflow** 
 .
* Knowledge of big data technologies like
 **Spark, Hadoop, and Databricks** 
 .
* Background in advanced AI areas such as
 **NLP** 
 or
 **Computer Vision** 
 .
* Relevant certifications (AWS, Azure, Google Cloud, Coursera, edX).</t>
        </is>
      </c>
    </row>
    <row r="34">
      <c r="A34" t="inlineStr">
        <is>
          <t>li-4366314178</t>
        </is>
      </c>
      <c r="B34" t="inlineStr">
        <is>
          <t>Applied Scientist, AWS Applied AI Solutions</t>
        </is>
      </c>
      <c r="C34" t="inlineStr">
        <is>
          <t>Amazon Web Services (AWS)</t>
        </is>
      </c>
      <c r="D34" t="inlineStr">
        <is>
          <t>linkedin</t>
        </is>
      </c>
      <c r="E34" t="inlineStr"/>
      <c r="F34" t="inlineStr"/>
      <c r="G34" t="inlineStr">
        <is>
          <t>Seattle, WA</t>
        </is>
      </c>
      <c r="H34" t="inlineStr"/>
      <c r="I34" t="inlineStr">
        <is>
          <t>**Description**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
**Company** 
 \- Amazon Web Services, Inc.
 Job ID: A3166907</t>
        </is>
      </c>
    </row>
    <row r="35">
      <c r="A35" t="inlineStr">
        <is>
          <t>li-4330450871</t>
        </is>
      </c>
      <c r="B35" t="inlineStr">
        <is>
          <t>Staff Data Scientist, Core Data and Analytics</t>
        </is>
      </c>
      <c r="C35" t="inlineStr">
        <is>
          <t>Ibotta</t>
        </is>
      </c>
      <c r="D35" t="inlineStr">
        <is>
          <t>linkedin</t>
        </is>
      </c>
      <c r="E35" t="inlineStr"/>
      <c r="F35" t="inlineStr"/>
      <c r="G35" t="inlineStr">
        <is>
          <t>Denver, CO</t>
        </is>
      </c>
      <c r="H35" t="inlineStr"/>
      <c r="I35" t="inlineStr">
        <is>
          <t>Ibotta is seeking a
 **Staff Data Scientist, Core Data \&amp; Analytics** 
 to join our innovative team and contribute to our mission to Make Every Purchase Rewarding. Our growing Core Data \&amp; Analytics Data Science Team provides high\-quality, on\-time data science\-related products and services across all business areas and teams within Ibotta. We do this by providing thought leadership, subject matter expertise, evangelism and governance of business\-critical data science initiatives. This role will be primarily focused on building data assets and analytics solutions for the revenue organization.
 As a Staff Data Scientist, you’ll have the unique, challenging, and rewarding opportunity to be responsible for using the latest developments in statistics and machine learning. Using these skills, you will identify and build strategic opportunities to grow the business, support initiatives, and drive value. In addition, you will be expected to build accurate and reliable Machine Learning models for use throughout the organization. You’ll be able to create and own greenfield opportunities to make big positive impacts on the revenue organization. You’ll have the chance to own the data science technology of one or more critical initiatives core business domains, from collaborating with stakeholders, through the full model development lifecycle.
 This position is located in Denver, Colorado as a hybrid position requiring 3 days in office (Tuesday, Wednesday, and Thursday). Candidates must live in the United States.
**What you will be doing:**
* Provide subject matter expertise and ownership of one or more foundational models involving measurement, forecasting, or optimization of our content
* Establish and lead best practices, setting the example for the team
* Initiate and drive collaboration with stakeholders, architects, and data engineers to discover, define, cleanse, and refine the data needed for analysis and modeling
* Analyze large and novel datasets to extract actionable insights to inform model development and understand consumer behavior
* Provide customized views of large and complex datasets to support data analysis and business decision\-making
* Inform experimental design to formulate solutions addressing major business challenges and innovation opportunities
* Build models using a variety of statistical and machine learning techniques, from selecting the best type of model for the problem to using advanced techniques to measure and optimize model performance
* Harden data pipelines and models for production deployment and monitoring of performance over time as required
* Become an expert of the Ibotta Data Ecosystem and how various teams leverage Ibotta’s suite of data to answer domain specific business questions through advanced analytic techniques
* Provide mentoring and education to this team and other teams across the company
* Embrace and uphold Ibotta’s Core Values of Integrity, Boldness, Ownership, Teamwork, Transparency, \&amp; A good idea can come from anywhere
**What we are looking for:**
* 7\+ years of experience making significant positive impacts in a professional data science or machine learning role
* Bachelor’s degree in Computer Science, Engineering, Analytics or a related field required
* A history of and passion for driving important decisions using data and data storytelling
* A love of learning and continuous development, including staying at the forefront of the latest advances in data science and machine learning. Broad\-scale community contributions to the fields of data science and machine learning in the way of conference presentations, professional publications, and/or recognized internet presence are a strong plus
* Expert\-level knowledge, skills, and abilities in creating, developing, and applying a variety of new or existing machine learning and statistical algorithms
* Expert\-level Python knowledge, skills, and abilities. Spark/PySpark and MLOps experience is a strong plus
* Excellent statistical analysis skills, with a solid understanding of experimental design
**About Ibotta ("I bought a...")**
 Ibotta (NYSE: IBTA) is a leading performance marketing platform allowing brands to deliver digital promotions to over 200 million consumers through a network of publishers called the Ibotta Performance Network (IPN). The IPN allows marketers to influence what people buy, and where and how often they shop – all while paying only when their campaigns directly result in a sale. American shoppers have earned over $1\.8 billion through the IPN since 2012\. The largest tech IPO in history to come out of Colorado, Ibotta is headquartered in Denver, and is continually listed as a top place to work by The Denver Post and Inc. Magazine.
 To learn more about what our Tech teams are doing day to day, visit Building Ibotta on Medium.com.
**Additional Details:**
* This position is located in Denver, CO and includes competitive pay, flexible time off, benefits package (including medical, dental, vision), Lifestyle Spending Account, Employee Stock Purchase Program, and 401k match. Denver office perks include paid parking, snacks, and occasional meals.
* Base compensation range: $152,000 \- $175,000\. Total compensation for this role also includes a variable component in addition to base salary. Equity is included in overall compensation package. This compensation range is specific to the United States labor market and may be adjusted based on actual experience.
* Ibotta is an Equal Opportunity Employer. Ibotta’s employment decisions are made without regard of race, color, religion, national origin, age, sex, marital status, ancestry, physical or mental disability, veteran status, gender identity, sexual orientation, or any other legally protected status.
* Applicants must be currently authorized to work in the United States on a full\-time basis.
* Applicants are accepted until the position is filled.
* For the security of our employees and the business, all employees are responsible for the secure handling of data in accordance with our security policies, identifying and reporting phishing attempts, as well as reporting security incidents to the proper channels.
 \#BI\-Hybrid</t>
        </is>
      </c>
    </row>
    <row r="36">
      <c r="A36" t="inlineStr">
        <is>
          <t>li-4366306924</t>
        </is>
      </c>
      <c r="B36" t="inlineStr">
        <is>
          <t>Sr. Applied Scientist, Measurement, AdTech and Data Science , Performance Measurement</t>
        </is>
      </c>
      <c r="C36" t="inlineStr">
        <is>
          <t>Amazon</t>
        </is>
      </c>
      <c r="D36" t="inlineStr">
        <is>
          <t>linkedin</t>
        </is>
      </c>
      <c r="E36" t="inlineStr"/>
      <c r="F36" t="inlineStr"/>
      <c r="G36" t="inlineStr">
        <is>
          <t>Palo Alto, CA</t>
        </is>
      </c>
      <c r="H36" t="inlineStr"/>
      <c r="I36" t="inlineStr">
        <is>
          <t>**Description**
 The Ads Measurement Science team within Amazon Ads' Measurement, AdTech, and Data Science (MADS) organization
 serves a centralized role developing solutions for a multitude of performance measurement products to measure the full impact of advertiser spend, including both online and offline sales impacts across all timeframes. It delivers actionable insights for advertisers to optimize media portfolios. We also build science solutions for AI and AI\-powered tools that unlock new insights and automate high\-effort customer workflows for ad measurement, such as custom query and report generation based on natural language user requests. We leverage new technologies including Generative AI, machine learning, causal inference, natural Language Processing (NLP), and Computer Vision (CV) to drive these innovations.
 A key focus of this role is Modeled Attribution, Amazon's privacy\-compliant measurement system serving millions of advertisers and processing billions of events monthly across global marketplaces. We apply state\-of\-the\-art machine learning and GenAI techniques to generate accurate measurement when user identity is unavailable, representing Amazon's technical response to industry\-transforming privacy regulations and platform changes.
 As a Senior Applied Scientist (Applied Scientist III) on the team, you will lead the development of measurement solutions end\-to\-end from inception to production. You will define the technical vision for complex measurement initiatives that span multiple teams. You will drive scientific innovation at scale while influencing business and engineering strategies. You will propose, design, analyze, and productionize models to provide novel measurement insights to our customers.
 Key job responsibilities
* Innovate on state\-of\-the\-art ads measurement solutions leveraging artificial intelligence, causal inference, natural language processing, computer vision, and large language models
* Directly contribute to the end\-to\-end delivery of production solutions through careful designs and owning implementation of significant portions of critical\-path code
* Lead the decomposition of problems and development of roadmaps to execute on it
* Set an example for others with exemplary analyses; maintainable, extensible code; and simple, effective solutions
* Influence team business and engineering strategies
* Communicate clearly and effectively with stakeholders to drive alignment and build consensus on key initiatives
* Foster collaborations among scientists and engineers to move fast and broaden impact
* Actively engage in the development of others, both within and outside of the team
* Regularly engage with the broader science community with presentations, publications, and patents
**About The Team**
 We are a team of scientists across Applied, Research, Data Science and Economist disciplines. You will work with colleagues with deep expertise in ML, NLP, CV, Gen AI, and Causal Inference with a diverse range of backgrounds. We partner closely with top\-notch engineers, product managers, sales leaders, and other scientists with expertise in the ads industry and on building scalable modeling and software solutions.
**Basic Qualifications**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
**Company** 
 \- Amazon.com Services LLC
 Job ID: A3167249</t>
        </is>
      </c>
    </row>
    <row r="37">
      <c r="A37" t="inlineStr">
        <is>
          <t>li-4351297034</t>
        </is>
      </c>
      <c r="B37" t="inlineStr">
        <is>
          <t>Principal Applied Scientist</t>
        </is>
      </c>
      <c r="C37" t="inlineStr">
        <is>
          <t>UiPath</t>
        </is>
      </c>
      <c r="D37" t="inlineStr">
        <is>
          <t>linkedin</t>
        </is>
      </c>
      <c r="E37" t="inlineStr"/>
      <c r="F37" t="inlineStr"/>
      <c r="G37" t="inlineStr">
        <is>
          <t>Bellevue, WA</t>
        </is>
      </c>
      <c r="H37" t="inlineStr"/>
      <c r="I37" t="inlineStr">
        <is>
          <t>**Life at UiPath**
 The people at UiPath believe in the transformative power of automation to change how the world works. We’re committed to creating category\-leading enterprise software that unleashes that power.
 To make that happen, we need people who are curious, self\-propelled, generous, and genuine. People who love being part of a fast\-moving, fast\-thinking growth company. And people who care—about each other, about UiPath, and about our larger purpose.
 Could that be you?
 As a Principal Applied Scientist, you will lead the architecture, research, and productization of these next\-generation ML systems, bridging deep research with deployment at scale and shaping the future of enterprise automation.
**What You Will Do**
* Define and drive technical strategy for agent\-based automation, including how autonomous agents use LLMs, reinforcement learning, simulation environments, tool use, and multi\-step reasoning to integrate with the UiPath platform.
* Architect, prototype, and deploy advanced ML and AI systems, covering LLM fine\-tuning, multimodal pipelines, computer\-use modeling, agent orchestration frameworks, and decision\-making systems.
* Lead the design and implementation of ML infrastructure and services for model training, fine\-tuning, large\-scale inference, model serving, monitoring, drift detection, continuous learning loops, and ML operations for agentic systems.
* Partner closely with product, engineering, design, and go\-to\-market teams to translate research advances into customer\-facing capabilities.
* Research state\-of\-the\-art techniques in prompting, retrieval\-augmented generation, chain\-of\-thought, tool use, long\-term memory, and RL or imitation learning for agent behavior, and apply them to automation workflows.
* Establish best practices, frameworks, and metrics for evaluating agentic systems, including offline evaluation, simulation environments, human\-in\-the\-loop feedback, A/B testing, and cost, latency, and quality analysis.
* Serve as a technical leader and mentor across ML engineering, data science, and software engineering, fostering a culture of experimentation, reproducibility, versioning, and rigorous evaluation.
* Represent UiPath in the broader community through publications, open\-source contributions, conference participation, and collaboration with academia or ecosystem partners.
**What We Are Looking For**
* Advanced degree (MS or PhD preferred) in Computer Science, Machine Learning, AI, or a related field, or equivalent experience.
* 10\+ years of industry experience in machine learning, including substantial experience building and operating ML systems in production.
* Deep expertise in modern ML frameworks and libraries, strong proficiency in Python, and experience integrating ML models into large\-scale software systems.
* Proven experience with large language models or foundation models, including fine\-tuning, data preparation, inference optimization, or model evaluation.
* Experience with large datasets, distributed training or inference, scalable architecture design, and optimization for latency, throughput, and cost.
* Excellent communication skills with the ability to translate complex ML concepts to product and business audiences.
* Demonstrated technical leadership in mentoring, influencing strategy, balancing research with delivery, and driving high\-impact outcomes.
 Maybe you don’t tick all the boxes above—but still think you’d be great for the job? Go ahead, apply anyway. Please. Because we know that experience comes in all shapes and sizes—and passion can’t be learned.
 Many of our roles allow for flexibility in when and where work gets done. Depending on the needs of the business and the role, the number of hybrid, office\-based, and remote workers will vary from team to team. Applications are assessed on a rolling basis and there is no fixed deadline for this requisition. The application window may change depending on the volume of applications received or may close immediately if a qualified candidate is selected.
 We value a range of diverse backgrounds, experiences and ideas. We pride ourselves on our diversity and inclusive workplace that provides equal opportunities to all persons regardless of age, race, color, religion, sex, sexual orientation, gender identity, and expression, national origin, disability, neurodiversity, military and/or veteran status, or any other protected classes. Additionally, UiPath provides reasonable accommodations for candidates on request and respects applicants' privacy rights. To review these and other legal disclosures, visit our privacy policy.
 Compensation Range: $200K \- $250K</t>
        </is>
      </c>
    </row>
    <row r="38">
      <c r="A38" t="inlineStr">
        <is>
          <t>li-4354387930</t>
        </is>
      </c>
      <c r="B38" t="inlineStr">
        <is>
          <t>Senior Data Scientist</t>
        </is>
      </c>
      <c r="C38" t="inlineStr">
        <is>
          <t>ECS</t>
        </is>
      </c>
      <c r="D38" t="inlineStr">
        <is>
          <t>linkedin</t>
        </is>
      </c>
      <c r="E38" t="inlineStr"/>
      <c r="F38" t="inlineStr"/>
      <c r="G38" t="inlineStr">
        <is>
          <t>St Louis, MO</t>
        </is>
      </c>
      <c r="H38" t="inlineStr"/>
      <c r="I38" t="inlineStr">
        <is>
          <t>**Job Description**
 ECS is searching for an exceptional
 ***Senior Data Scientist***
 to join our mission\-critical team supporting our government customer in
 ***St. Louis, MO,***
*OR* 
***Doral, FL***
 . This isn't just another data science role—it's an opportunity to transform raw data into actionable insights that directly impact national security operations and warfighter support.
* Requires final acceptance by the Prime contractor and government customer.
* Validation of required clearances upon acceptance and approval from a cognizant government contracting officer. After customer indoctrination, the candidate will be submitted for a Counterintelligence Polygraph.
 In an era where geospatial intelligence drives critical decisions, you'll architect innovative data solutions that help analysts see patterns others miss, anticipate threats before they materialize, and deliver the GEOINT advantage our nation depends on. Your work will directly enable our customers mission to provide timely, relevant, and accurate data in support of military and national security objectives.
**Value Proposition**
* Immediate Impact: Your solutions go into production, supporting real\-world intelligence operations—not trapped in endless development cycles.
* Technical Freedom: Lead the architectural direction. We trust senior talent to identify the right tools, frameworks, and approaches without bureaucratic constraints.
* Innovation Culture: We invest in emerging technologies—AI/ML, automation, advanced analytics—and empower our team to implement them where they add mission value.
* Elite Collaboration: Work alongside some of the most talented geospatial analysts, data engineers, and intelligence professionals in the community.
**Core Responsibilities**
 As a Senior Data Scientist, you'll serve as a technical leader and trusted advisor, bridging the gap between complex requirements and elegant technical solutions:
* Architect Solutions, Not Just Code Design and implement end\-to\-end data science architectures that process multi\-INT data streams at scale. You'll build automated pipelines that transform terabytes of structured and unstructured data into mission\-critical intelligence products.
* Lead Through Expertise Serve as the Subject Matter Expert for advanced analytics, mentoring team members while maintaining hands\-on technical contributions. Your insights will shape program direction and capability roadmaps.
* Innovate Continuously Research, prototype, and deploy cutting\-edge analytical methodologies. Apply machine learning, network analytics, and advanced statistical techniques to solve intelligence problems that have never been solved before.
* Deliver Clarity from Complexity Create sophisticated data visualizations and analytics dashboards that enable analysts to explore massive datasets intuitively, revealing patterns and relationships that drive intelligence assessments.
* Drive Mission Success Partner directly with customer stakeholders, understanding their intelligence questions and translating them into technical requirements. Your solutions will directly support critical intelligence operations.
* Technical Focus Areas
+ Geospatial Analytics: Advanced spatial analysis, pattern detection, and predictive modeling using GEOINT datasets
+ Multi\-INT Fusion: Integrate and analyze data across GEOINT, SIGINT, OSINT, and other intelligence disciplines
+ Automation \&amp; Scale: Build production\-grade Python solutions that handle massive data volumes with efficiency and reliability
+ Visual Intelligence: Develop interactive dashboards and network analytics that transform complex data into actionable insights
+ AI/ML Applications: Implement machine learning models for classification, clustering, anomaly detection, and predictive analytics. The candidate must have previous experience in ABI tradecraft as well and the ability to produce finished products that adhere to NGA and DNI standards.
*Salary Range: $100,000 \- $150,000*
**General Description Of Benefits**
 Required Skills
* US Citizen.
* Active TS/SCI security clearance required to apply; must be able to pass a CounterIntelligence (CI) polygraph following customer indoctrination.
* High School Diploma and 10\+ years of relevant experience; alternatively, a Bachelors / Masters degree in a related field of study or a combination of military (10\+ years), experience, training or certifications.
* Proven track record supporting Intelligence Community missions in operational environments.
* Senior\-level proficiency in Python for data science, automation, and analytics pipeline development.
* Experience architecting solutions for large\-scale structured and unstructured datasets.
* Hands\-on experience with COTS platforms (Tableau, MATLAB, MapLarge) and GOTS capabilities for advanced statistical analysis.
* Demonstrated experience building, maintaining, and querying complex databases.
* Deep understanding of intelligence analysis workflows and how data science enables mission success.
* Experience conducting multi\-INT research and analysis to support operational requirements.
* Ability to identify capability gaps and architect innovative technical solutions.
* Proven ability to lead technical teams and mentor data scientists.
* Exceptional communication skills—translating complex technical concepts for non\-technical stakeholders.
* Independent operator comfortable working in ambiguous, fast paced environments.
 Desired Skills
* AI/ML development experience with production model deployment.
* Geospatial programming expertise: Python with GeoPandas/ArcPy, ArcObjects, GIScience techniques.
* Full\-stack development capabilities: JavaScript/HTML5, .NET, C\+\+, Java.
* Database technologies: Oracle, SQL, PostgreSQL, geodatabases (ArcSDE).
* GIS platform expertise: ArcGIS Desktop, ArcGIS Server, ArcGIS Enterprise.
* Background building GEOINT, SIGINT, or OSINT databases for operational analysis.
 \#ECS1
*ECS is an equal opportunity employer and does not discriminate or allow discrimination on the basis any characteristic protected by law. All qualified applicants will receive consideration for employment without regard to disability, status as a protected veteran or any other status protected by applicable federal, state, or local jurisdiction law.*
 ECS is a leading mid\-sized provider of technology services to the United States Federal Government. We are focused on people, values and purpose. Every day, our 3300\+ employees focus on providing their technical talent to support the Federal Agencies and Departments of the US Government to serve, protect and defend the American People.</t>
        </is>
      </c>
    </row>
    <row r="39">
      <c r="A39" t="inlineStr">
        <is>
          <t>li-4366322119</t>
        </is>
      </c>
      <c r="B39" t="inlineStr">
        <is>
          <t>Applied Scientist II, Measurement, AdTech and Data Science (NYC/Seattle/Palo Alto), Performance Measurement</t>
        </is>
      </c>
      <c r="C39" t="inlineStr">
        <is>
          <t>Amazon</t>
        </is>
      </c>
      <c r="D39" t="inlineStr">
        <is>
          <t>linkedin</t>
        </is>
      </c>
      <c r="E39" t="inlineStr"/>
      <c r="F39" t="inlineStr"/>
      <c r="G39" t="inlineStr">
        <is>
          <t>Palo Alto, CA</t>
        </is>
      </c>
      <c r="H39" t="inlineStr"/>
      <c r="I39" t="inlineStr">
        <is>
          <t>**Description**
 The Ads Measurement Science team within Amazon Ads' Measurement, AdTech, and Data Science (MADS) organization
 serves a centralized role developing solutions for a multitude of performance measurement products to measure the full impact of advertiser spend, including both online and offline sales impacts across all timeframes. It delivers actionable insights for advertisers to optimize media portfolios. We also build science solutions for AI and AI\-powered tools that unlock new insights and automate high\-effort customer workflows for ad measurement, such as custom query and report generation based on natural language user requests. We leverage new technologies including Generative AI, machine learning, causal inference, natural Language Processing (NLP), and Computer Vision (CV) to drive these innovations.
 A key focus of this role is Modeled Attribution, Amazon's privacy\-compliant measurement system serving millions of advertisers and processing billions of events monthly across global marketplaces. We apply state\-of\-the\-art machine learning and GenAI techniques to generate accurate measurement when user identity is unavailable, representing Amazon's technical response to industry\-transforming privacy regulations and platform changes.
 As an Applied Scientist II on the team, you will develop modeled measurement solutions end\-to\-end from inception to production. You will propose, design, analyze, and productionize models to provide novel measurement insights to our customers. Your work will directly enable advertisers to continue optimizing their campaigns effectively as the digital ecosystem undergoes significant privacy\-driven changes, and provide event\-level attribution signals that empower ad optimization teams to enhance campaign performance and monetization on traffic without identity.
 Key job responsibilities
* Leverage deep expertise in one or more scientific disciplines to invent solutions to ambiguous ads measurement problems
* Disambiguate problems to propose clear evaluation frameworks and success criteria
* Develop modeled attribution solutions using deep learning, transformers, and large language models to fill measurement gaps in privacy\-constrained environments
* Work autonomously, write high\-quality technical documentation and present findings to both technical and business stakeholders
* Implement a significant portion of critical\-path code, and partner with engineers to directly carry solutions into production
* Partner closely with other scientists to deliver large, multi\-faceted technical projects
* Share and publish works with the broader scientific community through meetings and conferences
* Communicate clearly to both technical and non\-technical audiences
* Partner with engineers to optimize model performance, reduce latency, and ensure operational excellence for systems serving millions of customers
* Contribute to the team's scientific direction by proposing novel approaches to measurement challenges
* Mentor junior scientists and participate in the hiring process to raise the team's technical bar
**About The Team**
 We are a team of scientists across Applied, Research, Data Science and Economist disciplines. You will work with colleagues with deep expertise in ML, NLP, CV, Gen AI, and Causal Inference with a diverse range of backgrounds. Our work combines rigorous scientific experimentation with practical engineering. We publish at top\-tier conferences while building production systems that process trillions of events annually. We partner closely with top\-notch engineers, product managers, sales leaders, and other scientists with expertise in the ads industry and on building scalable modeling and software solutions.
**Basic Qualifications**
* 2\+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 Experience with popular deep learning frameworks such as MxNet and Tensor Flow
* Have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\- 171,600\.00 \- 222,200\.00 USD annually
 USA, NY, New York \- 172,400\.00 \- 223,400\.00 USD annually
 USA, WA, Seattle \- 142,800\.00 \- 193,200\.00 USD annually
**Company** 
 \- Amazon.com Services LLC
 Job ID: A3167252</t>
        </is>
      </c>
    </row>
    <row r="40">
      <c r="A40" t="inlineStr">
        <is>
          <t>li-4350293607</t>
        </is>
      </c>
      <c r="B40" t="inlineStr">
        <is>
          <t>Senior Data Scientist, Navista</t>
        </is>
      </c>
      <c r="C40" t="inlineStr">
        <is>
          <t>Cardinal Health</t>
        </is>
      </c>
      <c r="D40" t="inlineStr">
        <is>
          <t>linkedin</t>
        </is>
      </c>
      <c r="E40" t="inlineStr"/>
      <c r="F40" t="inlineStr"/>
      <c r="G40" t="inlineStr"/>
      <c r="H40" t="inlineStr"/>
      <c r="I40" t="inlineStr">
        <is>
          <t>**Job Summary**
 At Navista, our mission is to empower community oncology practices to deliver patient\-centered cancer care. Navista, a Cardinal Health company, is an oncology practice alliance co\-created with oncologists and practice leaders that offers advanced support services and technology to help practices remain independent and thrive. True to our name, our experienced team is passionate about helping oncology practices navigate the future.
 We are seeking an innovative and highly skilled
 **Senior Data Scientist** 
 with specialized expertise in Generative AI (GenAI), Large Language Models (LLMs), and Agentic Systems to join the Navista \- Data \&amp; Advanced Analytics team supporting the growth of our Navista Application Suite and the Integrated Oncology Network (IoN). In this critical role, you will be at the forefront of designing, developing, and deploying advanced AI solutions that leverage the power of generative models and intelligent agents to transform our products and operations. You will be responsible for pushing the boundaries of what's possible, from foundational research to production\-ready applications, working with diverse datasets and complex problem spaces, particularly within the oncology domain.
 The ideal candidate will possess a deep theoretical understanding and practical experience in building, fine\-tuning, and deploying LLMs, as well as architecting and implementing agentic frameworks. You will play a key role in shaping our AI strategy, mentoring junior team members, and collaborating with cross\-functional engineering and product teams to bring groundbreaking AI capabilities to life, including developing predictive models from complex, often unstructured, oncology data.
**Responsibilities**
* Research \&amp; Development: Lead the research, design, and development of novel Generative AI models and algorithms, including but not limited to LLMs, diffusion models, GANs, and VAEs, to address complex business challenges.
* LLM Expertise: Architect, fine\-tune, and deploy Large Language Models for various applications such as natural language understanding, generation, summarization, question\-answering, and code generation, with a focus on extracting insights from unstructured clinical and research data.
* Agentic Systems Design: Design and implement intelligent agentic systems capable of autonomous decision\-making, planning, reasoning, and interaction within complex environments, leveraging LLMs as core components.
* Predictive Modeling: Develop and deploy advanced predictive models and capabilities using both structured and unstructured data, particularly within the oncology space, to forecast outcomes, identify trends, and support clinical or commercial decision\-making.
* Prompt Engineering \&amp; Optimization: Develop advanced prompt engineering strategies and techniques to maximize the performance and reliability of LLM\-based applications.
* Data Strategy for GenAI: Work with data engineers to define and implement data collection, preprocessing, and augmentation strategies specifically tailored for training and fine\-tuning generative models and LLMs, including techniques for handling and enriching unstructured oncology data (e.g., clinical notes, pathology reports).
* Model Evaluation \&amp; Deployment: Develop robust evaluation metrics and methodologies for generative models, agentic systems, and predictive models. Oversee the deployment, monitoring, and continuous improvement of these models in production environments.
* Collaboration \&amp; Leadership: Collaborate closely with machine learning engineers, software engineers, and product managers to integrate AI solutions into our products. Provide technical leadership and mentorship to junior data scientists.
* Innovation \&amp; Thought Leadership: Stay abreast of the latest advancements in GenAI, LLMs, and agentic AI research. Proactively identify new opportunities and technologies that can enhance our capabilities and competitive advantage.
* Ethical AI: Ensure the responsible and ethical development and deployment of AI systems, addressing potential biases, fairness, and transparency concerns.
**Qualifications**
* 8\-12 years of experience as a Data Scientist or Machine Learning Engineer, with a significant focus on deep learning and natural language processing, preferred
* Bachelor's degree in related field, or equivalent work experience, preferred
* Proven hands\-on experience with Generative AI models (e.g., Transformers, GANs, VAEs, Diffusion Models) and their applications.
* Extensive experience working with Large Language Models (LLMs), including fine\-tuning, prompt engineering, RAG (Retrieval Augmented Generation), and understanding various architectures (e.g., GPT, Llama, BERT, T5\).
* Demonstrated experience in designing, building, and deploying agentic systems or multi\-agent systems, including concepts like planning, reasoning, and tool use.
* Strong experience working with unstructured data, particularly in the oncology domain (e.g., clinical notes, pathology reports, genomic data, imaging reports), and extracting meaningful features for analysis.
* Demonstrated ability to create and deploy predictive capabilities and models from complex datasets, including those with unstructured components.
* Proficiency in Python and deep learning frameworks such as PyTorch or TensorFlow.
* Experience with relevant libraries and tools (e.g., Hugging Face Transformers, LangChain, LlamaIndex).
* Strong understanding of machine learning fundamentals, statistical modeling, and experimental design.
* Experience with at least one cloud platforms ( GCP, Azure) for training and deploying large\-scale AI models.
* Excellent problem\-solving skills, with the ability to tackle complex, ambiguous problems and drive solutions.
* Strong communication and presentation skills, capable of explaining comp
* Experience in the healthcare or life sciences industry, specifically with oncology data and research, highly preferred
* Experience with MLOps practices for deploying and managing large\-scale AI models, highly preferred
* Familiarity with distributed computing frameworks (e.g., Spark, Dask), highly preferred
* Experience contributing to open\-source AI projects, highly preferred
***What is expected of you and others at this level***
* Applies advanced knowledge and understanding of concepts, principles, and technical capabilities to manage a wide variety of projects
* Participates in the development of policies and procedures to achieve specific goals
* Recommends new practices, processes, metrics, or models
* Works on or may lead complex projects of large scope
* Projects may have significant and long\-term impact
* Provides solutions which may set precedent
* Independently determines method for completion of new projects
* Receives guidance on overall project objectives
* Acts as a mentor to less experienced colleagues
**Anticipated salary range:** 
 $123,400 \- $176,300
**Bonus eligible:** 
 Yes
**Benefits:** 
 Cardinal Health offers a wide variety of benefits and programs to support health and well\-being.
* Medical, dental and vision coverage
* Paid time off plan
* Health savings account (HSA)
* 401k savings plan
* Access to wages before pay day with myFlexPay
* Flexible spending accounts (FSAs)
* Short\- and long\-term disability coverage
* Work\-Life resources
* Paid parental leave
* Healthy lifestyle programs
**Application window anticipated to close:** 
 02/15/2026 \*if interested in opportunity, please submit application as soon as possible.
 The salary range listed is an estimate. Pay at Cardinal Health is determined by multiple factors including, but not limited to, a candidate’s geographical location, relevant education, experience and skills and an evaluation of internal pay equity.
*Candidates who are back\-to\-work, people with disabilities, without a college degree, and Veterans are encouraged to apply.*
*Cardinal Health supports an inclusive workplace that values diversity of thought, experience and background. We celebrate the power of our differences to create better solutions for our customers by ensuring employees can be their authentic selves each day. Cardinal Health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t>
        </is>
      </c>
    </row>
    <row r="41">
      <c r="A41" t="inlineStr">
        <is>
          <t>li-4338612570</t>
        </is>
      </c>
      <c r="B41" t="inlineStr">
        <is>
          <t>Sr. Data Scientist</t>
        </is>
      </c>
      <c r="C41" t="inlineStr">
        <is>
          <t>DPR Construction</t>
        </is>
      </c>
      <c r="D41" t="inlineStr">
        <is>
          <t>linkedin</t>
        </is>
      </c>
      <c r="E41" t="inlineStr"/>
      <c r="F41" t="inlineStr"/>
      <c r="G41" t="inlineStr">
        <is>
          <t>Richmond, VA</t>
        </is>
      </c>
      <c r="H41" t="inlineStr"/>
      <c r="I41" t="inlineStr">
        <is>
          <t>**Job Description**
 DPR Construction is seeking a skilled Senior Data Scientist to help advance our data\-driven approach to building. In this role, you’ll use statistical analysis, machine learning, and data visualization to turn complex construction and business data into actionable insights that improve project planning, cost forecasting, resource management, and safety. Working with project and operations teams, you’ll build and deploy scalable, secure data solutions on cloud platforms like Azure and AWS, driving innovation and operational excellence across DPR’s projects.
**Responsibilities**
* Data analysis and modeling: Analyze large datasets to identify trends, bottlenecks, and areas for improvement in operational performance. Build predictive and statistical models to forecast demand, capacity, and potential issues.
* Develop and deploy models: Build, test, and deploy machine learning and AI models to improve operational processes.
* Analyze operational data: Examine data related to projects, production, supply chains, inventory, and quality control to identify patterns, trends, and inefficiencies.
* Optimize processes: Use data\-driven insights to streamline workflows, allocate resources more effectively, and improve overall performance.
* Forecast and predict: Create predictive models to forecast outcomes, such as demand, and inform strategic decisions.
* Communicate findings: Present findings and recommendations to stakeholders through reports, visualizations, and presentations.
* Ensure reliability: Build and maintain reliable, scalable, and efficient data science systems and processes.
* Collaboration: Partner with project managers, engineers, and business leaders to ensure data solutions are aligned with organizational goals and deliver tangible improvements.
* Continuous Learning: Stay current with advancements in data science and machine learning to continually enhance the company's data capabilities.
* Reporting and communication: Create dashboards and reports that clearly communicate performance trends and key insights to leadership and other stakeholders. Translate complex data into actionable recommendations.
* Performance monitoring: Implement data quality checks and monitor the performance of models and automated systems, creating feedback loops for continuous improvement.
* Experimentation: Design and evaluate experiments to quantify the impact of new systems and changes on operational outcomes.
**Qualifications**
* Bachelor’s or Master’s degree in Data Science, Computer Science, Statistics, Engineering, or a related field.
* 7\+ years of experience in data science roles within AEC, product or technology organizations.
* At least 4 years of experience working with cloud platforms, specifically Azure and AWS, for model deployment and data management.
* Strong proficiency in Python or R for data analysis, modeling, and machine learning, with experience in relevant libraries (e.g., Scikit\-learn, TensorFlow, PyTorch) and NLP frameworks (e.g., GPT, Hugging Face Transformers).
* Expertise in SQL for data querying and manipulation, and experience with data visualization tools (e.g., Power BI, Tableau).
* Solid understanding of statistical methods, predictive modeling, and optimization techniques.
* Expertise in statistics and causal inference, applied in both experimentation and observational causal inference studies.
* Proven experience designing and interpreting experiments and making statistically sound recommendations.
* Strategic and impact\-driven mindset, capable of translating complex business problems into actionable frameworks.
* Ability to build relationships with diverse stakeholders and cultivate strong partnerships.
* Strong communication skills, including the ability to bridge technical and non\-technical stakeholders and collaborate across various functions to ensure business impact.
* Ability to operate effectively in a fast\-moving, ambiguous environment with limited structure.
* Experience working with construction\-related data or similar industries (e.g., engineering, manufacturing) is a plus.
**Preferred Skills**
* Familiarity with construction management software (e.g., ACC, Procore, BIM tools) and knowledge of project management methodologies.
* Hands\-on experience with Generative AI tools and libraries.
* Background in experimentation infrastructure or human\-AI interaction systems.
* Knowledge of time\-series analysis, anomaly detection, and risk modeling specific to construction environments.
 DPR Construction is a forward\-thinking, self\-performing general contractor specializing in technically complex and sustainable projects for the advanced technology, life sciences, healthcare, higher education and commercial markets. Founded in 1990, DPR is a great story of entrepreneurial success as a private, employee\-owned company that has grown into a multi\-billion\-dollar family of companies with offices around the world.
 Working at DPR, you'll have the chance to try new things, explore unique paths and shape your future. Here, we build opportunity together—by harnessing our talents, enabling curiosity and pursuing our collective ambition to make the best ideas happen. We are proud to be recognized as a great place to work by our talented teammates and leading news organizations like U.S. News and World Report, Forbes, Fast Company and Newsweek.
 Explore our open opportunities at www.dpr.com/careers.</t>
        </is>
      </c>
    </row>
    <row r="42">
      <c r="A42" t="inlineStr">
        <is>
          <t>li-4370994714</t>
        </is>
      </c>
      <c r="B42" t="inlineStr">
        <is>
          <t>Data Scientist</t>
        </is>
      </c>
      <c r="C42" t="inlineStr">
        <is>
          <t>Underdog.io -Apply to top tech jobs in 60 seconds. A place where companies apply to you</t>
        </is>
      </c>
      <c r="D42" t="inlineStr">
        <is>
          <t>linkedin</t>
        </is>
      </c>
      <c r="E42" t="inlineStr"/>
      <c r="F42" t="inlineStr"/>
      <c r="G42" t="inlineStr"/>
      <c r="H42" t="inlineStr"/>
      <c r="I42" t="inlineStr">
        <is>
          <t>Underdog.io is a modern recruiting platform. One of our hiring partners is looking to hire a Data Scientist to expand their retail analytics team.
**Job Title:** 
 Data Scientist
**Locations:** 
 San Francisco, CA, Irvine, CA, New York, NY, Seattle, WA, Austin, TX, and Remote
**About Our Company** 
 We’re the world’s largest live streaming platform, where millions of global communities connect daily around shared passions—from gaming, music, and sports to cooking and creative arts. Our mission is to empower creators and foster belonging through real\-time interaction. Backed by a collaborative, community\-driven culture, we’re solving complex challenges at the intersection of entertainment, technology, and human connection.
**The Opportunity** 
 Join our Monetization Data Science team to directly impact how creators earn revenue on our platform. As a Data Scientist focused on Payouts \&amp; Creator Economics, you’ll ensure fair, transparent, and innovative compensation systems for thousands of global creators. Partner with Product, Engineering, Finance, and Legal teams to refine payout policies, launch new monetization features, and combat fraud—all while growing into a senior technical leader.
 What You’ll Do
* **Analyze Policy Impact:** 
 Measure how payout program changes (e.g., eligibility rules, payment timelines) affect creator behavior and platform economics.
* **Own Creator Insights:** 
 Develop dashboards and reports tracking payout performance, earnings trends, and program health.
* **Drive Causal Inference:** 
 Apply methods like DiD, matching, and IPW to evaluate non\-experimental policy shifts.
* **Build Data Pipelines:** 
 Create and maintain SQL/Python workflows for recurring analytics (owning data ops when needed).
* **Cross\-Functional Leadership:** 
 Guide product decisions by translating data into actionable strategies for stakeholders.
* **Support Innovation:** 
 Shape new monetization initiatives to expand creator opportunities globally.
**Your Expertise** 
* 3\+ years in Data Science, Analytics, or related field.
**Technical Fluency:** 
* Advanced SQL (complex joins, window functions).
* Python (Pandas, SciPy) or R for data analysis.
* Causal inference mastery (experiment design, quasi\-experimental methods).
* **Communication:** 
 Distill technical insights for executives, legal teams, and engineers.
* **Ownership Mentality:** 
 Thrive in ambiguity; proactively solve problems with imperfect data.
* **Growth Mindset:** 
 Eager to evolve from tactical analytics to strategic leadership.
 Bonus Points For
* Airflow, SageMaker, or ML deployment experience (fraud/churn models).
* Econometrics background or A/B test design.
* Dashboarding (Tableau, Looker, Redshift).
 Perks \&amp; Benefits
* 💰
 **Competitive Salary** 
 \+ Annual Bonus
* 🩺
 **Full\-Coverage Health:** 
 Medical, dental, vision, disability (100% premiums)
* 👨 👩 👧
 **Family Support:** 
 16\-week parental leave \+ fertility benefits
* 🌴
 **Flexible PTO:** 
 Unlimited vacation \+ company\-wide breaks
* 💻
 **Workspace Stipend:** 
 $1,000/year home office upgrade
* 📈
 **401(k):** 
 100% match up to 6% of salary
* 🛒
 **Retail Discounts:** 
 10% off at leading e\-commerce brands
 Our Culture
* **Community First:** 
 We build belonging—for creators and each other.
* **Bold Ownership:** 
 Solve hard problems with autonomy and accountability.
* **Learn Together:** 
 Weekly tech talks, mentorship, and $5k/year learning stipend.
* **Global Impact:** 
 Your work directly empowers creators worldwide.
**Apply Now** 
 Ready to revolutionize how creators thrive? Join us to blend analytical rigor with creative problem\-solving—and grow your career in a team that values curiosity, collaboration, and human connection.</t>
        </is>
      </c>
    </row>
    <row r="43">
      <c r="A43" t="inlineStr">
        <is>
          <t>li-4366281506</t>
        </is>
      </c>
      <c r="B43" t="inlineStr">
        <is>
          <t>Applied Scientist (Contract), Artificial General Intelligence</t>
        </is>
      </c>
      <c r="C43" t="inlineStr">
        <is>
          <t>Amazon</t>
        </is>
      </c>
      <c r="D43" t="inlineStr">
        <is>
          <t>linkedin</t>
        </is>
      </c>
      <c r="E43" t="inlineStr"/>
      <c r="F43" t="inlineStr"/>
      <c r="G43" t="inlineStr">
        <is>
          <t>Boston, MA</t>
        </is>
      </c>
      <c r="H43" t="inlineStr"/>
      <c r="I43" t="inlineStr">
        <is>
          <t>**Description**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
**Company** 
 \- Amazon.com Services LLC
 Job ID: A3166633</t>
        </is>
      </c>
    </row>
    <row r="44">
      <c r="A44" t="inlineStr">
        <is>
          <t>li-4256584395</t>
        </is>
      </c>
      <c r="B44" t="inlineStr">
        <is>
          <t>Senior Data Scientist, Costing</t>
        </is>
      </c>
      <c r="C44" t="inlineStr">
        <is>
          <t>Xometry</t>
        </is>
      </c>
      <c r="D44" t="inlineStr">
        <is>
          <t>linkedin</t>
        </is>
      </c>
      <c r="E44" t="inlineStr"/>
      <c r="F44" t="inlineStr"/>
      <c r="G44" t="inlineStr">
        <is>
          <t>Waltham, MA</t>
        </is>
      </c>
      <c r="H44" t="inlineStr"/>
      <c r="I44"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Xometry is seeking a
 **Senior Data Scientist** 
 to our sourcing team. The ideal candidate will have a passion for using machine learning tools and techniques to construct, optimize, and evaluate predictive models that predict the likelihood of different business outcomes. Additionally, this person will use their knowledge of probability and statistics to make defensible statistical inferences from data.
**Responsibilities:**
* Use data science and machine learning principles to develop effective predictive models
* Write software to prepare, clean, and sample data for use in developing predictive models
* Use cloud resources (e.g., Amazon Web Services) to prepare and process data
* Query and extract data from databases (Snowflake)
* Use data analysis and visualization tools (examples include SQL, Python, Jupyter Notebooks, and Looker) to inform the business strategy
* Relentlessly iterate solutions within a fast\-paced environment where ambiguity is the norm
* Solve challenging, uncharted problems
* Work in an environment that thrives on teamwork and continuous learning opportunities
**Qualifications:**
* Bachelor’s degree required; degree in applied math, computer science, natural sciences or engineering preferred
* M.S. or Ph.D. in a related field highly desired
* 5\+ years of experience with machine learning, statistical modeling, and optimization techniques
* Fluent in Python (pandas, numpy, SciPy, and scikit\-learn preferred)
* Proficient in linear algebra and statistics
* Familiar with scientific software principals, e.g. versioning systems, reproducibility
* Experience in the manufacturing industry is desired
* Must be a US Citizen or Green Card holder (ITAR)
*The estimated base salary range for new hires into this role is $140,000\-$182,000 annually (\+ commission OR \+ annual bonus) depending on factors such as job\-related skills, relevant experience, and location. We also offer a competitive benefits package, including 401(k) match, medical, dental and vision insurance; life and disability insurance; generous paid time off including vacation, sick leave, floating and fixed holidays, maternity and bonding leave; EAP, other wellbeing resources; and much more.*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45">
      <c r="A45" t="inlineStr">
        <is>
          <t>li-4366269700</t>
        </is>
      </c>
      <c r="B45" t="inlineStr">
        <is>
          <t>Applied Scientist (Contract), Artificial General Intelligence</t>
        </is>
      </c>
      <c r="C45" t="inlineStr">
        <is>
          <t>Amazon</t>
        </is>
      </c>
      <c r="D45" t="inlineStr">
        <is>
          <t>linkedin</t>
        </is>
      </c>
      <c r="E45" t="inlineStr"/>
      <c r="F45" t="inlineStr"/>
      <c r="G45" t="inlineStr">
        <is>
          <t>Boston, MA</t>
        </is>
      </c>
      <c r="H45" t="inlineStr"/>
      <c r="I45" t="inlineStr">
        <is>
          <t>**Description**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
**Company** 
 \- Amazon.com Services LLC
 Job ID: A3166634</t>
        </is>
      </c>
    </row>
    <row r="46">
      <c r="A46" t="inlineStr">
        <is>
          <t>li-4366214408</t>
        </is>
      </c>
      <c r="B46" t="inlineStr">
        <is>
          <t>Applied Scientist (Contract), Artificial General Intelligence</t>
        </is>
      </c>
      <c r="C46" t="inlineStr">
        <is>
          <t>Amazon</t>
        </is>
      </c>
      <c r="D46" t="inlineStr">
        <is>
          <t>linkedin</t>
        </is>
      </c>
      <c r="E46" t="inlineStr"/>
      <c r="F46" t="inlineStr"/>
      <c r="G46" t="inlineStr">
        <is>
          <t>Boston, MA</t>
        </is>
      </c>
      <c r="H46" t="inlineStr"/>
      <c r="I46" t="inlineStr">
        <is>
          <t>**Description**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
**Company** 
 \- Amazon.com Services LLC
 Job ID: A3166403</t>
        </is>
      </c>
    </row>
    <row r="47">
      <c r="A47" t="inlineStr">
        <is>
          <t>li-4372863237</t>
        </is>
      </c>
      <c r="B47" t="inlineStr">
        <is>
          <t>Data Scientist - Epidemiologic Research, Python R SQL (Durational with Full Benefits)</t>
        </is>
      </c>
      <c r="C47" t="inlineStr">
        <is>
          <t>Jobs via Dice</t>
        </is>
      </c>
      <c r="D47" t="inlineStr">
        <is>
          <t>linkedin</t>
        </is>
      </c>
      <c r="E47" t="inlineStr"/>
      <c r="F47" t="inlineStr"/>
      <c r="G47" t="inlineStr">
        <is>
          <t>Pasadena, CA</t>
        </is>
      </c>
      <c r="H47" t="inlineStr"/>
      <c r="I47" t="inlineStr">
        <is>
          <t>**Job Summary:**
 In addition to the responsibilities listed below, this position is also responsible for programming in analytical programming languages (may include SAS, SQL, SPSS, R, Python, etc.), data management, quality control, and reporting for projects as appropriate; extracting, manipulating, and merging large databases to create analytical datasets; performing simple analytical tasks using SAS or other analytical tools; maintaining and troubleshooting software and programs; and implementing automated reporting and data loading schemes.
**Essential Responsibilities:**
* Pursues self\-development and effective relationships with others by sharing resources, information, and knowledge with coworkers and customers; listening, responding to, and seeking performance feedback; acknowledging strengths and weaknesses; assessing and responding to the needs of others; and adapting to and learning from change, difficulties, and feedback.
* Completes work assignments by applying up\-to\-date knowledge in subject area to meet deadlines; following procedures and policies and applying data, and resources to support projects or initiatives; collaborating with others, often cross\-functionally, to solve business problems; supporting the completion of priorities, deadlines, and expectations; communicating progress and information; identifying and recommending ways to address improvement opportunities when possible; and escalating issues or risks as appropriate.
* Assists with data analysis interpretation by organizing and editing reports and presentations telling a compelling story to stakeholders to enable and influence decision making.
* Supports data\-informed decisions under the guidance of more senior employees by working with clients to identify and clarify key business needs; assisting in the development of outcomes and process measures; translating business requirements; informing data/information needs and data collection methods; measuring the impact of business decisions on clients, customers, and/or members; working with clients and staff to identify opportunities and methods to improve efficiencies with analysis; supporting end\-users; and documenting processes and deliverables.
* Assists with data and information gathering for targeted variables in an established systematic fashion by cleaning and organizing data; querying, merging, and extracting data across sources; completing routine data refresh and update; and providing user support and documentation.
* Supports data preparation for analytic efforts under the guidance of more senior employees by cleaning data to ensure quality and accuracy based on provided guidelines; and consolidating data.
* Assists with the execution of creative data analytic approaches leading to actionable outcomes by organizing metrics to be analyzed and calculating algorithms and conducting basic analyses under the guidance of more senior employees, including descriptive statistics.
* Assists with the development, implementation, and automation of business and reporting solutions by creating summary statistics; organizing data reports, visualizations, and/or interactive Business Intelligence (BI) reports; identifying opportunities to improve exiting reporting solutions; and preparing documentation as appropriate.
**Minimum Qualifications:**
* Minimum one (1\) year experience programming with SAS, SQL, R or other similar analytical programming language.
* Bachelors degree in Mathematics, Statistics, Engineering, Social/Physical/Life Science, Business, or related field OR Minimum two (2\) years experience in data analytics or a directly related field.
**Additional Requirements:**
* Knowledge, Skills, and Abilities (KSAs): SAS Tools; SQL/SAS; Data Extraction; Data Mining; Data Visualization Tools; Statistical Programming Language; Relational Database Management; Project Management; Written Communication
**Preferred Qualifications:**
* One (1\) year relational database experience.
* One (1\) year experience working with data visualization tools.
* One (1\) year experience working with SQL.
* One (1\) year experience working with Open Source Tools (e g , R, Python).
**Primary Location:** 
 California,Pasadena,S. Los Robles Administration
**Scheduled Weekly Hours:** 
 40
**Shift:** 
 Day
**Workdays:** 
 Mon, Tue, Wed, Thu, Fri
**Working Hours Start:** 
 08:00 AM
**Working Hours End:** 
 05:00 PM
**Job Schedule:** 
 Full\-time
**Job Type:** 
 Standard
**Worker Location:** 
 Flexible
**Employee Status:** 
 Regular
**Employee Group/Union Affiliation:** 
 NUE\-SCAL\-01\|NUE\|Non Union Employee
**Job Level:** 
 Individual Contributor
**Department:** 
 Department of Research and Evaluation
**Pay Range:** 
 $85300 \- $110330 / year Kaiser Permanente is committed to pay equity and transparency. The posted pay range is based on possible base salaries for the role and does not include the value of our total rewards package. Actual pay determined at offer will be based on years of relevant work experience, education, certifications, skills and geographic location along with a review of current employees in similar roles to ensure that pay equity is achieved and maintained across Kaiser Permanente.
**Travel:** 
 Yes, 5 % of the Time
**Flexible:** 
 Work location is on\-site at a KP location, with the flexibility to work from home. Worker location must align with Kaiser Permanente's Authorized States policy. Kaiser Permanente is an equal opportunity employer committed to fair, respectful, and inclusive workplaces. Applicants will be considered for employment without regard to race, religion, sex, age, national origin, disability, veteran status, or any other protected characteristic or status.
 For jobs where work will be performed in unincorporated LA County, the employer provides the following statement in accordance with the Los Angeles County Fair Chance Ordinance. Criminal history may have a direct, adverse, and negative relationship on the following job duties, potentially resulting in the withdrawal of the conditional offer of employment:
* Consistently supports compliance and the Principles of Responsibility (Kaiser Permanente's Code of Conduct) by maintaining the privacy and confidentiality of information, protecting the assets of the organization, acting with ethics and integrity, reporting non\-compliance, and adhering to applicable federal, state, and local laws and regulations, accreditation, and licensure requirements (where applicable), and Kaiser Permanente's policies and procedures.
* Models and reinforces ethical behavior in self and others in accordance with the Principles of Responsibility, adheres to organizational policies and guidelines; supports compliance initiatives; maintains confidences; admits mistakes; conducts business with honesty, shows consistency in words and actions; follows through on commitments.
* Job duties with at least occasional or possible access to: (1\) patients, the general public, or other employees; (2\) confidential protected health information and other confidential KP information (including employee, proprietary, financial or trade secret information); (3\) KP property and assets, for example, electronic assets, medical instruments, or devices; (4\) controlled substances regulated by federal law or potentially subject to diversion.</t>
        </is>
      </c>
    </row>
    <row r="48">
      <c r="A48" t="inlineStr">
        <is>
          <t>li-4372866774</t>
        </is>
      </c>
      <c r="B48" t="inlineStr">
        <is>
          <t>Lead Data Scientist Personal Banking and Wealth Analytics Vice President</t>
        </is>
      </c>
      <c r="C48" t="inlineStr">
        <is>
          <t>Citi</t>
        </is>
      </c>
      <c r="D48" t="inlineStr">
        <is>
          <t>linkedin</t>
        </is>
      </c>
      <c r="E48" t="inlineStr"/>
      <c r="F48" t="inlineStr"/>
      <c r="G48" t="inlineStr">
        <is>
          <t>Irving, TX</t>
        </is>
      </c>
      <c r="H48" t="inlineStr"/>
      <c r="I48" t="inlineStr">
        <is>
          <t>The Lead Data Scientist is a seasoned professional role. Applies in\-depth disciplinary knowledge, contributing to the development of new techniques and the improvement of processes and work\-flow for the area or function. Integrates subject matter and industry expertise within a defined area. Requires in\-depth understanding of how areas collectively integrate within the sub\-function as well as coordinate and contribute to the objectives of the function and overall business. Evaluates moderately complex and variable issues with substantial potential impact, where development of an approach/taking of an action involves weighing various alternatives and balancing potentially conflicting situations using multiple sources of information. Requires good analytical skills in order to filter, prioritize and validate potentially complex and dynamic material from multiple sources. Strong communication and diplomacy skills are required. Regularly assumes informal/formal leadership role within teams. Involved in coaching and training of new recruits
**Responsibilities:**
* Designs and manages vector databases (e.g., FAISS, Pinecone, or similar) to support semantic search and contextual memory in AI agents.
* Collaborates with cross\-functional teams to integrate AI agents into business processes, enhancing automation, decision\-making, and user experience.
* Conducts advanced data analysis and visualization to extract actionable insights from structured and unstructured data sources.
* Stays current with emerging trends in generative AI, LLM orchestration, and agentic systems to continuously improve solution design.
* Develops complex data \&amp; analytical solutions using python, Pyspark, SQL to identify the compliance/regulation issues.
* Identifies the right data elements needed for the solution and able to distinguish the critical data element vs non\-critical data element.
* Develops and implement AI\-driven solutions using Python, PySpark, and LangChain, with a focus on retrieval\-augmented generation (RAG) architectures and agentic workflows.
* Leverages GCP Vertex AI, including Gemini models, to build scalable machine learning and generative AI applications.
* Conducts strategic data analysis, identifies insights and implications and make strategic recommendations, develops data displays that clearly communicate complex analysis.
* Mines and analyzes data from various banking platforms to drive optimization and improve data quality.
* Deliver analytics initiatives to address business problems with the ability to determine data required, assess time \&amp; effort required and establish a project plan.
* Consults with business clients to determine system functional specifications. Applies comprehensive understanding of how multiple areas collectively integrate to contribute towards achieving business objectives.
* Consults with users and clients to solve complex system issues/problems through in\-depth evaluation of business processes, systems and industry standards; recommends solutions.
* Assists system change process from requirements through implementation; provides user and operational support of application to business users.
* Assists in the formulation and definition systems scope and objectives for complex projects through research and fact\-finding combined with an understanding of applicable business systems and industry standards.
* Communicates with the business directly by ensuring the quality of work provided by self and others; impacts own team and closely related work teams.
* Considers the business implications of the application of technology to the current business environment; identifies and communicates risks and impacts.
* Communicate between business leaders and IT exhibiting sound and comprehensive communication and diplomacy skills to exchange complex information.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 Performs other duties and functions as assigned.
**Qualifications:**
* 7\-10 years experience in technology or data science area
* 6\+ years in data science, machine learning, and AI system development preferred
* Experience using tools for statistical modeling of large data sets
* Strong proficiency in Python, PySpark, and LangChain, with a portfolio of projects involving RAG pipelines and agentic AI.
* Experience working with GCP Vertex AI, especially Gemini models, and deploying models in production environments preferred
* Familiarity with vector databases and their role in semantic search and memory for AI agents preferred
* Solid foundation in data analytics, including statistical modeling, data wrangling, and visualization.
* Ability to translate complex technical concepts into business value and communicate effectively with both technical and non\-technical stakeholders.
* Strong knowledge in data engineering and data base concepts, able to identify right data elements needed for the solution.
* Financial services industry work experience preferred
* Experience designing and deploying solutions using Python, Pyspark, generative AI and (or) agentic AI frameworks, with a deep understanding of modern data analytics pipelines preferred
* Ability to effectively use complex analytical, interpretive and problem solving techniques.
* Demonstrated interpersonal, verbal and written communication skills.
* Methodical attention to detail
**Education:**
* Bachelor’s/University degree or equivalent experience, potentially Masters degree
 \-\-\-\-\-\-\-\-\-\-\-\-\-\-\-\-\-\-\-\-\-\-\-\-\-\-\-\-\-\-\-\-\-\-\-\-\-\-\-\-\-\-\-\-\-\-\-\-\-\-\-\-\-\-
**Job Family Group:**
 Risk Management
 \-\-\-\-\-\-\-\-\-\-\-\-\-\-\-\-\-\-\-\-\-\-\-\-\-\-\-\-\-\-\-\-\-\-\-\-\-\-\-\-\-\-\-\-\-\-\-\-\-\-\-\-\-\-
**Job Family:**
 Model Development and Analytics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**Most Relevant Skills**
 Analytical Thinking, Business Acumen, Constructive Debate, Data Analysis, Escalation Management, Policy and Procedure, Policy and Regulation, Risk Controls and Monitors, Risk Identification and Assessment, Statistics.
 \-\-\-\-\-\-\-\-\-\-\-\-\-\-\-\-\-\-\-\-\-\-\-\-\-\-\-\-\-\-\-\-\-\-\-\-\-\-\-\-\-\-\-\-\-\-\-\-\-\-\-\-\-\-
**Other Relevant Skills**
 For complementary skills, please see above and/or contact the recruiter.
 \-\-\-\-\-\-\-\-\-\-\-\-\-\-\-\-\-\-\-\-\-\-\-\-\-\-\-\-\-\-\-\-\-\-\-\-\-\-\-\-\-\-\-\-\-\-\-\-\-\-\-\-\-\-
**Anticipated Posting Close Date:**
 Mar 29, 2026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row>
    <row r="49">
      <c r="A49" t="inlineStr">
        <is>
          <t>li-4366329000</t>
        </is>
      </c>
      <c r="B49" t="inlineStr">
        <is>
          <t>Applied Scientist , TSI Science</t>
        </is>
      </c>
      <c r="C49" t="inlineStr">
        <is>
          <t>Amazon</t>
        </is>
      </c>
      <c r="D49" t="inlineStr">
        <is>
          <t>linkedin</t>
        </is>
      </c>
      <c r="E49" t="inlineStr"/>
      <c r="F49" t="inlineStr"/>
      <c r="G49" t="inlineStr">
        <is>
          <t>Seattle, WA</t>
        </is>
      </c>
      <c r="H49" t="inlineStr"/>
      <c r="I49" t="inlineStr">
        <is>
          <t>**Description**
 Do you want to join an innovative team of scientists who use machine learning and statistical techniques to help Amazon provide the best customer experience by preventing eCommerce fraud? Are you excited by the prospect of analyzing and modeling terabytes of data and creating state\-of\-the\-art algorithms to solve real world problems? Do you like to own end\-to\-end business problems/metrics and directly impact the profitability of the company? Do you enjoy collaborating in a diverse team environment?
 If yes, then you may be a great fit to join the Amazon Selling Partner Trust \&amp; Store Integrity Science Team. We are looking for a talented scientist who is passionate to build advanced machine learning systems that help manage the safety of millions of transactions every day and scale up our operation with automation.
 Key job responsibilities
 Innovate with the latest GenAI/LLM/VLM technology to build highly automated solutions for efficient risk evaluation and automated operations
 Design, develop and deploy end\-to\-end machine learning solutions in the Amazon production environment to create impactful business value
 Learn, explore and experiment with the latest machine learning advancements to create the best customer experience
 A day in the life
 You will be working within a dynamic, diverse, and supportive group of scientists who share your passion for innovation and excellence.
 You'll be working closely with business partners and engineering teams to create end\-to\-end scalable machine learning solutions that address real\-world problems. You will build scalable, efficient, and automated processes for large\-scale data analyses, model development, model validation, and model implementation.
 You will also be providing clear and compelling reports for your solutions and contributing to the ongoing innovation and knowledge\-sharing that are central to the team's success.
**Basic Qualifications**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Track record of leading large\-scale AI transformation projects, and strong publication record in top\-tier conferences/journals such as CVPR, NeuIPS, ICML, ACL, EMNLP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\- 142,800\.00 \- 193,200\.00 USD annually
**Company** 
 \- Amazon.com Services LLC
 Job ID: A3166928</t>
        </is>
      </c>
    </row>
    <row r="50">
      <c r="A50" t="inlineStr">
        <is>
          <t>li-4373988989</t>
        </is>
      </c>
      <c r="B50" t="inlineStr">
        <is>
          <t>Principal, AI Data Scientist</t>
        </is>
      </c>
      <c r="C50" t="inlineStr">
        <is>
          <t>BioSpace</t>
        </is>
      </c>
      <c r="D50" t="inlineStr">
        <is>
          <t>linkedin</t>
        </is>
      </c>
      <c r="E50" t="inlineStr"/>
      <c r="F50" t="inlineStr"/>
      <c r="G50" t="inlineStr">
        <is>
          <t>Philadelphia, PA</t>
        </is>
      </c>
      <c r="H50" t="inlineStr"/>
      <c r="I50" t="inlineStr">
        <is>
          <t>**If you are a current Jazz employee please apply via the Internal Career site.**
 Jazz Pharmaceuticals is a global biopharma company whose purpose is to innovate to transform the lives of patients and their families. We are dedicated to developing life\-changing medicines for people with serious diseases — often with limited or no therapeutic options. We have a diverse portfolio of marketed medicines, including leading therapies for sleep disorders and epilepsy, and a growing portfolio of cancer treatments. Our patient\-focused and science\-driven approach powers pioneering research and development advancements across our robust pipeline of innovative therapeutics in oncology and neuroscience. Jazz is headquartered in Dublin, Ireland with research and development laboratories, manufacturing facilities and employees in multiple countries committed to serving patients worldwide. Please visit www.jazzpharmaceuticals.com for more information.
**Brief Description**
 The Principal, AI Data Scientist will be responsible for supporting the implementation of innovative, complex and transformative AI/ML/GenAI solutions across the areas of Clinical Trial Execution and Digital Healthcare across Jazz Research and Development.
**Essential Functions**
* Support the development and implementation of AI/ML/GenAI solutions to optimize clinical trial operations, including such areas as patient recruitment, patient retention, real\-time data monitoring and automated data collection system build.
* Support the development and implementation GenAI applications for automated clinical trial documentation generation including such areas medical reports, clinical study reports, protocols and patient narratives.
* Support the development and implementation of Digital Healthcare applications for medical and scientific tools, RWE new ways of generating real data, patients’ engagement.
* Support the design and develop predictive models and generative AI solutions using diverse healthcare data sources, including clinical trials data, electronic health records, wearable devices, patient\-reported outcomes, HEOR data, phase IV studies.
* Collaborate with cross\-functional teams including clinical operations, clinical development, data science and global medical \&amp; scientific affairs, RWE and patients working groups to tackle business challenges and bring value of AI\-driven solutions.
* Ensuring compliance with regulatory requirements and data privacy standards.
* Facilitate knowledge sharing and exchange within Jazz Data Science and across Jazz Research and Development.
**Required Knowledge, Skills And Abilities**
* Strong programming skills in Python, R, or similar languages, with experience in modern ML frameworks (PyTorch, TensorFlow).
* Demonstrated experience with generative AI technologies, including LLM architectures and frameworks.
* Knowledge/experience with digital healthcare tools design and development
* Experience with natural language processing and generative AI for medical text analysis, generation, and interpretation.
* Demonstrated ability to build relationships with stakeholders and subject matter experts.
* Familiarity with high compute cloud\-based platforms and services, in particular AWS.
* Familiarity with code version control and MLOps deployment approaches.
* Ability to understand healthcare challenges and adapt accordingly the AI solutions.
* Cross\-functions high adaptability to meet cross organization goals.
**Required/Preferred Education**
* Advanced degree (MS or PhD) in Data Science, Computer Science, Biostatistics, or related field
* 3 – 5 years of related professional experience, with 1\+ years of experience applying AI/ML techniques to healthcare or clinical research data.
* Experience in healthcare/AI implementation in healthcare field is a plus.
* Knowledge in digital healthcare tools design and development
**Description Of Physical Demands**
* Occasional mobility within office environment
* Routinely sitting for extended periods of time
* Constantly operating a computer, printer, telephone and other similar office machinery
*Jazz Pharmaceuticals is an equal opportunity/affirmative action employer and all qualified applicants will receive consideration for employment without regard to race, color, religion, sex, national origin, disability status, protected veteran status, or any characteristic protected by law.*
 The successful candidate will also be eligible to participate in various benefits offerings, including, but not limited to, medical, dental and vision insurance, retirement savings plan, and flexible paid vacation. For more information on our Benefits offerings please click here: https://careers.jazzpharma.com/benefits.html.</t>
        </is>
      </c>
    </row>
    <row r="51">
      <c r="A51" t="inlineStr">
        <is>
          <t>li-4366319140</t>
        </is>
      </c>
      <c r="B51" t="inlineStr">
        <is>
          <t>Senior Applied Scientist, Amazon Industrial Robotics</t>
        </is>
      </c>
      <c r="C51" t="inlineStr">
        <is>
          <t>Amazon</t>
        </is>
      </c>
      <c r="D51" t="inlineStr">
        <is>
          <t>linkedin</t>
        </is>
      </c>
      <c r="E51" t="inlineStr"/>
      <c r="F51" t="inlineStr"/>
      <c r="G51" t="inlineStr">
        <is>
          <t>Middlesex County, MA</t>
        </is>
      </c>
      <c r="H51" t="inlineStr"/>
      <c r="I51" t="inlineStr">
        <is>
          <t>**Description**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dexterous manipulation system that:
* Enables unprecedented generalization across diverse tasks
* Enables contact\-rich manipulation in different environments
* Seamlessly integrates low\-level skills and high\-level behaviors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A day in the life
* Lead design and implementation of methods for Visual SLAM, navigation and spatial reasoning
* Leverage simulation and real\-world data collection to create large datasets for model development
* Develop a hierarchical system that combines low\-level control with high\-level planning
* Collaborate effectively with multi\-disciplinary teams to co\-design hardware and algorithms for dexterous manipulation
**Basic Qualifications**
* PhD, or Master's degree and 6\+ years of applied research experience
* Experience programming in Java, C\+\+, Python or related language
* High expertise and experience with state\-of\-the\-art in SLAM techniques
* Experience with data generation in simulation and real world
**Preferred Qualifications**
* Experience working effectively across cross\-functional teams and partnering well with people at all levels within an organization
* PhD in Robotics, with focus on SLAM
* Experience in robotic manipulation, LLM, VLA, MPC and RL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
**Company** 
 \- Amazon.com Services LLC
 Job ID: A3167164</t>
        </is>
      </c>
    </row>
    <row r="52">
      <c r="A52" t="inlineStr">
        <is>
          <t>li-4366311384</t>
        </is>
      </c>
      <c r="B52" t="inlineStr">
        <is>
          <t>Senior Applied Scientist, Amazon Industrial Robotics</t>
        </is>
      </c>
      <c r="C52" t="inlineStr">
        <is>
          <t>Amazon</t>
        </is>
      </c>
      <c r="D52" t="inlineStr">
        <is>
          <t>linkedin</t>
        </is>
      </c>
      <c r="E52" t="inlineStr"/>
      <c r="F52" t="inlineStr"/>
      <c r="G52" t="inlineStr">
        <is>
          <t>Middlesex County, MA</t>
        </is>
      </c>
      <c r="H52" t="inlineStr"/>
      <c r="I52" t="inlineStr">
        <is>
          <t>**Description**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dexterous manipulation system that:
* Enables unprecedented generalization across diverse tasks
* Enables contact\-rich manipulation in different environments
* Seamlessly integrates low\-level skills and high\-level behaviors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A day in the life
* Lead design and implementation of methods for Visual SLAM, navigation and spatial reasoning
* Leverage simulation and real\-world data collection to create large datasets for model development
* Develop a hierarchical system that combines low\-level control with high\-level planning
* Collaborate effectively with multi\-disciplinary teams to co\-design hardware and algorithms for dexterous manipulation
**Basic Qualifications**
* PhD, or Master's degree and 6\+ years of applied research experience
* Experience programming in Java, C\+\+, Python or related language
* High expertise and experience with state\-of\-the\-art in SLAM techniques
* Experience with data generation in simulation and real world
**Preferred Qualifications**
* Experience working effectively across cross\-functional teams and partnering well with people at all levels within an organization
* PhD in Robotics, with focus on SLAM
* Experience in robotic manipulation, LLM, VLA, MPC and RL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
**Company** 
 \- Amazon.com Services LLC
 Job ID: A3167164</t>
        </is>
      </c>
    </row>
    <row r="53">
      <c r="A53" t="inlineStr">
        <is>
          <t>li-4366319138</t>
        </is>
      </c>
      <c r="B53" t="inlineStr">
        <is>
          <t>Sr. Applied Scientist, Measurement, AdTech and Data Science , Performance Measurement</t>
        </is>
      </c>
      <c r="C53" t="inlineStr">
        <is>
          <t>Amazon</t>
        </is>
      </c>
      <c r="D53" t="inlineStr">
        <is>
          <t>linkedin</t>
        </is>
      </c>
      <c r="E53" t="inlineStr"/>
      <c r="F53" t="inlineStr"/>
      <c r="G53" t="inlineStr">
        <is>
          <t>Seattle, WA</t>
        </is>
      </c>
      <c r="H53" t="inlineStr"/>
      <c r="I53" t="inlineStr">
        <is>
          <t>**Description**
 The Ads Measurement Science team within Amazon Ads' Measurement, AdTech, and Data Science (MADS) organization
 serves a centralized role developing solutions for a multitude of performance measurement products to measure the full impact of advertiser spend, including both online and offline sales impacts across all timeframes. It delivers actionable insights for advertisers to optimize media portfolios. We also build science solutions for AI and AI\-powered tools that unlock new insights and automate high\-effort customer workflows for ad measurement, such as custom query and report generation based on natural language user requests. We leverage new technologies including Generative AI, machine learning, causal inference, natural Language Processing (NLP), and Computer Vision (CV) to drive these innovations.
 A key focus of this role is Modeled Attribution, Amazon's privacy\-compliant measurement system serving millions of advertisers and processing billions of events monthly across global marketplaces. We apply state\-of\-the\-art machine learning and GenAI techniques to generate accurate measurement when user identity is unavailable, representing Amazon's technical response to industry\-transforming privacy regulations and platform changes.
 As a Senior Applied Scientist (Applied Scientist III) on the team, you will lead the development of measurement solutions end\-to\-end from inception to production. You will define the technical vision for complex measurement initiatives that span multiple teams. You will drive scientific innovation at scale while influencing business and engineering strategies. You will propose, design, analyze, and productionize models to provide novel measurement insights to our customers.
 Key job responsibilities
* Innovate on state\-of\-the\-art ads measurement solutions leveraging artificial intelligence, causal inference, natural language processing, computer vision, and large language models
* Directly contribute to the end\-to\-end delivery of production solutions through careful designs and owning implementation of significant portions of critical\-path code
* Lead the decomposition of problems and development of roadmaps to execute on it
* Set an example for others with exemplary analyses; maintainable, extensible code; and simple, effective solutions
* Influence team business and engineering strategies
* Communicate clearly and effectively with stakeholders to drive alignment and build consensus on key initiatives
* Foster collaborations among scientists and engineers to move fast and broaden impact
* Actively engage in the development of others, both within and outside of the team
* Regularly engage with the broader science community with presentations, publications, and patents
**About The Team**
 We are a team of scientists across Applied, Research, Data Science and Economist disciplines. You will work with colleagues with deep expertise in ML, NLP, CV, Gen AI, and Causal Inference with a diverse range of backgrounds. We partner closely with top\-notch engineers, product managers, sales leaders, and other scientists with expertise in the ads industry and on building scalable modeling and software solutions.
**Basic Qualifications**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
**Company** 
 \- Amazon.com Services LLC
 Job ID: A3167249</t>
        </is>
      </c>
    </row>
    <row r="54">
      <c r="A54" t="inlineStr">
        <is>
          <t>li-4373004008</t>
        </is>
      </c>
      <c r="B54" t="inlineStr">
        <is>
          <t>Data Scientist</t>
        </is>
      </c>
      <c r="C54" t="inlineStr">
        <is>
          <t>Haystack</t>
        </is>
      </c>
      <c r="D54" t="inlineStr">
        <is>
          <t>linkedin</t>
        </is>
      </c>
      <c r="E54" t="inlineStr"/>
      <c r="F54" t="inlineStr"/>
      <c r="G54" t="inlineStr"/>
      <c r="H54" t="inlineStr"/>
      <c r="I54" t="inlineStr">
        <is>
          <t>**Data Scientist \| $77,600 \- 176,000 \| Remote/Hybrid** 
 We're working with Booz Allen Hamilton on this exciting opportunity.
 Unleash the power of data to solve global challenges! As a Data Scientist, you'll transform complex datasets into actionable insights, leveraging cutting\-edge technologies like IoT, machine learning, and AI. This is your chance to make a real\-world impact across diverse sectors, from fraud detection to national intelligence.
**The Role** 
 • Partner with clients to understand their needs and solve complex data puzzles.
 • Develop advanced algorithms and systems to extract meaningful information from vast datasets.
 • Utilize Python, R, or SQL for statistical analysis and general\-purpose programming.
 • Design and develop automated analytic software, techniques, and algorithms.
 • Create impactful data visualizations using tools like Tableau, PowerBI, or FOSS libraries like seaborn and matplotlib.
**What You'll Need** 
 • Proven experience in data exploration, cleaning, analysis, visualization, and mining.
 • Expertise in creating robust ETL pipelines, including API querying and schema design.
 • Strong knowledge of version control tools such as Git, GitLab, GitHub, or Bitbucket.
 • Solid understanding of statistical analysis, predictive modeling, and machine learning methods.
 • Bachelor's degree in Data Science or Computer Science, or 4\+ years of relevant experience.
 • TS/SCI clearance is required.
**What's On Offer** 
 • Be part of a team that uses data science for good, tackling critical global issues.
 • Engage with a collaborative environment where continuous learning and development are highly valued.
 • Comprehensive benefits package including health, retirement, and professional growth opportunities.
 • A flexible work model that prioritizes your well\-being, with hybrid work options.
**Apply via Haystack today!**</t>
        </is>
      </c>
    </row>
    <row r="55">
      <c r="A55" t="inlineStr">
        <is>
          <t>li-4373987306</t>
        </is>
      </c>
      <c r="B55" t="inlineStr">
        <is>
          <t>Data Scientist</t>
        </is>
      </c>
      <c r="C55" t="inlineStr">
        <is>
          <t>ICONMA</t>
        </is>
      </c>
      <c r="D55" t="inlineStr">
        <is>
          <t>linkedin</t>
        </is>
      </c>
      <c r="E55" t="inlineStr"/>
      <c r="F55" t="inlineStr"/>
      <c r="G55" t="inlineStr">
        <is>
          <t>Houston, TX</t>
        </is>
      </c>
      <c r="H55" t="inlineStr"/>
      <c r="I55" t="inlineStr">
        <is>
          <t>We are unable to provide sponsorship nor work with candidates that are not on our W2\.
 Our Client, an Oilfield Services company, is looking for a Data Scientist for direct hire at their Houston, TX location.
**Responsibilities:**
* Processing, augmentation, feature engineering for financial, industrial, IoT, medical, or other sensor streams (univariate/multivariate time series).
* Sensor Data Analysis: expertise with diverse sensor modalities (e.g., accelerometers, temperature, vibration, audio, images), sampling rates, synchronization, and real\-world noise/artifact handling.
* Multi\-Modality Learning: integrating heterogeneous data types (time series, images, text, audio, structured) into robust deep learning architectures; cross\-modal representation learning.
* Machine Learning \&amp; Foundation Model Expertise
* Self\-supervised and Semi\-supervised Learning: time series foundation models, masked modeling, contrastive methods, temporal predictive coding, multimodal alignment and fusion.
* Model Architectures: sequence models (RNNs, GRU/LSTM, TCN), 1D/2D/3D CNNs, Transformers (BERT, ViT, TimeSFormer), graph neural networks, diffusion/generative models, multi\-modal/fusion encoders.
* Transfer Learning \&amp; Fine\-Tuning at Scale: prompt/adapter\-based strategies, temporal domain adaptation, few\-shot learning for specialized tasks.
* Evaluation Metrics: regression/classification (MSE, F1, AUC), time series similarity (DTW, correlation), event detection/segmentation (IoU, accuracy), business/end\-user KPIs.
**Requirements:**
* Programming: expert Python (NumPy, SciPy, Pandas), C\+\+/CUDA for custom kernels and high\-performance preprocessing.
* Deep Learning Frameworks: PyTorch (Lightning, Distributed), TensorFlow/Keras, JAX/Flax.
* Large\-scale Training: multi\-GPU, multi\-node clusters, mixed\-precision, ZeRO optimization, scalable data loaders for long sequences.
* Data Engineering: robust pipelines for ingesting, cleaning, segmenting, and aligning large\-scale, time\-synchronized multi\-sensor datasets.
* Linear Algebra, Probability \&amp; Statistics, Optimization (stochastic, convex/non\-convex, Bayesian).
* Signal Processing: Fourier/wavelet analysis, filters (Kalman, Savitzky\-Golay), resampling, noise modeling.
* Numerical Methods: ODE/PDE solvers, inverse problems, regularization, time\-frequency methods for complex systems.
* Cross\-disciplinary teamwork with domain experts, engineers, product owners, and end\-users from industrial, scientific, or medical backgrounds.
* Clear presentation of complex model behaviors (interpretability, attention analysis), uncertainty quantification, and value impact.
* MS / Ph.D. in computer science, data science and AI or related fields.
* 3\+ years of relevant experience in data science and AI or related fields.
**Why Should You Apply?**
* Health Benefits
* Referral Program
* Excellent growth and advancement opportunities
*As an equal opportunity employer, ICONMA provides an employment environment that supports and encourages the abilities of all persons without regard to race, color, religion, gender, sexual orientation, gender identity or express, ethnicity, national origin, age, disability status, political affiliation, genetics, marital status, protected veteran status, or any other characteristic protected by federal, state, or local laws.*</t>
        </is>
      </c>
    </row>
    <row r="56">
      <c r="A56" t="inlineStr">
        <is>
          <t>li-4373993671</t>
        </is>
      </c>
      <c r="B56" t="inlineStr">
        <is>
          <t>Senior Data Scientist</t>
        </is>
      </c>
      <c r="C56" t="inlineStr">
        <is>
          <t>bet365</t>
        </is>
      </c>
      <c r="D56" t="inlineStr">
        <is>
          <t>linkedin</t>
        </is>
      </c>
      <c r="E56" t="inlineStr"/>
      <c r="F56" t="inlineStr"/>
      <c r="G56" t="inlineStr">
        <is>
          <t>Denver, CO</t>
        </is>
      </c>
      <c r="H56" t="inlineStr"/>
      <c r="I56" t="inlineStr">
        <is>
          <t>At bet365, we're one of the world's leading online gambling companies, revolutionising the industry since 2000\. Founded by Denise Coates CBE, we now employ over 9,000 people and serve over 100 million customers in 27 languages. Our focus on In\-Play betting has solidified our market\-leading position, offering an unmatched experience across 96 sports and 700,000 streaming events. With over 750 concurrent sporting fixtures at peak and more live sports streamed than anyone else in Europe, we handle over 6 billion HTTP requests daily and process more than 2 million bets per hour at peak.
 We empower our employees to push boundaries and explore new ideas, cultivating a culture that celebrates and rewards creativity. This offers employees a wealth of opportunities for growth, giving them the opportunity to make a real impact in the world of online gambling. As a forward\-thinking company, we’re breaking new ground in software innovation too, redefining what’s possible for our customers worldwide.
**Job Description** 
 As a Senior Data Scientist, you will accelerate our end\-to\-end machine learning lifecycle, building on our strong data science foundation to scale impact and automate business decisions.
 The data science team is at the forefront of driving business decisions, we are now scaling our impact with a focus on automation and advanced MLOps practices on Google Cloud.
 This is a key technical leadership role where you will champion rapid iteration and innovation, this will be instrumental in elevating our ability to deliver measurable value. You will be responsible for the end\-to\-end lifecycle of machine learning solutions that optimize our Sports and Gaming products, from development to automated deployment and monitoring.
 This is an exciting opportunity to apply cutting\-edge data science and MLOps principles in a fast\-paced, high\-impact environment, tackling complex challenges in areas like Trading, Fraud, Responsible Gaming, and Personalization.
 The listed salary for this position is $135,000 – $150,000 annually.
**Qualifications** 
* PhD or MSc in a quantitative field such as Computer Science, Statistics, or Engineering, or equivalent industry experience delivering complex data science projects.
* Demonstrable experience deploying and maintaining machine learning systems in a production environment with measurable business impact.
* Strong programming skills in Python and deep expertise in data science libraries such as, Scikit\-learn, Pandas, NumPy, XGBoost.
* Advanced proficiency in SQL, with hands\-on experience querying and manipulating large, complex datasets, preferably with Google BigQuery.
* Extensive hands\-on experience with Google Cloud Platform (GCP), including building and automating ML workflows with Vertex AI pipelines, managing datasets, training models, and deploying to Vertex AI.
* Experience using collaborative development environments such as Vertex AI Workbench for rapid prototyping, exploration, and analysis.
* Experience leveraging other core GCP services such as BigQuery, Cloud Storage, and Cloud Functions to build end\-to\-end data solutions.
* Solid understanding of CI/CD principles and tools such as Cloud Build or GitLab CIfor automating ML workflows.
* Experience with containerization such as Docker, Kubernetes/GKE.
**Additional Information** 
* Owning the full data science lifecycle, from initial ideation and rapid prototyping in tools such as Vertex AI Workbench, to deploying production\-grade models and pipelines that are robust, scalable, and automated.
* Leading the implementation of advanced MLOps principles within our Google Cloud environment, designing, building, and maintaining CI/CD/CT pipelines for automated model deployment using Vertex AI Pipelines and other GCP services.
* Partnering proactively with stakeholders in Product, Responsible Gaming, Trading, and other teams to identify high impact opportunities and translate complex business needs into tangible data science use cases.
* Building and implementing frameworks for automated model testing, validation, and monitoring using tools such as Vertex AI Model Monitoring to detect drift and ensure performance at scale.
* Designing, implementing, and rigorously analyzing A/B tests and other experiments to measure the impact of models and strategies, ensuring data\-driven solutions deliver clear, quantifiable value.
* Researching and championing the adoption of innovative data science and MLOps techniques, tools, and methodologies that solve problems efficiently, prioritizing impact over complexity.
* Acting as a technical leader and mentor for other data scientists, fostering a culture of continuous learning and high\-velocity execution.
 bet365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57">
      <c r="A57" t="inlineStr">
        <is>
          <t>li-4351237528</t>
        </is>
      </c>
      <c r="B57" t="inlineStr">
        <is>
          <t>Principal, Data Scientist (Finance)</t>
        </is>
      </c>
      <c r="C57" t="inlineStr">
        <is>
          <t>Datasite</t>
        </is>
      </c>
      <c r="D57" t="inlineStr">
        <is>
          <t>linkedin</t>
        </is>
      </c>
      <c r="E57" t="inlineStr"/>
      <c r="F57" t="inlineStr"/>
      <c r="G57" t="inlineStr">
        <is>
          <t>Georgia, United States</t>
        </is>
      </c>
      <c r="H57" t="inlineStr"/>
      <c r="I57" t="inlineStr">
        <is>
          <t>Datasite and its associated businesses are the global center for facilitating economic value creation for companies across the globe. From data rooms to AI deal sourcing
 and more. Here you’ll find the finest technological pioneers: Datasite, Blueflame AI, Firmex, Grata, and Sherpany. They all, collectively, define the future for business growth.
 Apply for one position or as many as you like. Talent doesn’t always just go in one direction or fit in a single box. We’re happy to see whatever your superpower is and find the best place for it to flourish.
 Get started now, we look forward to meeting you..
**Job Description**
 As a
 **Principal Data Scientist,** 
 you will be the technical lead and primary "engine" of our data science initiatives. Reporting to the Director of Data Science, you are a high\-level individual contributor responsible for solving our most complex, abstract business problems through advanced mathematical modeling. You will lead the end\-to\-end development of "Data Intelligence Products" \- from high\-dimensional forecasting and financial risk engines to ML\-driven revenue optimization. While this is an IC role, you will set technical standard for the department, acting as a mentor to junior analysts and an architect for our predictive ecosystem.
**Responsibilities**
* Advanced Technical Execution (The Engine)
* Elite Predictive Modeling: Lead the research, design, and deployment of sophisticated models for time\-series revenue forecasting, unit economics, and profitability.
* Risk \&amp; Uncertainty Quantification: Develop advanced statistical tools to predict financial risk and operational volatility, providing the business with probabilistic guardrails.
* Algorithmic Innovation: Move beyond standard libraries to build custom ML solutions that address the specific nuances of our finance and project data.
* Experimental Design: Architect rigorous A/B and multivariate testing frameworks to measure the causal impact of business decisions and product iterations.
* Technical Architecture \&amp; Productization (The Bridge)
* Model Orchestration: Partner with the Data Engineering team to design the "last mile" of ML deployment—ensuring your models run reliably within our Snowflake/dbt environment.
* Seamless Integration: Ensure model outputs are elegantly integrated into Power BI semantic models, turning complex statistical distributions into actionable business signals.
* Code Excellence: Set the bar for the Data Science "Playbook," establishing rigorous standards for reproducible research, version control, and model validation.
* Strategic \&amp; Technical Leadership (The Growth)
* Discovery \&amp; R\&amp;D: Proactively identify opportunities for ML/AI to drive ROI, staying ahead of industry trends in LLMs, deep learning, and predictive analytics.
* Abstract Problem Solving: Take high\-level business queries from the Director or C\-suite and translate them into mathematically sound, executable project plans.
* The Intelligence Stack: Expert\-level mastery of Python and SQL. Extensive experience deploying production\-grade models within a cloud environment (Snowflake preferred).
**The Ideal Candidate Profile**
**Technical Mastery**
* The ML Toolbelt: Deep expertise in the Python Data Science stack (e.g., scikit\-learn, XGBoost, LightGBM) and deep learning frameworks (e.g., PyTorch or TensorFlow).
* Predictive Expertise: Deep experience in time\-series forecasting, supervised learning, and causal inference. Time\-Series \&amp; Forecasting: Mastery of libraries dedicated to financial and demand forecasting, such as Prophet, statsmodels, or sktime.
* MLOps \&amp; Deployment: Experience with model lifecycle management tools (e.g., MLflow, Weights \&amp; Biases) and deploying models via containers (Docker/Kubernetes) or as serverless functions.
* Statistical Logic: You don't just run models; you understand the "why" behind the math and can defend your methodology to technical and non\-technical audiences.
* Mathematical Depth: Deep expertise in supervised/unsupervised learning, Bayesian statistics, time\-series analysis, and causal inference.
* Generative AI \&amp; LLMs: Working knowledge of integrating LLMs (via LangChain, OpenAI API, or Hugging Face) into business workflows for unstructured data analysis.
* The Modern Data Stack: Proficiency in using Snowflake as a feature store and dbt for feature engineering.
**Business \&amp; Leadership Skills**
* Finance Acumen: You understand the levers of a P\&amp;L and how predictive modeling impacts revenue and margin.
* Communication: Exceptional ability to simplify complex "black box" concepts for executive stakeholders.
**Qualifications**
* 8–10\+ years of experience in Data Science, with a track record of delivering high\-impact predictive models in a corporate or production environment.
* Proven IC Leadership: Experience as a staff or principal\-level contributor who has successfully led large\-scale technical projects from concept to deployment.
* Modern Stack Experience: Deep familiarity with the Snowflake \+ dbt \+ Power BI ecosystem is a significant advantage.
* Proven track record of building and deploying predictive models using Python and SQL that achieved high business adoption.
* Toolkit Expertise: Hands\-on experience with ML orchestration tools and automated testing for model performance (e.g., monitoring for Data Drift and Model Decay).
* Cloud Infrastructure: Experience with cloud\-based ML platforms (e.g., Azure ML, AWS SageMaker, or Databricks) and how they integrate with data warehouses like Snowflake.
* Advanced Education: PhD or Master’s degree in a highly quantitative discipline (e.g., Physics, Mathematics, Statistics, Computer Science, or Economics).
 The base salary range represents the estimated low and high end for this position based on a good faith assessment of the role and market data at the time of posting. Consistent with applicable law, each candidate’s compensation offer may vary and will be determined based on but not limited to, your geographic region, skills, qualifications, and experience along with the requirements of the position. This position may be eligible for bonuses, commissions, or overtime if applicable. Benefits include health insurance (medical, dental, vision), a retirement savings plan, paid time off, and other employee benefits. Specific details will be provided during the interview process. Datasite reserves the right to modify this pay range at any time.
 $117,500\.00 \- $206,700\.00
 Our company is committed to fostering a diverse and inclusive workforce where all individuals are respected and valued. We are an equal opportunity employer and make all employment decisions without regard to race, color, religion, sex, gender identity, sexual orientation, age, national origin, disability, protected veteran status, or any other protected characteristic. We encourage applications from candidates of all backgrounds and are dedicated to building teams that reflect the diversity of our communities.</t>
        </is>
      </c>
    </row>
    <row r="58">
      <c r="A58" t="inlineStr">
        <is>
          <t>li-4371778417</t>
        </is>
      </c>
      <c r="B58" t="inlineStr">
        <is>
          <t>HEALTHCARE DATA SCIENTIST</t>
        </is>
      </c>
      <c r="C58" t="inlineStr">
        <is>
          <t>Cooper University Health Care</t>
        </is>
      </c>
      <c r="D58" t="inlineStr">
        <is>
          <t>linkedin</t>
        </is>
      </c>
      <c r="E58" t="inlineStr"/>
      <c r="F58" t="inlineStr"/>
      <c r="G58" t="inlineStr">
        <is>
          <t>Camden, NJ</t>
        </is>
      </c>
      <c r="H58" t="inlineStr"/>
      <c r="I58" t="inlineStr">
        <is>
          <t>**About Us**
 At
 **Cooper University Health Care** 
 , our commitment to providing extraordinary health care begins with our team. Our extraordinary professionals are continuously discovering clinical innovations and enhanced access to the most up\-to\-date facilities, equipment, technologies and research protocols. We have a commitment to our employees to provide competitive rates and compensation programs. Cooper offers full and part\-time employees a comprehensive benefits program, including health, dental, vision, life, disability, and retirement. We also provide attractive working conditions and opportunities for career growth through professional development.
**Discover why Cooper University Health Care is the employer of choice in South Jersey.**
**Short Description**
 The Data Scientist plays a pivotal role in planning, executing, and delivering machine learning\-based projects that drive business impact. This role involves analyzing large datasets, developing AI /ML /optimization models, and translating findings into actionable insights. The Data Scientist partners with business and operational leaders, supports senior leadership with analytics, and fosters a culture of data\-driven decision\-making across the organization.
**Experience Required**
 3 to 5 years of relevant project experience in successfully planning, and executing data science projects, including statistical analysis and data engineering.
**Education Requirements**
 Master's Degree Required.
 Master’s, or PhD in Computer Science, Data Science, Engineering, Statistics, Applied Mathematics, Operations Research, or a related quantitative field.
**License/Certification Requirements**
 Relevant certifications in data science/AI (e.g., Google Cloud Professional ML Engineer, AWS Certified Machine Learning).</t>
        </is>
      </c>
    </row>
    <row r="59">
      <c r="A59" t="inlineStr">
        <is>
          <t>li-4372896164</t>
        </is>
      </c>
      <c r="B59" t="inlineStr">
        <is>
          <t>Data Scientist</t>
        </is>
      </c>
      <c r="C59" t="inlineStr">
        <is>
          <t>Haystack</t>
        </is>
      </c>
      <c r="D59" t="inlineStr">
        <is>
          <t>linkedin</t>
        </is>
      </c>
      <c r="E59" t="inlineStr"/>
      <c r="F59" t="inlineStr"/>
      <c r="G59" t="inlineStr"/>
      <c r="H59" t="inlineStr"/>
      <c r="I59" t="inlineStr">
        <is>
          <t>**Data Governance and Metadata Scientist \| Remote/Hybrid \| $99,000 \- $225,000** 
 We're working with Booz Allen Hamilton on this exciting opportunity. Harness your data science expertise to solve global challenges, transforming complex datasets into actionable insights for critical decision\-making across diverse sectors, from fraud detection to national intelligence.
 Join a team where your leadership and data science skills will make a real\-world impact. Guide the development of cutting\-edge algorithms and systems, leveraging the latest tools and frameworks to unravel intricate data puzzles.
**The Role** 
 • Lead the implementation of robust metadata governance frameworks for structured and unstructured data in dynamic cloud\-based environments.
 • Drive data lineage tracking and ensure seamless metadata synchronization across Data Catalogs, ESRI Kubernetes, and enterprise metadata repositories.
 • Champion the utilization of OpenLineage, Apache Atlas, and other advanced tools for comprehensive metadata and data lineage management.
 • Enforce strict compliance with DoD metadata policies and NSG tradecraft standards, particularly for sensitive geospatial datasets.
 • Collaborate with clients to deeply understand their data needs, translating complex questions into data\-driven solutions that inform strategic decisions.
**What You'll Need** 
 • Proven experience in implementing metadata governance frameworks in cloud environments.
 • Expertise in tracking data lineage and ensuring metadata synchronization across various platforms (Data Catalog, ESRI Kubernetes).
 • Hands\-on experience with OpenLineage, Apache Atlas, or similar metadata and data lineage management tools.
 • Strong understanding and experience in enforcing compliance with DoD metadata policies and NSG tradecraft standards for geospatial datasets.
 • A Bachelor's degree in Data Science, Information Management, GIS, or 5\+ years of relevant experience in data governance, metadata management, or geospatial data integration.
**What's On Offer** 
 • Competitive compensation with a salary range of $99,000 to $225,000, ensuring your contributions are well\-rewarded.
 • Comprehensive benefits package including health, life, and disability insurance, along with robust financial and retirement plans.
 • Excellent opportunities for professional development, tuition assistance, and work\-life programs to support your growth and well\-being.
 • A dynamic hybrid work model, blending the benefits of flexibility with collaborative in\-person engagement.
**Apply via Haystack today!**</t>
        </is>
      </c>
    </row>
    <row r="60">
      <c r="A60" t="inlineStr">
        <is>
          <t>li-4326556320</t>
        </is>
      </c>
      <c r="B60" t="inlineStr">
        <is>
          <t>Senior Data Scientist - AI Products</t>
        </is>
      </c>
      <c r="C60" t="inlineStr">
        <is>
          <t>EchoStar Corporation</t>
        </is>
      </c>
      <c r="D60" t="inlineStr">
        <is>
          <t>linkedin</t>
        </is>
      </c>
      <c r="E60" t="inlineStr"/>
      <c r="F60" t="inlineStr"/>
      <c r="G60" t="inlineStr">
        <is>
          <t>Englewood, CO</t>
        </is>
      </c>
      <c r="H60" t="inlineStr"/>
      <c r="I60" t="inlineStr">
        <is>
          <t>**Company Summary**
 EchoStar is reimagining the future of connectivity. Our business reach spans satellite television service, live\-streaming and on\-demand programming, smart home installation services, mobile plans and products.
 Today, our brands include Boost Mobile, DISH TV, Gen Mobile, Hughes and Sling TV.
**Department Summary**
 Our Technology teams challenge the status quo and reimagine capabilities across industries. Whether through research and development, technology innovation or solution engineering, our team members play a vital role in connecting consumers with the products and platforms of tomorrow.
**Job Duties And Responsibilities**
**Candidates must be willing to participate in at least one in\-person interview, which may include a live whiteboarding or technical assessment session.**
**Key Responsibilities**
* Partner with stakeholders to identify high\-impact, feasible opportunities for the AI Office and demonstrate how data science can drive business outcomes
* Develop machine learning models for customer segmentation, churn prediction, user modeling, and lifetime value estimation
* Design and deploy GenAI and LLM solutions to automate complex workflows, such as transcript analysis and compliance validation
* Transform and analyze large\-scale structured and unstructured data (e.g., text, images) to uncover actionable insights
* Collaborate with cross\-functional teams to build and deploy scalable, cloud\-based data science and GenAI solutions; provide technical mentorship
* Communicate complex models and findings to both technical and non\-technical audiences via dashboards, notebooks, and presentations
**Skills, Experience And Requirements**
**Education and Experience:**
* Bachelor’s or Master’s degree in Statistics, Machine Learning, Computer Science, Engineering, Mathematics, Physics, or a related quantitative field
* Master’s or PhD in a relevant quantitative domain
* 4\+ years of experience in data science and applied machine learning, with a proven track record of delivering business impact from data\-driven solutions
* Experience with big data tools such as Amazon Athena, Redshift, BigQuery, Spark, or Teradata
* Experienced in prompt engineering, model evaluation, and deploying LLMs in production environments
* Hands\-on experience with AWS cloud environments and enterprise\-scale ML platforms like Dataiku and Databricks
**Skills And Qualifications**
* Strong foundation in statistical and machine learning techniques, including regression, classification, clustering, neural networks, and ensemble models
* Proficient in Python and SQL for data science workflows; skilled in building and evaluating generative AI and LLM\-based solutions
* Skilled in processing unstructured data (text, images) using modern ML/DL frameworks
* Proven ability to design, run, and analyze A/B tests and controlled experiments
* Familiarity with MLOps practices for deploying, monitoring, and maintaining ML/GenAI systems in production
* Data engineering skills for preprocessing, cleaning, and transforming large\-scale datasets
 Visa sponsorship not available for this role
**Salary Ranges**
 Compensation: $96,250\.00/Year \- $158,125\.00/Year
**Benefits**
 We offer versatile health perks, including flexible spending accounts, HSA, a 401(k) Plan with company match, ESPP, career opportunities, and a flexible time away plan; all benefits can be viewed here: DISH Benefits.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Our company is committed to fostering an inclusive and equitable workplace where every individual has the opportunity to succeed. We are dedicated to providing individuals with criminal or arrest records a fair chance of employment in accordance with local, state, and federal laws.
 The posting will be active for a minimum of 3 days. The active posting will continue to extend by 3 days until the position is filled.
 We pride ourselves on developing and promoting talent as an Equal Employment Opportunity Employer. All qualified applicants will receive consideration for employment without regard to race, color, religion, sex, sexual orientation, gender identity, national origin, disability, or protected veteran status. EchoStar will accommodate the sincerely held religious beliefs of employees if such accommodations are not undue hardships and are otherwise within the bounds of applicable law. All qualified applicants with arrest or conviction records will be considered for employment in accordance with local, state, and federal law. You may redact any information that identifies age, date of birth, or dates of school/graduation from your application documents before submission and throughout our application process.
 EchoStar will provide reasonable accommodation to otherwise qualified job applicants and employees with known physical or mental disabilities, unless doing so poses an undue hardship on the Company, poses a direct threat of substantial harm to others, or is otherwise not required by law. EchoStar has a more detailed Accommodation Policy that applies to employees. EchoStar endeavors to make echostar.com and jobs.echostar.com accessible to users. Please contact leaves@dish.com if you would like to discuss the accessibility of our website or need assistance completing the application process. This contact information is for accommodation requests only; do not use this contact information to inquire about the status of applications.
 Click the links to access the following statements: EEO Policy Statement, Pay Transparency, EEOC Know Your Rights (English/Spanish)</t>
        </is>
      </c>
    </row>
    <row r="61">
      <c r="A61" t="inlineStr">
        <is>
          <t>li-4372867847</t>
        </is>
      </c>
      <c r="B61" t="inlineStr">
        <is>
          <t>Data Scientist AI Lead/Advisory role</t>
        </is>
      </c>
      <c r="C61" t="inlineStr">
        <is>
          <t>Tata Consultancy Services</t>
        </is>
      </c>
      <c r="D61" t="inlineStr">
        <is>
          <t>linkedin</t>
        </is>
      </c>
      <c r="E61" t="inlineStr"/>
      <c r="F61" t="inlineStr"/>
      <c r="G61" t="inlineStr">
        <is>
          <t>San Jose, CA</t>
        </is>
      </c>
      <c r="H61" t="inlineStr"/>
      <c r="I61" t="inlineStr">
        <is>
          <t>* San Jose, CA / RTP NC \| 7 \- 15 years of experience
 Job Description
**Must have Skills:** 
 Ability to frame business problems into analytical use cases.
 Excellent communication for stakeholder management.
 Strong grounding in AI governance, ethics, and risk.
 Gen AI, Machine Learning
 NLP models \[Hugging face, transformers, LLMs (BERT, GPT), Custom Chatbot, NLU, NLG]
 Programming skills with Python, SQL
 Having Advisory/Lead role exp with Strong Analytical skills
 Good to have:
 Cloud Knowledge \- Azure/AWS/GCP
 Kubernetes
 Linux
 Tableau/Thoughtspot
 Supply Chain experience
**Roles \&amp; Responsibilities:** 
 Leading AI Transformation initiatives across supply chain with Python, AI/ML, Gen AI,
 Translate business challenges into AI‑powered solutions.
 Define AI adoption roadmaps, enterprise AI workflows, and operating models.
 Drive responsible AI governance, bias checks, model validation protocols, and regulatory compliance.
 Work with stakeholders in IT, product, business, and compliance teams.
 Educate executives and staff on AI capabilities and limitations.
 Drive change management and organizational enablement for AI transformation
 Coordinate in Collect, clean, and analyze structured and unstructured data using
 Python (pandas as NumPy), SQL and databases like Snowflake
 Perform Exploratory data analysis (EDA) and communicate insights through
 visualizations and dashboards
 Build and deploy Machine learning/Deep learning models for predictive analysis,
 NLP tasks, and Gen AI use using libraries such as scikit\-learn, PyTorch, HuggingFace etc.,
 Coordinate and Implement solutions such as conversational bots, summarization
 Deploy models using FAST API/Docker and automate pipelines on Google Cloud.
 Ensure version control and scalability through cloud\-native solutions
 Work cross\-functionally to align tech solutions with business needs
 Work on POCs and research, prototyping and GenAI experiments
 Ensure to Maintain clear documentation and support reproducibility in projects
 Salary Range: $38,000\-$140,000 a year
* \#LI\-CM2</t>
        </is>
      </c>
    </row>
    <row r="62">
      <c r="A62" t="inlineStr">
        <is>
          <t>li-4372867078</t>
        </is>
      </c>
      <c r="B62" t="inlineStr">
        <is>
          <t>Data Scientist | $90/hr Remote</t>
        </is>
      </c>
      <c r="C62" t="inlineStr">
        <is>
          <t>Jobs via Dice</t>
        </is>
      </c>
      <c r="D62" t="inlineStr">
        <is>
          <t>linkedin</t>
        </is>
      </c>
      <c r="E62" t="inlineStr"/>
      <c r="F62" t="inlineStr"/>
      <c r="G62" t="inlineStr"/>
      <c r="H62" t="inlineStr"/>
      <c r="I62" t="inlineStr">
        <is>
          <t>**Position:** 
 Data Science Expert
**Type:** 
 Hourly contract
**Compensation:** 
 $50 $90/hour
**Location:** 
 Remote
**Commitment:** 
 10 40 hours/week
**Role Responsibilities:**
* Analyze large datasets to extract insights that inform AI model design and refinement.
* Develop and apply statistical models, machine learning techniques, and evaluation frameworks.
* Conduct performance assessments and data quality reviews on AI model outputs.
* Build reusable tools for data processing, visualization, and reporting.
* Partner with research teams to test hypotheses and scale experimental workflows.
* Support data\-driven experimentation and continuous model improvement initiatives.
**Requirements:**
* Strong professional background in data science, machine learning, or related analytical fields.
* Proficiency in Python and core data science libraries (e.g., pandas, NumPy, scikit\-learn).
* Familiarity with large\-scale data environments and version\-controlled workflows.
* Strong understanding of statistical analysis, experimental design, and model validation.
* Excellent written communication skills and ability to collaborate across technical teams.
* Ability to work independently in a fully remote environment.
**Application Process (Takes 20 mins):**
* Upload resume
* Interview (15 min)
* Submit form</t>
        </is>
      </c>
    </row>
    <row r="63">
      <c r="A63" t="inlineStr">
        <is>
          <t>li-4351287453</t>
        </is>
      </c>
      <c r="B63" t="inlineStr">
        <is>
          <t>Principal, Data Scientist (Finance)</t>
        </is>
      </c>
      <c r="C63" t="inlineStr">
        <is>
          <t>Datasite</t>
        </is>
      </c>
      <c r="D63" t="inlineStr">
        <is>
          <t>linkedin</t>
        </is>
      </c>
      <c r="E63" t="inlineStr"/>
      <c r="F63" t="inlineStr"/>
      <c r="G63" t="inlineStr">
        <is>
          <t>New York, NY</t>
        </is>
      </c>
      <c r="H63" t="inlineStr"/>
      <c r="I63" t="inlineStr">
        <is>
          <t>Datasite and its associated businesses are the global center for facilitating economic value creation for companies across the globe. From data rooms to AI deal sourcing
 and more. Here you’ll find the finest technological pioneers: Datasite, Blueflame AI, Firmex, Grata, and Sherpany. They all, collectively, define the future for business growth.
 Apply for one position or as many as you like. Talent doesn’t always just go in one direction or fit in a single box. We’re happy to see whatever your superpower is and find the best place for it to flourish.
 Get started now, we look forward to meeting you..
**Job Description**
 As a
 **Principal Data Scientist,** 
 you will be the technical lead and primary "engine" of our data science initiatives. Reporting to the Director of Data Science, you are a high\-level individual contributor responsible for solving our most complex, abstract business problems through advanced mathematical modeling. You will lead the end\-to\-end development of "Data Intelligence Products" \- from high\-dimensional forecasting and financial risk engines to ML\-driven revenue optimization. While this is an IC role, you will set technical standard for the department, acting as a mentor to junior analysts and an architect for our predictive ecosystem.
**Responsibilities**
* Advanced Technical Execution (The Engine)
* Elite Predictive Modeling: Lead the research, design, and deployment of sophisticated models for time\-series revenue forecasting, unit economics, and profitability.
* Risk \&amp; Uncertainty Quantification: Develop advanced statistical tools to predict financial risk and operational volatility, providing the business with probabilistic guardrails.
* Algorithmic Innovation: Move beyond standard libraries to build custom ML solutions that address the specific nuances of our finance and project data.
* Experimental Design: Architect rigorous A/B and multivariate testing frameworks to measure the causal impact of business decisions and product iterations.
* Technical Architecture \&amp; Productization (The Bridge)
* Model Orchestration: Partner with the Data Engineering team to design the "last mile" of ML deployment—ensuring your models run reliably within our Snowflake/dbt environment.
* Seamless Integration: Ensure model outputs are elegantly integrated into Power BI semantic models, turning complex statistical distributions into actionable business signals.
* Code Excellence: Set the bar for the Data Science "Playbook," establishing rigorous standards for reproducible research, version control, and model validation.
* Strategic \&amp; Technical Leadership (The Growth)
* Discovery \&amp; R\&amp;D: Proactively identify opportunities for ML/AI to drive ROI, staying ahead of industry trends in LLMs, deep learning, and predictive analytics.
* Abstract Problem Solving: Take high\-level business queries from the Director or C\-suite and translate them into mathematically sound, executable project plans.
* The Intelligence Stack: Expert\-level mastery of Python and SQL. Extensive experience deploying production\-grade models within a cloud environment (Snowflake preferred).
**The Ideal Candidate Profile**
**Technical Mastery**
* The ML Toolbelt: Deep expertise in the Python Data Science stack (e.g., scikit\-learn, XGBoost, LightGBM) and deep learning frameworks (e.g., PyTorch or TensorFlow).
* Predictive Expertise: Deep experience in time\-series forecasting, supervised learning, and causal inference. Time\-Series \&amp; Forecasting: Mastery of libraries dedicated to financial and demand forecasting, such as Prophet, statsmodels, or sktime.
* MLOps \&amp; Deployment: Experience with model lifecycle management tools (e.g., MLflow, Weights \&amp; Biases) and deploying models via containers (Docker/Kubernetes) or as serverless functions.
* Statistical Logic: You don't just run models; you understand the "why" behind the math and can defend your methodology to technical and non\-technical audiences.
* Mathematical Depth: Deep expertise in supervised/unsupervised learning, Bayesian statistics, time\-series analysis, and causal inference.
* Generative AI \&amp; LLMs: Working knowledge of integrating LLMs (via LangChain, OpenAI API, or Hugging Face) into business workflows for unstructured data analysis.
* The Modern Data Stack: Proficiency in using Snowflake as a feature store and dbt for feature engineering.
**Business \&amp; Leadership Skills**
* Finance Acumen: You understand the levers of a P\&amp;L and how predictive modeling impacts revenue and margin.
* Communication: Exceptional ability to simplify complex "black box" concepts for executive stakeholders.
**Qualifications**
* 8–10\+ years of experience in Data Science, with a track record of delivering high\-impact predictive models in a corporate or production environment.
* Proven IC Leadership: Experience as a staff or principal\-level contributor who has successfully led large\-scale technical projects from concept to deployment.
* Modern Stack Experience: Deep familiarity with the Snowflake \+ dbt \+ Power BI ecosystem is a significant advantage.
* Proven track record of building and deploying predictive models using Python and SQL that achieved high business adoption.
* Toolkit Expertise: Hands\-on experience with ML orchestration tools and automated testing for model performance (e.g., monitoring for Data Drift and Model Decay).
* Cloud Infrastructure: Experience with cloud\-based ML platforms (e.g., Azure ML, AWS SageMaker, or Databricks) and how they integrate with data warehouses like Snowflake.
* Advanced Education: PhD or Master’s degree in a highly quantitative discipline (e.g., Physics, Mathematics, Statistics, Computer Science, or Economics).
 The base salary range represents the estimated low and high end for this position based on a good faith assessment of the role and market data at the time of posting. Consistent with applicable law, each candidate’s compensation offer may vary and will be determined based on but not limited to, your geographic region, skills, qualifications, and experience along with the requirements of the position. This position may be eligible for bonuses, commissions, or overtime if applicable. Benefits include health insurance (medical, dental, vision), a retirement savings plan, paid time off, and other employee benefits. Specific details will be provided during the interview process. Datasite reserves the right to modify this pay range at any time.
 $117,500\.00 \- $206,700\.00
 Our company is committed to fostering a diverse and inclusive workforce where all individuals are respected and valued. We are an equal opportunity employer and make all employment decisions without regard to race, color, religion, sex, gender identity, sexual orientation, age, national origin, disability, protected veteran status, or any other protected characteristic. We encourage applications from candidates of all backgrounds and are dedicated to building teams that reflect the diversity of our communities.</t>
        </is>
      </c>
    </row>
    <row r="64">
      <c r="A64" t="inlineStr">
        <is>
          <t>li-4351267567</t>
        </is>
      </c>
      <c r="B64" t="inlineStr">
        <is>
          <t>Principal, Data Scientist (Finance)</t>
        </is>
      </c>
      <c r="C64" t="inlineStr">
        <is>
          <t>Datasite</t>
        </is>
      </c>
      <c r="D64" t="inlineStr">
        <is>
          <t>linkedin</t>
        </is>
      </c>
      <c r="E64" t="inlineStr"/>
      <c r="F64" t="inlineStr"/>
      <c r="G64" t="inlineStr">
        <is>
          <t>Minnesota, United States</t>
        </is>
      </c>
      <c r="H64" t="inlineStr"/>
      <c r="I64" t="inlineStr">
        <is>
          <t>Datasite and its associated businesses are the global center for facilitating economic value creation for companies across the globe. From data rooms to AI deal sourcing
 and more. Here you’ll find the finest technological pioneers: Datasite, Blueflame AI, Firmex, Grata, and Sherpany. They all, collectively, define the future for business growth.
 Apply for one position or as many as you like. Talent doesn’t always just go in one direction or fit in a single box. We’re happy to see whatever your superpower is and find the best place for it to flourish.
 Get started now, we look forward to meeting you..
**Job Description**
 As a
 **Principal Data Scientist,** 
 you will be the technical lead and primary "engine" of our data science initiatives. Reporting to the Director of Data Science, you are a high\-level individual contributor responsible for solving our most complex, abstract business problems through advanced mathematical modeling. You will lead the end\-to\-end development of "Data Intelligence Products" \- from high\-dimensional forecasting and financial risk engines to ML\-driven revenue optimization. While this is an IC role, you will set technical standard for the department, acting as a mentor to junior analysts and an architect for our predictive ecosystem.
**Responsibilities**
* Advanced Technical Execution (The Engine)
* Elite Predictive Modeling: Lead the research, design, and deployment of sophisticated models for time\-series revenue forecasting, unit economics, and profitability.
* Risk \&amp; Uncertainty Quantification: Develop advanced statistical tools to predict financial risk and operational volatility, providing the business with probabilistic guardrails.
* Algorithmic Innovation: Move beyond standard libraries to build custom ML solutions that address the specific nuances of our finance and project data.
* Experimental Design: Architect rigorous A/B and multivariate testing frameworks to measure the causal impact of business decisions and product iterations.
* Technical Architecture \&amp; Productization (The Bridge)
* Model Orchestration: Partner with the Data Engineering team to design the "last mile" of ML deployment—ensuring your models run reliably within our Snowflake/dbt environment.
* Seamless Integration: Ensure model outputs are elegantly integrated into Power BI semantic models, turning complex statistical distributions into actionable business signals.
* Code Excellence: Set the bar for the Data Science "Playbook," establishing rigorous standards for reproducible research, version control, and model validation.
* Strategic \&amp; Technical Leadership (The Growth)
* Discovery \&amp; R\&amp;D: Proactively identify opportunities for ML/AI to drive ROI, staying ahead of industry trends in LLMs, deep learning, and predictive analytics.
* Abstract Problem Solving: Take high\-level business queries from the Director or C\-suite and translate them into mathematically sound, executable project plans.
* The Intelligence Stack: Expert\-level mastery of Python and SQL. Extensive experience deploying production\-grade models within a cloud environment (Snowflake preferred).
**The Ideal Candidate Profile**
**Technical Mastery**
* The ML Toolbelt: Deep expertise in the Python Data Science stack (e.g., scikit\-learn, XGBoost, LightGBM) and deep learning frameworks (e.g., PyTorch or TensorFlow).
* Predictive Expertise: Deep experience in time\-series forecasting, supervised learning, and causal inference. Time\-Series \&amp; Forecasting: Mastery of libraries dedicated to financial and demand forecasting, such as Prophet, statsmodels, or sktime.
* MLOps \&amp; Deployment: Experience with model lifecycle management tools (e.g., MLflow, Weights \&amp; Biases) and deploying models via containers (Docker/Kubernetes) or as serverless functions.
* Statistical Logic: You don't just run models; you understand the "why" behind the math and can defend your methodology to technical and non\-technical audiences.
* Mathematical Depth: Deep expertise in supervised/unsupervised learning, Bayesian statistics, time\-series analysis, and causal inference.
* Generative AI \&amp; LLMs: Working knowledge of integrating LLMs (via LangChain, OpenAI API, or Hugging Face) into business workflows for unstructured data analysis.
* The Modern Data Stack: Proficiency in using Snowflake as a feature store and dbt for feature engineering.
**Business \&amp; Leadership Skills**
* Finance Acumen: You understand the levers of a P\&amp;L and how predictive modeling impacts revenue and margin.
* Communication: Exceptional ability to simplify complex "black box" concepts for executive stakeholders.
**Qualifications**
* 8–10\+ years of experience in Data Science, with a track record of delivering high\-impact predictive models in a corporate or production environment.
* Proven IC Leadership: Experience as a staff or principal\-level contributor who has successfully led large\-scale technical projects from concept to deployment.
* Modern Stack Experience: Deep familiarity with the Snowflake \+ dbt \+ Power BI ecosystem is a significant advantage.
* Proven track record of building and deploying predictive models using Python and SQL that achieved high business adoption.
* Toolkit Expertise: Hands\-on experience with ML orchestration tools and automated testing for model performance (e.g., monitoring for Data Drift and Model Decay).
* Cloud Infrastructure: Experience with cloud\-based ML platforms (e.g., Azure ML, AWS SageMaker, or Databricks) and how they integrate with data warehouses like Snowflake.
* Advanced Education: PhD or Master’s degree in a highly quantitative discipline (e.g., Physics, Mathematics, Statistics, Computer Science, or Economics).
 The base salary range represents the estimated low and high end for this position based on a good faith assessment of the role and market data at the time of posting. Consistent with applicable law, each candidate’s compensation offer may vary and will be determined based on but not limited to, your geographic region, skills, qualifications, and experience along with the requirements of the position. This position may be eligible for bonuses, commissions, or overtime if applicable. Benefits include health insurance (medical, dental, vision), a retirement savings plan, paid time off, and other employee benefits. Specific details will be provided during the interview process. Datasite reserves the right to modify this pay range at any time.
 $117,500\.00 \- $206,700\.00
 Our company is committed to fostering a diverse and inclusive workforce where all individuals are respected and valued. We are an equal opportunity employer and make all employment decisions without regard to race, color, religion, sex, gender identity, sexual orientation, age, national origin, disability, protected veteran status, or any other protected characteristic. We encourage applications from candidates of all backgrounds and are dedicated to building teams that reflect the diversity of our communities.</t>
        </is>
      </c>
    </row>
    <row r="65">
      <c r="A65" t="inlineStr">
        <is>
          <t>li-4366225208</t>
        </is>
      </c>
      <c r="B65" t="inlineStr">
        <is>
          <t>Applied Scientist (Contract), Artificial General Intelligence</t>
        </is>
      </c>
      <c r="C65" t="inlineStr">
        <is>
          <t>Amazon</t>
        </is>
      </c>
      <c r="D65" t="inlineStr">
        <is>
          <t>linkedin</t>
        </is>
      </c>
      <c r="E65" t="inlineStr"/>
      <c r="F65" t="inlineStr"/>
      <c r="G65" t="inlineStr">
        <is>
          <t>Boston, MA</t>
        </is>
      </c>
      <c r="H65" t="inlineStr"/>
      <c r="I65" t="inlineStr">
        <is>
          <t>**Description**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
**Company** 
 \- Amazon.com Services LLC
 Job ID: A3166402</t>
        </is>
      </c>
    </row>
    <row r="66">
      <c r="A66" t="inlineStr">
        <is>
          <t>li-4356091159</t>
        </is>
      </c>
      <c r="B66" t="inlineStr">
        <is>
          <t>Staff, Data Scientist - Marketplace Payments</t>
        </is>
      </c>
      <c r="C66" t="inlineStr">
        <is>
          <t>Walmart</t>
        </is>
      </c>
      <c r="D66" t="inlineStr">
        <is>
          <t>linkedin</t>
        </is>
      </c>
      <c r="E66" t="inlineStr"/>
      <c r="F66" t="inlineStr"/>
      <c r="G66" t="inlineStr">
        <is>
          <t>Bentonville, AR</t>
        </is>
      </c>
      <c r="H66" t="inlineStr"/>
      <c r="I66" t="inlineStr">
        <is>
          <t>Position Summary...As a Staff Data Scientist on Marketplace Payments, you will be a senior technical leader driving ML/AI powered payments risk analytics and financial decisioning for Marketplace sellers. This role focuses on building and scaling predictive and machine learning models across payments, credit, and fraud while providing strategic analytical leadership to improve operational excellence and seller financial outcomes.
 This role is ideal for a hands\-on, seasoned data scientist who applies AI/ML to complex payments and financial risk challenges at scale, while mentoring and developing a team of data scientists and analytics professionals.
 What you'll do...
* Lead the design, development, and evolution of AI/ML models (predictive, segmentation, anomaly detection) to assess seller risk, credit exposure, fraud, and negative balances
* Drive end\-to\-end analytics and AI decisioning for initiatives such as seller lending, cash\-flow optimization, faster payouts, and Marketplace financial services
* Apply advanced statistical and machine learning techniques to large, complex datasets spanning payments, fulfillment, orders, and shipments to solve ambiguous payments risk problems
* Define and operationalize scalable risk frameworks, translating analytical insights into automated controls and decision systems
* Build and maintain dashboards and monitoring frameworks to track risk trends, model performance, alerts, losses, and payments SLAs
* Identify, integrate, and enhance high\-value internal and third\-party data sources to strengthen payments risk signals and feature coverage
* Measure and optimize key metrics (alert rates, false positives, losses, operational efficiency) through data\-driven experimentation and AI automation
* Partner closely with Product, Engineering, T\&amp;S, Seller Risk \&amp; Performance, Finance, and Treasury to influence the payments risk and data science roadmap
* Provide technical mentorship and day\-to\-day guidance to data scientists; review models and code, and help raise the bar on analytics and ML rigor
* Contribute to hiring, onboarding, and developing talent, fostering a culture of ownership, collaboration, and continuous learning
 What You Bring
* Master’s degree with 7\+ year’s experience in a quantitative field (Applied Math, Statistics, Engineering, Machine Learning, Analytics, or related)
* 6–9 years of experience in data science, applied ML, or advanced analytics roles, including ownership of production\-grade models
* Strong domain experience in payments, financial services, credit risk, fraud, or risk analytics
* Advanced SQL skills and experience working with large\-scale, distributed data systems
* Proficiency in Python (or similar languages) and modern ML frameworks; experience with Spark or Hive preferred
* Solid understanding of eCommerce metrics and key risk indicators, with the ability to define and evolve new ones
* Experience driving projects from ambiguous problem statements to measurable business outcomes
* Strong communication skills with the ability to influence cross\-functional partners and mentor junior team members
* Comfortable operating in fast\-paced, evolving environments with incomplete information
**About Walmart ECommerce**
 Walmart US eCommerce is redefining the future of retail by combining scale, data, and technology to help people save money and live better. Marketplace Partner Payments plays a critical role in enabling trusted, fast, and scalable financial experiences for sellers across one of the world’s largest platforms.
 ㅤ
 ㅤ
 ㅤ
 ㅤ
 ‎
**Minimum Qualifications...**
**Outlined below are the required minimum qualifications for this position. If none are listed, there are no minimum qualifications.**
 Option 1: Bachelors degree in Statistics, Economics, Analytics, Mathematics, Computer Science, Information Technology or related field and 4 years' experience in an analytics related field. Option 2: Masters degree in Statistics, Economics, Analytics, Mathematics, Computer Science, Information Technology or related field and 2 years' experience in an analytics related field. Option 3: 6 years' experience in an analytics or related field
**Preferred Qualifications...**
**Outlined below are the optional preferred qualifications for this position. If none are listed, there are no preferred qualifications.**
 Data science, machine learning, optimization models, PhD in Machine Learning, Computer Science, Information Technology, Operations Research, Statistics, Applied Mathematics, Econometrics, Successful completion of one or more assessments in Python, Spark, Scala, or R, Using open source frameworks (for example, scikit learn, tensorflow, torch),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702 Sw 8Th St, Bentonville, AR 72716,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67">
      <c r="A67" t="inlineStr">
        <is>
          <t>li-4366213441</t>
        </is>
      </c>
      <c r="B67" t="inlineStr">
        <is>
          <t>Applied Scientist (Contract), Artificial General Intelligence</t>
        </is>
      </c>
      <c r="C67" t="inlineStr">
        <is>
          <t>Amazon</t>
        </is>
      </c>
      <c r="D67" t="inlineStr">
        <is>
          <t>linkedin</t>
        </is>
      </c>
      <c r="E67" t="inlineStr"/>
      <c r="F67" t="inlineStr"/>
      <c r="G67" t="inlineStr">
        <is>
          <t>Bellevue, WA</t>
        </is>
      </c>
      <c r="H67" t="inlineStr"/>
      <c r="I67" t="inlineStr">
        <is>
          <t>**Description**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
**Company** 
 \- Amazon.com Services LLC
 Job ID: A3166405</t>
        </is>
      </c>
    </row>
    <row r="68">
      <c r="A68" t="inlineStr">
        <is>
          <t>li-4330503467</t>
        </is>
      </c>
      <c r="B68" t="inlineStr">
        <is>
          <t>Senior Data Scientist II, Real World Evidence (RWE), Pharma R&amp;D</t>
        </is>
      </c>
      <c r="C68" t="inlineStr">
        <is>
          <t>Tempus AI</t>
        </is>
      </c>
      <c r="D68" t="inlineStr">
        <is>
          <t>linkedin</t>
        </is>
      </c>
      <c r="E68" t="inlineStr"/>
      <c r="F68" t="inlineStr"/>
      <c r="G68" t="inlineStr">
        <is>
          <t>Chicago, IL</t>
        </is>
      </c>
      <c r="H68" t="inlineStr"/>
      <c r="I68"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The Real World Evidence (RWE) group within the Pharma R\&amp;D team at Tempus works with major pharmaceutical partners to provide best\-in\-class data, analysis, and methodological guidance for Tempus’s real\-world data offering.
 We are seeking a highly motivated and solutions\-oriented RWE Data Scientist II with experience and interest in oncology and epidemiological study design to join our team. This role requires the ability to lead observational studies, derive insights from complex real\-world clinical data, implement advanced statistical methods, and leverage cutting\-edge AI tools to scale tasks and augment insights.
**Responsibilities**
* Strategic Pharma Partnership: Lead the design and execute delivery of RWE analyses for key pharma clients. You will be responsible for translating complex drug development questions and into actionable research plans that use Tempus data for trial design and outcomes research.
* Real World Data Expertise \&amp; Technical Oversight: Lead the derivation of complex real\-world endpoints using extensive coding, demonstrating deep comprehension of Tempus clinical and molecular data structures and complexity, while also serving as an expert on the methodological nuances and limitations of real\-world data.
* Methodological Standards \&amp; Mentorship: Set the technical standard for the team by implementing advanced methods in survival analysis, machine learning and predictive modeling. You will actively mentor more junior scientists, guiding their technical development, reviewing code, and developing tools that set best practices across the organization.
* AI\-Enhanced Workflows: Drive the practical adoption of LLMs and agentic tools into your own and the broader team’s daily workflow. Your focus will be on using these technologies to improve the speed and accuracy of code development, documentation, and review.
* Scientific Leadership \&amp; Influence: Own the communication of high\-stakes results to both internal executives and external partners. You will be responsible for the scientific integrity of all deliverables, including manuscripts, conference abstracts, and technical reports where appropriate.
* Cross\-Functional Collaboration: Collaborate with internal product, oncology, and clinical abstraction, and real\-world data science teams to continually enhance Tempus data quality, products, and analytical best practice. You will proactively identify gaps in current products and ensure that customer feedback is represented in development of new products.
* Oncology \&amp; RWE Domain Expertise: Maintain deep expertise in oncology clinical guidelines (e.g., NCCN) and emerging RWE methodologies. You will be responsible for translating these external shifts into internal strategy, ensuring that our research designs and data modeling stay ahead of the evolving oncology landscape and reflect the most current standard of care.
**Minimum Qualifications**
* Education: Advanced education in epidemiology, biostatistics, data science, public health, or related fields, to the level of either:
+ PhD and 4\+ years of additional work experience
+ Master’s degree and 6\+ years of additional work experience
* Technical \&amp; Statistical Mastery:
+ Expert\-level proficiency in observational real\-world healthcare data, specifically in designing and implementing complex time\-to\-event methodologies (survival analysis).
+ Track record of leading RWD analytical studies from initial scoping through to publication or dissemination.
+ Proficient in using R and SQL, especially statistical tools and packages.
+ Proficiency applying machine learning, LLM\-based coding assistants (e.g., Copilot, Cursor) and agentic frameworks to support data analysis, code review, or scientific documentation workflows.
+ Adherence to good software engineering practices (version control, modular code, documentation).
+ Experience with code review.
* Communication \&amp; Client Ownership: Experience as a primary technical point of communication for pharma clients, with a proven ability to collaborate on study design and translate highly technical findings into strategic recommendations for senior\-level stakeholders.
* Leadership \&amp; Soft Skills: Strong project leadership and the ability to manage multiple high\-priority workstreams simultaneously in a fast\-paced environment.
* Soft Skills: Strong project leadership with excellent written and verbal communication skills. Ability to thrive in a fast\-paced, dynamic environment working with multi\-disciplinary scientists on complex problems.
* Experience mentoring junior scientists, providing rigorous technical review, and fostering a culture of continuous methodological improvement.
**Preferred Skillsets**
* Experience working with Pharma or drug development.
* Experience in clinical trial design (particularly Phase II\-III) in the clinical development space.
* Extensive proficiency with claims, EHR, or registry data.
* Practical experience building, fine\-tuning, or configuring LLM\-based tools and agentic workflows specifically for scientific discovery.
* High\-level familiarity with NCCN guidelines and the ability to interpret real\-world outcomes within the context of the current oncology standard of care.
* Significant experience analyzing biomarker, genomic, or other high\-dimensional molecular data alongside clinical datasets.
* Proficiency in managing large\-scale data projects within cloud environments such as AWS or Google Cloud Platform (GCP), including BigQuery expertise.
 CHI: $130,000\-$175,000 USD
 NYC/SF: $140,000\-$185,000 USD
 The expected salary range above is applicable if the role is performed from California and may vary for other locations (Colorado, Illinois, New York). Actual salary may vary based on qualifications and experience. Tempus offers a full range of benefits, which may include incentive compensation, restricted stock units, medical and other benefits depending on the position.
 Additionally,
 ***for remote roles open to individuals in unincorporated Los Angeles** 
 – including remote roles\-* 
 Tempus reasonably believes that criminal history may have a direct, adverse and negative relationship on the following job duties, potentially resulting in the withdrawal of the conditional offer of employment: engaging positively with customers and other employees; accessing confidential information, including intellectual property, trade secrets, and protected health information; and appropriately handling such information in accordance with legal and ethical standards. Qualified applicants with arrest or conviction records will be considered for employment in accordance with applicable law, including the Los Angeles County Fair Chance Ordinance for Employers and the California Fair Chance Act.
 We are an equal opportunity employer. We do not discriminate on the basis of race, religion, color, national origin, gender, sexual orientation, age, marital status, veteran status, or disability status.</t>
        </is>
      </c>
    </row>
    <row r="69">
      <c r="A69" t="inlineStr">
        <is>
          <t>li-4366209986</t>
        </is>
      </c>
      <c r="B69" t="inlineStr">
        <is>
          <t>Applied Scientist (Contract), Artificial General Intelligence</t>
        </is>
      </c>
      <c r="C69" t="inlineStr">
        <is>
          <t>Amazon</t>
        </is>
      </c>
      <c r="D69" t="inlineStr">
        <is>
          <t>linkedin</t>
        </is>
      </c>
      <c r="E69" t="inlineStr"/>
      <c r="F69" t="inlineStr"/>
      <c r="G69" t="inlineStr">
        <is>
          <t>Bellevue, WA</t>
        </is>
      </c>
      <c r="H69" t="inlineStr"/>
      <c r="I69" t="inlineStr">
        <is>
          <t>**Description**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
**Company** 
 \- Amazon.com Services LLC
 Job ID: A3166403</t>
        </is>
      </c>
    </row>
    <row r="70">
      <c r="A70" t="inlineStr">
        <is>
          <t>li-4366317147</t>
        </is>
      </c>
      <c r="B70" t="inlineStr">
        <is>
          <t>Sr. Applied Scientist, Amazon Leo IDEA</t>
        </is>
      </c>
      <c r="C70" t="inlineStr">
        <is>
          <t>Amazon</t>
        </is>
      </c>
      <c r="D70" t="inlineStr">
        <is>
          <t>linkedin</t>
        </is>
      </c>
      <c r="E70" t="inlineStr"/>
      <c r="F70" t="inlineStr"/>
      <c r="G70" t="inlineStr">
        <is>
          <t>Bellevue, WA</t>
        </is>
      </c>
      <c r="H70" t="inlineStr"/>
      <c r="I70" t="inlineStr">
        <is>
          <t>**Description**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The Amazon LEO Infrastructure Data Engineering, Analytics, and Science team owns designing, implementing, and operating systems/models that support the optimal demand/capacity planning function. We are looking for a talented scientist to implement LEO's long\-term vision and strategy for capacity simulations and network bandwidth optimization. This effort will be instrumental in helping LEO execute on its business plans globally. As one of our valued team members, you will be obsessed with matching our standards for operational excellence with a relentless focus on delivering results.
 Key job responsibilities
**In This Role, You Will**
 Work cross\-functionally with product, business development, and various technical teams (engineering, science, R\&amp;D, simulations, etc.) to implement the long\-term vision, strategy, and architecture for capacity simulations and inventory optimization.
 Design and deliver modern, flexible, scalable solutions to complex optimization problems for operating and planning satellite resources.
 Contribute to short and long terms technical roadmap definition efforts to predict future inventory availability and key operational and financial metrics across the network.
 Design and deliver systems that can keep up with the rapid pace of optimization improvements and simulating how they interact with each other.
 Analyze large amounts of satellite and business data to identify simulation and optimization opportunities.
 Synthesize and communicate insights and recommendations to audiences of varying levels of technical sophistication to drive change across LEO.
 Export Control Requirement: Due to applicable export control laws and regulations, candidates must be a U.S. citizen or national, U.S. permanent resident (i.e., current Green Card holder), or lawfully admitted into the U.S. as a refugee or granted asylum.
**Basic Qualifications**
* 3\+ years of building machine learning models for business application experience
* PhD, or Master's degree and 6\+ years of applied research experience
* Experience programming in Java, C\+\+, Python or related language
**Preferred Qualifications**
* Experience with modeling tools such as R, scikit\-learn, Spark MLLib, MxNet, Tensorflow, numpy, scipy etc.
* Experience with large scale distributed systems such as Hadoop, Spark etc.
* Experience with large scale machine learning systems such as profiling and debugging and understanding of system performance and scalability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\- 167,100\.00 \- 226,100\.00 USD annually
**Company** 
 \- Amazon Kuiper Commercial Services LLC
 Job ID: A3167156</t>
        </is>
      </c>
    </row>
    <row r="71">
      <c r="A71" t="inlineStr">
        <is>
          <t>li-4374126531</t>
        </is>
      </c>
      <c r="B71" t="inlineStr">
        <is>
          <t>Data Scientist, Product Analytics</t>
        </is>
      </c>
      <c r="C71" t="inlineStr">
        <is>
          <t>Etsy</t>
        </is>
      </c>
      <c r="D71" t="inlineStr">
        <is>
          <t>linkedin</t>
        </is>
      </c>
      <c r="E71">
        <f>HYPERLINK("https://www.linkedin.com/jobs/view/4374126531", "https://www.linkedin.com/jobs/view/4374126531")</f>
        <v/>
      </c>
      <c r="F71">
        <f>HYPERLINK("https://etsy.wd5.myworkdayjobs.com/Etsy_Careers/job/Brooklyn-New-York/Data-Scientist\u002d\u002dProduct-Analytics_JR5390-1?source=LinkedIn&amp;urlHash=ugpC", "https://etsy.wd5.myworkdayjobs.com/Etsy_Careers/job/Brooklyn-New-York/Data-Scientist\u002d\u002dProduct-Analytics_JR5390-1?source=LinkedIn&amp;urlHash=ugpC")</f>
        <v/>
      </c>
      <c r="G71" t="inlineStr">
        <is>
          <t>Brooklyn, NY</t>
        </is>
      </c>
      <c r="H71" t="inlineStr"/>
      <c r="I71" t="inlineStr">
        <is>
          <t>**Company Description**
 Etsy is the global marketplace for unique and creative goods. We build, power, and evolve the tools and technologies that connect millions of entrepreneurs with millions of buyers around the world. As an Etsy Inc. employee, whether a team member of Etsy or Depop, you will tackle unique, meaningful, and large\-scale problems alongside passionate coworkers, all the while making a rewarding impact and Keeping Commerce Human.
**Salary Range**
 $124,000\.00 \- $160,000\.00
**What’s the role?**
 We are looking for a Data Scientist, Analytics that will partner with the Buyer Experience group, whose focus is supporting teams working to improve our consumer\-facing experience to drive retention and frequency. You will play a meaningful role in deciding how we can best engage and grow Etsy users through analysis of behavioral and transactional data.
 This is a full\-time position reporting to the Senior Manager, Product Analytics. In addition to salary, you will also be eligible for an equity package, an annual performance bonus, and our competitive benefits that support you and your family as part of your total rewards package at Etsy.
 This role requires your presence in Etsy’s Brooklyn Office once or twice per week depending on your proximity to the office. Candidates living within commutable distance of Etsy’s Brooklyn Office Hub may be the first to be considered. Learn more details about our work modes and workplace safety policies here.
**What’s this team like at Etsy?**
* Data scientists at Etsy use rigorous methods to generate insights that inform product, marketing, engineering, and business decisions across the company. We collaborate with partner teams through all stages of development: actively uncovering opportunity areas, crafting experiments to test hypotheses, analyzing the impact of our efforts, and highlighting takeaways
* Learning new skills and techniques is not only a requirement but a perk of the job! We are always looking for opportunities to grow. Our mission is to guide our partner teams with data and insights and tell the story of how we attract and retain our users — to teams, to senior management, and to the community
**What does the day\-to\-day look like?**
* Partner with the Buyer Experience, whose focus is improving our consumer\-facing to drive retention and frequency
* Play a meaningful role in deciding how we can best engage and grow Etsy users through analysis of behavioral and transactional data.
* Design and analyze rigorous experiments, help teams set great hypotheses, and deliver robust analysis of experiment results.
* Transform raw data into meaningful and impactful analysis characterized by strong data governance, technique transparency, and clear documentation.
* Raise the skill level of the entire analytics team through the creation of outstanding work, mentorship, and the introduction of better practices, processes, and tools.
* Of course, this is just a sample of the kinds of work this role will require! You should assume that your role will encompass other tasks, too, and that your job duties and responsibilities may change from time to time at Etsy's discretion, or otherwise applicable with local law.
**Qualities that will help you thrive in this role are:**
* 2\+ years experience as a data scientist or data analyst during which you extracted insights from large datasets
* Experience in A/B experimentation and statistical analysis of experimental data
* Mastery of SQL, and experience with R/Python and other scripting/automation techniques. Bonus points for experience with Looker, Tableau, or other data visualization software
* Curious mindset to drive creative problem\-solving and business impact
* Proficiency in causal inference analysis is strongly preferred
* Experience in an e\-Commerce setting is a plus
**Additional Information**
 What's Next
 If you're interested in joining the team at Etsy, please share your resume with us and feel free to include a cover letter if you'd like. As we hope you've seen already, Etsy is a place that values individuality and variety. We don't want you to be like everyone else \-\- we want you to be like you! So tell us what you're all about.
 Our Promise
 At Etsy, we believe that a diverse, equitable and inclusive workplace furthers relevance, resilience, and longevity. We encourage people from all backgrounds, ages, abilities, and experiences to apply. Etsy is proud to be an equal opportunity workplace. We are committed to equal employment opportunity regardless of race, color, ancestry, religion, sex, national origin, sexual orientation, age, citizenship, marital status, disability, gender identity or veteran status, or any other characteristic protected by applicable law. If, due to a disability, you need an accommodation during any part of the application or interview process, please let your recruiter know. While Etsy supports visa sponsorship, sponsorship opportunities may be limited to certain roles and skills.</t>
        </is>
      </c>
    </row>
    <row r="72">
      <c r="A72" t="inlineStr">
        <is>
          <t>li-4358201243</t>
        </is>
      </c>
      <c r="B72" t="inlineStr">
        <is>
          <t>Data Scientist</t>
        </is>
      </c>
      <c r="C72" t="inlineStr">
        <is>
          <t>Prosper Marketplace</t>
        </is>
      </c>
      <c r="D72" t="inlineStr">
        <is>
          <t>linkedin</t>
        </is>
      </c>
      <c r="E72">
        <f>HYPERLINK("https://www.linkedin.com/jobs/view/4358201243", "https://www.linkedin.com/jobs/view/4358201243")</f>
        <v/>
      </c>
      <c r="F72">
        <f>HYPERLINK("https://jobs.lever.co/prosper/5b6015ab-1d7d-4b36-9f04-a89836cc25b0/apply?source=LinkedIn&amp;urlHash=1EiZ", "https://jobs.lever.co/prosper/5b6015ab-1d7d-4b36-9f04-a89836cc25b0/apply?source=LinkedIn&amp;urlHash=1EiZ")</f>
        <v/>
      </c>
      <c r="G72" t="inlineStr"/>
      <c r="H72" t="inlineStr"/>
      <c r="I72" t="inlineStr">
        <is>
          <t>**Your role in our mission**
 Prosper is seeking a Data Scientist for the Data Science team under our Credit Risk Analytics vertical. You will become a core contributor with machine learning expertise on the credit risk team and deliver results that directly impact our business.
**How You'll Make An Impact**
* Build industry\-leading machine learning models for managing credit and fraud risks
* Leverage multiple complex data sources such as credit bureau reports and customer supplied information at large scale to optimize approve/decline and credit line assignment decisions
* Collaborate with engineers to deploy your models into a production environment
* Propose and execute solutions to various problems within business constraints
* Use responsible AI technique following regulatory requirements and lending best practices
* Help the team with developing tools and workflow solutions to increase data science productivity
* Actively monitor the credit risk models in production
* Extract the most value out of data to significantly impact our key business metrics
* Assess the potential usefulness and validity of machine learning algorithms and features through various data sources
* Conduct ad\-hoc analysis related to risk management, investor services, operations and corporate development
**Skills That Will Help You Thrive**
* 3 \- 6 years of work experience in fintech, finance, or other high impact fields applying statistical and machine learning predictive techniques (educational experience taken into consideration). Consumer lending experience in unsecured personal loan or credit card is a plus
* Advanced degree (M.S./PhD) preferably in statistics, computer science, engineering, physical sciences, economics, or related technical field
* Expert knowledge in one of the statistical programming languages such as Python, and database languages such as SQL
* Solid understanding of coding best practices and model documentation
* Strong communication skills – ability to clearly and succinctly communicate technical subject matter to other team members and senior management
* Strong interpersonal skills – collaborate with people across functions and develop strong relationships
* Ability to work unsupervised in fast\-paced environment and prioritize among parallel projects
* Ability to think within regulatory guidelines with a mindset toward reproducible research
* Self\-motivated, results\-oriented, enthusiastic, and a creative thinker
**What We Offer**
* The opportunity to collaborate with a team of creative, fun, and driven colleagues on products that have an immediate and significant impact on people's lives.
* The opportunity to work in a fast\-paced environment with experienced industry leaders.
* Flexible time off, comprehensive health coverage, competitive salary, paid parental leave, and other wellness benefits.
* A bevy of other perks including Udemy access, childcare assistance, pet insurance discounts, legal assistance, and additional discounts through Perkspot.
* The ability to work remotely in the United States.
**Interview process**
* Recruiter Call: A brief screening to discuss your experience and initial questions.
* Department Interview: Deeper dive into technical skills and project alignment with the Hiring Manager or team member.
* Team/Virtual Interview: Meet team members for collaborative discussions, problem\-solving, or technical exercises.
* Final Round: Discussion with a department head/executive.
 $129,000 \- $179,000 a year
 Compensation details: The salary for this position is $129,000 \- $179,000 annually, plus bonus and generous benefits. In determining your salary, we will consider your location, experience, and other job\-related factors.
**About Us**
 Founded in 2005, Prosper introduced U.S. consumers to an innovative new approach to personal finance called peer\-to\-peer lending. Twenty years later, Prosper has helped over 2 million customers achieve financial well\-being through a comprehensive suite of products. Prosper’s flagship personal loan marketplace continues to offer a unique value for borrowers and investors alike. Home equity loans and lines of credit through Prosper provide homeowners a range of options and choices for tapping into the equity they’ve worked hard to build. The Prosper ® Card supports people seeking access to credit and flexibility in managing their finances. Regardless of the product, Prosper is dedicated to meeting people where they are in their financial journey, in order to advance their financial well\-being.
 We’re on a mission to hire the very best, and we are committed to creating exceptional employee experiences where everyone is respected and has access to equal opportunity. We realize that new ideas can come from everywhere. It is important to us that every hire connects with our vision, mission, and core values. Join a leading fintech company that’s democratizing finance for all!
***Our Values***
*Diversity expands opportunities*
*Collaboration creates better solutions*
*Curiosity fuels our innovation*
*Integrity defines all our relationships*
*Excellence leads to longevity*
*Simplicity guides our user experience*
*Accountability at all levels drives results*
*www.prosper.com*
*Our Story \&amp; Team* 
*//* 
*Our Blog*
*Applicants have rights under Federal Employment Laws.*
*Family \&amp; Medical Leave Act (FMLA)*
*Equal Employment Opportunity (EEO)*
*Employee Polygraph Protection Act (EPPA)*
*California applicants: please* 
*click here* 
*to view our California Consumer Privacy Act (“CCPA”) Notice for Applicants, which describes your rights under the CCPA.*
*At Prosper, we're looking for people with passion, integrity, and a hunger to learn. We encourage you to apply even if your experience doesn't precisely match the job description. Your unique skill set and diverse perspective will stand out and set you apart from other candidates. Prosper thrives with people who think outside of the box and aren't afraid to challenge the status quo. We invite you to join us on our mission to advance financial well\-being.*
*Prosper is committed to an inclusive and diverse workplace. All aspects of employment including the decision to hire, promote, discipline, or discharge,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including the San Francisco Fair Chance Ordinance. Prosper will consider for employment qualified applicants who are non\-US citizens and will provide green card sponsorship.*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3">
      <c r="A73" t="inlineStr">
        <is>
          <t>li-4306618897</t>
        </is>
      </c>
      <c r="B73" t="inlineStr">
        <is>
          <t>Data Scientist - Data-Driven Global Investment Firm</t>
        </is>
      </c>
      <c r="C73" t="inlineStr">
        <is>
          <t>Andiamo</t>
        </is>
      </c>
      <c r="D73" t="inlineStr">
        <is>
          <t>linkedin</t>
        </is>
      </c>
      <c r="E73">
        <f>HYPERLINK("https://www.linkedin.com/jobs/view/4306618897", "https://www.linkedin.com/jobs/view/4306618897")</f>
        <v/>
      </c>
      <c r="F73" t="inlineStr"/>
      <c r="G73" t="inlineStr">
        <is>
          <t>New York, NY</t>
        </is>
      </c>
      <c r="H73" t="inlineStr"/>
      <c r="I73" t="inlineStr">
        <is>
          <t>Data Scientist
**About The Role**
 When you work in this role, you’ll tackle tough problems alongside other scientists and engineers—people who will challenge your ideas, share knowledge, and collaborate on impactful projects. You’ll be doing work that matters, developing solutions to complex real\-world problems using data, invention, and rigorous inquiry.
**Responsibilities**
* Independently research and develop hypotheses based on diverse real\-world datasets.
* Conduct literature reviews to apply cutting\-edge methodologies for extracting meaningful signals from data.
* Partner with engineers and stakeholders to rigorously explore and test your theories.
* Stay engaged in the academic community by joining reading circles and attending seminars to keep up with the latest research.
**Qualifications**
* 1–5\+ years of experience in applied data analysis and prediction, preferably in an industry setting.
* Degree in a technical or quantitative discipline such as statistics, mathematics, physics, electrical engineering, or computer science.
* Proficiency in Python and SQL.
* Experience conducting in\-depth research projects involving real\-world data.
* Ability to think independently, approach analysis creatively, and communicate complex ideas clearly.
* Background in finance is not required—strong research skills are most important.
**Benefits**
* Core Benefits: Fully paid medical and dental insurance premiums for employees and dependents, competitive 401k match, employer\-paid life and disability insurance.
* Perks: Onsite gyms with laundry service, wellness activities, casual dress, snacks, game rooms.
* Learning: Tuition reimbursement, conference and training sponsorship.
* Time Off: Generous vacation and unlimited sick days, competitive paid caregiver leaves.
* Hybrid Work Policy: Flexible in\-office days with budget for home office setup.
**Compensation**
 The base pay for this role will be between
 **$165,000 and $300,000** 
 . This role may also be eligible for additional forms of compensation and benefits such as discretionary bonuses, health and wellness plans, and 401(k) contributions. Discretionary bonus can be a significant portion of total compensation. Actual compensation will depend on skills, qualifications, and experience.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74">
      <c r="A74" t="inlineStr">
        <is>
          <t>li-4306638000</t>
        </is>
      </c>
      <c r="B74" t="inlineStr">
        <is>
          <t>Data Scientist - Data-Driven Global Investment Firm</t>
        </is>
      </c>
      <c r="C74" t="inlineStr">
        <is>
          <t>Andiamo</t>
        </is>
      </c>
      <c r="D74" t="inlineStr">
        <is>
          <t>linkedin</t>
        </is>
      </c>
      <c r="E74">
        <f>HYPERLINK("https://www.linkedin.com/jobs/view/4306638000", "https://www.linkedin.com/jobs/view/4306638000")</f>
        <v/>
      </c>
      <c r="F74" t="inlineStr"/>
      <c r="G74" t="inlineStr">
        <is>
          <t>San Francisco, CA</t>
        </is>
      </c>
      <c r="H74" t="inlineStr"/>
      <c r="I74" t="inlineStr">
        <is>
          <t>Data Scientist
**About The Role**
 When you work in this role, you’ll tackle tough problems alongside other scientists and engineers—people who will challenge your ideas, share knowledge, and collaborate on impactful projects. You’ll be doing work that matters, developing solutions to complex real\-world problems using data, invention, and rigorous inquiry.
**Responsibilities**
* Independently research and develop hypotheses based on diverse real\-world datasets.
* Conduct literature reviews to apply cutting\-edge methodologies for extracting meaningful signals from data.
* Partner with engineers and stakeholders to rigorously explore and test your theories.
* Stay engaged in the academic community by joining reading circles and attending seminars to keep up with the latest research.
**Qualifications**
* 1–5\+ years of experience in applied data analysis and prediction, preferably in an industry setting.
* Degree in a technical or quantitative discipline such as statistics, mathematics, physics, electrical engineering, or computer science.
* Proficiency in Python and SQL.
* Experience conducting in\-depth research projects involving real\-world data.
* Ability to think independently, approach analysis creatively, and communicate complex ideas clearly.
* Background in finance is not required—strong research skills are most important.
**Benefits**
* Core Benefits: Fully paid medical and dental insurance premiums for employees and dependents, competitive 401k match, employer\-paid life and disability insurance.
* Perks: Onsite gyms with laundry service, wellness activities, casual dress, snacks, game rooms.
* Learning: Tuition reimbursement, conference and training sponsorship.
* Time Off: Generous vacation and unlimited sick days, competitive paid caregiver leaves.
* Hybrid Work Policy: Flexible in\-office days with budget for home office setup.
**Compensation**
 The base pay for this role will be between
 **$165,000 and $300,000** 
 . This role may also be eligible for additional forms of compensation and benefits such as discretionary bonuses, health and wellness plans, and 401(k) contributions. Discretionary bonus can be a significant portion of total compensation. Actual compensation will depend on skills, qualifications, and experience.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75">
      <c r="A75" t="inlineStr">
        <is>
          <t>li-4366267633</t>
        </is>
      </c>
      <c r="B75" t="inlineStr">
        <is>
          <t>Data Scientist, All Levels</t>
        </is>
      </c>
      <c r="C75" t="inlineStr">
        <is>
          <t>Ramp</t>
        </is>
      </c>
      <c r="D75" t="inlineStr">
        <is>
          <t>linkedin</t>
        </is>
      </c>
      <c r="E75">
        <f>HYPERLINK("https://www.linkedin.com/jobs/view/4366267633", "https://www.linkedin.com/jobs/view/4366267633")</f>
        <v/>
      </c>
      <c r="F75">
        <f>HYPERLINK("https://jobs.ashbyhq.com/ramp/e577622f-6657-4e53-8941-b3a774b04448?src=LinkedIn&amp;urlHash=9eFH", "https://jobs.ashbyhq.com/ramp/e577622f-6657-4e53-8941-b3a774b04448?src=LinkedIn&amp;urlHash=9eFH")</f>
        <v/>
      </c>
      <c r="G75" t="inlineStr"/>
      <c r="H75" t="inlineStr"/>
      <c r="I75"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We’re looking for someone to help lead the future of analytics at Ramp. This person will enable Ramp to get 1% better every day by developing data products and insights. They will partner closely with business stakeholders and product, engineering, and design counterparts to prioritize and execute on work, improve reporting, as well as drive results and process improvements.
**What You’ll Do**
* Full stack development, building models to consume, transform, and expose data to stakeholders and production systems
* Drive a culture of experimental design, testing agenda, and best practices
* Contribute to the culture of Ramp’s data team by influencing processes, tools, and systems that will allow us to make better decisions in a scalable way
* Collaborate with P/E/D/D (product, engineering, data and design) teams to develop product roadmaps and measure success
* Work closely with data engineering teams to capture, move, store, and transform raw data into highly actionable insights, and partner with business teams to turn those insights into action
**What You Need**
* Strong knowledge of SQL (preferably Redshift, Snowflake, BigQuery) and how to write efficient SQL queries
* Familiarity with BI tools (preferably Looker, Omni, Sigma, Hex or equivalent) and experience distributing data insights via reports and dashboards
* Track record of shipping high quality products and features at scale
* Ability to thrive in a fast\-paced, constantly improving, start\-up environment that focuses on solving problems with iterative technical solutions
**Nice\-to\-Haves**
* Experience with the modern data stack (Fivetran / Snowflake / dbt / Looker / Hightouch or equivalents)
* Strong perspective on analytics engineering development cycle (data modeling, version control, documentation \+ testing, best practices for codebase development)
* Experience within the payments and financial technology space
* Familiarity with B2B enterprise sales cycle metrics and processes
**About Our Teams**
* Product Data \| Ramp’s Product Data team is responsible for delivering data products and insights that shape Ramp’s product direction and unlock business value. The Product Analytics team is also responsible for building out the platform through which new products are launched, instrumented, tested, and QA’d. The team embeds deeply as a partner to engineering, product, and design.
* Risk \&amp; Capital Markets Data \| Ramp’s Risk Data team is responsible for how risk is evaluated, and building the risk infrastructure to scale to millions of businesses in the United States. Areas include risk operations and underwriting, limit setting and pricing across financial products as well as fraud detection, regulatory reporting, and capital market relationships.
* Growth Data \| Ramp's Growth Data team ships data products and insights that allow Ramp to acquire new business and expand existing business and partnerships at scale. Current areas of focus include: Web \&amp; Martech, Outbound Automation, Customer Data Platform, Self\-Service Product, GTM Strategic Finance, and Business Systems.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Unlimited AI token usage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Ramp Applicant Privacy Notice</t>
        </is>
      </c>
    </row>
    <row r="76">
      <c r="A76" t="inlineStr">
        <is>
          <t>li-4366263813</t>
        </is>
      </c>
      <c r="B76" t="inlineStr">
        <is>
          <t>Data Scientist, All Levels</t>
        </is>
      </c>
      <c r="C76" t="inlineStr">
        <is>
          <t>Ramp</t>
        </is>
      </c>
      <c r="D76" t="inlineStr">
        <is>
          <t>linkedin</t>
        </is>
      </c>
      <c r="E76">
        <f>HYPERLINK("https://www.linkedin.com/jobs/view/4366263813", "https://www.linkedin.com/jobs/view/4366263813")</f>
        <v/>
      </c>
      <c r="F76" t="inlineStr"/>
      <c r="G76" t="inlineStr">
        <is>
          <t>New York, United States</t>
        </is>
      </c>
      <c r="H76" t="inlineStr"/>
      <c r="I76"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We’re looking for someone to help lead the future of analytics at Ramp. This person will enable Ramp to get 1% better every day by developing data products and insights. They will partner closely with business stakeholders and product, engineering, and design counterparts to prioritize and execute on work, improve reporting, as well as drive results and process improvements.
**What You’ll Do**
* Full stack development, building models to consume, transform, and expose data to stakeholders and production systems
* Drive a culture of experimental design, testing agenda, and best practices
* Contribute to the culture of Ramp’s data team by influencing processes, tools, and systems that will allow us to make better decisions in a scalable way
* Collaborate with P/E/D/D (product, engineering, data and design) teams to develop product roadmaps and measure success
* Work closely with data engineering teams to capture, move, store, and transform raw data into highly actionable insights, and partner with business teams to turn those insights into action
**What You Need**
* Strong knowledge of SQL (preferably Redshift, Snowflake, BigQuery) and how to write efficient SQL queries
* Familiarity with BI tools (preferably Looker, Omni, Sigma, Hex or equivalent) and experience distributing data insights via reports and dashboards
* Track record of shipping high quality products and features at scale
* Ability to thrive in a fast\-paced, constantly improving, start\-up environment that focuses on solving problems with iterative technical solutions
**Nice\-to\-Haves**
* Experience with the modern data stack (Fivetran / Snowflake / dbt / Looker / Hightouch or equivalents)
* Strong perspective on analytics engineering development cycle (data modeling, version control, documentation \+ testing, best practices for codebase development)
* Experience within the payments and financial technology space
* Familiarity with B2B enterprise sales cycle metrics and processes
**About Our Teams**
* Product Data \| Ramp’s Product Data team is responsible for delivering data products and insights that shape Ramp’s product direction and unlock business value. The Product Analytics team is also responsible for building out the platform through which new products are launched, instrumented, tested, and QA’d. The team embeds deeply as a partner to engineering, product, and design.
* Risk \&amp; Capital Markets Data \| Ramp’s Risk Data team is responsible for how risk is evaluated, and building the risk infrastructure to scale to millions of businesses in the United States. Areas include risk operations and underwriting, limit setting and pricing across financial products as well as fraud detection, regulatory reporting, and capital market relationships.
* Growth Data \| Ramp's Growth Data team ships data products and insights that allow Ramp to acquire new business and expand existing business and partnerships at scale. Current areas of focus include: Web \&amp; Martech, Outbound Automation, Customer Data Platform, Self\-Service Product, GTM Strategic Finance, and Business Systems.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Unlimited AI token usage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Ramp Applicant Privacy Notice</t>
        </is>
      </c>
    </row>
    <row r="77">
      <c r="A77" t="inlineStr">
        <is>
          <t>li-4306616932</t>
        </is>
      </c>
      <c r="B77" t="inlineStr">
        <is>
          <t>Data Scientist - Data-Driven Global Investment Firm</t>
        </is>
      </c>
      <c r="C77" t="inlineStr">
        <is>
          <t>Andiamo</t>
        </is>
      </c>
      <c r="D77" t="inlineStr">
        <is>
          <t>linkedin</t>
        </is>
      </c>
      <c r="E77">
        <f>HYPERLINK("https://www.linkedin.com/jobs/view/4306616932", "https://www.linkedin.com/jobs/view/4306616932")</f>
        <v/>
      </c>
      <c r="F77" t="inlineStr"/>
      <c r="G77" t="inlineStr">
        <is>
          <t>Boston, MA</t>
        </is>
      </c>
      <c r="H77" t="inlineStr"/>
      <c r="I77" t="inlineStr">
        <is>
          <t>Data Scientist
**About The Role**
 When you work in this role, you’ll tackle tough problems alongside other scientists and engineers—people who will challenge your ideas, share knowledge, and collaborate on impactful projects. You’ll be doing work that matters, developing solutions to complex real\-world problems using data, invention, and rigorous inquiry.
**Responsibilities**
* Independently research and develop hypotheses based on diverse real\-world datasets.
* Conduct literature reviews to apply cutting\-edge methodologies for extracting meaningful signals from data.
* Partner with engineers and stakeholders to rigorously explore and test your theories.
* Stay engaged in the academic community by joining reading circles and attending seminars to keep up with the latest research.
**Qualifications**
* 1–5\+ years of experience in applied data analysis and prediction, preferably in an industry setting.
* Degree in a technical or quantitative discipline such as statistics, mathematics, physics, electrical engineering, or computer science.
* Proficiency in Python and SQL.
* Experience conducting in\-depth research projects involving real\-world data.
* Ability to think independently, approach analysis creatively, and communicate complex ideas clearly.
* Background in finance is not required—strong research skills are most important.
**Benefits**
* Core Benefits: Fully paid medical and dental insurance premiums for employees and dependents, competitive 401k match, employer\-paid life and disability insurance.
* Perks: Onsite gyms with laundry service, wellness activities, casual dress, snacks, game rooms.
* Learning: Tuition reimbursement, conference and training sponsorship.
* Time Off: Generous vacation and unlimited sick days, competitive paid caregiver leaves.
* Hybrid Work Policy: Flexible in\-office days with budget for home office setup.
**Compensation**
 The base pay for this role will be between
 **$165,000 and $300,000** 
 . This role may also be eligible for additional forms of compensation and benefits such as discretionary bonuses, health and wellness plans, and 401(k) contributions. Discretionary bonus can be a significant portion of total compensation. Actual compensation will depend on skills, qualifications, and experience.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78">
      <c r="A78" t="inlineStr">
        <is>
          <t>li-4306629597</t>
        </is>
      </c>
      <c r="B78" t="inlineStr">
        <is>
          <t>Data Scientist - Data-Driven Global Investment Firm</t>
        </is>
      </c>
      <c r="C78" t="inlineStr">
        <is>
          <t>Andiamo</t>
        </is>
      </c>
      <c r="D78" t="inlineStr">
        <is>
          <t>linkedin</t>
        </is>
      </c>
      <c r="E78">
        <f>HYPERLINK("https://www.linkedin.com/jobs/view/4306629597", "https://www.linkedin.com/jobs/view/4306629597")</f>
        <v/>
      </c>
      <c r="F78" t="inlineStr"/>
      <c r="G78" t="inlineStr">
        <is>
          <t>Seattle, WA</t>
        </is>
      </c>
      <c r="H78" t="inlineStr"/>
      <c r="I78" t="inlineStr">
        <is>
          <t>Data Scientist
**About The Role**
 When you work in this role, you’ll tackle tough problems alongside other scientists and engineers—people who will challenge your ideas, share knowledge, and collaborate on impactful projects. You’ll be doing work that matters, developing solutions to complex real\-world problems using data, invention, and rigorous inquiry.
**Responsibilities**
* Independently research and develop hypotheses based on diverse real\-world datasets.
* Conduct literature reviews to apply cutting\-edge methodologies for extracting meaningful signals from data.
* Partner with engineers and stakeholders to rigorously explore and test your theories.
* Stay engaged in the academic community by joining reading circles and attending seminars to keep up with the latest research.
**Qualifications**
* 1–5\+ years of experience in applied data analysis and prediction, preferably in an industry setting.
* Degree in a technical or quantitative discipline such as statistics, mathematics, physics, electrical engineering, or computer science.
* Proficiency in Python and SQL.
* Experience conducting in\-depth research projects involving real\-world data.
* Ability to think independently, approach analysis creatively, and communicate complex ideas clearly.
* Background in finance is not required—strong research skills are most important.
**Benefits**
* Core Benefits: Fully paid medical and dental insurance premiums for employees and dependents, competitive 401k match, employer\-paid life and disability insurance.
* Perks: Onsite gyms with laundry service, wellness activities, casual dress, snacks, game rooms.
* Learning: Tuition reimbursement, conference and training sponsorship.
* Time Off: Generous vacation and unlimited sick days, competitive paid caregiver leaves.
* Hybrid Work Policy: Flexible in\-office days with budget for home office setup.
**Compensation**
 The base pay for this role will be between
 **$165,000 and $300,000** 
 . This role may also be eligible for additional forms of compensation and benefits such as discretionary bonuses, health and wellness plans, and 401(k) contributions. Discretionary bonus can be a significant portion of total compensation. Actual compensation will depend on skills, qualifications, and experience.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79">
      <c r="A79" t="inlineStr">
        <is>
          <t>li-4366263812</t>
        </is>
      </c>
      <c r="B79" t="inlineStr">
        <is>
          <t>Data Scientist, All Levels</t>
        </is>
      </c>
      <c r="C79" t="inlineStr">
        <is>
          <t>Ramp</t>
        </is>
      </c>
      <c r="D79" t="inlineStr">
        <is>
          <t>linkedin</t>
        </is>
      </c>
      <c r="E79">
        <f>HYPERLINK("https://www.linkedin.com/jobs/view/4366263812", "https://www.linkedin.com/jobs/view/4366263812")</f>
        <v/>
      </c>
      <c r="F79">
        <f>HYPERLINK("https://jobs.ashbyhq.com/ramp/e577622f-6657-4e53-8941-b3a774b04448?src=LinkedIn&amp;urlHash=9eFH", "https://jobs.ashbyhq.com/ramp/e577622f-6657-4e53-8941-b3a774b04448?src=LinkedIn&amp;urlHash=9eFH")</f>
        <v/>
      </c>
      <c r="G79" t="inlineStr">
        <is>
          <t>San Francisco, CA</t>
        </is>
      </c>
      <c r="H79" t="inlineStr"/>
      <c r="I79"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We’re looking for someone to help lead the future of analytics at Ramp. This person will enable Ramp to get 1% better every day by developing data products and insights. They will partner closely with business stakeholders and product, engineering, and design counterparts to prioritize and execute on work, improve reporting, as well as drive results and process improvements.
**What You’ll Do**
* Full stack development, building models to consume, transform, and expose data to stakeholders and production systems
* Drive a culture of experimental design, testing agenda, and best practices
* Contribute to the culture of Ramp’s data team by influencing processes, tools, and systems that will allow us to make better decisions in a scalable way
* Collaborate with P/E/D/D (product, engineering, data and design) teams to develop product roadmaps and measure success
* Work closely with data engineering teams to capture, move, store, and transform raw data into highly actionable insights, and partner with business teams to turn those insights into action
**What You Need**
* Strong knowledge of SQL (preferably Redshift, Snowflake, BigQuery) and how to write efficient SQL queries
* Familiarity with BI tools (preferably Looker, Omni, Sigma, Hex or equivalent) and experience distributing data insights via reports and dashboards
* Track record of shipping high quality products and features at scale
* Ability to thrive in a fast\-paced, constantly improving, start\-up environment that focuses on solving problems with iterative technical solutions
**Nice\-to\-Haves**
* Experience with the modern data stack (Fivetran / Snowflake / dbt / Looker / Hightouch or equivalents)
* Strong perspective on analytics engineering development cycle (data modeling, version control, documentation \+ testing, best practices for codebase development)
* Experience within the payments and financial technology space
* Familiarity with B2B enterprise sales cycle metrics and processes
**About Our Teams**
* Product Data \| Ramp’s Product Data team is responsible for delivering data products and insights that shape Ramp’s product direction and unlock business value. The Product Analytics team is also responsible for building out the platform through which new products are launched, instrumented, tested, and QA’d. The team embeds deeply as a partner to engineering, product, and design.
* Risk \&amp; Capital Markets Data \| Ramp’s Risk Data team is responsible for how risk is evaluated, and building the risk infrastructure to scale to millions of businesses in the United States. Areas include risk operations and underwriting, limit setting and pricing across financial products as well as fraud detection, regulatory reporting, and capital market relationships.
* Growth Data \| Ramp's Growth Data team ships data products and insights that allow Ramp to acquire new business and expand existing business and partnerships at scale. Current areas of focus include: Web \&amp; Martech, Outbound Automation, Customer Data Platform, Self\-Service Product, GTM Strategic Finance, and Business Systems.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Unlimited AI token usage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Ramp Applicant Privacy Notice</t>
        </is>
      </c>
    </row>
    <row r="80">
      <c r="A80" t="inlineStr">
        <is>
          <t>li-4373957870</t>
        </is>
      </c>
      <c r="B80" t="inlineStr">
        <is>
          <t>Data Scientist (REMOTE)</t>
        </is>
      </c>
      <c r="C80" t="inlineStr">
        <is>
          <t>Lensa</t>
        </is>
      </c>
      <c r="D80" t="inlineStr">
        <is>
          <t>linkedin</t>
        </is>
      </c>
      <c r="E80">
        <f>HYPERLINK("https://www.linkedin.com/jobs/view/4373957870", "https://www.linkedin.com/jobs/view/4373957870")</f>
        <v/>
      </c>
      <c r="F80" t="inlineStr"/>
      <c r="G80" t="inlineStr">
        <is>
          <t>Austin, TX</t>
        </is>
      </c>
      <c r="H80" t="inlineStr"/>
      <c r="I8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Sedgwick. Clicking "Apply Now" or "Read more" on Lensa redirects you to the job board/employer site. Any information collected there is subject to their terms and privacy notice.
 By joining Sedgwick, you'll be part of something truly meaningful. It's what our 33,000 colleagues do every day for people around the world who are facing the unexpected. We invite you to grow your career with us, experience our caring culture, and enjoy work\-life balance. Here, there's no limit to what you can achieve.
 Newsweek Recognizes Sedgwick as America's Greatest Workplaces National Top Companies
 Certified as a Great Place to Work®
 Fortune Best Workplaces in Financial Services \&amp; Insurance
 Data Scientist (REMOTE)
 Data Scientist (Remote)
**PRIMARY PURPOSE OF THE ROLE:** 
 To develop and manage predictive modeling assignments through completion; to communicate results; to make recommendations to management; and to ensure model ownership, implementation, and monitoring; to spot trends and to gain maximum insight that can give the company a competitive advantage.
**ARE YOU AN IDEAL CANDIDATE?** 
 We are looking for enthusiastic candidates who thrive in a collaborative environment, who are driven to deliver great work, are customer\-oriented and are naturally empathetic.
**Essential Responsiblities May Include**
* Execute data science projects as identified by Sr Data Scientists, leadership, and stakeholders
* Help to build, prototype, and deploy machine learning models in sandbox and production environments
* Produce reports to communicate metrics and outcomes of stakeholder interest
* Assist with developing and maintaining end\-to\-end ETL data pipelines
* Work to explore new internal data sources and their utility within projects
* Communicate modeling challenges, findings, and outcomes to stakeholders
**Qualifications**
* Insurance claims knowledge preferred
* Minimum one year of predictive modeling, data science, and analysis experience with solid background in the using data visualization tools and libraries and data exploration, data wrangling, and feature engineering
* Experience writing Python or R code, and notebook environments
* Knowledge of common unsupervised/supervised ML techniques
**TAKING CARE OF YOU**
* Career development and promotional growth opportunities.
* A diverse and comprehensive benefits offering including medical, dental vision, 401k, PTO and more.
 \#DataEngineering
 \#HiringDataScientists
 \#DataScienceJobs
 \#Python
 \#DataScientist
 Work environment requirements for entry\-level opportunities include \-
 Physical: Computer keyboarding
 Auditory/visual: Hearing, vision and talking
 Mental: Clear and conceptual thinking ability; excellent judgement and discretion; ability to meet deadlines
 The statements contained in this document are intended to describe the general nature and level of work being performed by a colleague assigned to this description. They are not intended to constitute a comprehensive list of functions, duties, or local variances. Sedgwick retains the discretion to add or to change the duties of the position at any time.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the world's leading risk and claims administration partner, which helps clients thrive by navigating the unexpected. The company's expertise, combined with the most advanced AI\-enabled technology available, sets the standard for solutions in claims administration, loss adjusting, benefits administration, and product recall. With over 33,000 colleagues and 10,000 clients across 80 countries, Sedgwick provides unmatched perspective, caring that counts, and solutions for the rapidly changing and complex risk landscape. For more, see
 **sedgwick.com**
 If you have questions about this posting, please contact support@lensa.com</t>
        </is>
      </c>
    </row>
    <row r="81">
      <c r="A81" t="inlineStr">
        <is>
          <t>li-4373979003</t>
        </is>
      </c>
      <c r="B81" t="inlineStr">
        <is>
          <t>Data Scientist I</t>
        </is>
      </c>
      <c r="C81" t="inlineStr">
        <is>
          <t>Lensa</t>
        </is>
      </c>
      <c r="D81" t="inlineStr">
        <is>
          <t>linkedin</t>
        </is>
      </c>
      <c r="E81">
        <f>HYPERLINK("https://www.linkedin.com/jobs/view/4373979003", "https://www.linkedin.com/jobs/view/4373979003")</f>
        <v/>
      </c>
      <c r="F81" t="inlineStr"/>
      <c r="G81" t="inlineStr">
        <is>
          <t>New York, NY</t>
        </is>
      </c>
      <c r="H81" t="inlineStr"/>
      <c r="I8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Bank of America. Clicking "Apply Now" or "Read more" on Lensa redirects you to the job board/employer site. Any information collected there is subject to their terms and privacy notice.
 Data Scientist I
 New York, New York;Charlotte, North Carolina
**To proceed with your application, you must be at least 18 years of age.**
 Acknowledge
 Refer a friend
**To proceed with your application, you must be at least 18 years of age.**
 Acknowledge (https://ghr.wd1\.myworkdayjobs.com/Lateral\-US/job/New\-York/Data\-Scientist\-I\_25030183\)
**Job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**The Data and AI team within Global Payment Solutions (GPS) at Bank of America** 
 is looking for a highly technicalResearch Engineerthat is a self\-starter who can translate complex concepts and generate actionable insights.
**Who We Are**
 The GPS Data and AI team drives and powers innovation within the one of the largest payment businesses in the world. We are the core data scientists building end\-to\-end production level solutions at scale. The team is a collection of individuals that welcomes challenging problems because that is where the learning begins. Many of our projects begin with "think tank" sessions with business teams that is later translated to tangible solutions and products.
**Representative Projects**
* Develop advanced statistical methods to determine the optimal interest\-rate or product pricing strategies for clients
* Build a Generative AI\-powered search platform that enables sales and product teams to access high quality answers to product, servicing, and client related questions
* Develop AI models that shift foreign currency conversion "up the payment stream," reducing reliability on beneficiary banks
* Apply advanced NLP techniques to generate near real\-time insights into what clients are reaching out to servicing teams about, helping servicing teams anticipate client needs and improve service quality
**Who We're Looking For**
 As aResearch Engineeron the GPS team, you will tackle one of our most import challenges: building models that transform data into revenue\-driving insights and products. This role blends research, engineering, and product responsibilities, requiring you to design statistical models, build scalable ML pipelines, and deploy algorithms directly into our production systems. You will work across teams to solve problems in recommendation, stochastic optimization, and time\-series forecasting; while running large A/B tests on new methods we design to push the boundaries of what data can achieve.
 If you are passionate about working in cross\-functional teams and utilizing your skills for technical product management, statistical analytics, predictive modeling, and generating revenue, consider applying to this role.
**Responsibilities**
* Frame abstract business problems using advanced data science and machine learning algorithms
* Work with stakeholders throughout the organization to identify opportunities for leveraging internal and external data to drive business solutions
* Own critical research and application development, strengthening the firm's competitive advantage
* Shape cross\-team collaboration to advance the firm's data science capabilities
**Required Skills**
* Minimum Bachelor's degree in a quantitative field such as computer science, math, statistics, and physics
* Minimum 3 years of experience with translating mathematical models and algorithms into code (Python and/or C\+\+)
* Strong foundation in probability, statistics, and applied machine learning (NLP, time\-series analysis, Generative AI)
* Prior experience working in a highly technical data driven research environment
* Ability to communicate complex topics in a concise and coherent manner
**Desired Skills**
* Graduate level degree in a quantitative field such as, computer science, math, statistics, and physics
* Demonstrated prior experience through work, research or passion projects in RAG, Agentic Frameworks, LLMs, Reinforcement Learning
* Are energized by the high stakes and intensity of dynamic environments and ready to dive in whenever
* Are excited to dive into new technical areas on a regular basis
**Shift**
 1st shift (United States of America)
**Hours Per Week**
 40
 Bank of America and its affiliates consider for employment and hire qualified candidates without regard to race, religious creed, religion, color, sex, sexual orientation, genetic information, gender, gender identity, gender expression, age, national origin, ancestry, citizenship, protected veteran or disability status or any factor prohibited by law, and as such affirms in policy and practice to support and promote the concept of equal employment opportunity, in accordance with all applicable federal, state, provincial and municipal laws. The company also prohibits discrimination on other bases such as medical condition, marital status or any other factor that is irrelevant to the performance of our teammates.
 View your
 **"Know your Rights (https://www.eeoc.gov/sites/default/files/2023\-06/22\-088\_EEOC\_KnowYourRights6\.12\.pdf) "** 
 poster.
**View the LA County Fair Chance Ordinance (https://dcba.lacounty.gov/wp\-content/uploads/2024/08/FCOE\-Official\-Notice\-Eng\-Final\-8\.30\.2024\.pdf) .**
 Bank of America aims to create a workplace free from the dangers and resulting consequences of illegal and illicit drug use and alcohol abuse. Our Drug\-Free Workplace and Alcohol Policy ("Policy") establishes requirements to prevent the presence or use of illegal or illicit drugs or unauthorized alcohol on Bank of America premises and to provide a safe work environment.
 Bank of America is committed to an in\-office culture with specific requirements for office\-based attendance and which allows for an appropriate level of flexibility for our teammates and businesses based on role\-specific considerations. Should you be offered a role with Bank of America, your hiring manager will provide you with information on the in\-office expectations associated with your role. These expectations are subject to change at any time and at the sole discretion of the Company. To the extent you have a disability or sincerely held religious belief for which you believe you need a reasonable accommodation from this requirement, you must seek an accommodation through the Bank's required accommodation request process before your first day of work.
 This communication provides information about certain Bank of America benefits. Receipt of this document does not automatically entitle you to benefits offered by Bank of America. Every effort has been made to ensure the accuracy of this communication. However, if there are discrepancies between this communication and the official plan documents, the plan documents will always govern. Bank of America retains the discretion to interpret the terms or language used in any of its communications according to the provisions contained in the plan documents. Bank of America also reserves the right to amend or terminate any benefit plan in its sole discretion at any time for any reason.
 If you have questions about this posting, please contact support@lensa.com</t>
        </is>
      </c>
    </row>
    <row r="82">
      <c r="A82" t="inlineStr">
        <is>
          <t>li-4371968416</t>
        </is>
      </c>
      <c r="B82" t="inlineStr">
        <is>
          <t>Data Scientist - Up to $130k + Bonus + Benefits</t>
        </is>
      </c>
      <c r="C82" t="inlineStr">
        <is>
          <t>Hunter Bond</t>
        </is>
      </c>
      <c r="D82" t="inlineStr">
        <is>
          <t>linkedin</t>
        </is>
      </c>
      <c r="E82">
        <f>HYPERLINK("https://www.linkedin.com/jobs/view/4371968416", "https://www.linkedin.com/jobs/view/4371968416")</f>
        <v/>
      </c>
      <c r="F82" t="inlineStr"/>
      <c r="G82" t="inlineStr">
        <is>
          <t>Houston, TX</t>
        </is>
      </c>
      <c r="H82" t="inlineStr"/>
      <c r="I82" t="inlineStr">
        <is>
          <t>**Role: Data Scientist** 
**Salary:** 
 Up to $130,000 base \+ Bonus \+ Benefits
**Location:** 
**Houston, TX** 
 (On\-site 4 days per week)
**Client:** 
**Technology Driven Investment Management Firm** 
 My client is a
 **modern, technology\-led investment management firm** 
 leveraging advanced data science and machine learning to drive smarter decisions across global financial markets. They’re looking for a
 **Data Scientist** 
 at junior–mid level who’s excited by real\-world data, complex systems, and the chance to see models directly influence trading and investment strategies.
 You’ll be joining a collaborative team of data scientists, engineers, and quantitative analysts working at the intersection of
 **finance, technology, and analytics** 
 . This is a hands\-on role with exposure to live market data, large datasets, and decision\-making systems that operate at scale.
 From exploratory analysis through to production\-ready models, you’ll play a meaningful role in shaping how data is used across the firm — with visibility, ownership, and room to grow.
 This is an on\-site\-first environment designed for collaboration, mentorship, and fast learning, with flexibility built in where it counts.
**Requirements:** 
* 1\-4 years of hands\-on experience in data analysis, EDA, and machine learning
* Solid understanding of ML and statistical techniques (regression, classification, clustering, time series, model evaluation)
* Strong Python skills and experience working with real\-world datasets
* Exposure to (or an interest in) finance/ financial data is a strong plus
* Degree in Data Science, Computer Science, Engineering, Mathematics, or similar
**Perks that make it different:** 
* Extremely Competitive bonus tied to firm and individual performance
* Direct exposure to investment and trading decision\-making
* Modern tech stack with real production ownership
* Structured learning budget for courses, conferences, and certifications
* Clear progression path into senior data science or quantitative roles
* High\-impact work — your models won’t sit on a shelf
 If you’re looking to build serious data science experience inside a fast\-moving investment environment, this is a standout opportunity.
 Interviews are already underway — apply now to be considered.</t>
        </is>
      </c>
    </row>
    <row r="83">
      <c r="A83" t="inlineStr">
        <is>
          <t>li-4373976141</t>
        </is>
      </c>
      <c r="B83" t="inlineStr">
        <is>
          <t>Data Scientist (REMOTE)</t>
        </is>
      </c>
      <c r="C83" t="inlineStr">
        <is>
          <t>Lensa</t>
        </is>
      </c>
      <c r="D83" t="inlineStr">
        <is>
          <t>linkedin</t>
        </is>
      </c>
      <c r="E83">
        <f>HYPERLINK("https://www.linkedin.com/jobs/view/4373976141", "https://www.linkedin.com/jobs/view/4373976141")</f>
        <v/>
      </c>
      <c r="F83" t="inlineStr"/>
      <c r="G83" t="inlineStr">
        <is>
          <t>Atlanta, GA</t>
        </is>
      </c>
      <c r="H83" t="inlineStr"/>
      <c r="I8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Sedgwick. Clicking "Apply Now" or "Read more" on Lensa redirects you to the job board/employer site. Any information collected there is subject to their terms and privacy notice.
 By joining Sedgwick, you'll be part of something truly meaningful. It’s what our 33,000 colleagues do every day for people around the world who are facing the unexpected. We invite you to grow your career with us, experience our caring culture, and enjoy work\-life balance. Here, there’s no limit to what you can achieve.
 Newsweek Recognizes Sedgwick as America’s Greatest Workplaces National Top Companies
 Certified as a Great Place to Work®
 Fortune Best Workplaces in Financial Services \&amp; Insurance
 Data Scientist (REMOTE)
 Data Scientist (Remote)
**PRIMARY PURPOSE OF THE ROLE:** 
 To develop and manage predictive modeling assignments through completion; to communicate results; to make recommendations to management; and to ensure model ownership, implementation, and monitoring; to spot trends and to gain maximum insight that can give the company a competitive advantage.
**ARE YOU AN IDEAL CANDIDATE?** 
 We are looking for enthusiastic candidates who thrive in a collaborative environment, who are driven to deliver great work, are customer\-oriented and are naturally empathetic.
**Essential Responsiblities May Include**
* Execute data science projects as identified by Sr Data Scientists, leadership, and stakeholders
* Help to build, prototype, and deploy machine learning models in sandbox and production environments
* Produce reports to communicate metrics and outcomes of stakeholder interest
* Assist with developing and maintaining end\-to\-end ETL data pipelines
* Work to explore new internal data sources and their utility within projects
* Communicate modeling challenges, findings, and outcomes to stakeholders
**Qualifications**
* Insurance claims knowledge preferred
* Minimum one year of predictive modeling, data science, and analysis experience with solid background in the using data visualization tools and libraries and data exploration, data wrangling, and feature engineering
* Experience writing Python or R code, and notebook environments
* Knowledge of common unsupervised/supervised ML techniques
**TAKING CARE OF YOU**
* Career development and promotional growth opportunities.
* A diverse and comprehensive benefits offering including medical, dental vision, 401k, PTO and more.
 \#DataEngineering
 \#HiringDataScientists
 \#DataScienceJobs
 \#Python
 \#DataScientist
 Work environment requirements for entry\-level opportunities include –
 Physical: Computer keyboarding
 Auditory/visual: Hearing, vision and talking
 Mental: Clear and conceptual thinking ability; excellent judgement and discretion; ability to meet deadlines
 The statements contained in this document are intended to describe the general nature and level of work being performed by a colleague assigned to this description. They are not intended to constitute a comprehensive list of functions, duties, or local variances. Sedgwick retains the discretion to add or to change the duties of the position at any time.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the world’s leading risk and claims administration partner, which helps clients thrive by navigating the unexpected. The company’s expertise, combined with the most advanced AI\-enabled technology available, sets the standard for solutions in claims administration, loss adjusting, benefits administration, and product recall. With over 33,000 colleagues and 10,000 clients across 80 countries, Sedgwick provides unmatched perspective, caring that counts, and solutions for the rapidly changing and complex risk landscape. For more, see
 **sedgwick.com**
 If you have questions about this posting, please contact support@lensa.com</t>
        </is>
      </c>
    </row>
    <row r="84">
      <c r="A84" t="inlineStr">
        <is>
          <t>li-4306628631</t>
        </is>
      </c>
      <c r="B84" t="inlineStr">
        <is>
          <t>Data Scientist - Global Tech Leader</t>
        </is>
      </c>
      <c r="C84" t="inlineStr">
        <is>
          <t>Andiamo</t>
        </is>
      </c>
      <c r="D84" t="inlineStr">
        <is>
          <t>linkedin</t>
        </is>
      </c>
      <c r="E84">
        <f>HYPERLINK("https://www.linkedin.com/jobs/view/4306628631", "https://www.linkedin.com/jobs/view/4306628631")</f>
        <v/>
      </c>
      <c r="F84" t="inlineStr"/>
      <c r="G84" t="inlineStr">
        <is>
          <t>New York, NY</t>
        </is>
      </c>
      <c r="H84" t="inlineStr"/>
      <c r="I84" t="inlineStr">
        <is>
          <t>Data Scientist – Product \&amp; AI
**About The Role**
 We are looking for a
 **Data Scientist** 
 to help solve complex, high\-impact problems in product development and AI. You will work with
 **large\-scale, high\-dimensional data sets** 
 , applying statistical methods, machine learning, and experimentation to guide product decisions and improve user experiences. Your insights will influence the direction of features, platforms, and strategies used by thousands of organizations.
 As a mid\-level data scientist, you’ll own projects end\-to\-end: defining success metrics, designing experiments, building predictive models, and communicating findings to cross\-functional partners. You’ll collaborate with product managers, engineers, and designers to turn raw data into actionable insights that drive measurable business and product outcomes.
 This role is a chance to move beyond dashboards—you’ll uncover patterns, tell compelling stories with data, and contribute to building scalable data science practices that push the boundaries of what’s possible.
 What You’ll Do
* Apply Analytical Methods: Use statistical modeling, machine learning, and data visualization to extract insights and guide product strategy.
* Experiment \&amp; Learn: Design, run, and analyze A/B tests and other experiments to evaluate product changes and quantify impact.
* Build Predictive Models: Develop models that forecast user behavior, product performance, and key metrics.
* Define Success Metrics: Establish clear goals and KPIs that align product teams around measurable outcomes.
* Collaborate Across Teams: Partner with engineers, designers, and product leaders to ensure insights are translated into impactful features.
* Communicate Findings: Present results and recommendations to stakeholders, framing technical insights in clear, actionable terms.
* Contribute to Data Platforms: Work with engineering partners to improve data pipelines, instrumentation, and experimentation frameworks.
 What We’re Looking For
* Professional Experience: Around 5 years of applied data science experience in product analytics, business intelligence, or machine learning.
* Programming Skills: Proficiency in SQL and Python (or R) for data manipulation, modeling, and analysis.
* Experimentation: Familiarity with experimental design, causal inference, and A/B testing at scale.
* Statistical Foundation: Strong grounding in probability, statistics, and data\-driven problem solving.
* Communication: Ability to clearly present technical analyses to non\-technical audiences and drive alignment on decisions.
* Education: Bachelor’s degree in Statistics, Mathematics, Computer Science, Engineering, or related field; Master’s degree a plus.
**Preferred Qualifications**
* Experience working with product teams or SaaS platforms.
* Knowledge of ML frameworks (scikit\-learn, TensorFlow, or PyTorch) and data visualization tools (Tableau, Looker, or similar).
* Exposure to cloud data environments (AWS, GCP, or Azure).
 ✨
 **Why Join** 
 : This is your chance to tackle challenging data problems in AI and product development. You’ll apply advanced methods, work with talented colleagues, and contribute to products that affect millions of users and billions of data points—all while growing your skills and career.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85">
      <c r="A85" t="inlineStr">
        <is>
          <t>li-4372400077</t>
        </is>
      </c>
      <c r="B85" t="inlineStr">
        <is>
          <t>Senior Data Scientist</t>
        </is>
      </c>
      <c r="C85" t="inlineStr">
        <is>
          <t>FanDuel</t>
        </is>
      </c>
      <c r="D85" t="inlineStr">
        <is>
          <t>linkedin</t>
        </is>
      </c>
      <c r="E85">
        <f>HYPERLINK("https://www.linkedin.com/jobs/view/4372400077", "https://www.linkedin.com/jobs/view/4372400077")</f>
        <v/>
      </c>
      <c r="F85" t="inlineStr"/>
      <c r="G85" t="inlineStr">
        <is>
          <t>New York, NY</t>
        </is>
      </c>
      <c r="H85" t="inlineStr"/>
      <c r="I85" t="inlineStr">
        <is>
          <t>**THE POSITION**
 Our roster has an opening with your name on it
 FanDuel is looking for a data scientist who specializes in marketing modeling to join our team. In this role you will develop and evolve our internal marketing mix model, help create a roadmap to support its evolution, and deliver actionable insights driving business and marketing KPI. This role requires a strong background in data science, machine learning, and a deep understanding of marketing analytics. It is expected in this role to take ownership of open\-ended ambiguous problems and reach an optimal solution by narrowing multiple options into the best approach.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Develop and manage mix models to report on effectiveness of campaigns across all our products
* Design predictive models to optimize customer acquisition and retention strategies across generosity, prospecting and competitive intelligence, driving strategic decision\-making for marketing, commercial, and customer growth initiatives
* Build robust predictive models, showing capabilities of feature and model selection; develop, iterate and take to production advanced machine learning models
* Identify appropriate tools, systems, and models to solve large data problems and improve efficiency in the data infrastructure; choose the 'best' approach given available resources
* Create tools and models to generate actionable insights on Marketing campaigns
* Troubleshoot and resolve coding and modeling problems presented by others
* Work with agencies, vendors and in\-house data engineers to source and manage all the data elements required for marketing mix modelling and channel attribution
* Partner with decision\-makers across the company to understand their goals, identify opportunities to use data to develop new insights, and improve business results
* Present to senior leaders confidently and with impact
**THE STATS**
 What we're looking for in our next teammate
* Minimum of 5 years of industry experience in data science, analytics or engineering preferred
* Bachelor's Degree in a highly numerate major (Math, Stats, Econ, etc.) or relevant experience in data science preferred
* Strong analytical and quantitative skills, with high proficiency in Python and SQL (or coding language of choice)
* Experience creating and managing models for marketing mix and channel attribution
* Experience with Databricks or similar cloud\-based data science platform. Bonus points for experience optimizing compute based on model specifications
* Experience with Git, at least familiar with concepts such as branches, commits, and pull requests
* Familiarity with on\- and off\-line marketing data
* Experience using simulations for scenario analysis and recommendations
* Experience delivering model result to business users and have recommendation implemented
* Knowledge of sports and/or experience working within a heavily regulated industry is a plus
* Strong verbal and written communication skills – demonstrable track record of influencing marketing strategy through your insights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$149,000 \- $186,000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86">
      <c r="A86" t="inlineStr">
        <is>
          <t>li-4297629315</t>
        </is>
      </c>
      <c r="B86" t="inlineStr">
        <is>
          <t>Senior Data Scientist, Measurement</t>
        </is>
      </c>
      <c r="C86" t="inlineStr">
        <is>
          <t>Samba TV</t>
        </is>
      </c>
      <c r="D86" t="inlineStr">
        <is>
          <t>linkedin</t>
        </is>
      </c>
      <c r="E86">
        <f>HYPERLINK("https://www.linkedin.com/jobs/view/4297629315", "https://www.linkedin.com/jobs/view/4297629315")</f>
        <v/>
      </c>
      <c r="F86" t="inlineStr"/>
      <c r="G86" t="inlineStr">
        <is>
          <t>New York, NY</t>
        </is>
      </c>
      <c r="H86" t="inlineStr"/>
      <c r="I86" t="inlineStr">
        <is>
          <t>**Samba TV tracks streaming and broadcast video across the world with our proprietary data and technology. We are on a mission to fundamentally transform the viewing experience for everyone. Our data enables media companies to connect with audiences for new shows and movies, and enables advertisers to engage viewers and measure reach across all their devices. We have an amazing story with a unique perspective on culture formed by a global footprint of data and AI\-driven insights.** 
 Reporting to the VP of Data Science, as the Senior Data Scientist on our Measurement Sciences team, you will design and operationalize robust measurement frameworks—leveraging causal inference, experiment design, and advanced machine learning—to deliver transparent, actionable insights on ad incrementality, audience targeting, and cross\-platform attribution. You will provide thought leadership and help guide the transformation of how advertisers measure, attribute, and optimize TV campaigns across linear and streaming platforms.
**What You'll Do** 
* Design and implement ad incrementality measurement methodologies (A/B tests, uplift modeling, synthetic controls, Bayesian causal models) for linear TV and Connected TV (CTV) campaigns
* Develop globally scalable audience segmentation and targeting models using our viewership data ecosystem via millions of connected TVs
* Build and validate multi\-touch attribution frameworks that reconcile impressions, views, and conversions across linear, CTV, OTT, and digital channels
* Lead the full analytics lifecycle—from data ingestion/ETL (SQL, Spark, Python) through feature engineering, model development, evaluation, and production deployment
* Partner closely with data engineering and DevOps teams to operationalize models in our cloud platform and ensure data quality, security, and scalability
* Translate complex analytical findings into clear, concise presentations and dashboards for internal stakeholders and external clients, driving strategic decision\-making.
* Support sales and marketing teams with the development of strong positioning stories to highlight the value of our audience media and measurement opportunities
* Mentor junior data scientists and analytics engineers, fostering best practices in experimentation, code quality, and reproducibility
**Who You Are** 
* Have a Master’s or advanced degree in Statistics, Econometrics, Data Science, Computer Science, or related quantitative field
* 7\-10 years of hands\-on experience in advertising/marketing analytics, media measurement, or a closely related discipline
* Expert in causal inference techniques (RCT design, difference\-in\-differences, propensity scoring, synthetic control) and uplift modeling. Background in Bayesian statistics or hierarchical modeling for uncertainty quantification
* Have a proven track record building attribution and incrementality solutions for TV and cross\-media campaigns
* Have advanced programming skills in Python and SQL; Familiarity with Spark or other distributed compute frameworks
* Have demonstrated leadership in mentoring small data science teams and managing end\-to\-end data science projects
* Able to visualize data in a way that makes it easy for others to understand
* Are detail\-oriented, highly organized, and proactive
* Have strong verbal and written communication skills, with the ability to explain complex analyses to both technical and non\-technical audiences
* Thrive in a dynamic, fast\-paced Agile and global environment, and being a team player
* Experience with data platforms (Databricks, Sagemaker, BigQuery, etc.), data orchestration tools (Airflow, dbt) and CI/CD best practices a plus
* Bonus: Strong knowledge or experience working with TV viewership data sources (set\-top box, return\-path, panel, census\-level) and measurement vendors (Samba TV, Nielsen, Comscore, etc.)
* Bonus: Track record of publishing research and white papers or presenting at industry conferences
**Samba TV is an equal opportunity employer. We celebrate diversity and are committed to creating an inclusive environment for all employees.  We strive to empower connection with one another, reflect the communities we serve, and tackle meaningful projects that make a real impact.** 
 Samba TV may collect personal information directly from you, as a job applicant, Samba TV may also receive personal information from third parties, for example, in connection with a background, employment or reference check, in accordance with the applicable law.
**For further details, please see Samba's** 
**Applicant Privacy Policy** 
**.** 
**For residents of the EU , Samba Inc. is the data controller.** 
 Samba TV expects to offer a base salary between $160,000 \- $220,000 per year for roles to be performed in New York or California; actual base salary offered will depend on various factors, including but not limited to, location, experience, and performance. Base salary is just one component of Samba TV’s total compensation package for employees. Other rewards may include bonuses, short\-term incentives, and long\-term incentives. In addition, Samba provides health insurance, wellness offerings, life and disability insurance, a retirement savings plan, paid holidays and paid time off (PTO), and other employee benefits.</t>
        </is>
      </c>
    </row>
    <row r="87">
      <c r="A87" t="inlineStr">
        <is>
          <t>li-4373970381</t>
        </is>
      </c>
      <c r="B87" t="inlineStr">
        <is>
          <t>Junior Data Scientist</t>
        </is>
      </c>
      <c r="C87" t="inlineStr">
        <is>
          <t>Lensa</t>
        </is>
      </c>
      <c r="D87" t="inlineStr">
        <is>
          <t>linkedin</t>
        </is>
      </c>
      <c r="E87">
        <f>HYPERLINK("https://www.linkedin.com/jobs/view/4373970381", "https://www.linkedin.com/jobs/view/4373970381")</f>
        <v/>
      </c>
      <c r="F87" t="inlineStr"/>
      <c r="G87" t="inlineStr">
        <is>
          <t>Chicago, IL</t>
        </is>
      </c>
      <c r="H87" t="inlineStr"/>
      <c r="I8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Serco. Clicking "Apply Now" or "Read more" on Lensa redirects you to the job board/employer site. Any information collected there is subject to their terms and privacy notice.
**Position Description \&amp; Qualifications**
 At Serco, we foster a dynamic and collaborative work environment where team members contribute to innovative, high\-impact projects for leading government clients. We provide opportunities to solve complex challenges, improve processes, and utilize the latest technologies to deliver top\-tier products and services to our customers. The positions on this contract are located both CONUS and OCONUS in support of Army Sustainment Command (ASC).
 As a Junior Data Scientist you will play a key role in supporting Army Sustainment Command (ASC).
**In This Role, You Will**
* Perform advanced analysis and analytics to produce algorithms and/or businessprocess recommendations.
* Develop and use data, algorithms, and analyses to identify and applymechanisms to both overcome impediments to materiel readiness and exploitopportunities to improve readiness through feasible, cost\-effective software andbusiness process improvements, changes, and interventions.
* Forecast and address complex analytical challenges and identify the challengesand opportunities within systems, develop comprehensive solutions, andincorporate these capabilities solutions into software and workflows.
* Develop analytics and process solution sets, the criteria for recommendedalgorithms and processes shall include preference for efficient methods that useas simple of a process as possible given the current state\-of\-the\-art practices.The analytics and process solution sets shall provide appropriate, economicsavings\-driven answers.
* Regularly identify and communicate courses of actions required for program andproject success, including appropriate reporting processes and applicablemetrics to monitor and assess outcomes.
* Proactively identify mechanisms to improve mission performance.
* Use appropriate quantitative analytics techniques to include time series analysisand forecasting, advanced multivariate regression (including Probit and LogitModels), systems dynamics modelling, Bayesian inference procedures, minimaxprocedures (statistical), subjective probability utilization, expected utility analysis,operational risk analysis, and uncertainty evaluation.
* Use appropriate qualitative analytics techniques to include multi\-criteria decisionanalysis, qualitative comparative analysis, causal mapping, formal game theory,minimax procedures (game theory), decision architecture, systems architectureanalysis, organizational analysis and structural reform, supply chain analysis,and multinational best practices (military and industry) evaluation.
* Use logistics and agent\-based modeling and simulation.
* Conduct business process analysis and optimization across the Doctrine,Organization, Training, Materiel, Leadership, Education, Personnel, Facilities,Policy (DOTMLPF\-P) spectrum and beyond.
* Produce formal use cases, software program change requests, and otherrequired documentation for technology insertion into related defense logisticssupport software.
* Interface and liaise with software program offices and contractors.
* Develop requirements for defense analytics software.
* Conduct stakeholder analysis and create products for stakeholdercommunications and messaging.
**To Be Successful In This Role, You Will Have**
* U.S. Citizenship
* An Active Secret Clearance or an interim Secret Clearance.
* A Bachelor's degree in data science, mathematics, statistics, economics, computer science, engineering, or other related business or quantitativediscipline.
* Minimum 1 year of experience working directly on a data science team.
* Experience working with tools, including object\-oriented programming (Python, Java), computational analysis tools (R, MATLAB), and associated data science libraries (scikit\-learn).
* Experience creating meaningful data visualizations and interactive dashboards using platforms such as Tableau, Qlik, Power BI, RShiny, plotly, and d3\.js to communicate findings and relate them back to how your insights create business impact.
* Working knowledge of databases and SQL; preferred qualifications include linking analytic and data visualization products to database connections.
* Superior communication skills, both oral and written.
* Understand data science methods related to data architecture, data munging, data and feature engineering, and predictive analytics.
* Unstructured text and natural language processing.
* Experience using tools or langauges like R, Python, SAS, or MATLAB, Anaconda, IBM Blue, and Oracle Big Data to analyze large data sets and develop automated analytics in making sense of data.
* Experience using machine learning, data mining, statistical networks, natural language processing, text analytics, and graph\-based algorithms to analyze massive data sets.
* Experience developing software to generate reports and visualizations that summarize data sets and provide data\-driven insights.
* Experience developing and implementing statistical, machine learning, and heuristic techniques to create descriptive, predictive, and prescriptive analytics as well as to develop statistical tests to make data\-driven recommendations and decisions.
**Company Overview**
 Serco Inc. (Serco) is the Americas division of Serco Group, plc. In North America, Serco’s 9,000\+ employees strive to make an impact every day across 100\+ sites in the areas of Defense, Citizen Services, and Transportation. We help our clients deliver vital services more efficiently while increasing the satisfaction of their end customers. Serco serves every branch of the U.S. military, numerous U.S. Federal civilian agencies, the Intelligence Community, the Canadian government, state, provincial and local governments, and commercial clients. While your place may look a little different depending on your role, we know you will find yours here. Wherever you work and whatever you do, we invite you to discover your place in our world. Serco is a place you can count on and where you can make an impact because every contribution matters.
 To review Serco benefits please visit: https://careers.serco\-na.com/us/en/what\-we\-offer . If you require an accommodation with the application process please email: careers@serco\-na.com or call the HR Service Desk at 800\-628\-6458, option 1\. Please note, due to EEOC/OFCCP compliance, Serco is unable to accept resumes by email.
 Candidates may be asked to present proof of identify during the selection process. If requested, this will require presentation of a government\-issued I.D. (with photo) with name and address that match the information entered on the application. Serco will not take possession of or retain/store the information provided as proof of identity. For more information on how Serco uses your information, please see our Applicant Privacy Policy and Notice.
 Serco does not accept unsolicited resumes through or from search firms or staffing agencies without being a contracted approved vendor. All unsolicited resumes will be considered the property of Serco and will not be obligated to pay a placement or contract fee. If you are interested in becoming an approved vendor at Serco, please email Agencies@serco\-na.com .
 Serco is an equal opportunity employer. We evaluate qualified applicants without regard to race, color, religion, sex, sexual orientation, gender identity, national origin, disability, veteran status, and other legally protected characteristics.
**Pay Transparency**
 Our Total Rewards package includes competitive pay, performance\-based incentives, and benefits that promote well\-being and work\-life balance—so you can thrive both professionally and personally. Eligible employees also gain access to a wide range of benefits from comprehensive health coverage and health savings accounts to retirement plans, life and disability insurance, and time\-off programs that support work\-life balance. Program availability may vary based on factors such as contract type, location, hire date, and applicable collective bargaining agreements.
 Salary range: The range for this position can be found at the top of this posting. This range is provided as a general guideline and represents a good faith estimate across all experience levels. Actual base salary will be determined by a variety of factors, including but not limited to, the scope of the role, relevant experience, job\-related knowledge, education and training, key skills, and geographic market considerations. For roles available in multiple states, the range may vary to reflect differences in local labor markets. In addition to base salary, eligible positions may include other forms of compensation such as annual bonuses or long\-term incentive opportunities. Benefits – Comprehensible benefits for full\-time employees (part\-time employees receive a limited package tailored to their role):
* Medical, dental, and vision insurance
* Robust vacation and sick leave benefits, and flexible work arrangements where permitted by role or contract
* 401(k) plan that includes employer matching funds
* Tuition reimbursement program
* Life insurance and disability coverage
* Optional coverages that can be purchased, including pet insurance, home and auto insurance, additional life and accident insurance, critical illness insurance, group legal, ID theft protection
* Birth, adoption, parental leave benefits
* Employee Assistance Plan
 To review all Serco benefits please visit: https://careers.serco\-na.com/us/en/about\-us .
 Serco complies with all applicable state and local leave laws, including providing time off under the Colorado Healthy Families and Workplaces Act for eligible Colorado residents, in alignment with our policies and benefit plans. The application window for this position is for no more than 60 days. We encourage candidates to apply promptly after the posting date, as the position may close earlier if filled or if the application volume exceeds expectations. Please submit applications exclusively through Serco’s external (or internal) career site. If an applicant has any concerns with job posting compliance, please send an email to: careers@serco\-na.com .
 If you have questions about this posting, please contact support@lensa.com</t>
        </is>
      </c>
    </row>
    <row r="88">
      <c r="A88" t="inlineStr">
        <is>
          <t>li-4372884803</t>
        </is>
      </c>
      <c r="B88" t="inlineStr">
        <is>
          <t>Applied Scientist - Pricing, Rider Engagement</t>
        </is>
      </c>
      <c r="C88" t="inlineStr">
        <is>
          <t>CHEManager International</t>
        </is>
      </c>
      <c r="D88" t="inlineStr">
        <is>
          <t>linkedin</t>
        </is>
      </c>
      <c r="E88">
        <f>HYPERLINK("https://www.linkedin.com/jobs/view/4372884803", "https://www.linkedin.com/jobs/view/4372884803")</f>
        <v/>
      </c>
      <c r="F88">
        <f>HYPERLINK("https://www.diversityinresearch.careers/job/1949556/applied-scientist-pricing-rider-engagement/&amp;urlHash=me8G", "https://www.diversityinresearch.careers/job/1949556/applied-scientist-pricing-rider-engagement/&amp;urlHash=me8G")</f>
        <v/>
      </c>
      <c r="G88" t="inlineStr">
        <is>
          <t>New York, NY</t>
        </is>
      </c>
      <c r="H88" t="inlineStr"/>
      <c r="I88" t="inlineStr">
        <is>
          <t>At Lyft, our purpose is to serve and connect. We aim to achieve this by cultivating a work environment where all team members belong and have the opportunity to thrive.
 The Pricing team is a centerpiece of Lyft's marketplace, determining prices for all rideshare products and supporting new initiatives. Rider Engagement is a fast\-growing team within Pricing, focused on developing rider\-facing engagement levers and optimizing user pricing experience to drive both short term and long term business outcomes.
 As an Applied Scientist specializing in Machine Learning and Operational Research on this team, you will develop mathematical models and launch algorithms that power core discounting systems and pricing decisions. You will be hands\-on with building ML and optimization models, productionizing pipelines, building and scaling systems that deal with real\-time data processing, large data storage and critical business problems that have a big impact on the marketplace and customer experience. You will get exposure to diverse problems across optimization, prediction, machine learning, and inference; you will collaborate with teammates and stakeholders to build and scale our systems and enhance algorithms.
 We are looking for someone who is excited about working in a fast\-paced, innovative, and impactful environment, and is adept at balancing complexity and efficiency to translate real world business problems into reliable solutions, systems and decisioning frameworks.
**Responsibilities**
* Partner with Data Scientists, Engineers, Product Managers, and Business Partners to frame problems mathematically and within the business context
* Write production quality code. Design, build and deploy production\-grade ML models.
* Perform data analysis and build proof\-of\-concept to explore and propose ML solutions to both new and existing problems.
* Evaluate machine learning systems against business goals. Collaborate with Engineers to implement algorithms in live systems and ensure the robustness of the systems
* Establish metrics and development measurement methodologies to monitor the health of our products, as well as the impacts on user and marketplace outcomes
* Drive collaboration and coordination with cross\-functional teams
****Experience:****
* M.S. or Ph.D. in Machine Learning, Operations Research, Statistics, Computer Science or other quantitative fields
* 2\+ years of machine learning experience in a technology company setting
* Proficiency with Python and working in a production coding environment
* Passion for solving unstructured and non\-standard mathematical problems, and building impactful machine learning models leveraging expertise in one or multiple fields.
* Strong understanding of machine learning methodologies, with proven experience with building and evaluating optimization or machine learning models
* Strong verbal and written communication skills, and ability to collaborate and communicate with others to solve a problem
****Benefits:****
* Great medical, dental, and vision insurance options with additional programs available when enrolled
* Mental health benefits
* Family building benefits
* Child care and pet benefits
* 401(k) plan with company match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Monthly Lyft credits and complimentary Lyft Pink membership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New York City area is $140,800 \- $176,000,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89">
      <c r="A89" t="inlineStr">
        <is>
          <t>li-4372887519</t>
        </is>
      </c>
      <c r="B89" t="inlineStr">
        <is>
          <t>Applied Scientist - Pricing, Rider Engagement</t>
        </is>
      </c>
      <c r="C89" t="inlineStr">
        <is>
          <t>CHEManager International</t>
        </is>
      </c>
      <c r="D89" t="inlineStr">
        <is>
          <t>linkedin</t>
        </is>
      </c>
      <c r="E89">
        <f>HYPERLINK("https://www.linkedin.com/jobs/view/4372887519", "https://www.linkedin.com/jobs/view/4372887519")</f>
        <v/>
      </c>
      <c r="F89" t="inlineStr"/>
      <c r="G89" t="inlineStr">
        <is>
          <t>San Francisco, CA</t>
        </is>
      </c>
      <c r="H89" t="inlineStr"/>
      <c r="I89" t="inlineStr">
        <is>
          <t>At Lyft, our purpose is to serve and connect. We aim to achieve this by cultivating a work environment where all team members belong and have the opportunity to thrive.
 The Pricing team is a centerpiece of Lyft's marketplace, determining prices for all rideshare products and supporting new initiatives. Rider Engagement is a fast\-growing team within Pricing, focused on developing rider\-facing engagement levers and optimizing user pricing experience to drive both short term and long term business outcomes.
 As an Applied Scientist specializing in Machine Learning and Operational Research on this team, you will develop mathematical models and launch algorithms that power core discounting systems and pricing decisions. You will be hands\-on with building ML and optimization models, productionizing pipelines, building and scaling systems that deal with real\-time data processing, large data storage and critical business problems that have a big impact on the marketplace and customer experience. You will get exposure to diverse problems across optimization, prediction, machine learning, and inference; you will collaborate with teammates and stakeholders to build and scale our systems and enhance algorithms.
 We are looking for someone who is excited about working in a fast\-paced, innovative, and impactful environment, and is adept at balancing complexity and efficiency to translate real world business problems into reliable solutions, systems and decisioning frameworks.
**Responsibilities**
* Partner with Data Scientists, Engineers, Product Managers, and Business Partners to frame problems mathematically and within the business context
* Write production quality code. Design, build and deploy production\-grade ML models.
* Perform data analysis and build proof\-of\-concept to explore and propose ML solutions to both new and existing problems.
* Evaluate machine learning systems against business goals. Collaborate with Engineers to implement algorithms in live systems and ensure the robustness of the systems
* Establish metrics and development measurement methodologies to monitor the health of our products, as well as the impacts on user and marketplace outcomes
* Drive collaboration and coordination with cross\-functional teams
****Experience:****
* M.S. or Ph.D. in Machine Learning, Operations Research, Statistics, Computer Science or other quantitative fields
* 2\+ years of machine learning experience in a technology company setting
* Proficiency with Python and working in a production coding environment
* Passion for solving unstructured and non\-standard mathematical problems, and building impactful machine learning models leveraging expertise in one or multiple fields.
* Strong understanding of machine learning methodologies, with proven experience with building and evaluating optimization or machine learning models
* Strong verbal and written communication skills, and ability to collaborate and communicate with others to solve a problem
****Benefits:****
* Great medical, dental, and vision insurance options with additional programs available when enrolled
* Mental health benefits
* Family building benefits
* Child care and pet benefits
* 401(k) plan with company match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Monthly Lyft credits and complimentary Lyft Pink membership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$140,800 \- $176,000,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90">
      <c r="A90" t="inlineStr">
        <is>
          <t>li-4374119354</t>
        </is>
      </c>
      <c r="B90" t="inlineStr">
        <is>
          <t>Data Scientist + ML Engineer - Gen AI</t>
        </is>
      </c>
      <c r="C90" t="inlineStr">
        <is>
          <t>Russell Tobin</t>
        </is>
      </c>
      <c r="D90" t="inlineStr">
        <is>
          <t>linkedin</t>
        </is>
      </c>
      <c r="E90">
        <f>HYPERLINK("https://www.linkedin.com/jobs/view/4374119354", "https://www.linkedin.com/jobs/view/4374119354")</f>
        <v/>
      </c>
      <c r="F90" t="inlineStr"/>
      <c r="G90" t="inlineStr">
        <is>
          <t>Cupertino, CA</t>
        </is>
      </c>
      <c r="H90" t="inlineStr"/>
      <c r="I90" t="inlineStr">
        <is>
          <t>**Job Title**
 :
 Data Scientist \+ ML Engineer (Gen AI)
**Location**
 :
 Cupertino, CA \- hybrid 
**Duration**
 : 12\+ Months with Possible Extension
**Pay Range**
 : $70 \- $74\.63/hr on W2
**Job Summary**
**Description:**
* We are looking for a highly skilled Data Scientist \+ ML Engineer (Generative AI) to join our team. In this role, you will be responsible for developing, fine\-tuning, and applying advanced generative AI models \&amp;mdash; including diffusion models, large language models (LLMs), and other state\-of\-the\-art architectures. You will collaborate closely with cross\-functional partners in research, data engineering, and operations to deliver high\-quality machine learning solutions and scalable datasets.
* This position requires a balance of technical depth and creative problem\-solving. You should be comfortable working with large, complex datasets and possess a strong grasp of modern ML frameworks, distributed computing environments, and end\-to\-end data pipelines.
**Responsibilities:**
* Design and Implement LLM\-Driven Synthetic Data Pipelines: Design and build workflows using LLMs and Gen AI
* techniques to create high\-volume, high\-quality synthetic data for model training and testing.
* Design, implement, and deploy machine learning models with a focus on generative AI (diffusion models, LLMs, and
* related architectures)
* Fine\-tune, evaluate, and optimize large language models for specific downstream tasks and data needs
* Develop and maintain scalable data pipelines supporting training, evaluation, and inference workflows
* Conduct exploratory data analysis to surface insights and identify opportunities for model or data improvement
* Partner cross\-functionally with researchers, engineers, and data program managers to define requirements and deliver high\-impact ML solutions
* Build and enhance internal tools, libraries, and automation workflows to accelerate experimentation and iteration
**Required Experience and skills:**
* Bachelor’s degree in Computer Science or related field from an accredited U.S. institution
* 2\+ years of experience in Machine Learning or Software Engineering
* Expert\-level proficiency in Python and familiarity with deep learning frameworks such as PyTorch
* Strong foundation in machine learning algorithms, data preprocessing, and evaluation techniques
* Demonstrated experience working with diffusion models, stable diffusion, or large language models (LLMs)
* Excellent analytical, problem\-solving, and debugging skills
* Strong communication and documentation skills with the ability to explain complex concepts clearly
* Ability to work independently in a fast\-paced, iterative development environment
**Benefits Info**
 Pride Global offers eligible employee’s comprehensive healthcare coverage (medical, dental, and vision plans), supplemental coverage (accident insurance, critical illness insurance, and hospital indemnity), 401(k)\-retirement savings, life \&amp; disability insurance, an employee assistance program, legal support, auto, home insurance, pet insurance, and employee discounts with preferred vendors.
 \#CB
 \#RTA</t>
        </is>
      </c>
    </row>
    <row r="91">
      <c r="A91" t="inlineStr">
        <is>
          <t>li-4306639000</t>
        </is>
      </c>
      <c r="B91" t="inlineStr">
        <is>
          <t>Senior Data Scientist - Global Finance Leader</t>
        </is>
      </c>
      <c r="C91" t="inlineStr">
        <is>
          <t>Andiamo</t>
        </is>
      </c>
      <c r="D91" t="inlineStr">
        <is>
          <t>linkedin</t>
        </is>
      </c>
      <c r="E91">
        <f>HYPERLINK("https://www.linkedin.com/jobs/view/4306639000", "https://www.linkedin.com/jobs/view/4306639000")</f>
        <v/>
      </c>
      <c r="F91" t="inlineStr"/>
      <c r="G91" t="inlineStr">
        <is>
          <t>Seattle, WA</t>
        </is>
      </c>
      <c r="H91" t="inlineStr"/>
      <c r="I91" t="inlineStr">
        <is>
          <t>Senior Data Scientist – Global Finance
 Senior Data Scientist – Global Finance
**About The Role**
 We are seeking a highly skilled
 **Senior Data Scientist** 
 to join a global finance firm and tackle some of the most complex challenges in markets, risk, and investment strategy. You will work with large\-scale financial, transactional, and alternative datasets, applying advanced statistical methods, machine learning, and AI to generate insights that directly influence trading, risk management, and business decisions across global markets.
 This role sits at the intersection of data science, engineering, and finance. You will partner with quantitative researchers, traders, and technologists to design models, build scalable data products, and deliver solutions that provide a measurable competitive advantage. You will also contribute to the evolution of firm\-wide data science practices, mentoring peers and setting best practices for analytics in high\-stakes environments.
 What You’ll Do
* Model Development: Build, test, and deploy predictive and statistical models for trading, risk, and investment strategies.
* Experimentation: Design and analyze experiments to evaluate new data sources, trading hypotheses, or risk frameworks.
* Advanced Analytics: Apply machine learning, natural language processing, and time\-series forecasting to financial and alternative datasets.
* Data Engineering Collaboration: Partner with data engineers to ensure data pipelines and infrastructure are scalable, reliable, and optimized for research.
* Business Impact: Translate complex data findings into actionable insights for executives, traders, and global stakeholders.
* Mentorship: Share knowledge of statistical methodology, ML techniques, and applied research best practices with junior team members.
 What We’re Looking For
* Professional Experience: 6\+ years of applied data science experience, preferably in finance, technology, or similarly data\-rich industries.
* Technical Skills: Proficiency in Python, R, or Scala, with strong SQL expertise; experience with ML libraries such as scikit\-learn, TensorFlow, or PyTorch.
* Statistical Foundation: Strong knowledge of probability, econometrics, experimental design, and causal inference.
* Financial Domain Knowledge: Familiarity with markets, risk modeling, or portfolio optimization is highly desirable (but not strictly required).
* Big Data Tools: Experience working with large\-scale distributed systems (Spark, Hadoop, or cloud\-native data platforms).
* Collaboration: Ability to work effectively with quantitative researchers, engineers, and business leaders in a global setting.
* Education: Master’s or PhD in Computer Science, Statistics, Mathematics, Engineering, or a related quantitative field.
 Why Join
 This is a unique opportunity to apply cutting\-edge data science to problems of global financial significance. As Senior Data Scientist, you will help shape strategies that impact markets and clients worldwide, while working alongside some of the most talented minds in finance and technology. The challenges are complex, the datasets are massive, and the potential impact is extraordinary.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92">
      <c r="A92" t="inlineStr">
        <is>
          <t>li-4372897502</t>
        </is>
      </c>
      <c r="B92" t="inlineStr">
        <is>
          <t>Data Scientist</t>
        </is>
      </c>
      <c r="C92" t="inlineStr">
        <is>
          <t>Niktor LLC</t>
        </is>
      </c>
      <c r="D92" t="inlineStr">
        <is>
          <t>linkedin</t>
        </is>
      </c>
      <c r="E92">
        <f>HYPERLINK("https://www.linkedin.com/jobs/view/4372897502", "https://www.linkedin.com/jobs/view/4372897502")</f>
        <v/>
      </c>
      <c r="F92" t="inlineStr"/>
      <c r="G92" t="inlineStr">
        <is>
          <t>Texas, United States</t>
        </is>
      </c>
      <c r="H92" t="inlineStr"/>
      <c r="I92" t="inlineStr">
        <is>
          <t>**Job Title: Data Scientist** 
**Location: Menlo Park, CA
 *or* 
 Houston, TX\-** 
 Onsite Interview (required in Menlo Park, CA or Houston, TX)
**Work Model: Hybrid (2 days onsite / 3 days WFH)** 
**Interview Process** 
1. 15‑minute Phone Screen
2. 1‑hour Technical Interview
3. 30‑minute Hiring Manager Discussion
4. Onsite Interview (required in Menlo Park, CA or Houston, TX)
**Role Overview** 
 Build, train, and deploy large\-scale, self\-supervised "foundation" models that learn rich representations of time series, sequential sensor data in addition to textual and vision data, to be fine\-tuned for tasks such as anomaly/event detection, predictive maintenance, forecasting, classification, or multi\-modal sensor fusion for industrial and scientific applications.
 Data/Signal Processing
 • Time Series \&amp; Sequential Data: processing, augmentation, feature engineering for financial, industrial, IoT, medical, or other sensor streams (univariate/multivariate time series).
 • Sensor Data Analysis: expertise with diverse sensor modalities (e.g., accelerometers, temperature, vibration, audio, images), sampling rates, synchronization, and real\-world noise/artifact handling.
 • Multi\-Modality Learning: integrating heterogeneous data types (time series, images, text, audio, structured) into robust deep learning architectures; cross\-modal representation learning.
 Machine Learning \&amp; Foundation Model Expertise
 • Self\-supervised and Semi\-supervised Learning: time series foundation models, masked modeling, contrastive methods, temporal predictive coding, multimodal alignment and fusion.
 • Model Architectures: sequence models (RNNs, GRU/LSTM, TCN), 1D/2D/3D CNNs, Transformers (BERT, ViT, TimeSFormer), graph neural networks, diffusion/generative models, multi\-modal/fusion encoders.
 • Transfer Learning \&amp; Fine\-Tuning at Scale: prompt/adapter\-based strategies, temporal domain adaptation, few\-shot learning for specialized tasks.
 • Evaluation Metrics: regression/classification (MSE, F1, AUC), time series similarity (DTW, correlation), event detection/segmentation (IoU, accuracy), business/end\-user KPIs.
 Software \&amp; Infrastructure
 • Programming: expert Python (NumPy, SciPy, Pandas), C\+\+/CUDA for custom kernels and high\-performance preprocessing.
 • Deep Learning Frameworks: PyTorch (Lightning, Distributed), TensorFlow/Keras, JAX/Flax.
 • Large\-scale Training: multi\-GPU, multi\-node clusters, mixed\-precision, ZeRO optimization, scalable data loaders for long sequences.
 • Data Engineering: robust pipelines for ingesting, cleaning, segmenting, and aligning large\-scale, time\-synchronized multi\-sensor datasets.
 Mathematical \&amp; Algorithmic Foundations
 • Linear Algebra, Probability \&amp; Statistics, Optimization (stochastic, convex/non\-convex, Bayesian).
 • Signal Processing: Fourier/wavelet analysis, filters (Kalman, Savitzky–Golay), resampling, noise modeling.
 • Numerical Methods: ODE/PDE solvers, inverse problems, regularization, time\-frequency methods for complex systems.
 Collaboration \&amp; Communication
 • Cross\-disciplinary teamwork with domain experts, engineers, product owners, and end\-users from industrial, scientific, or medical backgrounds.
 • Clear presentation of complex model behaviors (interpretability, attention analysis), uncertainty quantification, and value impact.
 MS / Ph.D. in computer science, data science and AI or related fields.
 3\+ years of relevant experience in data science and AI or related fields.
 If this aligns with your background and career goals, please share your
 **latest resume** 
 , availability for a quick call, and your preferred contact number.</t>
        </is>
      </c>
    </row>
    <row r="93">
      <c r="A93" t="inlineStr">
        <is>
          <t>li-4372877977</t>
        </is>
      </c>
      <c r="B93" t="inlineStr">
        <is>
          <t>Data Scientist</t>
        </is>
      </c>
      <c r="C93" t="inlineStr">
        <is>
          <t>Provider Resources, LLC</t>
        </is>
      </c>
      <c r="D93" t="inlineStr">
        <is>
          <t>linkedin</t>
        </is>
      </c>
      <c r="E93">
        <f>HYPERLINK("https://www.linkedin.com/jobs/view/4372877977", "https://www.linkedin.com/jobs/view/4372877977")</f>
        <v/>
      </c>
      <c r="F93">
        <f>HYPERLINK("https://de.jobsyn.org/07BED4FE12F14CF6AEAA37CEB8DFC8E95044&amp;urlHash=GJMz", "https://de.jobsyn.org/07BED4FE12F14CF6AEAA37CEB8DFC8E95044&amp;urlHash=GJMz")</f>
        <v/>
      </c>
      <c r="G93" t="inlineStr">
        <is>
          <t>Erie, PA</t>
        </is>
      </c>
      <c r="H93" t="inlineStr"/>
      <c r="I93" t="inlineStr">
        <is>
          <t>Reference \#: 6957e289123d11daa9d9ecc8
**Job Description**
 Join Provider Resources (PRI) and Make an Impact in Healthcare!
 At PRI, we're passionate about driving integrity and advancing quality across the healthcare system. As a trusted leader in the industry, we're tackling some of healthcare's biggest challenges\-improving compliance, advancing health equity, and enhancing quality and clinical outcomes while helping organizations improve care delivery and create meaningful change.
 We believe that people are at the heart of healthcare, and focus on scalable, person\-centered strategies that prioritize clinical excellence and evidence\-based practices. Our work supports a broad network of stakeholders, including providers, patients, caregivers, payers, and regulators. We strive to enhance experiences, improve outcomes, and foster a healthier future for all.
 If you're looking to be part of a forward\-thinking team that makes a difference, PRI is the place for you!
 Job Title: Data Scientist
 We are seeking a Data Scientist to join our dynamic team. In this role, you will support data inputs, prepare management reports, assist in long\-range strategy planning, and provide internal consulting. You will also work with Business Intelligence (BI) tools to drive data\-driven decision\-making.
**Key Responsibilities**
* Support the business team with planning and analysis inputs.
* Prepare and present management reports as necessary.
* Assist in long\-range strategy planning and internal consulting projects.
* Utilize BI tools to analyze data and provide actionable insights.
* Collaborate cross\-functionally to support multiple senior\-level clients.
**Requirements**
* 5\+ years of relevant work experience in forecasting, reporting, and analysis.
* Experience with Planning, Reporting, BI, and visualization systems; Planful/Host Analytics and PowerBI preferred.
* Advanced Excel modeling skills.
* Strong communication (oral and written), interpersonal, and organizational skills.
* Ability to interact effectively with all levels within the organization.
* High level of initiative and ability to formulate business issues into analytical problems and devise actionable solutions.
* Comfortable working with large volumes of data.
* Excellent analytical skills.
**Qualifications**
* Degree in Data Science or Economics.
* 5\+ years of experience in a similar role.
* Proven ability to work cross\-functionally and support multiple senior\-level clients.
* Demonstrated proficiency in financial forecasting, reporting, and analysis.
* Strong background in using BI tools and advanced Excel modeling.
 Why Join PRI?
* 100% remote work environment
* Collaborative and mission\-driven culture
* Opportunities for professional growth and development
* Competitive compensation and benefits
**EEO Statement**
 Provider Resources, LLC is an Equal Opportunity Employer. We do not discriminate against qualified applicants based upon any protected group status, including but not limited to race, religion, color, creed, sex (including breastfeeding and related conditions), gender identity/gender expression, pregnancy (including childbirth and related conditions), national origin, ancestry, age, marital status, military or veteran status, sexual orientation, genetic information, physical or mental disability or medical condition as defined by applicable equal opportunity laws. Any request for accommodation can be directed to Human Resources.
**Benefits And Compensation**
 Provider Resources provides a competitive benefits package that includes access to Medical, Dental, and Vision Insurance, Life Insurance, Disability, Health Savings Account (HSA), Flexible Spending Accounts (FSA), Critical Illness, Accident, Legal and ID Theft, 401k plan, PTO, and ESPP (Employee Stock Purchase Plan).
 The anticipated salary range for fully qualified candidates applying for this role will be $111,000\-150,000 (not including discretionary bonus, equity, and benefits). The final salary offered will be dependent on several factors that include but are not limited to relevant previous experience including duration and type of experience within the industry, education, and internal equity.
 \*Qualified candidates may apply by clicking, "Apply Now". Next, submit your resume. You may complete a cover letter on the following screen. \*\*You must contact the employer via one of the methods listed on the screen after clicking "Apply for this job". \*\* Please be sure to identify PA CareerLink as your referral source.\*</t>
        </is>
      </c>
    </row>
    <row r="94">
      <c r="A94" t="inlineStr">
        <is>
          <t>li-4366355019</t>
        </is>
      </c>
      <c r="B94" t="inlineStr">
        <is>
          <t>Data Scientist - Compete</t>
        </is>
      </c>
      <c r="C94" t="inlineStr">
        <is>
          <t>Microsoft</t>
        </is>
      </c>
      <c r="D94" t="inlineStr">
        <is>
          <t>linkedin</t>
        </is>
      </c>
      <c r="E94">
        <f>HYPERLINK("https://www.linkedin.com/jobs/view/4366355019", "https://www.linkedin.com/jobs/view/4366355019")</f>
        <v/>
      </c>
      <c r="F94">
        <f>HYPERLINK("https://apply.careers.microsoft.com/careers/job/1970393556745574?utm_source=linkedin&amp;domain=microsoft.com&amp;src=LinkedIn&amp;urlHash=y9wB", "https://apply.careers.microsoft.com/careers/job/1970393556745574?utm_source=linkedin&amp;domain=microsoft.com&amp;src=LinkedIn&amp;urlHash=y9wB")</f>
        <v/>
      </c>
      <c r="G94" t="inlineStr">
        <is>
          <t>Redmond, WA</t>
        </is>
      </c>
      <c r="H94" t="inlineStr"/>
      <c r="I94" t="inlineStr">
        <is>
          <t>**Overview**
 Are you a data professional deeply interested in the current race in AI? Come join us! We are looking for a
 **Data Scientist** 
 to support Compete.
 We help quantify how Microsoft products are performing relative to the broader marketplace e.g. market share across a variety of metrics. We use a wide combination of data sources (1P, 3P, public, surveys, panels, etc) and science models to produce our estimates. As a business facing team, interest and ability to connect product and strategy hypotheses back to data and qualitative factors is central to the role. AI is a big focus, both as a competitive space (e.g. Copilot, ChatGPT, Gemini, Claude, etc) and because we are actively integrating AI into our daily workflows.
 Join over 150 data scientists on the broader horizontal IDEAs team where data science, engineering, and PM work together to support multiple business and product verticals at scale! In this role you will both support stakeholders directly and work with the broader IDEAs team to scale your solutions across Microsoft.
 We play a crucial role in supporting Microsoft 365 and the Experiences \+ Devices group (E\+D), both of which are central to the Company's mission to empower individuals and organizations to achieve more. Our objective is to foster a data\-informed culture by equipping the Experiences \+ Devices group with actionable insights to guide their decisions. This initiative represents a significant opportunity to deliver impactful information that will improve operational efficiency, drive empowerment, and support Microsoft’s success in the evolving AI landscape.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Business Understanding, Impact, and Management. Understands problems facing projects. Able to leverage knowledge of data science to uncover important factors that can influence outcomes. Describes the primary objectives of the team from a business perspective. Collaborates with internal cross\-functional stakeholders to understand business needs. Produces a project plan to specify necessary steps required for completion. Assesses current situation for resources, risks, contingencies, requirements, assumptions, and constraints. Engages business stakeholders to capture and shape their thinking on data\-driven methods. Leads customer conversations to understand, define, and solve business problems. Influences stakeholders by effectively making compelling cases through storytelling, visualizations, and other influencing tools. Exemplifies and enforces team standards related to bias, privacy, and ethics.
* Data Preparation and Understanding. Acquires data necessary for successful completion of the project plan. Proactively detects changes and communicates to senior leads. Develops useable data sets for modeling purposes. Contributes to ethics and privacy policies related to collecting and preparing data by providing updates and suggestions around internal best practices. Contributes to data integrity/cleanliness conversations with customers.
* Coding and Debugging. Writes efficient, readable, extensible code from scratch that spans multiple features/solutions. Develops technical expertise in proper modeling, coding, and/or debugging techniques. Understands the causes of common defects and uses best practices in preventing them from occurring. Collaborates with other teams and leverages best practices from those teams into work of their own team. Mentors and guides less experienced scientists in better understanding coding and debugging best practices.
* Customer/Partner Orientation. Applies a customer\-oriented focus by understanding customer needs and perspectives. Builds trust with customers by leveraging interpretability and knowledge of Microsoft products and solutions. Helps drive realistic customer expectations, including information about the limitations of their data.
* Industry and Research Knowledge / Opportunity Identification. Uses business knowledge and technical expertise to provide feedback to the engineering team to identify potential future business opportunities. Develops an understanding of work being done across teams to propose potential collaboration efforts. Coaches and provides support to execute strategy. Leverages capabilities within existing systems.
* Modeling and Statistical Analysis. Leverages knowledge of machine learning solutions and individual algorithms to identify the best approach to complete objectives. Understands modeling techniques and selects the correct approach to prepare data, train and optimize the model, and evaluate the output for statistical and business significance. Breaks down complex statistics and machine learning topics into manageable topics to explain to customers.
**Qualifications**
**Required Qualifications:**
* Bachelor's Degree in Data Science, Mathematics, Statistics, Econometrics, Economics, Operations Research, Computer Science, or related field AND 5\+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 OR Doctorate in Data Science, Mathematics, Statistics, Econometrics, Economics, Operations Research, Computer Science, or related field AND 1\+ year(s) data\-science experience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Longer job experience than the minimum required
* Experience writing SQL queries
* Experience supporting software products and metrics (e.g. active usage)
* Experience directly supporting business stakeholders
* Experience working with product and engineering to scale your solutions
 \#DPG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5">
      <c r="A95" t="inlineStr">
        <is>
          <t>li-4254365968</t>
        </is>
      </c>
      <c r="B95" t="inlineStr">
        <is>
          <t>Data Scientist, Analytics (Technical Leadership)</t>
        </is>
      </c>
      <c r="C95" t="inlineStr">
        <is>
          <t>Meta</t>
        </is>
      </c>
      <c r="D95" t="inlineStr">
        <is>
          <t>linkedin</t>
        </is>
      </c>
      <c r="E95">
        <f>HYPERLINK("https://www.linkedin.com/jobs/view/4254365968", "https://www.linkedin.com/jobs/view/4254365968")</f>
        <v/>
      </c>
      <c r="F95">
        <f>HYPERLINK("https://jsv3.recruitics.com/redirect?rx_cid=3239&amp;rx_jobId=a1KDp00000E2ZCGMA3_1003&amp;rx_url=https%3A%2F%2Fwww.metacareers.com%2Fjobs%2F613354727793690%2F%3Frx_campaign%3DLinkedin1%26rx_ch%3Dconnector%26rx_group%3D126320%26rx_id%3D3aa83a43-f289-11f0-a59c-9bfc9276f61f%26rx_job%3Da1KDp00000E2ZCGMA3_1003%26rx_medium%3Dpost%26rx_r%3Dnone%26rx_source%3DLinkedin%26rx_ts%3D20260217T121203Z%26rx_vp%3Dslots%26utm_campaign%3DJob%252Bboard%26utm_medium%3Djobs%26utm_source%3DLIpaid&amp;urlHash=kdaA", "https://jsv3.recruitics.com/redirect?rx_cid=3239&amp;rx_jobId=a1KDp00000E2ZCGMA3_1003&amp;rx_url=https%3A%2F%2Fwww.metacareers.com%2Fjobs%2F613354727793690%2F%3Frx_campaign%3DLinkedin1%26rx_ch%3Dconnector%26rx_group%3D126320%26rx_id%3D3aa83a43-f289-11f0-a59c-9bfc9276f61f%26rx_job%3Da1KDp00000E2ZCGMA3_1003%26rx_medium%3Dpost%26rx_r%3Dnone%26rx_source%3DLinkedin%26rx_ts%3D20260217T121203Z%26rx_vp%3Dslots%26utm_campaign%3DJob%252Bboard%26utm_medium%3Djobs%26utm_source%3DLIpaid&amp;urlHash=kdaA")</f>
        <v/>
      </c>
      <c r="G95" t="inlineStr">
        <is>
          <t>Washington, DC</t>
        </is>
      </c>
      <c r="H95" t="inlineStr"/>
      <c r="I95" t="inlineStr">
        <is>
          <t>We are seeking experienced Data Scientists to join our team and drive impact across various product areas. As a Data Scientist, you will collaborate with cross\-functional partners to identify and solve complex problems using data and analysis. Your role will involve shaping product development, quantifying new opportunities, and ensuring products bring value to users and the company. You will guide teams using data\-driven insights, develop hypotheses, and employ rigorous analytical approaches to test them. You will tell data\-driven stories, present clear insights, and build credibility with stakeholders. By joining our team, you will become part of a world\-class analytics community dedicated to skill development and career growth in analytics and beyond.
 Data Scientist, Analytics (Technical Leadership) Responsibilities:
* Work with complex data sets to solve challenging problems using analytical and statistical approaches
* Apply technical expertise in quantitative analysis, experimentation, and data mining to develop product strategies
* Identify and measure success through goal setting, forecasting, and monitoring key metrics
* Partner with cross\-functional teams to inform and execute product strategy and investment decisions
* Build long\-term vision and strategy for programs and products
* Collaborate with executives to define and develop data platforms and instrumentation
* Effectively communicate insights and recommendations to stakeholders
* Define success metrics, forecast changes, and set team goals
* Support developing roadmaps and coordinate analytics efforts across teams
 Minimum Qualifications:
* Bachelor's degree in Computer Science, Computer Engineering, relevant technical field, or equivalent practical experience
* Mathematics, Statistics, Operations Research) 5\+ years of experience with data querying languages (e.g. SQL), scripting languages (e.g. Python), or statistical/mathematical software (e.g. R, SAS, Matlab)
* 8\+ years of work experience leading analytics work in IC capacity, working collaboratively with Engineering and cross\-functional partners, and guiding data\-influenced product planning, prioritization and strategy development
* Experience working effectively with and leading complex analytics projects across multiple stakeholders and cross\-functional teams, including Engineering, PM/TPM, Analytics and Finance
* Experience with predictive modeling, machine learning, and experimentation/causal inference methods
* Experience communicating complex technical topics in a clear, precise, and actionable manner
 Preferred Qualifications:
* 10\+ years of experience communicating the results of analyses to leadership teams to influence the strategy
* Masters or Ph.D. Degree in a quantitative field
* Bachelor's Degree in an analytical or scientific field (e.g. Computer Science, Engineering, Mathematics, Statistics, Operations Research)
* 10\+ years of experience doing complex quantitative analysis in product analytics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$210,000/year to $281,000/year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96">
      <c r="A96" t="inlineStr">
        <is>
          <t>li-4374114992</t>
        </is>
      </c>
      <c r="B96" t="inlineStr">
        <is>
          <t>Data Scientist</t>
        </is>
      </c>
      <c r="C96" t="inlineStr">
        <is>
          <t>Hirenza</t>
        </is>
      </c>
      <c r="D96" t="inlineStr">
        <is>
          <t>linkedin</t>
        </is>
      </c>
      <c r="E96">
        <f>HYPERLINK("https://www.linkedin.com/jobs/view/4374114992", "https://www.linkedin.com/jobs/view/4374114992")</f>
        <v/>
      </c>
      <c r="F96" t="inlineStr"/>
      <c r="G96" t="inlineStr"/>
      <c r="H96" t="inlineStr"/>
      <c r="I96" t="inlineStr">
        <is>
          <t>**About The Company**
 BAE Systems Inc. is a global leader in defense, security, and aerospace solutions, committed to delivering innovative products and services that protect nations and support military operations worldwide. With a rich history of technological excellence and a strong focus on research and development, BAE Systems Inc. provides advanced systems for air, land, sea, and cyber domains. The company's dedication to sustainability, integrity, and customer satisfaction has established it as a trusted partner for governments and commercial clients alike. BAE Systems Inc. fosters a collaborative and inclusive environment that encourages innovation, professional growth, and a shared commitment to making a difference in the world.
**About The Role**
 We are seeking a highly skilled and motivated \[Job Title] to join our dynamic team at BAE Systems Inc. This role offers an exciting opportunity to contribute to cutting\-edge projects that have a significant impact on national security and technological advancement. The successful candidate will be responsible for \[brief overview of primary responsibilities], working closely with cross\-functional teams to develop, implement, and optimize solutions that meet our clients' needs. The role requires a proactive approach, strong problem\-solving skills, and the ability to adapt to a fast\-paced environment. As part of our team, you will be involved in all phases of project lifecycle, from conceptual design through testing and deployment, ensuring the highest standards of quality and performance are maintained.
**Qualifications**
 To be considered for this role, candidates should possess a bachelor's degree in \[relevant field], with a preferred master's degree or higher. Extensive experience in \[relevant industry or technical area] is highly desirable. Candidates must demonstrate a solid understanding of \[specific skills or technologies], along with proven experience in project management, systems engineering, or related disciplines. Strong analytical abilities, excellent communication skills, and the ability to work effectively within a team are essential. Candidates should also exhibit a proactive attitude and a commitment to continuous learning and professional development. Security clearance or eligibility to obtain one is required, depending on the nature of the projects involved.
**Responsibilities**
 The primary responsibilities for this role include, but are not limited to:
* Designing, developing, and testing innovative solutions aligned with project specifications and requirements.
* Collaborating with multidisciplinary teams to ensure seamless integration of systems and components.
* Conducting thorough analysis and troubleshooting to resolve technical issues promptly.
* Participating in project planning, risk assessment, and progress reporting to ensure timely delivery.
* Maintaining comprehensive documentation of technical processes, configurations, and procedures.
* Staying abreast of industry trends, emerging technologies, and best practices to continuously enhance project outcomes.
* Ensuring compliance with all safety, security, and quality standards throughout project execution.
**Benefits**
 At BAE Systems Inc., we believe in supporting our employees both professionally and personally. We offer a comprehensive benefits package that includes competitive salary, health insurance plans, dental and vision coverage, and retirement savings options. Employees have access to ongoing training and development programs to foster career growth. We promote a healthy work\-life balance through flexible work arrangements and paid time off. Additional perks include employee wellness programs, tuition reimbursement, and opportunities to participate in community outreach initiatives. Our inclusive culture values diversity and encourages collaboration, ensuring every team member feels valued and empowered to contribute their best.
 Equal Opportunity
 BAE Systems Inc. is an equal opportunity employer. We are committed to creating an inclusive environment where all employees are valued and respected, regardless of race, color, religion, gender, sexual orientation, gender identity or expression, age, disability, or veteran status. We believe that diverse perspectives and backgrounds drive innovation and excellence. We actively promote equal employment opportunities and ensure fair treatment in all aspects of employment, including recruitment, hiring, development, and advancement. Our commitment to diversity and inclusion is fundamental to our success and mission of delivering exceptional solutions to our customers.</t>
        </is>
      </c>
    </row>
    <row r="97">
      <c r="A97" t="inlineStr">
        <is>
          <t>li-4373010302</t>
        </is>
      </c>
      <c r="B97" t="inlineStr">
        <is>
          <t>Senior Data Scientist</t>
        </is>
      </c>
      <c r="C97" t="inlineStr">
        <is>
          <t>LatentView Analytics</t>
        </is>
      </c>
      <c r="D97" t="inlineStr">
        <is>
          <t>linkedin</t>
        </is>
      </c>
      <c r="E97">
        <f>HYPERLINK("https://www.linkedin.com/jobs/view/4373010302", "https://www.linkedin.com/jobs/view/4373010302")</f>
        <v/>
      </c>
      <c r="F97" t="inlineStr"/>
      <c r="G97" t="inlineStr">
        <is>
          <t>Sunnyvale, CA</t>
        </is>
      </c>
      <c r="H97" t="inlineStr"/>
      <c r="I97" t="inlineStr">
        <is>
          <t>LatentView Analytics is a leading global analytics and decision sciences provider, delivering solutions that help companies drive digital transformation and use data to gain a competitive advantage. With analytics solutions that provide a 360\-degree view of the digital consumer, fuel machine learning capabilities, and support artificial intelligence initiatives., LatentView Analytics enables leading global brands to predict new revenue streams, anticipate product trends and popularity, improve customer retention rates, optimize investment decisions, and turn unstructured data into valuable business assets.
 We are seeking a highly analytical and impact\-driven
 **Senior Data Scientist** 
 with deep expertise in causal modeling and marketing analytics. This role focuses on measuring true business impact through rigorous experimentation, attribution frameworks, and advanced statistical modeling. The ideal candidate combines strong technical skills with strategic thinking to influence high\-stakes marketing and business decisions.
**Key Responsibilities** 
* Develop and implement
 **causal inference models** 
 to measure incremental impact of marketing and product initiatives.
* Design, execute, and analyze
 **A/B tests and experimentation frameworks** 
 to evaluate performance and optimize outcomes.
* Build and enhance
 **attribution models** 
 to assess channel contribution and user journey impact.
* Apply
 **Bayesian modeling techniques** 
 to improve inference, uncertainty estimation, and decision\-making.
* Use advanced statistical methods (e.g., uplift modeling, difference\-in\-differences, synthetic controls, instrumental variables) to solve complex business problems.
* Partner with marketing, product, and business stakeholders to translate analytical findings into actionable strategies.
* Write complex, optimized queries using
 **SQL** 
 to extract, transform, and analyze large\-scale datasets.
* Communicate insights clearly to technical and non\-technical audiences, including senior leadership.
**Required Skills \&amp; Qualifications** 
* Strong foundation in
 **Data Science** 
 , statistics, and machine learning.
* Demonstrated experience in
 **causal modeling and causal inference techniques** 
 .
* Hands\-on experience with
 **A/B testing and experimental design** 
 .
* Strong understanding of
 **Bayesian statistics and probabilistic modeling** 
 .
* Experience building or working with
 **attribution models** 
 .
* Advanced
 **SQL skills** 
 and experience handling large datasets.
* Proficiency in Python for statistical modeling and data analysis.
* Strong analytical thinking and stakeholder communication skills.
**Preferred Qualifications** 
* Experience in marketing analytics or growth analytics.
* Experience working in fast\-paced, data\-driven environment
 At LatentView Analytics, we value a diverse, inclusive workforce and provide equal employment opportunities for all applicants and employees. All qualified applicants for employment will be considered without regard to an individual's race, colour, sex, gender identity, gender expression, religion, age, national origin or ancestry, citizenship, physical or mental disability, medical condition, family care status, marital status, domestic partner status, sexual orientation, genetic information, military or veteran status, or any other basis protected by federal, state or local laws.</t>
        </is>
      </c>
    </row>
    <row r="98">
      <c r="A98" t="inlineStr">
        <is>
          <t>li-4374107521</t>
        </is>
      </c>
      <c r="B98" t="inlineStr">
        <is>
          <t>Data Scientist</t>
        </is>
      </c>
      <c r="C98" t="inlineStr">
        <is>
          <t>The Jupiter Group, Inc</t>
        </is>
      </c>
      <c r="D98" t="inlineStr">
        <is>
          <t>linkedin</t>
        </is>
      </c>
      <c r="E98">
        <f>HYPERLINK("https://www.linkedin.com/jobs/view/4374107521", "https://www.linkedin.com/jobs/view/4374107521")</f>
        <v/>
      </c>
      <c r="F98" t="inlineStr"/>
      <c r="G98" t="inlineStr">
        <is>
          <t>Houston, TX</t>
        </is>
      </c>
      <c r="H98" t="inlineStr"/>
      <c r="I98" t="inlineStr">
        <is>
          <t>• This role is for a Data Scientist in the Supply Chain \&amp; Manufacturing domain, with specific experience in areas like retail supply chain, inventory planning, and forecasting. The team is focused on predictive analytics and machine analytics, building real forecasting and ML models rather than just operating existing tools. GenAI and LLMs are being explored, but they are not mature yet and not the main focus of the role today.
 • The team is currently working with KumoAI (recommendation software). They are building systems around inventory forecasting and vendor recommendation, and want to take those solutions further. Inventory planning is a key business problem they’ve already solved once and are now enhancing with more advanced ML and deep learning approaches.
 • They are looking for someone who has hands\-on experience building different types of forecasting models and machine learning models in Python, not someone who only consumes models or uses black\-box solutions. The expectation is that this person has designed their own models from scratch and productionized them using platforms like AWS and Databricks. They’ve even built internal software for forecasting that the business can directly use.
 • From a technical perspective, they want strong experience in deep learning for time series forecasting, especially for inventory forecasting and planning. There is very little NLP involved, so this is not an NLP\-heavy role. The profile leans more toward a Full Stack Data Engineer / Data Scientist hybrid — someone who understands data pipelines, modeling, and deployment end\-to\-end.
 • They specifically do not want black\-box model users. They need someone who understands what is happening inside the models, can tune and improve them, and apply them directly to real business problems.</t>
        </is>
      </c>
    </row>
    <row r="99">
      <c r="A99" t="inlineStr">
        <is>
          <t>li-4306620918</t>
        </is>
      </c>
      <c r="B99" t="inlineStr">
        <is>
          <t>Senior Data Scientist - Medical Software Company</t>
        </is>
      </c>
      <c r="C99" t="inlineStr">
        <is>
          <t>Andiamo</t>
        </is>
      </c>
      <c r="D99" t="inlineStr">
        <is>
          <t>linkedin</t>
        </is>
      </c>
      <c r="E99">
        <f>HYPERLINK("https://www.linkedin.com/jobs/view/4306620918", "https://www.linkedin.com/jobs/view/4306620918")</f>
        <v/>
      </c>
      <c r="F99" t="inlineStr"/>
      <c r="G99" t="inlineStr">
        <is>
          <t>New York, NY</t>
        </is>
      </c>
      <c r="H99" t="inlineStr"/>
      <c r="I99" t="inlineStr">
        <is>
          <t>Senior Data Scientist
**About The Role**
 Partner with product and engineering to turn data into decisions. You’ll design experiments, build predictive models, and deliver insights that move key metrics.
 What You’ll Do
* Frame problems, define success metrics, and design A/B tests or quasi\-experiments.
* Build models for prediction, ranking, segmentation, or forecasting.
* Develop data pipelines and features with engineering partners.
* Communicate results clearly to technical and non\-technical audiences.
* Establish best practices for measurement, causal inference, and model monitoring.
 What We’re Looking For
* 6\+ years in applied data science or analytics.
* Proficiency in Python, SQL, and ML libraries (pandas, scikit\-learn, PyTorch/TensorFlow).
* Experience with experimentation, causal methods, or time\-series.
* Strong stakeholder management and storytelling with data.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100">
      <c r="A100" t="inlineStr">
        <is>
          <t>li-4373981729</t>
        </is>
      </c>
      <c r="B100" t="inlineStr">
        <is>
          <t>Lead Data Scientist</t>
        </is>
      </c>
      <c r="C100" t="inlineStr">
        <is>
          <t>Altimetrik</t>
        </is>
      </c>
      <c r="D100" t="inlineStr">
        <is>
          <t>linkedin</t>
        </is>
      </c>
      <c r="E100">
        <f>HYPERLINK("https://www.linkedin.com/jobs/view/4373981729", "https://www.linkedin.com/jobs/view/4373981729")</f>
        <v/>
      </c>
      <c r="F100" t="inlineStr"/>
      <c r="G100" t="inlineStr"/>
      <c r="H100" t="inlineStr"/>
      <c r="I100" t="inlineStr">
        <is>
          <t>Altimetrik delivers outcomes for our clients by rapidly enabling digital business \&amp; culture and infuse speed and agility into enterprise technology and connected solutions. We are practitioners of end\-to\-end business and technology transformation. We tap into an organization’s technology, people, and assets to fuel fast, meaningful results for global enterprise customers across financial services, payments, retail, automotive, healthcare, manufacturing, and other industries. Founded in 2012 and with offices across the globe, Altimetrik makes industries, leaders and Fortune 500 companies more agile, empowered and successful.
 Altimetrik helps get companies get “unstuck”. We’re a technology company that lives organizations a process and context to solve problems in unconventional ways. We’re a catalyst for organization’s talent and technology, helping teams push boundaries and challenge traditional approaches. We make delivery more bold, efficient, collaborative and even more enjoyable.
**Position Overview** 
 We are seeking a Tech Lead with hands\-on experience in Python, Natural Language Processing (NLP) and Chatbot development to support technology initiatives within Wealth Management business.
 This role will contribute to modernizing advisor\-facing experiences by embedding AI\-enabled orchestration into existing workflows and the development of scalable backend services that enable intelligent, conversational platforms. The ideal candidate combines strong backend engineering skills with the ability to work closely with business and global technology stakeholders.
**Key Responsibilities** 
 • Design, develop, and maintain Python\-based backend services supporting NLP and chatbot solutions
 • Contribute to technology transformation initiatives, driving innovation and adoption of cloud\-native platforms
 • Collaborate with business stakeholders to understand requirements, priorities, and objectives
 • Translate business needs into robust, scalable, and secure technical solutions
 • Act as a local liaison between New York and India technology teams, ensuring effective communication and delivery alignment
 • Build and maintain strong, long\-term partnerships with business and technology stakeholders
 • Provide thought leadership on backend, NLP, and conversational AI solutions and identify opportunities where technology can improve business outcomes
 • Support development, testing, deployment, and operational readiness of applications
**Required Skills \&amp; Experience** 
 • Full stack development with strong knowledge in Python in a Unix environment.
 • SOA: Webservices (REST/SOAP), XML/JSON Processing, Swagger, Open Spec
 • Experience with Gen AI based applications, LLM, Agentic, RAG and Vector DB
 • Messaging: IBM MQ/JMS
 • Source Control, Build Packaging: Git, Ivy, Maven/Gradle
 • Object Oriented Analysis and Design, SOLID principles, Clean code, Refactoring, Design patterns
 • Test Automation (Unit Test and/or Functional Testing)
 • Solution Design and Architecture
 • Distributed application design
 • Cloud architectures, Performance Engineering, Scaling
 • Deep familiarity with modern software development and design concepts encompassing a range of languages and platforms.
 • Experience building and consuming RESTful APIs
 • Ability to work effectively in a global, distributed team environment
**Good\-to\-Have Skills** 
 • Experience in Web Development using modern UI frameworks (Bootstrap or similar)
 • Knowledge of PowerShell or Unix shell scripting
 • Experience with CI/CD pipelines using tools such as:
 o TFS / Azure DevOps
 o Jenkins
 o TeamCity
 o Build and release automation
 o A/B testing frameworks
 • Experience developing cloud\-native applications on:
 o AWS, Azure, or OpenShift
 • Familiarity with workflow orchestration tools
 • Understanding of Microservices and Serverless architectures</t>
        </is>
      </c>
    </row>
    <row r="101">
      <c r="A101" t="inlineStr">
        <is>
          <t>li-4371978231</t>
        </is>
      </c>
      <c r="B101" t="inlineStr">
        <is>
          <t>Data Scientist</t>
        </is>
      </c>
      <c r="C101" t="inlineStr">
        <is>
          <t>RADaR Analytics</t>
        </is>
      </c>
      <c r="D101" t="inlineStr">
        <is>
          <t>linkedin</t>
        </is>
      </c>
      <c r="E101">
        <f>HYPERLINK("https://www.linkedin.com/jobs/view/4371978231", "https://www.linkedin.com/jobs/view/4371978231")</f>
        <v/>
      </c>
      <c r="F101" t="inlineStr"/>
      <c r="G101" t="inlineStr">
        <is>
          <t>St Louis, MO</t>
        </is>
      </c>
      <c r="H101" t="inlineStr"/>
      <c r="I101" t="inlineStr">
        <is>
          <t>**Open position in RADaR office locations, including Kansas City, MO, Columbia, MO, and St. Louis, MO; Hybrid work schedule: 3 days in the office, 2 days working from home**
**Visa sponsorship** 
 is not available for this position, now or in the future. Applicants must be legally authorized to work in the United States on a permanent basis without requiring employer sponsorship.
 We're seeking a Data Scientist with exceptional statistical expertise to join our team. In this role, you'll work directly with advertising agencies and brands to analyze customer behavior patterns and advertising performance, developing sophisticated machine learning models that inform strategic marketing decisions.
**Essential Duties And Responsibilities (Other Duties May Be Assigned)**
* Conduct deep statistical analysis of customer behavior data and advertising performance metrics across multiple channels and campaigns
* Design, develop, and deploy machine learning models to predict customer responses, optimize advertising spend, and identify high\-value audience segments
* Perform advanced statistical modeling including regression analysis, hypothesis testing, time series analysis, and causal inference
* Build predictive models for customer lifetime value, churn prediction, attribution modeling, and campaign optimization
* Communicate complex analytical findings to both technical and non\-technical stakeholders through compelling data visualizations and presentations
* Develop automated reporting solutions and dashboards that enable clients to monitor campaign performance in real\-time
* Collaborate with cross\-functional teams to ensure data quality and integrity across all analytics initiatives
* Stay current with emerging techniques in data science, machine learning, and marketing analytics
**Qualifications \-**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3\+ years of professional experience applying statistical methods and machine learning to business problems
* Strong foundation in statistical theory including probability, inference, experimental design, and multivariate analysis
* Demonstrated expertise in machine learning algorithms (e.g., random forests, gradient boosting, neural networks, clustering methods)
* Proficiency in Python or R for statistical analysis and machine learning, including libraries such as scikit\-learn, pandas, NumPy, statsmodels
* Experience with SQL and working with large\-scale databases
* Proven ability to design and analyze A/B tests and controlled experiments
* Track record of translating complex analytical insights into clear, actionable business recommendations
* Strong communication skills with the ability to present technical concepts to non\-technical audiences
**Preferred Qualifications**
* Experience working with advertising agencies, marketing teams, or in the ad tech industry
* Knowledge of digital advertising platforms (Google Ads, Facebook Ads, programmatic platforms)
* Familiarity with marketing attribution models and multi\-touch attribution methods
* Experience with cloud computing platforms (AWS, GCP, or Azure)
* Knowledge of causal inference methods and their application to marketing effectiveness
* Experience with customer data platforms (CDPs) and marketing automation tools
**Education**
* Advanced degree (Master's or Ph.D.) in Statistics, Mathematics, Computer Science, Economics, or related quantitative field
**Total Perks Package**
* The chance to be a part of a growing company and the next success story
* Amazing opportunities for career development
* Recognition programs
* Employee referral bonus
* Hybrid work schedule; 3 days in the office, 2 days working from home
* Fun and collaborative work environment
* Casual dress code
* Insurance Coverage (medical, dental, vision, life, and disability)
* 401(k) retirement plan, with employer 4% match
* Work/life benefits, including mental health and wellbeing support
* Flexible Time Off Policy
* Paid holidays, including agency closing Christmas Eve\-New Year's Day
* Paid leave options, including sick leave, medical leave for self and family, and parental leave
 California Residents \- Please review our Privacy Notice here.</t>
        </is>
      </c>
    </row>
    <row r="102">
      <c r="A102" t="inlineStr">
        <is>
          <t>li-4346479557</t>
        </is>
      </c>
      <c r="B102" t="inlineStr">
        <is>
          <t>Data Scientist</t>
        </is>
      </c>
      <c r="C102" t="inlineStr">
        <is>
          <t>PPG</t>
        </is>
      </c>
      <c r="D102" t="inlineStr">
        <is>
          <t>linkedin</t>
        </is>
      </c>
      <c r="E102">
        <f>HYPERLINK("https://www.linkedin.com/jobs/view/4346479557", "https://www.linkedin.com/jobs/view/4346479557")</f>
        <v/>
      </c>
      <c r="F102" t="inlineStr"/>
      <c r="G102" t="inlineStr">
        <is>
          <t>Pittsburgh, PA</t>
        </is>
      </c>
      <c r="H102" t="inlineStr"/>
      <c r="I102" t="inlineStr">
        <is>
          <t>**Job Description**
 PPG Digital Organization is seeking to drive growth and improve productivity for the company at scale in the areas of formulation development (new product development), product quality (manufacturing), and color matching. We are seeking a creative and motivated
 **Data Scientist** 
 to join our team to use scientific knowledge and translate to digital solutions.
 As a
 **Data Scientist** 
 , and member of our PPG Digital Organization, you'll be contributing to specific business projects utilizing machine learning, computer vision, advanced statistical analysis, data mining, optimization, and data visualization methods to drive product and service development that lie at the intersection of both digital and physical sciences. You will make recommendations on the data and provide insights into seeking rapid solutions through agile teams / sprints.
**Key Responsibilities**
* Devising and applying state of the art algorithms related to deep learning and reinforcement learning.
* Evaluate AI/ML readiness and provide data acquisition recommendations to bridge gaps
* Visualize data to discover and communicate solutions and opportunities.
* Application of advanced statistics on scientific problems.
* Producing meaningful and actionable results quickly with teams
* Employ Machine learning sub fields such as:
+ Multivariate data analysis and clustering based models
+ Classification \- discrete events and perceptions (image, voice, and text)
+ Regression models
+ Multi\-objective optimization
* Stay current of trends in applied machine learning, computer vision and advanced statistics.
* Collaborate with external partners to bring groundbreaking results to PPG operations.
* Work with global teams to translate innovative ideas into deployable digital products and services with quantifiable business impact.
**Qualifications**
* Ph.D. in Chemical Engineering, Chemistry, Polymer Science or equivalent
* Strong proficiency in machine learning, with experience in unstructured/cognitive learning algorithms.
* Strong proficiency with Python
* Minimum of 5 years of experience using data analysis techniques to solve business related problems regardless of industry. (School internship experience can count)
**Preferred Qualifications**
* Experience in delivering results at the intersection of machine learning, computer vision, engineering and material sciences
* Experience with Matlab, R and/or other statistical programming languages applying the appropriate statistical procedures to problems.
* Experience with state\-of\-the\-art deep learning frameworks such as TensorFlow, PyTorch, Keras or comparable technologies.
* Six Sigma methodology experience (Yellow belt and above).
* Experience working with both structured and distributed data technologies ranging from SQL to Hadoop, Hive and Spark.
* Experience with agile development methodology.
**About Us**
 Here at PPG we make it happen, and we seek candidates of the highest integrity and professionalism who share our values, with the commitment and drive to strive today to do better than yesterday – everyday.
**PPG: WE PROTECT AND BEAUTIFY THE WORLD™**
 Through leadership in innovation, sustainability and color, PPG helps customers in industrial, transportation, consumer products, and construction markets and aftermarkets to enhance more surfaces in more ways than does any other company. To learn more, visit www.ppg.com and follow @ PPG on Twitter.
 At PPG we use AI in the hiring process to make the process more efficient. AI tools do not make hiring decisions. You can learn more by going to https://careers.ppg.com/us/en/candidate\-resources.
 PPG provides equal opportunity to all candidates and employees. We offer an opportunity to grow and develop your career in an environment that provides a fulfilling workplace for employees, creates an environment for continuous learning, and embraces the ideas and diversity of others. All qualified applicants will receive consideration for employment without regard to sex, pregnancy, race, color, creed, religion, national origin, age, disability status, marital status, veteran status, sexual orientation, gender identity or expression. If you need assistance to complete your application due to a disability, please email recruiting@ppg.com.
 PPG values your feedback on our recruiting process. We encourage you to visit Glassdoor.com and provide feedback on the process, so that we can do better today than yesterday.
 Benefits will be discussed with you by your recruiter during the hiring process.
 PPG pay ranges and benefits can vary by location which allows us to compensate employees competitively in different geographic markets. PPG considers several factors in making compensation decisions including, but not limited to, skill sets, experience and training, qualifications and education, licensure and certifications, and other organizational needs. Other incentives may apply.
 Our employee benefits programs are designed to support the health and well\-being of our employees. Any insurance coverages and benefits will be in accordance with the terms and conditions of the applicable plans and associated governing plan documents.
 PPG pay ranges and benefits can vary by location which allows us to compensate employees competitively in different geographic markets. PPG considers several factors in making compensation decisions including, but not limited to, skill sets, experience and training, qualifications and education, licensure and certifications, and other organizational needs. Other incentives may apply.
 Our employee benefits programs are designed to support the health and well\-being of our employees. Any insurance coverages and benefits will be in accordance with the terms and conditions of the applicable plans and associated governing plan documents.</t>
        </is>
      </c>
    </row>
    <row r="103">
      <c r="A103" t="inlineStr">
        <is>
          <t>li-4373980581</t>
        </is>
      </c>
      <c r="B103" t="inlineStr">
        <is>
          <t>Data Scientist II</t>
        </is>
      </c>
      <c r="C103" t="inlineStr">
        <is>
          <t>University of Kentucky</t>
        </is>
      </c>
      <c r="D103" t="inlineStr">
        <is>
          <t>linkedin</t>
        </is>
      </c>
      <c r="E103">
        <f>HYPERLINK("https://www.linkedin.com/jobs/view/4373980581", "https://www.linkedin.com/jobs/view/4373980581")</f>
        <v/>
      </c>
      <c r="F103" t="inlineStr"/>
      <c r="G103" t="inlineStr"/>
      <c r="H103" t="inlineStr"/>
      <c r="I103" t="inlineStr">
        <is>
          <t>Posting Details
**Job Title** 
 Data Scientist II
**Requisition Number** 
 RE53282
**Working Title**
**Department Name** 
 7P275:Public Health Analytics and Informatics
**Work Location** 
 Lexington, KY
**Grade Level** 
 47
**Salary Range** 
 $57,158\-94,286/year
**Type of Position** 
 Staff
**Position Time Status** 
 Full\-Time
**Required Education**
 MS
**Click here for more information about equivalencies:** 
 https://hr.uky.edu/employment/working\-uk/equivalencies
**Required Related Experience**
 5 yrs
**Required License/Registration/Certification**
 None
**Physical Requirements**
 Occasional lifting up to 15 pounds, sitting for extended periods of time
**Shift**
 Monday – Friday 8:00 a.m. – 5:00 p.m. Additional hours when needed to meet department needs
**Job Summary**
 The College of Public Health/Public Health Analytics and Informatics is seeking a Data Scientist II to design, develop, and deploy data science and machine learning solutions and assist in the implementation of data engineering infrastructure for public health analytics, including the Rapid Actionable Data for Opioid Response in KY ( RADOR \-KY) project. This position will build data science solutions and predictive models for time series forecasting systems related to risk prediction, outcome forecasting, and population health analytics, while designing and maintaining data pipelines for both batch and streaming data processing. The ideal candidate will write complex SQL queries, assist in the development and monitoring of ETL workflows, and support interactive dashboards and geospatial visualizations to communicate results to stakeholders. Responsibilities include implementing data science solutions, model validation frameworks and results, optimizing database queries and pipeline performance, integrating multiple data sources, and maintaining comprehensive technical documentation for data science, ML models, and data processes. This role requires advanced data science and machine learning expertise, proficiency with Python ML libraries, strong SQL programming skills, experience with data pipeline orchestration tools, and the ability to translate analytical needs into technical solutions. This position may supervise and mentor junior data scientists with SQL and Python/R development. The position may be fully remote.
**Skills / Knowledge / Abilities**
 Statistical programming expertise (R or SAS ) required
**Does this position have supervisory responsibilities?** 
 No
**Preferred Education/Experience**
 MS with experience or PhD in Biostatistics, Epidemiology, Computer Science, or Data Science preferred
**Deadline to Apply** 
 03/03/2026
**Our University Community**
 We value the well\-being of each of our employees and are dedicated to creating a healthy place for everyone to work, learn and live. In the interest of maintaining a safe and healthy environment for our students, employees, patients and visitors, the University of Kentucky is a Tobacco \&amp; Drug Free campus.
 The University follows both the federal and state Constitutions as well as all applicable federal and state laws on nondiscrimination. The University provides equal opportunities for qualified persons in all aspects of institutional operations and does not discriminate on the basis of race, color, national origin, ethnic origin, religion, creed, age, physical or mental disability, veteran status, uniformed service, political belief, sex, sexual orientation, gender identity, gender expression, pregnancy, marital status, genetic information or social or economic status.
 Any candidate offered a position may be required to pass pre\-employment screenings as mandated by University of Kentucky Human Resources. These screenings may include a national background check and/or drug screen.
 \#CampusGrade</t>
        </is>
      </c>
    </row>
    <row r="104">
      <c r="A104" t="inlineStr">
        <is>
          <t>li-4372896164</t>
        </is>
      </c>
      <c r="B104" t="inlineStr">
        <is>
          <t>Data Scientist</t>
        </is>
      </c>
      <c r="C104" t="inlineStr">
        <is>
          <t>Haystack</t>
        </is>
      </c>
      <c r="D104" t="inlineStr">
        <is>
          <t>linkedin</t>
        </is>
      </c>
      <c r="E104">
        <f>HYPERLINK("https://www.linkedin.com/jobs/view/4372896164", "https://www.linkedin.com/jobs/view/4372896164")</f>
        <v/>
      </c>
      <c r="F104">
        <f>HYPERLINK("https://us.haystackapp.io/roles/698f77d1602dc952059aa938?src=linkedin&amp;urlHash=xj3Q", "https://us.haystackapp.io/roles/698f77d1602dc952059aa938?src=linkedin&amp;urlHash=xj3Q")</f>
        <v/>
      </c>
      <c r="G104" t="inlineStr"/>
      <c r="H104" t="inlineStr"/>
      <c r="I104" t="inlineStr">
        <is>
          <t>**Data Governance and Metadata Scientist \| Remote/Hybrid \| $99,000 \- $225,000** 
 We're working with Booz Allen Hamilton on this exciting opportunity. Harness your data science expertise to solve global challenges, transforming complex datasets into actionable insights for critical decision\-making across diverse sectors, from fraud detection to national intelligence.
 Join a team where your leadership and data science skills will make a real\-world impact. Guide the development of cutting\-edge algorithms and systems, leveraging the latest tools and frameworks to unravel intricate data puzzles.
**The Role** 
 • Lead the implementation of robust metadata governance frameworks for structured and unstructured data in dynamic cloud\-based environments.
 • Drive data lineage tracking and ensure seamless metadata synchronization across Data Catalogs, ESRI Kubernetes, and enterprise metadata repositories.
 • Champion the utilization of OpenLineage, Apache Atlas, and other advanced tools for comprehensive metadata and data lineage management.
 • Enforce strict compliance with DoD metadata policies and NSG tradecraft standards, particularly for sensitive geospatial datasets.
 • Collaborate with clients to deeply understand their data needs, translating complex questions into data\-driven solutions that inform strategic decisions.
**What You'll Need** 
 • Proven experience in implementing metadata governance frameworks in cloud environments.
 • Expertise in tracking data lineage and ensuring metadata synchronization across various platforms (Data Catalog, ESRI Kubernetes).
 • Hands\-on experience with OpenLineage, Apache Atlas, or similar metadata and data lineage management tools.
 • Strong understanding and experience in enforcing compliance with DoD metadata policies and NSG tradecraft standards for geospatial datasets.
 • A Bachelor's degree in Data Science, Information Management, GIS, or 5\+ years of relevant experience in data governance, metadata management, or geospatial data integration.
**What's On Offer** 
 • Competitive compensation with a salary range of $99,000 to $225,000, ensuring your contributions are well\-rewarded.
 • Comprehensive benefits package including health, life, and disability insurance, along with robust financial and retirement plans.
 • Excellent opportunities for professional development, tuition assistance, and work\-life programs to support your growth and well\-being.
 • A dynamic hybrid work model, blending the benefits of flexibility with collaborative in\-person engagement.
**Apply via Haystack today!**</t>
        </is>
      </c>
    </row>
    <row r="105">
      <c r="A105" t="inlineStr">
        <is>
          <t>li-4334851569</t>
        </is>
      </c>
      <c r="B105" t="inlineStr">
        <is>
          <t>Senior Data Scientist</t>
        </is>
      </c>
      <c r="C105" t="inlineStr">
        <is>
          <t>Momentum Worldwide</t>
        </is>
      </c>
      <c r="D105" t="inlineStr">
        <is>
          <t>linkedin</t>
        </is>
      </c>
      <c r="E105">
        <f>HYPERLINK("https://www.linkedin.com/jobs/view/4334851569", "https://www.linkedin.com/jobs/view/4334851569")</f>
        <v/>
      </c>
      <c r="F105" t="inlineStr"/>
      <c r="G105" t="inlineStr">
        <is>
          <t>New York, NY</t>
        </is>
      </c>
      <c r="H105" t="inlineStr"/>
      <c r="I105" t="inlineStr">
        <is>
          <t>**WHAT WE ARE LOOKING FOR**
 At Momentum we believe in delivering solutions to our clients that are anchored in insights and analytics. Senior Data Scientists are a key component of the Analytics team. From creating proprietary measurement tools, to structuring and analyzing data, implementing and interpreting models that feed business\-improving insights, and putting it all together into presentations that bring the story to life for our clients; Senior Data Scientists work closely with the rest of the team to help execute the broader vision for their account, and to continually evolve our Data Science solutions.
 The ideal candidate should be intellectually curious and have an evidence\-based approach to decision\-making, have a definitive point of view and share it in a positive way, and get excited by a good challenge. We are looking for prior experience in marketing analytics, ideally in the digital creative and media space, but this isn’t necessarily a requirement. At least 2\-3 years of prior professional experience is highly desired.
**HERE'S WHAT YOU'LL DO (RESPONSIBILITIES)**
* Take analytical objectives and define data requirements. Extract, clean, and transform both customer level, and aggregated data for analysis, modeling, segmentation and reporting
* Design and interpret randomized controlled tests to study a variety of marketing stimuli
* Design, estimate, tune, score and maintain advanced statistical and mathematical models (e.g. classification, numeric forecasts, customer segmentation, customer propensity, attribution, etc.)
* Produce accurate statistical analysis and ensure high quality of the data analysis produced
* Interpret, document and present/communicate analytical results to multiple business disciplines, providing conclusions and recommendations.
* Supporting Momentum’s values
* All other duties as assigned
**HERE’S WHAT WE’RE LOOKING FOR (QUALIFICATIONS \&amp; REQUIREMENTS)**
* Bachelors Degree preferred, preferably in a STEM field, or equivalent work experience
* 2\+ years work experience in quantitative analysis with proven results in leveraging customer/transaction to address business objectives
* Highly proficient in at least one popular programming language used for Machine Learning, such as Python or R
* Prior agency experience strongly desired
* Strong knowledge of Relational Databases and SQL programming
* Solid understanding of mathematical modeling, probability and statistics, and the design and simulation of stochastic systems.
* Familiarity with the mathematics behind important statistical learning algorithms such as ARIMA, Linear Regression, Logistic Regression, Centroid\-based and Hierarchical Clustering, Principal Component Analysis (PCA), Decision Trees/Random Forest, Bayesian Inference, Markov Chain Monte\-Carlo (MCMC)
* Familiarity with common advanced marketing analytics solutions such as Marketing Mix Modeling (MMM), Multi\-touch Attribution (MTA), and Dynamic Content Optimization (DCO)
* Strong communication skills. Ability to speak and write professionally. Ability and comfort with presenting work by phone or within small groups.
* World\-class customer service skills. Ability to service clients, partners and internal stakeholders by understanding their needs, translating those needs into creative solutions, and delivering on those solutions with diligence and a sense of urgency
* Must be familiar with the capabilities and mechanics of a broad range of marketing measurements and technologies such as Ad Servers, DSP, DMPs, CRMs, and Syndicated Research
* Exceptional relationship and influencing skills
* Experienced in strategic thinking and ability to see, articulate and drive to the big picture
* Passion and solution orientated approach to problem solving
* Exceptional verbal \&amp; written communication skills and adept at communicating effectively across all levels
* Highly developed presentation and delivery skills
* Ability to perform well in fast changing environments.
* Exceptional client management skills
**SALARY RANGE**
 The salary range for this position is $120,000 to $130,000\. Where an employee or prospective employee is paid within this range will depend on, among other factors, actual ranges for current/former employees in the subject position; market considerations; location and region; budgetary considerations; tenure and standing with the company (applicable to current employees); as well as the employee’s/applicant’s background, pertinent experience, and qualifications.
**About Us \- Momentum Worldwide**
 Momentum is an agency of doers. We make the industry’s most disruptive, entertaining, shareable, unforgettable experiences for our clients and their fans. We do it by bringing people closer to what they love, in original and unexpected ways. Whether it’s a physical activation, a virtual experience, or a piece of unique branded content, it’s all part of what we call the Total Brand Experience — ideas that solve business challenges, through best\-in\-class Consulting, Strategy, Analytics, Experience Design, and Production.
 We want you to help brands do amazing, unprecedented, wild things, creating experiences that people never forget.
**What Can You Expect From Momentum**
**At Momentum, we expect our employees to embody our values!**
 Our Core Values of Be One, Do Great Work, Have Fun, Give Back and Grow empower an environment where we challenge ourselves professionally and encourage each other personally.
**At Momentum, we make** 
**our differences matter!**
 Who we are matters. We choose to hire diverse voices from all walks of life. We choose to make our culture one where everyone can be their authentic self and speak in their voice. We choose to give each other permission to get things wrong, so we can learn to make them right. We choose to celebrate the bravery of our peers and we choose to be collectively responsible.
**At Momentum, we make our actions matter!**
 Making it matter means always choosing the sustainable option. It means designing waste out from the start. It means working with the right materials. Sourcing locally, innovating off\-the\-shelf solutions and reusing and repurposing. It means powering smarter. Travelling less. And only working with vendors who do the same. Make it matter means becoming the first experiential agency in the world to receive 2 ISO certifications.
*At Momentum Worldwide, we value diversity and the uniqueness of all people. We thrive in an inclusive environment, and we recruit, hire and promote without regard to race, gender, age, color, gender identity, gender expression, sexual orientation, ethnic or national origin, citizenship, religion, sexual preference, military or veteran status, marital status, family status, physical or mental disability – or any other legally protected categories as set forth in the applicable state, federal or local laws. This policy applies to all aspects of employment including training, compensation, benefits and all other privileges of employment.*
*We make our careers website accessible to any and all users. If you need an accommodation to participate in the application process, please contact us at JobAppAccommodation@ipgdxtra.com. This email address is not for general employment inquiries or vendors; rather it is strictly for applicants who require special assistance accessing our employment website. Due to volume, messages sent to this email address that are not related to an accommodation cannot be answered.*</t>
        </is>
      </c>
    </row>
    <row r="106">
      <c r="A106" t="inlineStr">
        <is>
          <t>li-4321539735</t>
        </is>
      </c>
      <c r="B106" t="inlineStr">
        <is>
          <t>Data Scientist</t>
        </is>
      </c>
      <c r="C106" t="inlineStr">
        <is>
          <t>Toyota Insurance</t>
        </is>
      </c>
      <c r="D106" t="inlineStr">
        <is>
          <t>linkedin</t>
        </is>
      </c>
      <c r="E106">
        <f>HYPERLINK("https://www.linkedin.com/jobs/view/4321539735", "https://www.linkedin.com/jobs/view/4321539735")</f>
        <v/>
      </c>
      <c r="F106">
        <f>HYPERLINK("https://toyotaims.bamboohr.com/careers/218?source=LinkedIn&amp;urlHash=le48", "https://toyotaims.bamboohr.com/careers/218?source=LinkedIn&amp;urlHash=le48")</f>
        <v/>
      </c>
      <c r="G106" t="inlineStr">
        <is>
          <t>Plano, TX</t>
        </is>
      </c>
      <c r="H106" t="inlineStr"/>
      <c r="I106" t="inlineStr">
        <is>
          <t>**Who Are We**
 Toyota Insurance Management Solutions, including its affiliates Connected Analytic Services (CAS) and Advanced Connectivity (collectively “TIMS”) is a joint venture between Aioi Nissay Dowa Insurance Services, USA (AIS) and Toyota Financial Services International Corporation. Our objective is to sell and service innovative auto insurance products to Toyota and Lexus owners with a specific focus on telematics\-enabled, usage\-based insurance (UBI).
**Job Overview**
 We are seeking a highly driven and innovative Data Scientist with a strong focus on UBI telematics, conversational AI, AI‑enabled insights, and operational efficiency. In this role, you will transform complex data into actionable intelligence by leading efforts in advanced analytics, model development, data visualization, regulatory model filing, and end‑to‑end deployment of scalable solutions.
 Success in this position requires strong software engineering skills, a collaborative mindset, and the ability to communicate technical concepts clearly to both technical and non\-technical stakeholders. We are looking for team members who thrive in a dynamic environment and bring creative data‑powered solutions that enhance decision‑making, improve risk assessment, and drive measurable business value.
**Job Responsibilities**
* Work with internal and external organizations to identify data requirements and available data sources.
* Translate business problems into data science solutions by rapid prototyping and utilizing insurance domain knowledge.
* Data analysis, visualization, model development, and deployment using Python and AWS while meeting regulatory and privacy requirements.
* Develop and manage tools and libraries that are reusable across the company.
**Required Education And Experience**
* Bachelor’s or Master’s degree in data science, Machine Learning, Artificial Intelligence, Robotics, Computational Linguistics, or Computer Science.
* 3\+ years of direct experience in telematics, IoT, or mobility.
* 3\+ years of experience applying machine learning in an insurance or regulated environment.
* Experience operationalizing models via APIs and ML Ops pipelines.
* Experience building solutions in cloud\-based data platforms (AWS).
* Experience implementing solutions using statistical techniques and machine learning, including deep learning.
* Actuarial designation is desired but not required.
* Advanced hands\-on experience with SQL.
* Experience with geospatial data and tools.
* Experience with machine learning deployment, such as containerization and CI/CD.
* Prior experience in P\&amp;C insurance, especially UBI, is highly preferred.
**Required Knowledge, Skills, And Abilities**
* Strong knowledge of machine learning, statistical modeling, and data science principles.
* Working knowledge of telematics or IoT and their application to risk and behavioral analysis.
* Understanding of insurance fundamentals, including pricing, claims, and regulatory considerations.
* Advanced analytical and problem\-solving skills with the ability to translate business problems/questions into data\-driven solutions.
* Ability to work effectively with large, complex, and ambiguous datasets in fast\-moving environments.
* Solid proficiency in Python and experience with ML libraries (TensorFlow, scikit\-learn, PyTorch, etc.).
* LLM\-based Conversational AI development experience is a strong plus.
* Ability to continuously learn and apply emerging AI techniques and industry best practices.
* Exposure with technical documentation and cross\-cultural collaboration is a plus.
**Required Competencies**
* Detailed Oriented
* Analytical
* Statistical Modeling
* Risk Acumen
* Collaboration
* Innovation Mindset
* Business Translation \&amp; Communication
**Compensation**
* $130,000\-$140,000 based on skills and experience
**Work Environment And Physical Demands**
* This role operates in a professional office environment, requiring the ability to work for extended periods at a computer and participate in virtual and in\-person meetings.
* Hybrid schedule with a minimum of two in\-office days weekly.
* Must be authorized to work in the United States and able to meet any applicable employment eligibility requirements.
**Scope Of Management**
 Total of direct reports: 0
 Degree of Travel: 2%
 What are the Perks?
* 
* Medical, Dental \&amp; Vision Insurance
* Paid Time Off, Paid Holidays and Sick Days
* 401(k) Match
* FSA and HSA
* Pet Insurance
* Life Insurance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**Work Authorization**
 Applicants must be authorized to work for any employer in the U.S. This position does not offer sponsorship or the transfer of sponsorship of employment Visa.
**Learn More**
 Visit our website Toyota Insurance: https://toyotainsurance.com/careers to learn more about our company culture and career opportunities.
 FLSA Job Status: ☒ Exempt ☐Non\-Exempt
 All qualified applicants will receive consideration for employment without regard to race, color, religion, sex, sexual orientation, gender identity, national origin, protected veteran status, or disability status. Reasonable accommodations may be made to enable individuals with disabilities to perform the essential functions.
 An Equal Opportunity Employer: Female / Minority / Disability / Protected Veteran / Sexual Orientation / Gender Identity
**'EEOC Is The Law' Information**
 https://www.eeoc.gov/sites/default/files/2023\-06/22\-088\_EEOC\_KnowYourRights6\.1</t>
        </is>
      </c>
    </row>
    <row r="107">
      <c r="A107" t="inlineStr">
        <is>
          <t>li-4364779214</t>
        </is>
      </c>
      <c r="B107" t="inlineStr">
        <is>
          <t>Data Scientist</t>
        </is>
      </c>
      <c r="C107" t="inlineStr">
        <is>
          <t>RADaR Analytics</t>
        </is>
      </c>
      <c r="D107" t="inlineStr">
        <is>
          <t>linkedin</t>
        </is>
      </c>
      <c r="E107">
        <f>HYPERLINK("https://www.linkedin.com/jobs/view/4364779214", "https://www.linkedin.com/jobs/view/4364779214")</f>
        <v/>
      </c>
      <c r="F107" t="inlineStr"/>
      <c r="G107" t="inlineStr">
        <is>
          <t>Columbia, MO</t>
        </is>
      </c>
      <c r="H107" t="inlineStr"/>
      <c r="I107" t="inlineStr">
        <is>
          <t>**Open position in RADaR office locations, including Kansas City, MO, Columbia, MO, and St. Louis, MO; Hybrid work schedule: 3 days in the office, 2 days working from home**
**Visa sponsorship** 
 is not available for this position, now or in the future. Applicants must be legally authorized to work in the United States on a permanent basis without requiring employer sponsorship.
 We're seeking a Data Scientist with exceptional statistical expertise to join our team. In this role, you'll work directly with advertising agencies and brands to analyze customer behavior patterns and advertising performance, developing sophisticated machine learning models that inform strategic marketing decisions.
**Essential Duties And Responsibilities (Other Duties May Be Assigned)**
* Conduct deep statistical analysis of customer behavior data and advertising performance metrics across multiple channels and campaigns
* Design, develop, and deploy machine learning models to predict customer responses, optimize advertising spend, and identify high\-value audience segments
* Perform advanced statistical modeling including regression analysis, hypothesis testing, time series analysis, and causal inference
* Build predictive models for customer lifetime value, churn prediction, attribution modeling, and campaign optimization
* Communicate complex analytical findings to both technical and non\-technical stakeholders through compelling data visualizations and presentations
* Develop automated reporting solutions and dashboards that enable clients to monitor campaign performance in real\-time
* Collaborate with cross\-functional teams to ensure data quality and integrity across all analytics initiatives
* Stay current with emerging techniques in data science, machine learning, and marketing analytics
**Qualifications \-**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3\+ years of professional experience applying statistical methods and machine learning to business problems
* Strong foundation in statistical theory including probability, inference, experimental design, and multivariate analysis
* Demonstrated expertise in machine learning algorithms (e.g., random forests, gradient boosting, neural networks, clustering methods)
* Proficiency in Python or R for statistical analysis and machine learning, including libraries such as scikit\-learn, pandas, NumPy, statsmodels
* Experience with SQL and working with large\-scale databases
* Proven ability to design and analyze A/B tests and controlled experiments
* Track record of translating complex analytical insights into clear, actionable business recommendations
* Strong communication skills with the ability to present technical concepts to non\-technical audiences
**Preferred Qualifications**
* Experience working with advertising agencies, marketing teams, or in the ad tech industry
* Knowledge of digital advertising platforms (Google Ads, Facebook Ads, programmatic platforms)
* Familiarity with marketing attribution models and multi\-touch attribution methods
* Experience with cloud computing platforms (AWS, GCP, or Azure)
* Knowledge of causal inference methods and their application to marketing effectiveness
* Experience with customer data platforms (CDPs) and marketing automation tools
**Education**
* Advanced degree (Master's or Ph.D.) in Statistics, Mathematics, Computer Science, Economics, or related quantitative field
**Total Perks Package**
* The chance to be a part of a growing company and the next success story
* Amazing opportunities for career development
* Recognition programs
* Employee referral bonus
* Hybrid work schedule; 3 days in the office, 2 days working from home
* Fun and collaborative work environment
* Casual dress code
* Insurance Coverage (medical, dental, vision, life, and disability)
* 401(k) retirement plan, with employer 4% match
* Work/life benefits, including mental health and wellbeing support
* Flexible Time Off Policy
* Paid holidays, including agency closing Christmas Eve\-New Year's Day
* Paid leave options, including sick leave, medical leave for self and family, and parental leave
 California Residents \- Please review our Privacy Notice here.</t>
        </is>
      </c>
    </row>
    <row r="108">
      <c r="A108" t="inlineStr">
        <is>
          <t>li-4327777173</t>
        </is>
      </c>
      <c r="B108" t="inlineStr">
        <is>
          <t>Data Scientist II, Senior</t>
        </is>
      </c>
      <c r="C108" t="inlineStr">
        <is>
          <t>American Bureau of Shipping (ABS)</t>
        </is>
      </c>
      <c r="D108" t="inlineStr">
        <is>
          <t>linkedin</t>
        </is>
      </c>
      <c r="E108">
        <f>HYPERLINK("https://www.linkedin.com/jobs/view/4327777173", "https://www.linkedin.com/jobs/view/4327777173")</f>
        <v/>
      </c>
      <c r="F108">
        <f>HYPERLINK("https://hbbq.fa.us2.oraclecloud.com/hcmUI/CandidateExperience/en/job/3845/?utm_medium=jobshare&amp;urlHash=qJNX", "https://hbbq.fa.us2.oraclecloud.com/hcmUI/CandidateExperience/en/job/3845/?utm_medium=jobshare&amp;urlHash=qJNX")</f>
        <v/>
      </c>
      <c r="G108" t="inlineStr">
        <is>
          <t>Houston, TX</t>
        </is>
      </c>
      <c r="H108" t="inlineStr"/>
      <c r="I108" t="inlineStr">
        <is>
          <t>**Job Description**
 The Senior Data Scientist II analyzes complex structured and unstructured data using state\-of\-the\-art data science methods for data driven decision making. Develop algorithms that enable machines to perform tasks that typically require human intelligence. Moreover, this role uses both knowledge of data science and Artificial Intelligence methods and applies them to solve real world problems. The Senior Data Scientist II mentors junior team members, leads development of data products, communicates complex solutions effectively, and guides decision\-making within the organization.
**What You Will Do:**
* Apply advanced data science concepts to deliver data\-driven digital offerings and insights using Databricks Lakehouse architecture.
* Utilize modern machine learning methods and domain understanding to support the creation of new products and services, leveraging MLflow for experiment tracking and model lifecycle management.
* Collaborate with data and analytics teams and cross\-functional departments such as digital, services, class, and engineering to build scalable ML solutions and deliver actionable insights.
* Write independent source code in Python, PySpark, and SQL, validate and test models, and use Databricks Feature Store for consistent feature reuse and governance.
* Design and implement robust data architectures using Delta Lake and manage data assets securely via Unity Catalog and Azure Data Lake.
* Combine Agile methodologies with data science practices to build advanced analytics and AI products using Databricks Workflows and Azure ML Pipelines.
* Develop, test, deploy, and maintain machine learning and AI models using Databricks Runtime for ML, ensuring scalability, performance, and governance.
* Lead the data\-driven decision\-making process, from data collection and analysis to implementation and monitoring of solutions using Databricks Jobs, CI/CD pipelines, and Azure DevOps.
* Support organizational decision\-making based on the results of analytics efforts, ensuring traceability and governance via Unity Catalog and Azure Purview.
* Work independently on data engineering, preprocessing, and preparation tasks using Databricks Notebooks, SQL Warehouses, and Azure Synapse Analytics.
* Mentor data scientists, ASPIRES, and interns, providing guidance and support in their professional development and technical growth.
* Evaluate and partner with external customers, vendors, university relations, and other teams to drive innovation and collaboration.
* Stay current in the field of AI and advanced analytics, with a focus on innovations within the Databricks, Azure, and OpenAI ecosystems, including LLMs, GenAI, and MLOps.
* Develop and deploy scalable and interpretable data products per business\-defined requirements using Databricks Repos, Model Serving, and Azure Machine Learning.
**What You Will Need:**
 Education and Experience
* Bachelor’s Degree in Data Science, Information Systems, Computer Science, Engineering or other relevant field with relevant experience.
* Required \-5 or more years of experience in Data Science, Information Systems, Computer Science, Engineering, or other field with relevant experience.
* Preferred \- Master’s Degree in Data Science, Data Analytics, Information Systems, Computer Science, Engineering or other relevant field. Preferred \- 1 or more years of work experience as a Sr Data Scientist, demonstrating leadership on projects involving applied AI and Machine Learning
**Knowledge, Skills, And Abilities**
* Strong written and verbal communications skills
* Strong written and verbal communication skills, with the ability to translate complex data into actionable insights.
* Experienced in working with cross\-functional teams to understand business challenges and deliver data\-driven solutions.
* Proficient in machine learning, data mining, statistical analysis, and applied AI methods using Databricks, Azure ML, and Dataiku.
* Skilled in developing scalable ML solutions and translating analytics into business impact.
* Advanced proficiency in Python, PySpark, SQL, and tools such as Jupyter, VS Code, and MLflow.
* Experience with database technologies and architectures including Delta Lake, Azure Data Lake, SQL Warehouses, and Synapse Analytics.
* Hands\-on experience with AutoML platforms such as Dataiku, and familiarity with Azure AutoML.
* Deep understanding of Azure Cloud resources, including Azure Machine Learning, Azure DevOps, Azure Cognitive Search, and Azure OpenAI.
* Familiarity with Generative AI solutions, Large Language Models, and NLP frameworks like Hugging Face Transformers.
* Ability to develop a working knowledge of ABS Rules, Guides, statutory regulations, and related instructions, as well as the ABS Employee Safety Policy.
 It Would Be Nice If You Have:
* Career Essentials in Generative AI by Microsoft and LinkedIn
* Build Your Generative AI Productivity Skills with Microsoft and LinkedIn
* Azure AI Fundamentals
* Azure Data Scientist Associate
* Azure AI Engineer Associate/Databricks Certification
**Reporting Relationships:**
 Reports to Senior Manager on Data and Analytics team
**Notice:**
 This position requires access to information that is subject to control by the Export Administration Regulations and/or the International Traffic in Arms Regulations. Any offer of employment shall be contingent upon the Company’s verification that the candidate is a “U.S. Person” or upon the receipt of all necessary export licenses or authorizations that may be required by U.S. export control laws. “U.S. Persons” are defined as U.S. citizens, U.S. lawful permanent residents (i.e., “green card” holders), or any individual granted protected status under the Immigration and Nationality Act (8 U.S.C.
* 1324b(a)(3\)), including asylees and refugees. In the event a candidate refuses or cannot otherwise provide the necessary information for the Company to determine whether such licenses may be required, or for the Company to obtain any required licenses, the Company shall maintain the exclusive right to discontinue the application process and/or withdraw any contingent offer that has been made.
**About Us**
 We set out more than 160 years ago to promote the security of life and property at sea and preserve the natural environment. Today, we remain true to our mission and continue to support organizations facing a rapidly evolving seascape of challenging regulations and new technologies. Through it all, we are anchored by a vision and mission that help our clients find clarity in uncertain times.
 ABS is a global leader in marine and offshore classification and other innovative safety, quality, and environmental services. We’re at the forefront of supporting the global energy transition at sea, the application of remote and autonomous marine systems, cutting\-edge technical solutions, and many more exciting advancements. Our commitment to safety, reliability, and efficiency is ever\-present, guiding our clients to safer and more efficient operations.
**About Our Benefits**
 ABS Bureau proudly offers a variety of industry\-leading benefits designed to enhance the life and well\-being of our employees and their families. These benefits include, but are not limited to, medical insurance (PPO and HD), dental and vision insurance, Health Savings Account (HSA), Flexible Savings Account (FSA), life insurance, accidental death and dismemberment insurance, disability leave programs, parental leave program, paid holidays, and paid vacation time. The Company provides an Employee Assistance Plan (EAP) that offers support in personal wellness, including work\-life services. ABS Bureau also offers a 401K plan with a generous company match, subject to plan requirements.
**Equal Opportunity**
 ABS Bureau is committed to the equal employment opportunity of its employees and prohibits discrimination against any employee or qualified applicant based on race, color, creed, religion, national origin, sex, gender identity, age, disability, marital status, sexual orientation, citizenship status or veteran status, or other non\-work\-related characteristics that may be protected under the law of the Federal Government or specific state employment laws.
**Notice**
 ABS and Affiliated Companies (ABS) will not pay a fee to any third\-party agency without a valid ABS Master Service Agreement (MSA) authorized and signed by Human Resources. Any resume, CV, application, or other forms of candidate submission provided to any employee of ABS without a valid MSA on file will be considered property of ABS, and no fee will be paid.
**Other**
 This job description is not intended, and should not be construed, to be an all\-inclusive list of responsibilities, skills, efforts or working conditions associated with the job of the incumbent. It is intended to be an accurate reflection of the principal job elements essential for making a fair decision regarding the pay structure of the job. \#ogjs</t>
        </is>
      </c>
    </row>
    <row r="109">
      <c r="A109" t="inlineStr">
        <is>
          <t>li-4373960704</t>
        </is>
      </c>
      <c r="B109" t="inlineStr">
        <is>
          <t>Senior Data Scientist, Wharton Graduate Division</t>
        </is>
      </c>
      <c r="C109" t="inlineStr">
        <is>
          <t>Inside Higher Ed</t>
        </is>
      </c>
      <c r="D109" t="inlineStr">
        <is>
          <t>linkedin</t>
        </is>
      </c>
      <c r="E109">
        <f>HYPERLINK("https://www.linkedin.com/jobs/view/4373960704", "https://www.linkedin.com/jobs/view/4373960704")</f>
        <v/>
      </c>
      <c r="F109" t="inlineStr"/>
      <c r="G109" t="inlineStr">
        <is>
          <t>Philadelphia, PA</t>
        </is>
      </c>
      <c r="H109" t="inlineStr"/>
      <c r="I109" t="inlineStr">
        <is>
          <t>**University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As an employer Penn has been ranked nationally on many occasions with the most recent award from Forbes who named Penn one of America's Best Large Employers in 2023\.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Senior Data Scientist, Wharton Graduate Division
**Job Profile Title**
**Job Description Summary**
 The Senior Data Scientist \- Algorithmic Systems is a key member of the Data Science team supporting the full\-time, Executive, and Global Wharton MBA programs. Reporting to the Director of Data Science, this role is instrumental in advancing analytics\-driven solutions that enhance the student experience and improve office productivity.
 This position will lead the enhancement, maintenance, and expansion of Wharton's Course Match registration system\-Wharton's MBA registration system that allocates course schedule. As a technically advanced implementation of modern mechanism design, Course Match is central to the MBA academic experience and requires continued refinement and innovation. The Senior Data Scientist will contribute directly to its algorithm and infrastructure integration, with responsibilities spanning optimization tuning, heuristic development (e.g., Tabu Search), performance diagnostics, and production\-level feature development. The role demands expertise in mixed\-integer programming (MIP), fluency in Python, and the ability to deliver clean, modular, and maintainable production code.
 The position also plays a strategic role in evaluating and integrating a new optimization engine into Course Match, collaborating with internal stakeholders such as the MBA Program Office, Wharton Computing, and the University Registrar, and engaging with external vendors to ensure system robustness, scalability, and alignment with institutional practices, policies, and priorities.
 Beyond Course Match, the Senior Data Scientist will contribute to a broader portfolio of academic affairs and data science initiatives, including AI integration, predictive modeling, statistical analysis, machine learning, and analytics infrastructure development. A major focus will be building reusable, scalable, and automated Python\-based solutions that enable long\-term innovation within the MBA Program Office and Wharton Computing.
 The ideal candidate brings a strong background in algorithmic systems and applied data science, with a demonstrated ability to manage complex technical projects from ideation through deployment. They will be adept at translating technical insights for diverse audiences, fostering cross\-functional collaboration, and providing mentorship and thought leadership to colleagues. Outstanding communication skills and a highly collaborative mindset are essential.
* This role is a two\-year appointment, with the potential for continuation.
**Job Description**
**Duties**
* Lead development and ownership of Course Match
* Serve as the primary developer and systems owner for Course Match registration system, including algorithm and infrastructure integration.
* Algorithmic and performance refinement
* Design and implement enhancements to Course Match's algorithmic infrastructure, including optimization tuning, performance analysis, heuristic development (e.g., Tabu Search), mixed\-integer programming (MIP), and system diagnostics.
* Internal and external collaboration and system integration
* Partner with internal stakeholders and external vendors to support the integration of a new optimization engine. Participate in vendor evaluation, architecture planning, and system design discussions to ensure successful deployment and infrastructure integration.
* Data science project contributions beyond Course Match
* Contribute to high\-impact academic affairs and data science initiatives beyond Course Match, including AI integration, process automation, and machine learning. Build robust Python\-based solutions that promote reusability, automation, and scalability.
* Infrastructure development and automation
* Develop and maintain analytics infrastructure and automation pipelines to support data workflows across the MBA Program Office and Wharton Computing. Apply best practices in software development, testing, and version control.
**Qualifications**
* Master's degree and 1\-2 years of experience in a quantitative field such as Engineering, Data Science, Computer Science, Operations Research, Mathematics, or a related discipline is required; however, a Master's degree and at least 5 years of relevant experience is strongly preferred.
* Strong programming proficiency in Python is required, including experience developing modular, well\-documented, and production\-grade code. Familiarity with version control systems (e.g., Git) and test\-driven development is strongly preferred.
* Demonstrated expertise in algorithmic systems or large\-scale computational frameworks, with hands\-on experience in one or more of the following: heuristic search methods (e.g., Tabu Search), combinatorial optimization, mixed\-integer programming (MIP), or algorithmic market design.
* Experience working within multi\-component software environments and integrating external libraries, APIs, or platforms. Familiarity with systems integration and data engineering practices is preferred.
* Experience supporting or participating in vendor evaluations or third\-party system integrations is strongly preferred. Ability to engage with external vendors on technical system design, performance review, and implementation.
* Applied experience with core data science methods, including statistical modeling, predictive analytics, and machine learning. Proficiency with tools such as R, SQL, and Power BI is a plus.
**Job Location \- City, State**
 Philadelphia, Pennsylvania
**Department / School**
 Wharton School
**Pay Range**
 $100,000\.00 \- $140,000\.00 Annual Rate
 Salary offers are made based on the candidate's qualifications, experience, skills, and education as they directly relate to the requirements of the position, and in alignment with salary ranges based on external market data for the job's level. Internal organization and peer data at Penn are also considered.
**Equal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**Special Requirements**
 Background checks may be required after a conditional job offer is made. Consideration of the background check will be tailored to the requirements of the job.
**University Benefits**
* Health, Life, and Flexible Spending Accounts: Penn offers comprehensive medical, prescription, behavioral health, dental, vision, and life insurance benefits to protect you and your family's health and welfare. You can also use flexible spending accounts to pay for eligible health care and dependent care expenses with pre\-tax dollars.
* Tuition: Take advantage of Penn's exceptional tuition benefits. You, your spouse, and your dependent children can get tuition assistance here at Penn. Your dependent children are also eligible for tuition assistance at other institutions.
* Retirement: Penn offers generous retirement plans to help you save for your future. Penn's Basic, Matching, and Supplemental retirement plans allow you to save for retirement on a pre\-tax or Roth basis. Choose from a wide variety of investment options through TIAA and Vanguard.
* Time Away from Work: Penn provides you with a substantial amount of time away from work during the course of the year. This allows you to relax, take vacations, attend to personal affairs, recover from illness or injury, spend time with family\-whatever your personal needs may be.
* Long\-Term Care Insurance: In partnership with Genworth Financial, Penn offers faculty and staff (and your eligible family members) long\-term care insurance to help you cover some of the costs of long\-term care services received at home, in the community or in a nursing facility. If you apply when you're newly hired, you won't have to provide proof of good health or be subject to underwriting requirements. Eligible family members must always provide proof of good health and are subject to underwriting.
* Wellness and Work\-life Resources: Penn is committed to supporting our faculty and staff as they balance the competing demands of work and personal life. That's why we offer a wide variety of programs and resources to help you care for your health, your family, and your work\-life balance.
* Professional and Personal Development: Penn provides an array of resources to help you advance yourself personally and professionally.
* University Resources: As a member of the Penn community, you have access to a wide range of University resources as well as cultural and recreational activities. Take advantage of the University's libraries and athletic facilities, or visit our arboretum and art galleries. There's always something going on at Penn, whether it's a new exhibit at the Penn Museum, the latest music or theater presentation at the Annenberg Center, or the Penn Relays at Franklin Field to name just a few examples. As a member of the Penn community, you're right in the middle of the excitement\-and you and your family can enjoy many of these activities for free.
* Discounts and Special Services: From arts and entertainment to transportation and mortgages, you'll find great deals for University faculty and staff. Not only do Penn arts and cultural centers and museums offer free and discounted admission and memberships to faculty and staff. You can also enjoy substantial savings on other goods and services such as new cars from Ford and General Motors, cellular phone service plans, movie tickets, and admission to theme parks.
* Flexible Work Hours: Flexible work options offer creative approaches for completing work while promoting balance between work and personal commitments. These approaches involve use of non\-traditional work hours, locations, and/or job structures.
* Penn Home Ownership Services: Penn offers a forgivable loan for eligible employees interested in buying a home or currently residing in West Philadelphia, which can be used for closing costs or home improvements.
* Adoption Assistance: Penn will reimburse eligible employees on qualified expenses in connection with the legal adoption of an eligible child, such as travel or court fees, for up to two adoptions in your household.
 To learn more, please visit: https://www.hr.upenn.edu/PennHR/benefits\-pay
*Equal Employment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**To apply, visit https://wd1\.myworkdaysite.com/en\-US/recruiting/upenn/careers\-at\-penn/job/Huntsman\-Hall/Senior\-Data\-Scientist\-\-Wharton\-Graduate\-Division\_JR00110272\-1**
 Copyright ©2025 Jobelephant.com Inc. All rights reserved.
 Posted by the FREE value\-added recruitment advertising agency
 jeid\-dad59c6d5a1fc749bd919a01c7e1101a</t>
        </is>
      </c>
    </row>
    <row r="110">
      <c r="A110" t="inlineStr">
        <is>
          <t>li-4330503056</t>
        </is>
      </c>
      <c r="B110" t="inlineStr">
        <is>
          <t>Senior Data Scientist</t>
        </is>
      </c>
      <c r="C110" t="inlineStr">
        <is>
          <t>Publicis Collective</t>
        </is>
      </c>
      <c r="D110" t="inlineStr">
        <is>
          <t>linkedin</t>
        </is>
      </c>
      <c r="E110">
        <f>HYPERLINK("https://www.linkedin.com/jobs/view/4330503056", "https://www.linkedin.com/jobs/view/4330503056")</f>
        <v/>
      </c>
      <c r="F110" t="inlineStr"/>
      <c r="G110" t="inlineStr">
        <is>
          <t>Birmingham, MI</t>
        </is>
      </c>
      <c r="H110" t="inlineStr"/>
      <c r="I110" t="inlineStr">
        <is>
          <t>**Company Description**
 As the traditional marketing funnel collapses and fragmentation increases, clients rely on Publicis Collective to connect media, data, technology, and teams by what matters most – business outcomes. We’re a full\-service media agency where nearly half our experts focus on data, research, analytics, technology, or strategy. At Publicis Collective, 100% of our 2,200 global practitioners can access advanced insights and scale media with precision through our proprietary OS, powering marketing that drives measurable business performance and transformation.
**Overview**
 You will work very closely with planning, audience strategy and analytics teams to help them solve marketing problems. They also contribute crucial intellectual capital to the data science team by sharing knowledge and designing models and Data Science solutions based on their clients’ business needs and using data to tell great stories. A Manager will also help formulate a vision for their accounts and bring that vision to life.
**Responsibilities**
 As such, a manager is a mentor, project manager, and thought leader, all at the same time. Day\-to\-day responsibilities include:
* Design, estimate, tune, score and maintain advanced statistical and mathematical models (e.g. classification, numeric forecasts, customer segmentation, customer propensity, attribution, etc.).
* Produce accurate statistical analysis and ensure high quality of the data analysis produced.
* Interpret, document and present/communicate analytical results to multiple business disciplines, providing conclusions and recommendations.
* Take analytical objectives and define data requirements. Extract, clean, and transform both customer level, and aggregated data for analysis, modelling, segmentation and reporting.
**Qualifications**
* 3\+ years of work experience in quantitative analysis with proven results in leveraging customer/transaction to address business objectives
* Strong knowledge of Relational Databases and SQL programming.
* Highly proficient in at least one popular programming language used for Machine Learning, such as Python or R.
* Solid understanding of mathematical modeling, probability and statistics, and the design and simulation of stochastic systems.
* Familiarity with the mathematics behind important statistical learning algorithms such as ARIMA, Linear Regression,
* Logistic Regression, Centroid\-based and Hierarchical Clustering, Principal Component Analysis (PCA), Decision
* Trees/Random Forest, Bayesian Inference, Markov Chain Monte\-Carlo (MCMC).
* Familiarity with common advanced marketing analytics solutions such as Customer Segmentation, Marketing Mix
* Modeling (MMM), Multi\-touch Attribution (MTA)
* Familiarity with the capabilities and mechanics of a broad range of advertising media channels, such as Television,
* Radio, Print, Search, Display, Email, Ecommerce, and Social.
* Familiarity with the capabilities and mechanics of a broad range of marketing measurements and technologies such as Ad Servers, DSP, DMPs, CRMs, and Syndicated Research.
* Strong communication skills. Ability to speak and write professionally. Ability and comfort with presenting work by phone or within small groups.
**Additional Information**
 Our Publicis Groupe motto “Viva La Différence” means we’re better together, and we believe that our differences make us stronger. It means we honor and celebrate all identities, across all facets of intersectionality, and it underpins all that we do as an organization. We are focused on fostering belonging and creating equitable \&amp; inclusive experiences for all talent.
 Publicis Groupe provides robust and inclusive benefit programs and policies to support the evolving and diverse needs of our talent and enable every person to grow and thrive. Our benefits package includes medical coverage, dental, vision, disability, 401K, as well as parental and family care leave, family forming assistance, tuition reimbursement, and flexible time off.
 If you require accommodation or assistance with the application or onboarding process specifically, please contact USMSTACompliance@publicis.com.
 Compensation Range: $77,000 \- $86,000 annually.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Temporary roles may be eligible to participate in our freelancer/temporary employee medical plan through a third\-party benefits administration system once certain criteria have been met. Temporary roles may also qualify for participation in our 401(k) plan after eligibility criteria have been met. For regular roles, the Company will offer medical coverage, dental, vision, disability, 401k, and paid time off. The Company anticipates the application deadline for this job posting will be 02/16/2026\.
 All your information will be kept confidential according to EEO guidelines.</t>
        </is>
      </c>
    </row>
    <row r="111">
      <c r="A111" t="inlineStr">
        <is>
          <t>li-4365870495</t>
        </is>
      </c>
      <c r="B111" t="inlineStr">
        <is>
          <t>Senior Data Scientist</t>
        </is>
      </c>
      <c r="C111" t="inlineStr">
        <is>
          <t>TransUnion</t>
        </is>
      </c>
      <c r="D111" t="inlineStr">
        <is>
          <t>linkedin</t>
        </is>
      </c>
      <c r="E111">
        <f>HYPERLINK("https://www.linkedin.com/jobs/view/4365870495", "https://www.linkedin.com/jobs/view/4365870495")</f>
        <v/>
      </c>
      <c r="F111" t="inlineStr"/>
      <c r="G111" t="inlineStr">
        <is>
          <t>Chicago, IL</t>
        </is>
      </c>
      <c r="H111" t="inlineStr"/>
      <c r="I111" t="inlineStr">
        <is>
          <t>TransUnion's Job Applicant Privacy Notice
 Personal Information We Collect
 Your Privacy Choices
**What We'll Bring**
 At TransUnion, we strive to build an environment where our associates are in the driver’s seat of their professional development, while having access to help along the way. We encourage everyone to pursue passions and take ownership of their careers. With the support of colleagues and mentors, our associates are given the tools needed to get where they want to go. Regardless of job titles, our associates have the opportunity to learn new things and be a leader every day.
 Come be a part of our team – you’ll work with great people, pioneering products and cutting\-edge technology.
**What You'll Bring**
* Graduate degree in statistics, applied mathematics, financial mathematics, computer science, engineering, operations research, or other highly quantitative field; or a bachelor’s degree in a quantitative field with at least three (3\) years of relevant professional experience. In either case, the candidate will demonstrate a consistent track record of academic excellence.
* Experience and demonstrated success in client\-facing roles over a period of at least one (1\) year as well as at least one (1\) year of professional experience performing analytic work, preferably in the Financial Services industry.
* Demonstrated interest in industries served by TransUnion, such as financial services, insurance, fraud, and digital marketing (e.g., through relevant internships).
* Strong analytical, critical thinking, and creative problem solving skills.
* Familiarity with and ability to program within and use Spark within an advanced technological framework such as GCP, Databricks or other similar systems; high level of familiarity with Microsoft Office tools.
* Expertise in all areas of Data Science and Predictive modeling with large datasets, ideally including familiarity with some flavors of AI or Deep Learning techniques.
* Versatile interpersonal and communication style with the ability to effectively communicate at multiple levels within and outside the organization; ability to work in a collaborative, fast\-paced environment; evidence of initiative\-taking.
* Strong project and time management skills with the ability to manage multiple assignments effectively.
* Interest in connecting Data Science to solving business problems around fraud in client\-facing consulting roles.
* Ability to travel up to 20%.
**What Love To See**
* Proven ability to operate effectively under modest supervision in a complex and dynamic, matrixed environment.
* Familiarity with credit bureau data and solutions.
* Familiarity with fraud particularly as it pertains to financial services or telecommunications industries.
**Impact You'll Make**
 This position is responsible for supporting the development of analytic solutions through consulting engagements for TransUnion’s clients primarily for fraud prevention but potentially across a broader array of applications including credit, insurance and marketing business applications. This position requires a general understanding of US financial services risk management practices and credit bureau data and solutions. Relevant aspects include how credit data are reported to credit bureaus, how credit data are leveraged for risk solutions, and some understanding of the relevancy of that data to fraud prevention within financial services. Additionally, a successful candidate will bring a perspective into how addressing fraud within the financial services industry might be broadened into other industries such as telecommunications.
* You will partner with internal and external cross\-functional teams to drive new business initiatives and deliver long term value\-added solutions to various TransUnion customers. These tasks will include –among others\- the development of predictive models and business intelligence solutions of moderate scope and complexity for individual customers within the various industries served by TransUnion.
* You will lead analytic client engagements involving descriptive, predictive, and prescriptive analysis, primarily for fraud business cases leveraging multiple analytic techniques with an emphasis on, but not limited to, predictive modeling and strategies for the concurrent use of multiple solutions. As a project leader, you will take ownership of analytic aspects of the project from design, to development, to customer presentation, review, and solution refinement.
* You will identify strategies and opportunities for customers and develop subject matter expertise to test and adopt custom analytic products to optimally provide anti\-fraud strategies and the ability to identify new fraud threats. In the context of these opportunities, you will interact directly with TransUnion Sales and business unit partners and provide an analytic perspective and general support as needed.
* You will design, write, and test programs for data extraction, segmentation, statistical analysis and other functionalities in the domain of data science on large population datasets using a modern technological stack.
* You will use opportunities to deliver analytic insights and recommendations as part of a broader mission to establish a reputation of TransUnion for excellence in technological capabilities and domain knowledge, highlighted by delivery of succinct and compelling presentations to internal and external customers representing a wide range of backgrounds and levels.
* You will foster a high\-performance culture and cultivate an environment that promotes excellence and reflects the TransUnion brand.
 TransUnion complies with all applicable immigration laws and regulations. The Company does not presently provide employer support or sponsorship for an immigration\-related employment benefit for this position. Applicants must be authorized to work in the United States on a full\-time basis without the need for employer support or sponsorship now or in the future.
 Qualified applicants with arrest or conviction records will be considered for employment in accordance with applicable law, including the Los Angeles County Fair Chance Ordinance for Employers, the San Francisco Fair Chance Ordinance, Fair Chance Initiative for Hiring Ordinance, and the California Fair Chance Act.
 Adherence to Company policies, sound judgment and trustworthiness, working safely, communicating respectfully, and safeguarding business operations, confidential and proprietary information, and the Company’s reputation are also essential expectations of this position.
 This is a hybrid position and involves regular performance of job responsibilities virtually as well as in\-person at an assigned TU office location for a minimum of two days a week.
**Benefits**
 TransUnion provides flexible benefits including flexible time off for exempt associates, paid time off for non\-exempt associates, up to 12 paid holidays per year, health benefits (including medical, dental, and vision plan options and health spending accounts), mental health support, disability benefits, up to 12 weeks of paid parental leave, adoption assistance, fertility planning coverage, legal benefits, long\-term care insurance, commuter benefits, tuition reimbursement, charity gift matching, employee stock purchase plan, 401(k) retirement savings with employer match, and access to TransUnion’s Employee Resource Groups. Spousal, domestic partner, and other eligible dependent coverage is available on select health and welfare plans.
 We are committed to being a place where diversity is not only present, it is embraced. As an equal opportunity employer, all qualified applicants will receive consideration for employment without regard to race, color, religion, sex, national origin, age, disability status, veteran status, genetic information, marital status, citizenship status, sexual orientation, gender identity or any other characteristic protected by law. Additionally, in accordance with Section 503 of the Rehabilitation Act of 1973 and the Vietnam Era Veterans’ Readjustment Assistance Act of 1974, TransUnion takes affirmative action to employ and advance in employment qualified individuals with a disability and protected veterans in all levels of employment and develops annual affirmative action plans. Components of TransUnion’s Affirmative Action Program for individuals with disabilities and protected veterans are available for review to any associate or applicant for employment upon request by contacting ERCoE@transunion.com.
**Pay Scale Information**
 The U.S. base salary range for this position is $72,300\.00 \- $105,000\.00 annually. \*The salary range for this position reflects a reasonable estimate of the range of compensation for this job. At TransUnion, actual compensation is based on careful consideration of additional factors such as (but not limited to) an individual’s education, training, work experience, job\-related skill set, location, and industry knowledge, as well as the scope and responsibilities of the position and market considerations.
 Regular, fulltime non\-sales positions may be eligible to participate in TransUnion’s annual bonus plan. Certain positions may be also eligible for long\-term incentives and other payments based on applicable company guidance and plan documents.
**TransUnion's Internal Job Title**
 Consultant, Data Analysis and Consulting
**Company**
 TransUnion LLC</t>
        </is>
      </c>
    </row>
    <row r="112">
      <c r="A112" t="inlineStr">
        <is>
          <t>li-4366320152</t>
        </is>
      </c>
      <c r="B112" t="inlineStr">
        <is>
          <t>Applied Scientist, AWS Applied AI Solutions</t>
        </is>
      </c>
      <c r="C112" t="inlineStr">
        <is>
          <t>Amazon Web Services (AWS)</t>
        </is>
      </c>
      <c r="D112" t="inlineStr">
        <is>
          <t>linkedin</t>
        </is>
      </c>
      <c r="E112">
        <f>HYPERLINK("https://www.linkedin.com/jobs/view/4366320152", "https://www.linkedin.com/jobs/view/4366320152")</f>
        <v/>
      </c>
      <c r="F112" t="inlineStr"/>
      <c r="G112" t="inlineStr">
        <is>
          <t>New York, United States</t>
        </is>
      </c>
      <c r="H112" t="inlineStr"/>
      <c r="I112" t="inlineStr">
        <is>
          <t>**Description**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
**Company** 
 \- Amazon Web Services, Inc.
 Job ID: A3166907</t>
        </is>
      </c>
    </row>
    <row r="113">
      <c r="A113" t="inlineStr">
        <is>
          <t>li-4374136453</t>
        </is>
      </c>
      <c r="B113" t="inlineStr">
        <is>
          <t>Senior Manager, Data Scientist</t>
        </is>
      </c>
      <c r="C113" t="inlineStr">
        <is>
          <t>Bristol Myers Squibb</t>
        </is>
      </c>
      <c r="D113" t="inlineStr">
        <is>
          <t>linkedin</t>
        </is>
      </c>
      <c r="E113">
        <f>HYPERLINK("https://www.linkedin.com/jobs/view/4374136453", "https://www.linkedin.com/jobs/view/4374136453")</f>
        <v/>
      </c>
      <c r="F113" t="inlineStr"/>
      <c r="G113" t="inlineStr">
        <is>
          <t>Princeton, NJ</t>
        </is>
      </c>
      <c r="H113" t="inlineStr"/>
      <c r="I113" t="inlineStr">
        <is>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
**Working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rich in diversity.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
**Senior Manager \- Biomarker Data Scientist**
**This is a new position** 
 . You will join a new cutting\-edge Drug Development Data Science and Biomarker team to advance the global drug development process. We are looking for candidates with strong computational, statistical, and biological capabilities with a demonstrated track record of translating complex data into testable hypotheses and experience modeling multimodal (clinical, omics, real\-world data) using the classical ML and Deep Learning algorithms. We are looking for hands\-on state\-of\-the\-art practitioners.
**What You'll Do**
* Develop and apply novel or existing computational methods for patient segmentation from multimodal clinical and omics datasets for various treatment modalities in partnership with Translational, Clinical and Statistical Scientists
* Partner with lead and protocol statisticians in writing, reviewing and executing protocols and statistical analysis plans (SAP) for biomarkers and diagnostics, highlighting the biomarker strategy for clinical drug development
* Execute biomarker analyses on datasets from BMS clinical trials and real\-world data cohorts
* Perform relevant and innovative statistical analyses of high\-dimensional (e.g. gene expression, sequencing) data generated by cutting edge technologies
* Execute and contribute to the scientific and statistical strategy of drug development, including development of predictive biomarker(s) and precision medicine
* Optimize and validate biomarker assays for clinical trial usage.
* Develop, implement, and apply state\-of\-the\-art algorithms to address key business problems and drive the implementation of innovative statistical methods in support of biomarker strategy
* Formulate, implement, test, and validate predictive models and implement efficient automated processes for producing modeling results at scale.
* Responsible for collaborating with cross\-functional teams, including but not limited to clinicians, data scientists, translational medicine scientists, statisticians, and IT professionals.
* Manage and coordinate resources to produce quality deliverables within timelines for competing priorities.
**Key Requirements**
* Ph.D. in a relevant quantitative field (i.e. Computational Biology, Biostatistics, Statistics, Computer Science, etc.) and 1\+ years of academic/industry experience or Master's Degree in a relevant quantitative field and 3\+ years of industry experience
* Strong experience in the analysis of data generated by one or more \-omics or molecular assays is required
* Knowledge of molecular biology, understanding of disease pathways are preferred
* Strong experience in biomarker data analysis with data generated from clinical trials, or electronic health records
* Experience in modeling methods particularly in their application to pharma R\&amp;D Experience in the application of AI/ML, and proficient in SQL, Python, and R and cloud platforms
* Experience developing statistical and machine learning models on high dimensional and high throughput data for time to event data and longitudinal outcomes
* Perspective in leveraging innovative approaches to expedite drug development and address the complexities of emerging data
* Ability to work both independently and collaboratively, and to handle several concurrent, fast\-paced projects.
* Strong problem\-solving and collaboration skills, and rigorous and creative thinking.
* Excellent communication, data presentation, and visualization skills.
* Capable of establishing strong working relationships across the organization
 If you come across a role that intrigues you but doesn't perfectly line up with your resume, we encourage you to apply anyway. You could be one step away from work that will transform your life and career.
 If you come across a role that intrigues you but doesn't perfectly line up with your resume, we encourage you to apply anyway. You could be one step away from work that will transform your life and career.
**Compensation Overview**
 Cambridge Crossing $170,470 \- $206,567
 Princeton \- NJ \- US $148,230 \- $179,622
 Seattle \- WA $163,060 \- $197,585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https //careers.bms.com/life\-at\-bms/.
 Benefit offerings are subject to the terms and conditions of the applicable plans in effect at the time and may require enrollment. Our benefits include
* Health Coverage Medical, pharmacy, dental, and vision care.
* Wellbeing Support Programs such as BMS Well\-Being Account, BMS Living Life Better, and Employee Assistance Programs (EAP).
* Financial Well\-being and Protection 401(k) plan, short\- and long\-term disability, life insurance, accident insurance, supplemental health insurance, business travel protection, personal liability protection, identity theft benefit, legal support, and survivor support.
**Work\-life benefits include**
 Paid Time Off
* US Exempt Employees flexible time off (unlimited, with manager approval, 11 paid national holidays (not applicable to employees in Phoenix, AZ, Puerto Rico or Rayzebio employees)
* Phoenix, AZ, Puerto Rico and Rayzebio Exempt, Non\-Exempt, Hourly Employees 160 hours annual paid vacation for new hires with manager approval, 11 national holidays, and 3 optional holidays
 Based on eligibility\*, additional time off for employees may include unlimited paid sick time, up to 2 paid volunteer days per year, summer hours flexibility, leaves of absence for medical, personal, parental, caregiver, bereavement, and military needs and an annual Global Shutdown between Christmas and New Years Day.
 All global employees full and part\-time who are actively employed at and paid directly by BMS at the end of the calendar year are eligible to take advantage of the Global Shutdown.
* Eligibility Disclosure T he summer hours program is for United States (U.S.) office\-based employees due to the unique nature of their work. Summer hours are generally not available for field sales and manufacturing operations and may also be limited for the capability centers. Employees in remote\-by\-design or lab\-based roles may be eligible for summer hours, depending on the nature of their work, and should discuss eligibility with their manager. Employees covered under a collective bargaining agreement should consult that document to determine if they are eligible. Contractors, leased workers and other service providers are not eligible to participate in the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**Supporting People With Disabilities**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 Visit careers.bms.com/ eeo \-accessibility to access our complete Equal Employment Opportunity statement.
**Candidate Rights**
 BMS will consider for employment qualified applicants with arrest and conviction records, pursuant to applicable laws in your area.
 If you live in or expect to work from Los Angeles County if hired for this position, please visit this page for important additional information https //careers.bms.com/california\-residents/
**Data Protection**
 We will never request payments, financial information, or social security numbers during our application or recruitment process. Learn more about protecting yourself at https //careers.bms.com/fraud\-protection .
 Any data processed in connection with role applications will be treated in accordance with applicable data privacy policies and regulations.
 If you believe that the job posting is missing information required by local law or incorrect in any way, please contact BMS at TAEnablement@bms.com . Please provide the Job Title and Requisition number so we can review. Communications related to your application should not be sent to this email and you will not receive a response. Inquiries related to the status of your application should be directed to Chat with Ripley.
 R1599041 Senior Manager, Data Scientist</t>
        </is>
      </c>
    </row>
    <row r="114">
      <c r="A114" t="inlineStr">
        <is>
          <t>li-4374140121</t>
        </is>
      </c>
      <c r="B114" t="inlineStr">
        <is>
          <t>Senior Manager, Data Scientist</t>
        </is>
      </c>
      <c r="C114" t="inlineStr">
        <is>
          <t>Bristol Myers Squibb</t>
        </is>
      </c>
      <c r="D114" t="inlineStr">
        <is>
          <t>linkedin</t>
        </is>
      </c>
      <c r="E114">
        <f>HYPERLINK("https://www.linkedin.com/jobs/view/4374140121", "https://www.linkedin.com/jobs/view/4374140121")</f>
        <v/>
      </c>
      <c r="F114">
        <f>HYPERLINK("https://tnl2.jometer.com/v2/job?jz=5tptp980d1302698ed9d969809edf6afea7f9XEADOAIAAABQ&amp;utm_source=Joveo_LinkedIn+Organic&amp;utm_campaign=R&amp;D_Research+&amp;+Development+-+US+2025&amp;source=jobboard_LinkedIn+Organic_auto&amp;source=LinkedIn_Slots&amp;urlHash=RGmx", "https://tnl2.jometer.com/v2/job?jz=5tptp980d1302698ed9d969809edf6afea7f9XEADOAIAAABQ&amp;utm_source=Joveo_LinkedIn+Organic&amp;utm_campaign=R&amp;D_Research+&amp;+Development+-+US+2025&amp;source=jobboard_LinkedIn+Organic_auto&amp;source=LinkedIn_Slots&amp;urlHash=RGmx")</f>
        <v/>
      </c>
      <c r="G114" t="inlineStr">
        <is>
          <t>Princeton, NJ</t>
        </is>
      </c>
      <c r="H114" t="inlineStr"/>
      <c r="I114" t="inlineStr">
        <is>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
**Working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rich in diversity.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
**Senior Manager \- Biomarker Data Scientist**
**This is a new position** 
 . You will join a new cutting\-edge Drug Development Data Science and Biomarker team to advance the global drug development process. We are looking for candidates with strong computational, statistical, and biological capabilities with a demonstrated track record of translating complex data into testable hypotheses and experience modeling multimodal (clinical, omics, real\-world data) using the classical ML and Deep Learning algorithms. We are looking for hands\-on state\-of\-the\-art practitioners.
**What You'll Do**
* Develop and apply novel or existing computational methods for patient segmentation from multimodal clinical and omics datasets for various treatment modalities in partnership with Translational, Clinical and Statistical Scientists
* Partner with lead and protocol statisticians in writing, reviewing and executing protocols and statistical analysis plans (SAP) for biomarkers and diagnostics, highlighting the biomarker strategy for clinical drug development
* Execute biomarker analyses on datasets from BMS clinical trials and real\-world data cohorts
* Perform relevant and innovative statistical analyses of high\-dimensional (e.g. gene expression, sequencing) data generated by cutting edge technologies
* Execute and contribute to the scientific and statistical strategy of drug development, including development of predictive biomarker(s) and precision medicine
* Optimize and validate biomarker assays for clinical trial usage.
* Develop, implement, and apply state\-of\-the\-art algorithms to address key business problems and drive the implementation of innovative statistical methods in support of biomarker strategy
* Formulate, implement, test, and validate predictive models and implement efficient automated processes for producing modeling results at scale.
* Responsible for collaborating with cross\-functional teams, including but not limited to clinicians, data scientists, translational medicine scientists, statisticians, and IT professionals.
* Manage and coordinate resources to produce quality deliverables within timelines for competing priorities.
**Key Requirements**
* Ph.D. in a relevant quantitative field (i.e. Computational Biology, Biostatistics, Statistics, Computer Science, etc.) and 1\+ years of academic/industry experience or Master's Degree in a relevant quantitative field and 3\+ years of industry experience
* Strong experience in the analysis of data generated by one or more \-omics or molecular assays is required
* Knowledge of molecular biology, understanding of disease pathways are preferred
* Strong experience in biomarker data analysis with data generated from clinical trials, or electronic health records
* Experience in modeling methods particularly in their application to pharma R\&amp;D Experience in the application of AI/ML, and proficient in SQL, Python, and R and cloud platforms
* Experience developing statistical and machine learning models on high dimensional and high throughput data for time to event data and longitudinal outcomes
* Perspective in leveraging innovative approaches to expedite drug development and address the complexities of emerging data
* Ability to work both independently and collaboratively, and to handle several concurrent, fast\-paced projects.
* Strong problem\-solving and collaboration skills, and rigorous and creative thinking.
* Excellent communication, data presentation, and visualization skills.
* Capable of establishing strong working relationships across the organization
 If you come across a role that intrigues you but doesn't perfectly line up with your resume, we encourage you to apply anyway. You could be one step away from work that will transform your life and career.
 If you come across a role that intrigues you but doesn't perfectly line up with your resume, we encourage you to apply anyway. You could be one step away from work that will transform your life and career.
**Compensation Overview**
 Cambridge Crossing $170,470 \- $206,567
 Princeton \- NJ \- US $148,230 \- $179,622
 Seattle \- WA $163,060 \- $197,585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https //careers.bms.com/life\-at\-bms/.
 Benefit offerings are subject to the terms and conditions of the applicable plans in effect at the time and may require enrollment. Our benefits include
* Health Coverage Medical, pharmacy, dental, and vision care.
* Wellbeing Support Programs such as BMS Well\-Being Account, BMS Living Life Better, and Employee Assistance Programs (EAP).
* Financial Well\-being and Protection 401(k) plan, short\- and long\-term disability, life insurance, accident insurance, supplemental health insurance, business travel protection, personal liability protection, identity theft benefit, legal support, and survivor support.
**Work\-life benefits include**
 Paid Time Off
* US Exempt Employees flexible time off (unlimited, with manager approval, 11 paid national holidays (not applicable to employees in Phoenix, AZ, Puerto Rico or Rayzebio employees)
* Phoenix, AZ, Puerto Rico and Rayzebio Exempt, Non\-Exempt, Hourly Employees 160 hours annual paid vacation for new hires with manager approval, 11 national holidays, and 3 optional holidays
 Based on eligibility\*, additional time off for employees may include unlimited paid sick time, up to 2 paid volunteer days per year, summer hours flexibility, leaves of absence for medical, personal, parental, caregiver, bereavement, and military needs and an annual Global Shutdown between Christmas and New Years Day.
 All global employees full and part\-time who are actively employed at and paid directly by BMS at the end of the calendar year are eligible to take advantage of the Global Shutdown.
* Eligibility Disclosure T he summer hours program is for United States (U.S.) office\-based employees due to the unique nature of their work. Summer hours are generally not available for field sales and manufacturing operations and may also be limited for the capability centers. Employees in remote\-by\-design or lab\-based roles may be eligible for summer hours, depending on the nature of their work, and should discuss eligibility with their manager. Employees covered under a collective bargaining agreement should consult that document to determine if they are eligible. Contractors, leased workers and other service providers are not eligible to participate in the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**Supporting People With Disabilities**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 Visit careers.bms.com/ eeo \-accessibility to access our complete Equal Employment Opportunity statement.
**Candidate Rights**
 BMS will consider for employment qualified applicants with arrest and conviction records, pursuant to applicable laws in your area.
 If you live in or expect to work from Los Angeles County if hired for this position, please visit this page for important additional information https //careers.bms.com/california\-residents/
**Data Protection**
 We will never request payments, financial information, or social security numbers during our application or recruitment process. Learn more about protecting yourself at https //careers.bms.com/fraud\-protection .
 Any data processed in connection with role applications will be treated in accordance with applicable data privacy policies and regulations.
 If you believe that the job posting is missing information required by local law or incorrect in any way, please contact BMS at TAEnablement@bms.com . Please provide the Job Title and Requisition number so we can review. Communications related to your application should not be sent to this email and you will not receive a response. Inquiries related to the status of your application should be directed to Chat with Ripley.
 R1599041 Senior Manager, Data Scientist</t>
        </is>
      </c>
    </row>
    <row r="115">
      <c r="A115" t="inlineStr">
        <is>
          <t>li-4269544657</t>
        </is>
      </c>
      <c r="B115" t="inlineStr">
        <is>
          <t>Senior Data Scientist - NLP/LLM Specialist</t>
        </is>
      </c>
      <c r="C115" t="inlineStr">
        <is>
          <t>Allison Worldwide</t>
        </is>
      </c>
      <c r="D115" t="inlineStr">
        <is>
          <t>linkedin</t>
        </is>
      </c>
      <c r="E115">
        <f>HYPERLINK("https://www.linkedin.com/jobs/view/4269544657", "https://www.linkedin.com/jobs/view/4269544657")</f>
        <v/>
      </c>
      <c r="F115">
        <f>HYPERLINK("https://careers-allison.icims.com/jobs/6190/senior-data-scientist\u002d\u002d-nlp-llm-specialist/job?in_iframe=1&amp;mode=apply&amp;iis=LinkedIn&amp;iisn=LinkedIn&amp;urlHash=LeEC", "https://careers-allison.icims.com/jobs/6190/senior-data-scientist\u002d\u002d-nlp-llm-specialist/job?in_iframe=1&amp;mode=apply&amp;iis=LinkedIn&amp;iisn=LinkedIn&amp;urlHash=LeEC")</f>
        <v/>
      </c>
      <c r="G115" t="inlineStr">
        <is>
          <t>Chicago, IL</t>
        </is>
      </c>
      <c r="H115" t="inlineStr"/>
      <c r="I115" t="inlineStr">
        <is>
          <t>**About Us**
 We imagine the new. Inspire the next. And use the power of our creativity to help build up those around us.
 At Allison, we provide a limitless environment where you can build, create, and grow. Our openly collaborative and highly supportive culture is free from bureaucracy and red tape. With over 1,000 innovators from diverse backgrounds, we break new ground for world\-class clients across 50 global markets and dozens of industries. We believe in creating a space where everyone can freely express their opinions, share their ideas and dreams for the future, and be themselves.
 We foster an inclusive culture that attracts builders from all backgrounds who can envision new solutions and create outcomes that move our clients' businesses forward, while helping everyone on the team learn and grow together. Our shared ideal of the builder's mindset is limitless and available to everyone, and we push the boundaries to create new and innovative solutions for our clients and ourselves.
 We create lasting impact and relationships, and our culture fosters meaningful connections and friendships that last beyond the workplace. If you're ready to join a team that pushes you to be your best, supports you every step of the way, and celebrates your successes, welcome to Allison.
**Overview**
**About the Job**
 We are seeking an exceptional
 **Senior Data Scientist** 
 with deep expertise in Natural Language Processing and Large Language Models to join our consulting practice. You'll work directly with Fortune 500 clients to solve complex business challenges using state\-of\-the\-art AI technologies across diverse industries.
**Ideal Candidate Profile**
 You combine academic rigor with practical engineering skills and exceptional client communication abilities. You will work end\-to\-end from project initiation through client delivery, comfortable both building sophisticated algorithms and presenting findings directly to clients. You excel at automating repetitive tasks and developing reusable frameworks that scale across multiple engagements. You should be comfortable implementing cutting\-edge research while translating complex technical concepts into actionable business strategies. Strong presentation skills and the ability to build trust with senior executives are essential.
**Responsibilities**
* Lead client workshops and discovery sessions to identify NLP opportunities
* Develop and present technical proposals to C\-level executives
* Manage multiple client projects simultaneously while maintaining quality and timelines
* Design and implement novel NLP solutions for complex business problems
* Architect scalable solutions for processing and analyzing large text corpora
* Build custom language models tailored to each client's unique industry challenges
* Automate repetitive analytical tasks and develop reusable algorithmic frameworks
* Mentor junior data scientists and provide technical guidance on NLP projects
* Develop automated content analysis, document processing, and customer insight systems
* Create scalable text analytics platforms that drive measurable business outcomes
* Work across retail, finance, healthcare, and media sectors
* Translate complex AI capabilities into clear business value propositions
**Technical Environment**
* Languages: Python (primary), R, SQL, potentially C\+\+ for optimization
* ML Frameworks: PyTorch, TensorFlow, Hugging Face Transformers
* Infrastructure: Kubernetes, Docker, cloud platforms (AWS/GCP/Azure)
* Tools: MLflow, Weights \&amp; Biases, Apache Airflow, Spark, Vector databases
**Required**
**Qualifications**
* PhD in Computer Science, Computational Linguistics, Statistics, Mathematics, Economics, Econometrics, or related quantitative field
* Minimum 5 years of professional experience in data science, machine learning, or related roles
* Advanced NLP expertise: Deep understanding of transformer architectures, attention mechanisms, and modern NLP techniques
* Large Language Model proficiency: Hands\-on experience with LLM fine\-tuning, prompt engineering, RLHF, and deployment at scale
* Programming mastery: Expert\-level Python, with strong knowledge of PyTorch/TensorFlow, Hugging Face ecosystem
* MLOps \&amp; Infrastructure: Experience with model deployment, monitoring, and scaling in production environments
* Experience writing production code and ensuring well\-managed software delivery
* Experience with foundation models (GPT, BERT, T5, LLaMA, etc.)
* Knowledge of retrieval\-augmented generation (RAG) systems
* Understanding of model compression techniques (quantization, distillation, pruning)
* Experience with evaluation metrics and benchmarking for language models
**Preferred**
* Experience in consulting or client\-facing technical roles
* Knowledge of specialized domains (healthcare NLP, legal AI, financial text analysis)
* Cloud platform expertise (AWS SageMaker, Google Cloud AI, Azure ML)
* Open\-source contributions to major ML/NLP libraries
**Benefits**
* Hybrid work environment with home and office schedule (2\+ days in office per week) and work from anywhere weeks
* Comprehensive health benefits (healthcare, vision, dental, pet, home, and auto insurance)
* Generous time off policies (unlimited paid time off, wellness days, national holidays, summer Fridays)
* Four\-week sabbatical every five consecutive years of employment
* Exceptional parental leave benefits
* Global mentorship and networking programs
* Monthly cell phone reimbursement
* 401k savings and employee stock purchase plan
* Volunteer hours (20 hours annually) for designated non\-profit partner and personal choice
* Globally driven inclusive initiatives (Employee Advocacy Groups, equity committee)
* Career growth opportunities, such as Allison University (multi\-day customized trainings for each level)
**Equal Opportunities**
 Our mission is to create a positive and entrepreneurial environment where talented people thrive on creativity. We celebrate inclusivity and are committed to providing an inclusive environment for our employees. We do not tolerate discrimination or harassment of any kind and are committed to building an agency where everyone is welcome, and every voice is heard. We are proud to be an equal opportunity employer.
 In order to comply with equal pay and salary transparency laws in various locations, we believe the target range of base compensation in all locations within the United States for this role is $155k\-$240k. Actual compensation is influenced by a wide array of factors including but not limited to skill set, level of experience, and location.
 In addition to medical, dental and vision coverage, we offer a generous unlimited PTO plan, 401k program and comprehensive benefits plan. Additional perks and benefits include a month\-long sabbatical, active employee advocacy groups, globally driven inclusivity initiatives, wellness days, summer Fridays and learning and development programs for our employees.
 \#executive</t>
        </is>
      </c>
    </row>
    <row r="116">
      <c r="A116" t="inlineStr">
        <is>
          <t>li-4365917931</t>
        </is>
      </c>
      <c r="B116" t="inlineStr">
        <is>
          <t>Senior Data Scientist - Onsite</t>
        </is>
      </c>
      <c r="C116" t="inlineStr">
        <is>
          <t>Sundt Construction</t>
        </is>
      </c>
      <c r="D116" t="inlineStr">
        <is>
          <t>linkedin</t>
        </is>
      </c>
      <c r="E116">
        <f>HYPERLINK("https://www.linkedin.com/jobs/view/4365917931", "https://www.linkedin.com/jobs/view/4365917931")</f>
        <v/>
      </c>
      <c r="F116" t="inlineStr"/>
      <c r="G116" t="inlineStr">
        <is>
          <t>Tempe, AZ</t>
        </is>
      </c>
      <c r="H116" t="inlineStr"/>
      <c r="I116" t="inlineStr">
        <is>
          <t>**Job Description**
 As a 100% employee\-owned contractor, when you work at Sundt, you’re not just hiring on at a company, you’re joining a culture. Because everyone at Sundt is part owner, you’ll join a team of people who are deeply invested in their work. From apprentices to managers, we’re passionate about the details and deliberate in everything we do.
 At Sundt we focus on building long\-term prosperity for our clients, communities, and employee\-owners. We offer competitive pay, industry\-leading benefits including a 401k and employee stock ownership plan, incentive programs for craft and administrative employees as well as training that focuses on your personal and professional growth. We’re driven by skill, grit and purpose. Join us as we strive to be the most skilled builder in America.
**Job Summary**
 As a Senior Data Scientist, you will serve as the technical lead for designing, building, and operationalizing advanced analytics and machine learning (ML) solutions that drive business value across the organization. As the first Data Scientist on the team, this role will establish foundational data science and ML capabilities, including setting up development environments, defining standards, and implementing best practices. In this role, you will partner closely with business and operational leaders to apply hypothesis\-driven analysis, statistical modeling, and machine learning techniques to complex business problems, delivering actionable insights, analyses, and recommendations that directly support senior leadership decision\-making.
 This role requires close collaboration with the Al team, Data \&amp; Analytics (D\&amp;A) organization, and business stakeholders to translate complex business problems into scalable, data\-driven solutions. The ideal candidate combines strong statistical and machine learning expertise with practical engineering skills and the ability to communicate insights effectively to technical and non\-technical audiences. Continuous learning, experimentation, and innovation are essential to advancing maturity in this area.
**Key Responsibilities:**
* Design, build, evaluate, and iterate on statistical, machine learning, and Al models using appropriate techniques and rigorous validation methods.
* Design, develop, and deploy machine learning and advanced analytics solutions to solve complex business problems across the organization.
* Develop and maintain documentation for models, assumptions, methodologies, experiments, and results to support transparency, reuse, and long\-term sustainability.
* Ensure data privacy, security, and compliance requirements are met when developing and deploying analytical solutions.
* Establish, maintain, and own the data science and ML development environment, including tooling, libraries, workflows, and best practices within Databricks or other selected tooling.
* Influence stakeholders by clearly communicating insights, model outcomes, risks, and recommendations through visualizations, presentations, and storytelling.
* Lead and partner with the Al team and D\&amp;A organization to design end\-to\-end ML solutions, from data exploration and feature engineering to model training, deployment, and monitoring.
* Partner closely and provide technical direction to Data Engineers and Data Architects to ensure data availability, quality, scalability, and alignment with enterprise data standards.
* Perform exploratory data analysis, feature engineering, and large\-scale experimentation to identify trends, patterns, and predictive signals within enterprise datasets.
* Support the operationalization of models, including monitoring performance, managing model drift, and enabling retraining strategies.
* Translate business questions and operational needs into analytical strategies, modeling approaches, and measurable outcomes that support decision\-making.
**Minimum Job Requirements:**
* 3\+ years of hands\-on experience using Databricks or similar tooling for data science or machine learning workloads, including Spark\-based data processing.
* 6\-8\+ years of experience in data science, advanced analytics, or applied machine learning roles.
* Bachelor's degree in Data Science, Computer Science, Statistics, Mathematics, or a related field; or equivalent combination of education and experience.
* Demonstrated ability to own solutions end\-to\-end, from problem definition through deployment and ongoing optimization.
* Excellent verbal and written communication skills, with the ability to explain complex concepts to non\-technical audiences.
* Other preferred qualifications: Azure\-based data platforms, Mlflow, Git/GitHub, Azure DevOps, Cl/CD for ML (MLOps).
* Proven experience designing, deploying, and maintaining statistical and machine learning models in production environments.
* Strong analytical, problem\-solving, and critical\-thinking skills with attention to detail.
* Strong proficiency in Python and SOL for data analysis, modeling, and experimentation.
* Strong understanding of a wide range of statistical and machine learning techniques, with the ability to select appropriate approaches based on business and technical constraints.
 Note: Job Description is subject to change at any time and may include other duties as assigned.
**Physical Requirements:**
* May stoop, kneel, or bend, on an occasional basis
* Must be able to comply with all safety standards and procedures
* Required to use hands to grasp, lift, handle, carry or feel objects on a frequent basis
* Will interact with people and technology frequently during a shift/workday
* Will lift, push or pull objects up to 50Ibs on an occasional basis.
* Will sit, stand or walk short distances for up to the entire duration of a shift/workday.
* Will use telephone, computer system, email, and other electronic devices on a frequent basis to communicate with internal and external customers or vendors
 Equal Opportunity Employer Statement: Sundt is committed to the equal treatment of all employees, and/or applicants for employment, and prohibits discrimination based on race, religion, sex (including pregnancy), sexual orientation, gender identity, color, age, disability, national origin, covered veteran status, genetic information; or any other classification protected by applicable Federal, state, or local laws.
 Benefit list:
 Market Competitive Salary (paid weekly)
 Bonus Eligibility based on company, group, and individual performance
 Employee Stock Ownership Plan \&amp; 401K
 Industry Leading Health Coverage Starting Your First Day
 Flexible Time Off (FTO)
 Medical, Health Savings, and Wellness credits
 Flexible Spending Accounts
 Employee Assistance Program
 Workplace Wellness Programs
 Mental Health Program
 Life and Disability Insurance
 Employee\-Owner Perks
 Educational Assistance
 Sundt Foundation \- Charitable Employee\-Owner's program</t>
        </is>
      </c>
    </row>
    <row r="117">
      <c r="A117" t="inlineStr">
        <is>
          <t>li-4372866774</t>
        </is>
      </c>
      <c r="B117" t="inlineStr">
        <is>
          <t>Lead Data Scientist Personal Banking and Wealth Analytics Vice President</t>
        </is>
      </c>
      <c r="C117" t="inlineStr">
        <is>
          <t>Citi</t>
        </is>
      </c>
      <c r="D117" t="inlineStr">
        <is>
          <t>linkedin</t>
        </is>
      </c>
      <c r="E117">
        <f>HYPERLINK("https://www.linkedin.com/jobs/view/4372866774", "https://www.linkedin.com/jobs/view/4372866774")</f>
        <v/>
      </c>
      <c r="F117" t="inlineStr"/>
      <c r="G117" t="inlineStr">
        <is>
          <t>Irving, TX</t>
        </is>
      </c>
      <c r="H117" t="inlineStr"/>
      <c r="I117" t="inlineStr">
        <is>
          <t>The Lead Data Scientist is a seasoned professional role. Applies in\-depth disciplinary knowledge, contributing to the development of new techniques and the improvement of processes and work\-flow for the area or function. Integrates subject matter and industry expertise within a defined area. Requires in\-depth understanding of how areas collectively integrate within the sub\-function as well as coordinate and contribute to the objectives of the function and overall business. Evaluates moderately complex and variable issues with substantial potential impact, where development of an approach/taking of an action involves weighing various alternatives and balancing potentially conflicting situations using multiple sources of information. Requires good analytical skills in order to filter, prioritize and validate potentially complex and dynamic material from multiple sources. Strong communication and diplomacy skills are required. Regularly assumes informal/formal leadership role within teams. Involved in coaching and training of new recruits
**Responsibilities:**
* Designs and manages vector databases (e.g., FAISS, Pinecone, or similar) to support semantic search and contextual memory in AI agents.
* Collaborates with cross\-functional teams to integrate AI agents into business processes, enhancing automation, decision\-making, and user experience.
* Conducts advanced data analysis and visualization to extract actionable insights from structured and unstructured data sources.
* Stays current with emerging trends in generative AI, LLM orchestration, and agentic systems to continuously improve solution design.
* Develops complex data \&amp; analytical solutions using python, Pyspark, SQL to identify the compliance/regulation issues.
* Identifies the right data elements needed for the solution and able to distinguish the critical data element vs non\-critical data element.
* Develops and implement AI\-driven solutions using Python, PySpark, and LangChain, with a focus on retrieval\-augmented generation (RAG) architectures and agentic workflows.
* Leverages GCP Vertex AI, including Gemini models, to build scalable machine learning and generative AI applications.
* Conducts strategic data analysis, identifies insights and implications and make strategic recommendations, develops data displays that clearly communicate complex analysis.
* Mines and analyzes data from various banking platforms to drive optimization and improve data quality.
* Deliver analytics initiatives to address business problems with the ability to determine data required, assess time \&amp; effort required and establish a project plan.
* Consults with business clients to determine system functional specifications. Applies comprehensive understanding of how multiple areas collectively integrate to contribute towards achieving business objectives.
* Consults with users and clients to solve complex system issues/problems through in\-depth evaluation of business processes, systems and industry standards; recommends solutions.
* Assists system change process from requirements through implementation; provides user and operational support of application to business users.
* Assists in the formulation and definition systems scope and objectives for complex projects through research and fact\-finding combined with an understanding of applicable business systems and industry standards.
* Communicates with the business directly by ensuring the quality of work provided by self and others; impacts own team and closely related work teams.
* Considers the business implications of the application of technology to the current business environment; identifies and communicates risks and impacts.
* Communicate between business leaders and IT exhibiting sound and comprehensive communication and diplomacy skills to exchange complex information.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 Performs other duties and functions as assigned.
**Qualifications:**
* 7\-10 years experience in technology or data science area
* 6\+ years in data science, machine learning, and AI system development preferred
* Experience using tools for statistical modeling of large data sets
* Strong proficiency in Python, PySpark, and LangChain, with a portfolio of projects involving RAG pipelines and agentic AI.
* Experience working with GCP Vertex AI, especially Gemini models, and deploying models in production environments preferred
* Familiarity with vector databases and their role in semantic search and memory for AI agents preferred
* Solid foundation in data analytics, including statistical modeling, data wrangling, and visualization.
* Ability to translate complex technical concepts into business value and communicate effectively with both technical and non\-technical stakeholders.
* Strong knowledge in data engineering and data base concepts, able to identify right data elements needed for the solution.
* Financial services industry work experience preferred
* Experience designing and deploying solutions using Python, Pyspark, generative AI and (or) agentic AI frameworks, with a deep understanding of modern data analytics pipelines preferred
* Ability to effectively use complex analytical, interpretive and problem solving techniques.
* Demonstrated interpersonal, verbal and written communication skills.
* Methodical attention to detail
**Education:**
* Bachelor’s/University degree or equivalent experience, potentially Masters degree
 \-\-\-\-\-\-\-\-\-\-\-\-\-\-\-\-\-\-\-\-\-\-\-\-\-\-\-\-\-\-\-\-\-\-\-\-\-\-\-\-\-\-\-\-\-\-\-\-\-\-\-\-\-\-
**Job Family Group:**
 Risk Management
 \-\-\-\-\-\-\-\-\-\-\-\-\-\-\-\-\-\-\-\-\-\-\-\-\-\-\-\-\-\-\-\-\-\-\-\-\-\-\-\-\-\-\-\-\-\-\-\-\-\-\-\-\-\-
**Job Family:**
 Model Development and Analytics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**Most Relevant Skills**
 Analytical Thinking, Business Acumen, Constructive Debate, Data Analysis, Escalation Management, Policy and Procedure, Policy and Regulation, Risk Controls and Monitors, Risk Identification and Assessment, Statistics.
 \-\-\-\-\-\-\-\-\-\-\-\-\-\-\-\-\-\-\-\-\-\-\-\-\-\-\-\-\-\-\-\-\-\-\-\-\-\-\-\-\-\-\-\-\-\-\-\-\-\-\-\-\-\-
**Other Relevant Skills**
 For complementary skills, please see above and/or contact the recruiter.
 \-\-\-\-\-\-\-\-\-\-\-\-\-\-\-\-\-\-\-\-\-\-\-\-\-\-\-\-\-\-\-\-\-\-\-\-\-\-\-\-\-\-\-\-\-\-\-\-\-\-\-\-\-\-
**Anticipated Posting Close Date:**
 Mar 29, 2026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row>
    <row r="118">
      <c r="A118" t="inlineStr">
        <is>
          <t>li-4366329000</t>
        </is>
      </c>
      <c r="B118" t="inlineStr">
        <is>
          <t>Applied Scientist , TSI Science</t>
        </is>
      </c>
      <c r="C118" t="inlineStr">
        <is>
          <t>Amazon</t>
        </is>
      </c>
      <c r="D118" t="inlineStr">
        <is>
          <t>linkedin</t>
        </is>
      </c>
      <c r="E118">
        <f>HYPERLINK("https://www.linkedin.com/jobs/view/4366329000", "https://www.linkedin.com/jobs/view/4366329000")</f>
        <v/>
      </c>
      <c r="F118" t="inlineStr"/>
      <c r="G118" t="inlineStr">
        <is>
          <t>Seattle, WA</t>
        </is>
      </c>
      <c r="H118" t="inlineStr"/>
      <c r="I118" t="inlineStr">
        <is>
          <t>**Description**
 Do you want to join an innovative team of scientists who use machine learning and statistical techniques to help Amazon provide the best customer experience by preventing eCommerce fraud? Are you excited by the prospect of analyzing and modeling terabytes of data and creating state\-of\-the\-art algorithms to solve real world problems? Do you like to own end\-to\-end business problems/metrics and directly impact the profitability of the company? Do you enjoy collaborating in a diverse team environment?
 If yes, then you may be a great fit to join the Amazon Selling Partner Trust \&amp; Store Integrity Science Team. We are looking for a talented scientist who is passionate to build advanced machine learning systems that help manage the safety of millions of transactions every day and scale up our operation with automation.
 Key job responsibilities
 Innovate with the latest GenAI/LLM/VLM technology to build highly automated solutions for efficient risk evaluation and automated operations
 Design, develop and deploy end\-to\-end machine learning solutions in the Amazon production environment to create impactful business value
 Learn, explore and experiment with the latest machine learning advancements to create the best customer experience
 A day in the life
 You will be working within a dynamic, diverse, and supportive group of scientists who share your passion for innovation and excellence.
 You'll be working closely with business partners and engineering teams to create end\-to\-end scalable machine learning solutions that address real\-world problems. You will build scalable, efficient, and automated processes for large\-scale data analyses, model development, model validation, and model implementation.
 You will also be providing clear and compelling reports for your solutions and contributing to the ongoing innovation and knowledge\-sharing that are central to the team's success.
**Basic Qualifications**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Track record of leading large\-scale AI transformation projects, and strong publication record in top\-tier conferences/journals such as CVPR, NeuIPS, ICML, ACL, EMNLP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\- 142,800\.00 \- 193,200\.00 USD annually
**Company** 
 \- Amazon.com Services LLC
 Job ID: A3166928</t>
        </is>
      </c>
    </row>
    <row r="119">
      <c r="A119" t="inlineStr">
        <is>
          <t>li-4351287119</t>
        </is>
      </c>
      <c r="B119" t="inlineStr">
        <is>
          <t>Lead, Research Data Scientist - Cancer, Dr. Cullen lab</t>
        </is>
      </c>
      <c r="C119" t="inlineStr">
        <is>
          <t>Houston Methodist</t>
        </is>
      </c>
      <c r="D119" t="inlineStr">
        <is>
          <t>linkedin</t>
        </is>
      </c>
      <c r="E119">
        <f>HYPERLINK("https://www.linkedin.com/jobs/view/4351287119", "https://www.linkedin.com/jobs/view/4351287119")</f>
        <v/>
      </c>
      <c r="F119" t="inlineStr"/>
      <c r="G119" t="inlineStr">
        <is>
          <t>Houston, TX</t>
        </is>
      </c>
      <c r="H119" t="inlineStr"/>
      <c r="I119" t="inlineStr">
        <is>
          <t>Come lead with us at Houston Methodist Academic Institute
 At Houston Methodist, the Lead Research Data Scientist position is responsible for guiding and leading other members of the Center for Health Data Science and Analytics team in the best uses of data science and informatics development for providing a competitive advantage or addressing pressing research, clinical or business problems in Houston Methodist (HM) operations and care, as well as to effectively communicate informed conclusions and recommendations across an organization's leadership structure in consultation and with the guidance of the Director, Center for Health Data Science and Analytics (HDSA). In addition to performing the duties of a Sr Research Data Scientist, the Lead Research Data Scientist position will lead, mentor, and continually develop other members of the data\-science and analytic team. This position will demonstrate domain expertise and vast experience of application of (Machine Learning / Artificial Intelligence) (ML/AI) and other big data and data science concepts. The Lead Research Data Scientist position will examine, collate, quality control, manage, and analyze heterogenous data from multiple disparate sources (including complex data from medical imaging and physiological wave forms). This position will lead/co\-lead a data science/research/business team targeted at fulfilling the organization's needs to access and understand research, clinical, financial, operational, population health, social, behavior, and marketing data and lead members of the research data science team in these practices and processes. Under the guidance and direction of Director, Center for Health Data Science and Analytics (HDSA), The Lead Research Data Scientist position should leverage the information in HM enterprise data warehouse and electronic medical record as well as several other external sources made available and adhere to data definition standards set by the Hospital Data Governance committee.
**FLSA STATUS**
 Exempt
****QUALIFICATIONS****
**EDUCATION**
* Master’s degree in computer science, Clinical Informatics, Public Health Administration, Business Administration, or Data Science, or Engineering, or an MD with experience in Informatics and Statistics or related field
* PhD degree preferred
****EXPERIENCE****
* Seven years’ experience in health care data analytics and/or database management in a healthcare organization
* Advanced skill in fields of computer science or mathematics and applications, modeling, statistics, and analytics
* Experience with cloud computing and working with big\-data and common health care data models strongly preferred
**LICENSES AND CERTIFICATIONS**
****Required****
**Preferred**
* Credentials or experience working with AWS and/or i2b2 or other common clinical data models strongly preferred
* EPIC \- Certification (EPIC) Current Epic™ Certification or Proficiency in Clarity, Caboodle and Cogito preferred
****SKILLS AND ABILITIES****
* Demonstrates the skills and competencies necessary to safely perform the assigned job, determined through on\-going skills, competency assessments, and performance evaluations
* Sufficient proficiency in speaking, reading, and writing the English language necessary to perform the essential functions of this job, especially with regard to activities impacting patient or employee safety or security
* Ability to effectively communicate with patients, physicians, family members and co\-workers in a manner consistent with a customer service focus and application of positive language principles
* Demonstrated advanced proficiency in SQL, Python, R or other common data\-science tools and languages
* Strong research and business acumen
* Mastery in ability to communicate findings to internal and external business and IT leaders in a way that can influence how an organization approaches a business challenge
* Maintains current Human Subjects Research credentials as defined by the Houston Methodist Research Institute
****ESSENTIAL FUNCTIONS****
**PEOPLE ESSENTIAL FUNCTIONS**
* Manages multiple client/researcher relationships by leading the delivery of innovative strategies and solutions for our clients. Assigns projects to other data scientists.
* Oversees project progress and presents results to the stakeholders.
* Mentors and guides less experienced members of the data\-science and analytics teams in their development of skills and proficiencies to be more effective in their roles.
* Drives contributions towards improvement of department scores for employee engagement, i.e., peer\-to\-peer accountability.
****SERVICE ESSENTIAL FUNCTIONS****
* Leads the research data analytics insights across the hospital system.
* Leads/co\-leads a data science/research/business team targeted at fulfilling the organization’s needs to access and understand research, clinical, financial, operational, population health, social, behavior, and marketing data.
* Leads a portfolio of advanced and complex projects that require more experience and expertise. Assigns the execution of multiple, complex analytical plans and projects and leads lower\-level data scientists.
****QUALITY/SAFETY ESSENTIAL FUNCTIONS****
* Leads, as subject matter expert, on clinical data quality issues and assurance as well as patient privacy and data security and compliance.
* Oversees documenting the project requirements and results on a timely basis and reviews documentation and code submitted by lower\-level research data scientists.
* Facilitates quality improvement process evaluations to improve data research analytics. Reviews presentation ideas prior to being viewed by leadership.
****FINANCE ESSENTIAL FUNCTIONS****
* Provides guidance to HDSA leadership on strategic and infrastructural needs for the organization.
* Leads the continuous improvement of clinical and operational data and analytics.
****GROWTH/INNOVATION ESSENTIAL FUNCTIONS****
* Actively seeks out innovative solutions to the many challenges facing researchers in the clinical outcomes space and explores solutions to collaboration across and external to the institution. solutions with the clinicians, hospital administration, and other stakeholders.
* Translates the findings into implementable informatics solutions with the clinicians, hospital administration, and other stakeholders, leading assisting the Technical and Research Data Scientists with these tasks.
* Seeks opportunities to identify self\-development needs and takes appropriate action. Ensures own career discussions occur with appropriate management. Completes and updates the My Development Plan on an on\-going basis.
****SUPPLEMENTAL REQUIREMENTS****
**WORK ATTIRE**
* Uniform: No
* Scrubs: No
* Business professional: Yes
* Other (department approved): No
**ON\-CALL\***
* Note that employees may be required to be on\-call during emergencies (ie. Disaster, Severe Weather Events, etc) regardless of selection below.
* On Call\* No
**TRAVEL\*\***
* Travel specifications may vary by department\*\*
* May require travel within the Houston Metropolitan area No
* May require travel outside Houston Metropolitan area No
****QUALIFICATIONS****
**EDUCATION**
* Master’s degree in computer science, Clinical Informatics, Public Health Administration, Business Administration, or Data Science, or Engineering, or an MD with experience in Informatics and Statistics or related field
* PhD degree preferred
****EXPERIENCE****
* Seven years’ experience in health care data analytics and/or database management in a healthcare organization
* Advanced skill in fields of computer science or mathematics and applications, modeling, statistics, and analytics
* Experience with cloud computing and working with big\-data and common health care data models strongly preferred
**LICENSES AND CERTIFICATIONS**
****Preferred****
* Credentials or experience working with AWS and/or i2b2 or other common clinical data models strongly preferred
* EPIC \- Certification (EPIC) Current Epic™ Certification or Proficiency in Clarity, Caboodle and Cogito preferred
 Houston Methodist is an Equal Opportunity Employer.</t>
        </is>
      </c>
    </row>
    <row r="120">
      <c r="A120" t="inlineStr">
        <is>
          <t>li-4366319140</t>
        </is>
      </c>
      <c r="B120" t="inlineStr">
        <is>
          <t>Senior Applied Scientist, Amazon Industrial Robotics</t>
        </is>
      </c>
      <c r="C120" t="inlineStr">
        <is>
          <t>Amazon</t>
        </is>
      </c>
      <c r="D120" t="inlineStr">
        <is>
          <t>linkedin</t>
        </is>
      </c>
      <c r="E120">
        <f>HYPERLINK("https://www.linkedin.com/jobs/view/4366319140", "https://www.linkedin.com/jobs/view/4366319140")</f>
        <v/>
      </c>
      <c r="F120" t="inlineStr"/>
      <c r="G120" t="inlineStr">
        <is>
          <t>Middlesex County, MA</t>
        </is>
      </c>
      <c r="H120" t="inlineStr"/>
      <c r="I120" t="inlineStr">
        <is>
          <t>**Description**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dexterous manipulation system that:
* Enables unprecedented generalization across diverse tasks
* Enables contact\-rich manipulation in different environments
* Seamlessly integrates low\-level skills and high\-level behaviors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A day in the life
* Lead design and implementation of methods for Visual SLAM, navigation and spatial reasoning
* Leverage simulation and real\-world data collection to create large datasets for model development
* Develop a hierarchical system that combines low\-level control with high\-level planning
* Collaborate effectively with multi\-disciplinary teams to co\-design hardware and algorithms for dexterous manipulation
**Basic Qualifications**
* PhD, or Master's degree and 6\+ years of applied research experience
* Experience programming in Java, C\+\+, Python or related language
* High expertise and experience with state\-of\-the\-art in SLAM techniques
* Experience with data generation in simulation and real world
**Preferred Qualifications**
* Experience working effectively across cross\-functional teams and partnering well with people at all levels within an organization
* PhD in Robotics, with focus on SLAM
* Experience in robotic manipulation, LLM, VLA, MPC and RL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
**Company** 
 \- Amazon.com Services LLC
 Job ID: A3167164</t>
        </is>
      </c>
    </row>
    <row r="121">
      <c r="A121" t="inlineStr">
        <is>
          <t>li-4366311384</t>
        </is>
      </c>
      <c r="B121" t="inlineStr">
        <is>
          <t>Senior Applied Scientist, Amazon Industrial Robotics</t>
        </is>
      </c>
      <c r="C121" t="inlineStr">
        <is>
          <t>Amazon</t>
        </is>
      </c>
      <c r="D121" t="inlineStr">
        <is>
          <t>linkedin</t>
        </is>
      </c>
      <c r="E121">
        <f>HYPERLINK("https://www.linkedin.com/jobs/view/4366311384", "https://www.linkedin.com/jobs/view/4366311384")</f>
        <v/>
      </c>
      <c r="F121" t="inlineStr"/>
      <c r="G121" t="inlineStr">
        <is>
          <t>Middlesex County, MA</t>
        </is>
      </c>
      <c r="H121" t="inlineStr"/>
      <c r="I121" t="inlineStr">
        <is>
          <t>**Description**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dexterous manipulation system that:
* Enables unprecedented generalization across diverse tasks
* Enables contact\-rich manipulation in different environments
* Seamlessly integrates low\-level skills and high\-level behaviors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A day in the life
* Lead design and implementation of methods for Visual SLAM, navigation and spatial reasoning
* Leverage simulation and real\-world data collection to create large datasets for model development
* Develop a hierarchical system that combines low\-level control with high\-level planning
* Collaborate effectively with multi\-disciplinary teams to co\-design hardware and algorithms for dexterous manipulation
**Basic Qualifications**
* PhD, or Master's degree and 6\+ years of applied research experience
* Experience programming in Java, C\+\+, Python or related language
* High expertise and experience with state\-of\-the\-art in SLAM techniques
* Experience with data generation in simulation and real world
**Preferred Qualifications**
* Experience working effectively across cross\-functional teams and partnering well with people at all levels within an organization
* PhD in Robotics, with focus on SLAM
* Experience in robotic manipulation, LLM, VLA, MPC and RL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
**Company** 
 \- Amazon.com Services LLC
 Job ID: A3167164</t>
        </is>
      </c>
    </row>
    <row r="122">
      <c r="A122" t="inlineStr">
        <is>
          <t>li-4372863237</t>
        </is>
      </c>
      <c r="B122" t="inlineStr">
        <is>
          <t>Data Scientist - Epidemiologic Research, Python R SQL (Durational with Full Benefits)</t>
        </is>
      </c>
      <c r="C122" t="inlineStr">
        <is>
          <t>Jobs via Dice</t>
        </is>
      </c>
      <c r="D122" t="inlineStr">
        <is>
          <t>linkedin</t>
        </is>
      </c>
      <c r="E122">
        <f>HYPERLINK("https://www.linkedin.com/jobs/view/4372863237", "https://www.linkedin.com/jobs/view/4372863237")</f>
        <v/>
      </c>
      <c r="F122">
        <f>HYPERLINK("https://click.appcast.io/t/CU9xU9dSnIgkLXv8NmW3nBwLIfTljr8i0aOtu5-MeL4=&amp;urlHash=9kF2", "https://click.appcast.io/t/CU9xU9dSnIgkLXv8NmW3nBwLIfTljr8i0aOtu5-MeL4=&amp;urlHash=9kF2")</f>
        <v/>
      </c>
      <c r="G122" t="inlineStr">
        <is>
          <t>Pasadena, CA</t>
        </is>
      </c>
      <c r="H122" t="inlineStr"/>
      <c r="I122" t="inlineStr">
        <is>
          <t>**Job Summary:**
 In addition to the responsibilities listed below, this position is also responsible for programming in analytical programming languages (may include SAS, SQL, SPSS, R, Python, etc.), data management, quality control, and reporting for projects as appropriate; extracting, manipulating, and merging large databases to create analytical datasets; performing simple analytical tasks using SAS or other analytical tools; maintaining and troubleshooting software and programs; and implementing automated reporting and data loading schemes.
**Essential Responsibilities:**
* Pursues self\-development and effective relationships with others by sharing resources, information, and knowledge with coworkers and customers; listening, responding to, and seeking performance feedback; acknowledging strengths and weaknesses; assessing and responding to the needs of others; and adapting to and learning from change, difficulties, and feedback.
* Completes work assignments by applying up\-to\-date knowledge in subject area to meet deadlines; following procedures and policies and applying data, and resources to support projects or initiatives; collaborating with others, often cross\-functionally, to solve business problems; supporting the completion of priorities, deadlines, and expectations; communicating progress and information; identifying and recommending ways to address improvement opportunities when possible; and escalating issues or risks as appropriate.
* Assists with data analysis interpretation by organizing and editing reports and presentations telling a compelling story to stakeholders to enable and influence decision making.
* Supports data\-informed decisions under the guidance of more senior employees by working with clients to identify and clarify key business needs; assisting in the development of outcomes and process measures; translating business requirements; informing data/information needs and data collection methods; measuring the impact of business decisions on clients, customers, and/or members; working with clients and staff to identify opportunities and methods to improve efficiencies with analysis; supporting end\-users; and documenting processes and deliverables.
* Assists with data and information gathering for targeted variables in an established systematic fashion by cleaning and organizing data; querying, merging, and extracting data across sources; completing routine data refresh and update; and providing user support and documentation.
* Supports data preparation for analytic efforts under the guidance of more senior employees by cleaning data to ensure quality and accuracy based on provided guidelines; and consolidating data.
* Assists with the execution of creative data analytic approaches leading to actionable outcomes by organizing metrics to be analyzed and calculating algorithms and conducting basic analyses under the guidance of more senior employees, including descriptive statistics.
* Assists with the development, implementation, and automation of business and reporting solutions by creating summary statistics; organizing data reports, visualizations, and/or interactive Business Intelligence (BI) reports; identifying opportunities to improve exiting reporting solutions; and preparing documentation as appropriate.
**Minimum Qualifications:**
* Minimum one (1\) year experience programming with SAS, SQL, R or other similar analytical programming language.
* Bachelors degree in Mathematics, Statistics, Engineering, Social/Physical/Life Science, Business, or related field OR Minimum two (2\) years experience in data analytics or a directly related field.
**Additional Requirements:**
* Knowledge, Skills, and Abilities (KSAs): SAS Tools; SQL/SAS; Data Extraction; Data Mining; Data Visualization Tools; Statistical Programming Language; Relational Database Management; Project Management; Written Communication
**Preferred Qualifications:**
* One (1\) year relational database experience.
* One (1\) year experience working with data visualization tools.
* One (1\) year experience working with SQL.
* One (1\) year experience working with Open Source Tools (e g , R, Python).
**Primary Location:** 
 California,Pasadena,S. Los Robles Administration
**Scheduled Weekly Hours:** 
 40
**Shift:** 
 Day
**Workdays:** 
 Mon, Tue, Wed, Thu, Fri
**Working Hours Start:** 
 08:00 AM
**Working Hours End:** 
 05:00 PM
**Job Schedule:** 
 Full\-time
**Job Type:** 
 Standard
**Worker Location:** 
 Flexible
**Employee Status:** 
 Regular
**Employee Group/Union Affiliation:** 
 NUE\-SCAL\-01\|NUE\|Non Union Employee
**Job Level:** 
 Individual Contributor
**Department:** 
 Department of Research and Evaluation
**Pay Range:** 
 $85300 \- $110330 / year Kaiser Permanente is committed to pay equity and transparency. The posted pay range is based on possible base salaries for the role and does not include the value of our total rewards package. Actual pay determined at offer will be based on years of relevant work experience, education, certifications, skills and geographic location along with a review of current employees in similar roles to ensure that pay equity is achieved and maintained across Kaiser Permanente.
**Travel:** 
 Yes, 5 % of the Time
**Flexible:** 
 Work location is on\-site at a KP location, with the flexibility to work from home. Worker location must align with Kaiser Permanente's Authorized States policy. Kaiser Permanente is an equal opportunity employer committed to fair, respectful, and inclusive workplaces. Applicants will be considered for employment without regard to race, religion, sex, age, national origin, disability, veteran status, or any other protected characteristic or status.
 For jobs where work will be performed in unincorporated LA County, the employer provides the following statement in accordance with the Los Angeles County Fair Chance Ordinance. Criminal history may have a direct, adverse, and negative relationship on the following job duties, potentially resulting in the withdrawal of the conditional offer of employment:
* Consistently supports compliance and the Principles of Responsibility (Kaiser Permanente's Code of Conduct) by maintaining the privacy and confidentiality of information, protecting the assets of the organization, acting with ethics and integrity, reporting non\-compliance, and adhering to applicable federal, state, and local laws and regulations, accreditation, and licensure requirements (where applicable), and Kaiser Permanente's policies and procedures.
* Models and reinforces ethical behavior in self and others in accordance with the Principles of Responsibility, adheres to organizational policies and guidelines; supports compliance initiatives; maintains confidences; admits mistakes; conducts business with honesty, shows consistency in words and actions; follows through on commitments.
* Job duties with at least occasional or possible access to: (1\) patients, the general public, or other employees; (2\) confidential protected health information and other confidential KP information (including employee, proprietary, financial or trade secret information); (3\) KP property and assets, for example, electronic assets, medical instruments, or devices; (4\) controlled substances regulated by federal law or potentially subject to diversion.</t>
        </is>
      </c>
    </row>
    <row r="123">
      <c r="A123" t="inlineStr">
        <is>
          <t>li-4366319138</t>
        </is>
      </c>
      <c r="B123" t="inlineStr">
        <is>
          <t>Sr. Applied Scientist, Measurement, AdTech and Data Science , Performance Measurement</t>
        </is>
      </c>
      <c r="C123" t="inlineStr">
        <is>
          <t>Amazon</t>
        </is>
      </c>
      <c r="D123" t="inlineStr">
        <is>
          <t>linkedin</t>
        </is>
      </c>
      <c r="E123">
        <f>HYPERLINK("https://www.linkedin.com/jobs/view/4366319138", "https://www.linkedin.com/jobs/view/4366319138")</f>
        <v/>
      </c>
      <c r="F123" t="inlineStr"/>
      <c r="G123" t="inlineStr">
        <is>
          <t>Seattle, WA</t>
        </is>
      </c>
      <c r="H123" t="inlineStr"/>
      <c r="I123" t="inlineStr">
        <is>
          <t>**Description**
 The Ads Measurement Science team within Amazon Ads' Measurement, AdTech, and Data Science (MADS) organization
 serves a centralized role developing solutions for a multitude of performance measurement products to measure the full impact of advertiser spend, including both online and offline sales impacts across all timeframes. It delivers actionable insights for advertisers to optimize media portfolios. We also build science solutions for AI and AI\-powered tools that unlock new insights and automate high\-effort customer workflows for ad measurement, such as custom query and report generation based on natural language user requests. We leverage new technologies including Generative AI, machine learning, causal inference, natural Language Processing (NLP), and Computer Vision (CV) to drive these innovations.
 A key focus of this role is Modeled Attribution, Amazon's privacy\-compliant measurement system serving millions of advertisers and processing billions of events monthly across global marketplaces. We apply state\-of\-the\-art machine learning and GenAI techniques to generate accurate measurement when user identity is unavailable, representing Amazon's technical response to industry\-transforming privacy regulations and platform changes.
 As a Senior Applied Scientist (Applied Scientist III) on the team, you will lead the development of measurement solutions end\-to\-end from inception to production. You will define the technical vision for complex measurement initiatives that span multiple teams. You will drive scientific innovation at scale while influencing business and engineering strategies. You will propose, design, analyze, and productionize models to provide novel measurement insights to our customers.
 Key job responsibilities
* Innovate on state\-of\-the\-art ads measurement solutions leveraging artificial intelligence, causal inference, natural language processing, computer vision, and large language models
* Directly contribute to the end\-to\-end delivery of production solutions through careful designs and owning implementation of significant portions of critical\-path code
* Lead the decomposition of problems and development of roadmaps to execute on it
* Set an example for others with exemplary analyses; maintainable, extensible code; and simple, effective solutions
* Influence team business and engineering strategies
* Communicate clearly and effectively with stakeholders to drive alignment and build consensus on key initiatives
* Foster collaborations among scientists and engineers to move fast and broaden impact
* Actively engage in the development of others, both within and outside of the team
* Regularly engage with the broader science community with presentations, publications, and patents
**About The Team**
 We are a team of scientists across Applied, Research, Data Science and Economist disciplines. You will work with colleagues with deep expertise in ML, NLP, CV, Gen AI, and Causal Inference with a diverse range of backgrounds. We partner closely with top\-notch engineers, product managers, sales leaders, and other scientists with expertise in the ads industry and on building scalable modeling and software solutions.
**Basic Qualifications**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
**Company** 
 \- Amazon.com Services LLC
 Job ID: A3167249</t>
        </is>
      </c>
    </row>
    <row r="124">
      <c r="A124" t="inlineStr">
        <is>
          <t>li-4320193031</t>
        </is>
      </c>
      <c r="B124" t="inlineStr">
        <is>
          <t>Senior AI Engineer - Applied Scientist</t>
        </is>
      </c>
      <c r="C124" t="inlineStr">
        <is>
          <t>Forterra</t>
        </is>
      </c>
      <c r="D124" t="inlineStr">
        <is>
          <t>linkedin</t>
        </is>
      </c>
      <c r="E124">
        <f>HYPERLINK("https://www.linkedin.com/jobs/view/4320193031", "https://www.linkedin.com/jobs/view/4320193031")</f>
        <v/>
      </c>
      <c r="F124" t="inlineStr"/>
      <c r="G124" t="inlineStr">
        <is>
          <t>East Palo Alto, CA</t>
        </is>
      </c>
      <c r="H124" t="inlineStr"/>
      <c r="I124" t="inlineStr">
        <is>
          <t>**About Forterra**
 At Forterra, we are unleashing autonomy at scale to transform the battlefield. Our mission is to build the foundational platforms that enable an intelligent ecosystem to coordinate, adapt, and execute with speed and precision even in the uncertainty and disruption of modern conflict. In an era marked by rapid technological change and evolving threats, we design for flexibility, survivability, and operational dominance.
 Forterra delivers weapons, sensors, and battlefield effects through integrated autonomous networks reaching operational areas faster, safer, and without placing human lives at risk. Our systems operate with distributed control, dynamic routing, and real\-time responsiveness, enabling sustained advantage across complex mission environments.
**About The Role**
 We are seeking a Senior/Staff AI Engineer with deep expertise in generative modeling and multimodal AI systems. In this role, you will design and implement advanced models for understanding complex agent interactions in dynamic environments. You'll work on extending these capabilities toward vision\-language models and action\-aware systems, collaborating closely with research and engineering teams to bridge foundational representation learning with real\-world applications.
**What You'll Do**
* Develop neural network architectures for modeling sequential agent interactions using generative modeling approaches
* Implement Transformer\-based models that encode agent and contextual features with attention mechanisms for capturing interactions
* Research and integrate goal\-conditioned models that leverage structured representations before generating complete sequences
* Prototype and optimize learning models into lightweight modules suitable for real\-time inference
* Collaborate with cross\-functional teams to ensure seamless integration of models into the broader AI stack
* Benchmark and visualize model performance using real\-world and simulated datasets
* Optimize models for low\-latency inference and interpretability of output distributions
**Minimum Qualifications**
* Deep understanding of probabilistic generative models for sequential forecasting tasks
* Strong experience with Transformers and graph\-based modeling for complex relational data
* Familiarity with multimodal sensor processing and representation learning
* Proven ability to work with uncertainty quantification and latent variable inference
* Experience implementing models in PyTorch/TensorFlow and deploying them in production environments
* M.S. or Ph.D. in Computer Science, Machine Learning, Robotics, or related field
* 3\+ years of experience with sequential modeling, generative architectures, or forecasting systems
* Strong foundation in applied deep learning, especially variational inference and attention mechanisms
* Solid software engineering background with emphasis on clean, modular, and optimized implementations
**Preferred Qualifications**
* Publications or project experience in forecasting, agent modeling, or scene understanding
* Familiarity with graph\-based or vectorized representations of structured environments
* Experience with diffusion model optimization or goal\-conditioned decoding
* Contributions to open\-source frameworks related to generative modeling or sequential forecasting
* Interest in bridging high\-fidelity modeling with real\-time applications
 US Salary Range
 $145,000—$185,000
**Benefits**
 The salary range for this role is an estimate and is based on a wide variety of compensation factors. The salary offered to candidates will vary based on a variety of factors including (but not limited to) relevant work experience, education, specialized training, critical expertise, training, and more. Equity in Forterra is included in most of our full\-time, high\-demand roles and is therefore considered part of Forterra’s overall compensation package. In addition to base salary and equity, Forterra offers competitive benefits for full\-time employees including:
* Premium Healthcare Benefits: Three plan options, including an HSA\-eligible plan, with Forterra covering 80% of the plan premium for you and your dependents.
* Basic Life/AD\&amp;D, short and long\-term disability insurance plans 100% covered by Forterra, plus the option to purchase additional life insurance for you and your dependents.
* Extremely generous company holiday calendar including a winter break in December.
* Competitive paid time off (PTO) offering 20 days accrued per year.
* A minimum of 7 weeks fully paid parental leave for birth/adoption.
* A $9k annual tuition reimbursement or professional development stipend.
* Fully stocked beverage refrigerators with all the Celsius your little heart desires.
* 401(k) retirement savings plan, including traditional, Roth 401(k), and after\-tax deferral with company match up to 4%.
 Your recruiter will be able to share more information about our salary and benefits offering during the hiring process.
****CLEARANCE ELIGIBILITY \- This position may require eligibility to obtain and maintain a U.S. security clearance.****
 For more information about U.S. Security Clearances: click here.
 Forterra is an equal\-opportunity employer, providing and promoting equal employment opportunity in all personnel practices. Forterrans are unique, talented individuals who are united through a shared passion to deliver autonomous systems that enable national resilience and a robust supply chain.
 All qualified applicants will receive consideration for employment without regard to any factor, including veteran and disability status, and criminal history, in accordance with applicable local, state, and federal laws.
 Forterra is also committed to working with and providing reasonable accommodations to individuals with disabilities. Please let your recruiter know if you need an accommodation at any point during the interview process.
 To see Forterra’s candidate data privacy policy, please visit Forterra Legal \| Job Applicant Privacy Notice.
**The Pay Range For This Role Is**
 145,000 \- 185,000 USD per year (Palo Alto Office)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2026-02-17T19:51:32Z</dcterms:created>
  <dcterms:modified xsi:type="dcterms:W3CDTF">2026-02-17T19:51:32Z</dcterms:modified>
</cp:coreProperties>
</file>