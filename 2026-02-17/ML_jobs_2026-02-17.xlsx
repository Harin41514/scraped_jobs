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in-d4597831ef6fee4b</t>
        </is>
      </c>
      <c r="B2" t="inlineStr">
        <is>
          <t>Sr. Applied Scientist, Amazon Ads</t>
        </is>
      </c>
      <c r="C2" t="inlineStr">
        <is>
          <t>Amazon.com</t>
        </is>
      </c>
      <c r="D2" t="inlineStr">
        <is>
          <t>indeed</t>
        </is>
      </c>
      <c r="E2" t="inlineStr"/>
      <c r="F2" t="inlineStr"/>
      <c r="G2" t="inlineStr">
        <is>
          <t>Palo Alto, CA,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in-2c009fdab5dcd7c2</t>
        </is>
      </c>
      <c r="B3" t="inlineStr">
        <is>
          <t>Sr. Applied Scientist, Amazon Ads</t>
        </is>
      </c>
      <c r="C3" t="inlineStr">
        <is>
          <t>Amazon.com</t>
        </is>
      </c>
      <c r="D3" t="inlineStr">
        <is>
          <t>indeed</t>
        </is>
      </c>
      <c r="E3" t="inlineStr"/>
      <c r="F3" t="inlineStr"/>
      <c r="G3" t="inlineStr">
        <is>
          <t>Tukwila, WA,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in-0213348a1ba8cf4f</t>
        </is>
      </c>
      <c r="B4" t="inlineStr">
        <is>
          <t>Sr. Applied Scientist, Amazon Ads</t>
        </is>
      </c>
      <c r="C4" t="inlineStr">
        <is>
          <t>Amazon.com</t>
        </is>
      </c>
      <c r="D4" t="inlineStr">
        <is>
          <t>indeed</t>
        </is>
      </c>
      <c r="E4" t="inlineStr"/>
      <c r="F4" t="inlineStr"/>
      <c r="G4" t="inlineStr">
        <is>
          <t>Seattle, WA,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in-7b54c502f750622c</t>
        </is>
      </c>
      <c r="B5" t="inlineStr">
        <is>
          <t>Sr. Applied Scientist, Amazon Ads</t>
        </is>
      </c>
      <c r="C5" t="inlineStr">
        <is>
          <t>Amazon.com</t>
        </is>
      </c>
      <c r="D5" t="inlineStr">
        <is>
          <t>indeed</t>
        </is>
      </c>
      <c r="E5" t="inlineStr"/>
      <c r="F5" t="inlineStr"/>
      <c r="G5" t="inlineStr">
        <is>
          <t>Brooklyn, NY,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in-be93f3288cdb10a3</t>
        </is>
      </c>
      <c r="B6" t="inlineStr">
        <is>
          <t>Sr. Applied Scientist, Amazon Ads</t>
        </is>
      </c>
      <c r="C6" t="inlineStr">
        <is>
          <t>Amazon.com</t>
        </is>
      </c>
      <c r="D6" t="inlineStr">
        <is>
          <t>indeed</t>
        </is>
      </c>
      <c r="E6" t="inlineStr"/>
      <c r="F6" t="inlineStr"/>
      <c r="G6" t="inlineStr">
        <is>
          <t>Santa Monica, CA,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in-b1d86b5b07ae072d</t>
        </is>
      </c>
      <c r="B7" t="inlineStr">
        <is>
          <t>Sr. Applied Scientist, Amazon Ads</t>
        </is>
      </c>
      <c r="C7" t="inlineStr">
        <is>
          <t>Amazon.com</t>
        </is>
      </c>
      <c r="D7" t="inlineStr">
        <is>
          <t>indeed</t>
        </is>
      </c>
      <c r="E7" t="inlineStr"/>
      <c r="F7" t="inlineStr"/>
      <c r="G7" t="inlineStr">
        <is>
          <t>Corvallis, OR,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in-99553db6f5002305</t>
        </is>
      </c>
      <c r="B8" t="inlineStr">
        <is>
          <t>Sr. Applied Scientist, Amazon Ads</t>
        </is>
      </c>
      <c r="C8" t="inlineStr">
        <is>
          <t>Amazon.com</t>
        </is>
      </c>
      <c r="D8" t="inlineStr">
        <is>
          <t>indeed</t>
        </is>
      </c>
      <c r="E8" t="inlineStr"/>
      <c r="F8" t="inlineStr"/>
      <c r="G8" t="inlineStr">
        <is>
          <t>Sunnyvale, CA,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in-7d3299501027bb14</t>
        </is>
      </c>
      <c r="B9" t="inlineStr">
        <is>
          <t>Sr. Applied Scientist, Amazon Ads</t>
        </is>
      </c>
      <c r="C9" t="inlineStr">
        <is>
          <t>Amazon.com</t>
        </is>
      </c>
      <c r="D9" t="inlineStr">
        <is>
          <t>indeed</t>
        </is>
      </c>
      <c r="E9" t="inlineStr"/>
      <c r="F9" t="inlineStr"/>
      <c r="G9" t="inlineStr">
        <is>
          <t>Boulder, CO,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in-f2a6884af458cd7c</t>
        </is>
      </c>
      <c r="B10" t="inlineStr">
        <is>
          <t>Sr. Applied Scientist, Amazon Ads</t>
        </is>
      </c>
      <c r="C10" t="inlineStr">
        <is>
          <t>Amazon.com</t>
        </is>
      </c>
      <c r="D10" t="inlineStr">
        <is>
          <t>indeed</t>
        </is>
      </c>
      <c r="E10" t="inlineStr"/>
      <c r="F10" t="inlineStr"/>
      <c r="G10" t="inlineStr">
        <is>
          <t>New York, NY,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in-d1ce32eaea6c4d91</t>
        </is>
      </c>
      <c r="B11" t="inlineStr">
        <is>
          <t>Sr. Applied Scientist, Amazon Ads</t>
        </is>
      </c>
      <c r="C11" t="inlineStr">
        <is>
          <t>Amazon.com</t>
        </is>
      </c>
      <c r="D11" t="inlineStr">
        <is>
          <t>indeed</t>
        </is>
      </c>
      <c r="E11" t="inlineStr"/>
      <c r="F11" t="inlineStr"/>
      <c r="G11" t="inlineStr">
        <is>
          <t>Boston, MA,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in-31e7c307dc11bf88</t>
        </is>
      </c>
      <c r="B12" t="inlineStr">
        <is>
          <t>Sr. Applied Scientist, SPB Advertiser Guidance</t>
        </is>
      </c>
      <c r="C12" t="inlineStr">
        <is>
          <t>Amazon.com</t>
        </is>
      </c>
      <c r="D12" t="inlineStr">
        <is>
          <t>indeed</t>
        </is>
      </c>
      <c r="E12" t="inlineStr"/>
      <c r="F12" t="inlineStr"/>
      <c r="G12" t="inlineStr">
        <is>
          <t>New York, NY, US</t>
        </is>
      </c>
      <c r="H12" s="1" t="n">
        <v>45939</v>
      </c>
      <c r="I1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in-f5808def7f55a454</t>
        </is>
      </c>
      <c r="B13" t="inlineStr">
        <is>
          <t>Applied Scientist</t>
        </is>
      </c>
      <c r="C13" t="inlineStr">
        <is>
          <t>Amazon.com</t>
        </is>
      </c>
      <c r="D13" t="inlineStr">
        <is>
          <t>indeed</t>
        </is>
      </c>
      <c r="E13" t="inlineStr"/>
      <c r="F13" t="inlineStr"/>
      <c r="G13" t="inlineStr">
        <is>
          <t>New York, NY, US</t>
        </is>
      </c>
      <c r="H13" s="1" t="n">
        <v>45939</v>
      </c>
      <c r="I1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in-4907485b76674f61</t>
        </is>
      </c>
      <c r="B14" t="inlineStr">
        <is>
          <t>Sr. Applied Scientist, SPB Advertiser Guidance</t>
        </is>
      </c>
      <c r="C14" t="inlineStr">
        <is>
          <t>Amazon.com</t>
        </is>
      </c>
      <c r="D14" t="inlineStr">
        <is>
          <t>indeed</t>
        </is>
      </c>
      <c r="E14" t="inlineStr"/>
      <c r="F14" t="inlineStr"/>
      <c r="G14" t="inlineStr">
        <is>
          <t>Palo Alto, CA, US</t>
        </is>
      </c>
      <c r="H14" s="1" t="n">
        <v>45939</v>
      </c>
      <c r="I1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in-395c31e97fd54a9d</t>
        </is>
      </c>
      <c r="B15" t="inlineStr">
        <is>
          <t>Applied Scientist</t>
        </is>
      </c>
      <c r="C15" t="inlineStr">
        <is>
          <t>Amazon.com</t>
        </is>
      </c>
      <c r="D15" t="inlineStr">
        <is>
          <t>indeed</t>
        </is>
      </c>
      <c r="E15" t="inlineStr"/>
      <c r="F15" t="inlineStr"/>
      <c r="G15" t="inlineStr">
        <is>
          <t>Seattle, WA, US</t>
        </is>
      </c>
      <c r="H15" s="1" t="n">
        <v>45939</v>
      </c>
      <c r="I1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in-2aa3ab980dada3f7</t>
        </is>
      </c>
      <c r="B16" t="inlineStr">
        <is>
          <t>Sr. Applied Scientist, SPB Advertiser Guidance</t>
        </is>
      </c>
      <c r="C16" t="inlineStr">
        <is>
          <t>Amazon.com</t>
        </is>
      </c>
      <c r="D16" t="inlineStr">
        <is>
          <t>indeed</t>
        </is>
      </c>
      <c r="E16" t="inlineStr"/>
      <c r="F16" t="inlineStr"/>
      <c r="G16" t="inlineStr">
        <is>
          <t>Seattle, WA, US</t>
        </is>
      </c>
      <c r="H16" s="1" t="n">
        <v>45939</v>
      </c>
      <c r="I1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in-0502822a7929a83c</t>
        </is>
      </c>
      <c r="B17" t="inlineStr">
        <is>
          <t>Applied Scientist</t>
        </is>
      </c>
      <c r="C17" t="inlineStr">
        <is>
          <t>Amazon.com</t>
        </is>
      </c>
      <c r="D17" t="inlineStr">
        <is>
          <t>indeed</t>
        </is>
      </c>
      <c r="E17" t="inlineStr"/>
      <c r="F17" t="inlineStr"/>
      <c r="G17" t="inlineStr">
        <is>
          <t>Palo Alto, CA, US</t>
        </is>
      </c>
      <c r="H17" s="1" t="n">
        <v>45939</v>
      </c>
      <c r="I1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in-b88aae801851fd57</t>
        </is>
      </c>
      <c r="B18" t="inlineStr">
        <is>
          <t>Applied Scientist II, Prime Video - Personalization and Discovery Science, Personalization and Discovery Science</t>
        </is>
      </c>
      <c r="C18" t="inlineStr">
        <is>
          <t>Amazon.com</t>
        </is>
      </c>
      <c r="D18" t="inlineStr">
        <is>
          <t>indeed</t>
        </is>
      </c>
      <c r="E18" t="inlineStr"/>
      <c r="F18" t="inlineStr"/>
      <c r="G18" t="inlineStr">
        <is>
          <t>New York, NY, US</t>
        </is>
      </c>
      <c r="H18" s="1" t="n">
        <v>45930</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in-41f1543583cb3e55</t>
        </is>
      </c>
      <c r="B19" t="inlineStr">
        <is>
          <t>Applied Scientist II, Prime Video - Personalization and Discovery Science, Personalization and Discovery Science</t>
        </is>
      </c>
      <c r="C19" t="inlineStr">
        <is>
          <t>Amazon.com</t>
        </is>
      </c>
      <c r="D19" t="inlineStr">
        <is>
          <t>indeed</t>
        </is>
      </c>
      <c r="E19" t="inlineStr"/>
      <c r="F19" t="inlineStr"/>
      <c r="G19" t="inlineStr">
        <is>
          <t>Sunnyvale, CA, US</t>
        </is>
      </c>
      <c r="H19" s="1" t="n">
        <v>45930</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in-1869376af139a1d0</t>
        </is>
      </c>
      <c r="B20" t="inlineStr">
        <is>
          <t>Applied Scientist II, Prime Video - Personalization and Discovery Science, Personalization and Discovery Science</t>
        </is>
      </c>
      <c r="C20" t="inlineStr">
        <is>
          <t>Amazon.com</t>
        </is>
      </c>
      <c r="D20" t="inlineStr">
        <is>
          <t>indeed</t>
        </is>
      </c>
      <c r="E20" t="inlineStr"/>
      <c r="F20" t="inlineStr"/>
      <c r="G20" t="inlineStr">
        <is>
          <t>Seattle, WA, US</t>
        </is>
      </c>
      <c r="H20" s="1" t="n">
        <v>45930</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in-6bc014124ea9ca42</t>
        </is>
      </c>
      <c r="B21" t="inlineStr">
        <is>
          <t>Applied Scientist II, Prime Video - Personalization and Discovery Science</t>
        </is>
      </c>
      <c r="C21" t="inlineStr">
        <is>
          <t>Amazon.com</t>
        </is>
      </c>
      <c r="D21" t="inlineStr">
        <is>
          <t>indeed</t>
        </is>
      </c>
      <c r="E21" t="inlineStr"/>
      <c r="F21" t="inlineStr"/>
      <c r="G21" t="inlineStr">
        <is>
          <t>New York, NY, US</t>
        </is>
      </c>
      <c r="H21" s="1"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in-86def11c5c61994e</t>
        </is>
      </c>
      <c r="B22" t="inlineStr">
        <is>
          <t>Sr. Applied Scientist, Prime Video - Personalization and Discovery Science</t>
        </is>
      </c>
      <c r="C22" t="inlineStr">
        <is>
          <t>Amazon.com</t>
        </is>
      </c>
      <c r="D22" t="inlineStr">
        <is>
          <t>indeed</t>
        </is>
      </c>
      <c r="E22" t="inlineStr"/>
      <c r="F22" t="inlineStr"/>
      <c r="G22" t="inlineStr">
        <is>
          <t>Seattle, WA, US</t>
        </is>
      </c>
      <c r="H22" s="1"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in-f421826614f133f0</t>
        </is>
      </c>
      <c r="B23" t="inlineStr">
        <is>
          <t>Applied Scientist II, Prime Video - Personalization and Discovery Science</t>
        </is>
      </c>
      <c r="C23" t="inlineStr">
        <is>
          <t>Amazon.com</t>
        </is>
      </c>
      <c r="D23" t="inlineStr">
        <is>
          <t>indeed</t>
        </is>
      </c>
      <c r="E23" t="inlineStr"/>
      <c r="F23" t="inlineStr"/>
      <c r="G23" t="inlineStr">
        <is>
          <t>Sunnyvale, CA, US</t>
        </is>
      </c>
      <c r="H23" s="1"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in-f27bc33d343f4903</t>
        </is>
      </c>
      <c r="B24" t="inlineStr">
        <is>
          <t>Applied Scientist II, Prime Video - Personalization and Discovery Science</t>
        </is>
      </c>
      <c r="C24" t="inlineStr">
        <is>
          <t>Amazon.com</t>
        </is>
      </c>
      <c r="D24" t="inlineStr">
        <is>
          <t>indeed</t>
        </is>
      </c>
      <c r="E24" t="inlineStr"/>
      <c r="F24" t="inlineStr"/>
      <c r="G24" t="inlineStr">
        <is>
          <t>Seattle, WA, US</t>
        </is>
      </c>
      <c r="H24" s="1" t="n">
        <v>45881</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in-f72dc11f6c3be348</t>
        </is>
      </c>
      <c r="B25" t="inlineStr">
        <is>
          <t>Sr. Applied Scientist, Prime Video - Personalization and Discovery Science</t>
        </is>
      </c>
      <c r="C25" t="inlineStr">
        <is>
          <t>Amazon.com</t>
        </is>
      </c>
      <c r="D25" t="inlineStr">
        <is>
          <t>indeed</t>
        </is>
      </c>
      <c r="E25" t="inlineStr"/>
      <c r="F25" t="inlineStr"/>
      <c r="G25" t="inlineStr">
        <is>
          <t>Sunnyvale, CA, US</t>
        </is>
      </c>
      <c r="H25" s="1" t="n">
        <v>45881</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in-2d755f929fa4fdb7</t>
        </is>
      </c>
      <c r="B26" t="inlineStr">
        <is>
          <t>Sr. Applied Scientist, Prime Video - Personalization and Discovery Science</t>
        </is>
      </c>
      <c r="C26" t="inlineStr">
        <is>
          <t>Amazon.com</t>
        </is>
      </c>
      <c r="D26" t="inlineStr">
        <is>
          <t>indeed</t>
        </is>
      </c>
      <c r="E26" t="inlineStr"/>
      <c r="F26" t="inlineStr"/>
      <c r="G26" t="inlineStr">
        <is>
          <t>New York, NY, US</t>
        </is>
      </c>
      <c r="H26" s="1" t="n">
        <v>45881</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in-fb835d345c71a7fe</t>
        </is>
      </c>
      <c r="B27" t="inlineStr">
        <is>
          <t>Sr. Applied Scientist - SLAM, Amazon Industrial Robotics</t>
        </is>
      </c>
      <c r="C27" t="inlineStr">
        <is>
          <t>Amazon.com</t>
        </is>
      </c>
      <c r="D27" t="inlineStr">
        <is>
          <t>indeed</t>
        </is>
      </c>
      <c r="E27" t="inlineStr"/>
      <c r="F27" t="inlineStr"/>
      <c r="G27" t="inlineStr">
        <is>
          <t>Reading, MA, US</t>
        </is>
      </c>
      <c r="H27" s="1" t="n">
        <v>46050</v>
      </c>
      <c r="I27"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8">
      <c r="A28" t="inlineStr">
        <is>
          <t>in-82fa017488ce2f9a</t>
        </is>
      </c>
      <c r="B28" t="inlineStr">
        <is>
          <t>Sr. Applied Scientist - SLAM, Amazon Industrial Robotics</t>
        </is>
      </c>
      <c r="C28" t="inlineStr">
        <is>
          <t>Amazon.com</t>
        </is>
      </c>
      <c r="D28" t="inlineStr">
        <is>
          <t>indeed</t>
        </is>
      </c>
      <c r="E28" t="inlineStr"/>
      <c r="F28" t="inlineStr"/>
      <c r="G28" t="inlineStr">
        <is>
          <t>Reading, MA, US</t>
        </is>
      </c>
      <c r="H28" s="1" t="n">
        <v>46050</v>
      </c>
      <c r="I28"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9">
      <c r="A29" t="inlineStr">
        <is>
          <t>in-0e8c12aa9755214d</t>
        </is>
      </c>
      <c r="B29" t="inlineStr">
        <is>
          <t>Sr. Applied Scientist, Sponsored Products Off-Search Sourcing</t>
        </is>
      </c>
      <c r="C29" t="inlineStr">
        <is>
          <t>Amazon.com</t>
        </is>
      </c>
      <c r="D29" t="inlineStr">
        <is>
          <t>indeed</t>
        </is>
      </c>
      <c r="E29" t="inlineStr"/>
      <c r="F29" t="inlineStr"/>
      <c r="G29" t="inlineStr">
        <is>
          <t>New York, NY, US</t>
        </is>
      </c>
      <c r="H29" s="1" t="n">
        <v>46049</v>
      </c>
      <c r="I2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0">
      <c r="A30" t="inlineStr">
        <is>
          <t>in-0981619d74876b19</t>
        </is>
      </c>
      <c r="B30" t="inlineStr">
        <is>
          <t>Sr. Applied Scientist, Sponsored Products Off-Search Sourcing</t>
        </is>
      </c>
      <c r="C30" t="inlineStr">
        <is>
          <t>Amazon.com</t>
        </is>
      </c>
      <c r="D30" t="inlineStr">
        <is>
          <t>indeed</t>
        </is>
      </c>
      <c r="E30" t="inlineStr"/>
      <c r="F30" t="inlineStr"/>
      <c r="G30" t="inlineStr">
        <is>
          <t>Seattle, WA, US</t>
        </is>
      </c>
      <c r="H30" s="1" t="n">
        <v>46049</v>
      </c>
      <c r="I3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1">
      <c r="A31" t="inlineStr">
        <is>
          <t>in-e54c91bfa7e1772f</t>
        </is>
      </c>
      <c r="B31" t="inlineStr">
        <is>
          <t>Sr. Applied Scientist, Sponsored Products Off-Search Sourcing</t>
        </is>
      </c>
      <c r="C31" t="inlineStr">
        <is>
          <t>Amazon.com</t>
        </is>
      </c>
      <c r="D31" t="inlineStr">
        <is>
          <t>indeed</t>
        </is>
      </c>
      <c r="E31" t="inlineStr"/>
      <c r="F31" t="inlineStr"/>
      <c r="G31" t="inlineStr">
        <is>
          <t>Palo Alto, CA, US</t>
        </is>
      </c>
      <c r="H31" s="1" t="n">
        <v>46049</v>
      </c>
      <c r="I3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2">
      <c r="A32" t="inlineStr">
        <is>
          <t>in-7d77508c9b738e2c</t>
        </is>
      </c>
      <c r="B32" t="inlineStr">
        <is>
          <t>Principal Applied Scientist, AWS Science of Security</t>
        </is>
      </c>
      <c r="C32" t="inlineStr">
        <is>
          <t>Amazon.com</t>
        </is>
      </c>
      <c r="D32" t="inlineStr">
        <is>
          <t>indeed</t>
        </is>
      </c>
      <c r="E32" t="inlineStr"/>
      <c r="F32" t="inlineStr"/>
      <c r="G32" t="inlineStr">
        <is>
          <t>Arlington, VA, US</t>
        </is>
      </c>
      <c r="H32" s="1" t="n">
        <v>46049</v>
      </c>
      <c r="I32"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3">
      <c r="A33" t="inlineStr">
        <is>
          <t>in-bfab115a1223bf84</t>
        </is>
      </c>
      <c r="B33" t="inlineStr">
        <is>
          <t>Principal Applied Scientist, AWS Science of Security</t>
        </is>
      </c>
      <c r="C33" t="inlineStr">
        <is>
          <t>Amazon.com</t>
        </is>
      </c>
      <c r="D33" t="inlineStr">
        <is>
          <t>indeed</t>
        </is>
      </c>
      <c r="E33" t="inlineStr"/>
      <c r="F33" t="inlineStr"/>
      <c r="G33" t="inlineStr">
        <is>
          <t>Seattle, WA, US</t>
        </is>
      </c>
      <c r="H33" s="1" t="n">
        <v>46049</v>
      </c>
      <c r="I33"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4">
      <c r="A34" t="inlineStr">
        <is>
          <t>in-53cbdd50f1ed7f2e</t>
        </is>
      </c>
      <c r="B34" t="inlineStr">
        <is>
          <t>Principal Applied Scientist, AWS Science of Security</t>
        </is>
      </c>
      <c r="C34" t="inlineStr">
        <is>
          <t>Amazon.com</t>
        </is>
      </c>
      <c r="D34" t="inlineStr">
        <is>
          <t>indeed</t>
        </is>
      </c>
      <c r="E34" t="inlineStr"/>
      <c r="F34" t="inlineStr"/>
      <c r="G34" t="inlineStr">
        <is>
          <t>New York, NY, US</t>
        </is>
      </c>
      <c r="H34" s="1" t="n">
        <v>46049</v>
      </c>
      <c r="I34"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5">
      <c r="A35" t="inlineStr">
        <is>
          <t>in-782eeeb6175343f2</t>
        </is>
      </c>
      <c r="B35" t="inlineStr">
        <is>
          <t>Senior Applied Scientist, Amazon Industrial Robotics</t>
        </is>
      </c>
      <c r="C35" t="inlineStr">
        <is>
          <t>Amazon.com</t>
        </is>
      </c>
      <c r="D35" t="inlineStr">
        <is>
          <t>indeed</t>
        </is>
      </c>
      <c r="E35" t="inlineStr"/>
      <c r="F35" t="inlineStr"/>
      <c r="G35" t="inlineStr">
        <is>
          <t>Reading, MA, US</t>
        </is>
      </c>
      <c r="H35" s="1" t="n">
        <v>46048</v>
      </c>
      <c r="I3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6">
      <c r="A36" t="inlineStr">
        <is>
          <t>in-9ea2f80c666cd714</t>
        </is>
      </c>
      <c r="B36" t="inlineStr">
        <is>
          <t>Senior Applied Scientist, Amazon Industrial Robotics</t>
        </is>
      </c>
      <c r="C36" t="inlineStr">
        <is>
          <t>Amazon.com</t>
        </is>
      </c>
      <c r="D36" t="inlineStr">
        <is>
          <t>indeed</t>
        </is>
      </c>
      <c r="E36" t="inlineStr"/>
      <c r="F36" t="inlineStr"/>
      <c r="G36" t="inlineStr">
        <is>
          <t>Reading, MA, US</t>
        </is>
      </c>
      <c r="H36" s="1" t="n">
        <v>46048</v>
      </c>
      <c r="I3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7">
      <c r="A37" t="inlineStr">
        <is>
          <t>in-5e44afb287ad56fb</t>
        </is>
      </c>
      <c r="B37" t="inlineStr">
        <is>
          <t>Applied Scientist II, Prime Video Personalization and Discovery Science</t>
        </is>
      </c>
      <c r="C37" t="inlineStr">
        <is>
          <t>Amazon.com</t>
        </is>
      </c>
      <c r="D37" t="inlineStr">
        <is>
          <t>indeed</t>
        </is>
      </c>
      <c r="E37" t="inlineStr"/>
      <c r="F37" t="inlineStr"/>
      <c r="G37" t="inlineStr">
        <is>
          <t>Sunnyvale, CA, US</t>
        </is>
      </c>
      <c r="H37" s="1" t="n">
        <v>46047</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8">
      <c r="A38" t="inlineStr">
        <is>
          <t>in-40cf750bee202579</t>
        </is>
      </c>
      <c r="B38" t="inlineStr">
        <is>
          <t>Applied Scientist II, Prime Video Personalization and Discovery Science</t>
        </is>
      </c>
      <c r="C38" t="inlineStr">
        <is>
          <t>Amazon.com</t>
        </is>
      </c>
      <c r="D38" t="inlineStr">
        <is>
          <t>indeed</t>
        </is>
      </c>
      <c r="E38" t="inlineStr"/>
      <c r="F38" t="inlineStr"/>
      <c r="G38" t="inlineStr">
        <is>
          <t>New York, NY, US</t>
        </is>
      </c>
      <c r="H38" s="1" t="n">
        <v>46047</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9">
      <c r="A39" t="inlineStr">
        <is>
          <t>in-7f8d658d39014e91</t>
        </is>
      </c>
      <c r="B39" t="inlineStr">
        <is>
          <t>Applied Scientist, Amazon Connect</t>
        </is>
      </c>
      <c r="C39" t="inlineStr">
        <is>
          <t>Amazon Web Services</t>
        </is>
      </c>
      <c r="D39" t="inlineStr">
        <is>
          <t>indeed</t>
        </is>
      </c>
      <c r="E39" t="inlineStr"/>
      <c r="F39" t="inlineStr"/>
      <c r="G39" t="inlineStr">
        <is>
          <t>Seattle, WA, US</t>
        </is>
      </c>
      <c r="H39" s="1" t="n">
        <v>46047</v>
      </c>
      <c r="I39"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0">
      <c r="A40" t="inlineStr">
        <is>
          <t>in-ebb4469ccf09da5c</t>
        </is>
      </c>
      <c r="B40" t="inlineStr">
        <is>
          <t>Applied Scientist II, Prime Video Personalization and Discovery Science</t>
        </is>
      </c>
      <c r="C40" t="inlineStr">
        <is>
          <t>Amazon.com</t>
        </is>
      </c>
      <c r="D40" t="inlineStr">
        <is>
          <t>indeed</t>
        </is>
      </c>
      <c r="E40" t="inlineStr"/>
      <c r="F40" t="inlineStr"/>
      <c r="G40" t="inlineStr">
        <is>
          <t>Seattle, WA, US</t>
        </is>
      </c>
      <c r="H40" s="1" t="n">
        <v>46047</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1">
      <c r="A41" t="inlineStr">
        <is>
          <t>in-dc37b2c16103a3f9</t>
        </is>
      </c>
      <c r="B41" t="inlineStr">
        <is>
          <t>Applied Scientist, Amazon Connect</t>
        </is>
      </c>
      <c r="C41" t="inlineStr">
        <is>
          <t>Amazon Web Services</t>
        </is>
      </c>
      <c r="D41" t="inlineStr">
        <is>
          <t>indeed</t>
        </is>
      </c>
      <c r="E41" t="inlineStr"/>
      <c r="F41" t="inlineStr"/>
      <c r="G41" t="inlineStr">
        <is>
          <t>New York, NY, US</t>
        </is>
      </c>
      <c r="H41" s="1" t="n">
        <v>46047</v>
      </c>
      <c r="I4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2">
      <c r="A42" t="inlineStr">
        <is>
          <t>in-1e05e74b2f8dbd56</t>
        </is>
      </c>
      <c r="B42" t="inlineStr">
        <is>
          <t>Machine Learning Engineer, WWPS ProServe Data and Machine Learning</t>
        </is>
      </c>
      <c r="C42" t="inlineStr">
        <is>
          <t>Amazon Web Services</t>
        </is>
      </c>
      <c r="D42" t="inlineStr">
        <is>
          <t>indeed</t>
        </is>
      </c>
      <c r="E42" t="inlineStr"/>
      <c r="F42" t="inlineStr"/>
      <c r="G42" t="inlineStr">
        <is>
          <t>Herndon, VA, US</t>
        </is>
      </c>
      <c r="H42" s="1" t="n">
        <v>46043</v>
      </c>
      <c r="I42"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43">
      <c r="A43" t="inlineStr">
        <is>
          <t>in-da5e90b26cc08d07</t>
        </is>
      </c>
      <c r="B43" t="inlineStr">
        <is>
          <t>Machine Learning Engineer, WWPS ProServe Data and Machine Learning</t>
        </is>
      </c>
      <c r="C43" t="inlineStr">
        <is>
          <t>Amazon Web Services</t>
        </is>
      </c>
      <c r="D43" t="inlineStr">
        <is>
          <t>indeed</t>
        </is>
      </c>
      <c r="E43" t="inlineStr"/>
      <c r="F43" t="inlineStr"/>
      <c r="G43" t="inlineStr">
        <is>
          <t>Arlington, VA, US</t>
        </is>
      </c>
      <c r="H43" s="1" t="n">
        <v>46043</v>
      </c>
      <c r="I43"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44">
      <c r="A44" t="inlineStr">
        <is>
          <t>in-85e768e118be8c01</t>
        </is>
      </c>
      <c r="B44" t="inlineStr">
        <is>
          <t>Applied Scientist II, Amazon Industrial Robotics</t>
        </is>
      </c>
      <c r="C44" t="inlineStr">
        <is>
          <t>Amazon.com</t>
        </is>
      </c>
      <c r="D44" t="inlineStr">
        <is>
          <t>indeed</t>
        </is>
      </c>
      <c r="E44" t="inlineStr"/>
      <c r="F44" t="inlineStr"/>
      <c r="G44" t="inlineStr">
        <is>
          <t>Reading, MA, US</t>
        </is>
      </c>
      <c r="H44" s="1" t="n">
        <v>46043</v>
      </c>
      <c r="I4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 Design and implement methods for use of dexterous end effectors with force and tactile sensing
* Develop a hierarchical system that combines low\-level control with high\-level planning
* Utilize state\-of\-the\-art manipulation models and optimal control techniques
**BASIC QUALIFICATIONS**
------------------------
* PhD, or Master's degree and 4\+ years of CS, CE, ML or related field experience
* Experience with state\-of\-the\-art in robotic manipulation models
* Experience with data generation in simulation and real world
* Experience in developing techniques that utilize multi\-modal sensor data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45">
      <c r="A45" t="inlineStr">
        <is>
          <t>in-d7729444d80a5919</t>
        </is>
      </c>
      <c r="B45" t="inlineStr">
        <is>
          <t>Applied Scientist II, Amazon Industrial Robotics</t>
        </is>
      </c>
      <c r="C45" t="inlineStr">
        <is>
          <t>Amazon.com</t>
        </is>
      </c>
      <c r="D45" t="inlineStr">
        <is>
          <t>indeed</t>
        </is>
      </c>
      <c r="E45" t="inlineStr"/>
      <c r="F45" t="inlineStr"/>
      <c r="G45" t="inlineStr">
        <is>
          <t>Reading, MA, US</t>
        </is>
      </c>
      <c r="H45" s="1" t="n">
        <v>46043</v>
      </c>
      <c r="I4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 Design and implement methods for use of dexterous end effectors with force and tactile sensing
* Develop a hierarchical system that combines low\-level control with high\-level planning
* Utilize state\-of\-the\-art manipulation models and optimal control techniques
**BASIC QUALIFICATIONS**
------------------------
* PhD, or Master's degree and 4\+ years of CS, CE, ML or related field experience
* Experience with state\-of\-the\-art in robotic manipulation models
* Experience with data generation in simulation and real world
* Experience in developing techniques that utilize multi\-modal sensor data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46">
      <c r="A46" t="inlineStr">
        <is>
          <t>in-c1e32fd62a908389</t>
        </is>
      </c>
      <c r="B46" t="inlineStr">
        <is>
          <t>Applied Scientist, Safety ML</t>
        </is>
      </c>
      <c r="C46" t="inlineStr">
        <is>
          <t>Amazon.com</t>
        </is>
      </c>
      <c r="D46" t="inlineStr">
        <is>
          <t>indeed</t>
        </is>
      </c>
      <c r="E46" t="inlineStr"/>
      <c r="F46" t="inlineStr"/>
      <c r="G46" t="inlineStr">
        <is>
          <t>San Francisco, CA, US</t>
        </is>
      </c>
      <c r="H46" s="1" t="n">
        <v>46037</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7">
      <c r="A47" t="inlineStr">
        <is>
          <t>in-d873ab8057a2ae8e</t>
        </is>
      </c>
      <c r="B47" t="inlineStr">
        <is>
          <t>Applied Scientist, Safety ML</t>
        </is>
      </c>
      <c r="C47" t="inlineStr">
        <is>
          <t>Amazon.com</t>
        </is>
      </c>
      <c r="D47" t="inlineStr">
        <is>
          <t>indeed</t>
        </is>
      </c>
      <c r="E47" t="inlineStr"/>
      <c r="F47" t="inlineStr"/>
      <c r="G47" t="inlineStr">
        <is>
          <t>Seattle, WA, US</t>
        </is>
      </c>
      <c r="H47" s="1" t="n">
        <v>46037</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8">
      <c r="A48" t="inlineStr">
        <is>
          <t>in-f9c82b7e47286a97</t>
        </is>
      </c>
      <c r="B48" t="inlineStr">
        <is>
          <t>Applied Scientist, LLM Code Agents, Kiro Science</t>
        </is>
      </c>
      <c r="C48" t="inlineStr">
        <is>
          <t>Amazon.com</t>
        </is>
      </c>
      <c r="D48" t="inlineStr">
        <is>
          <t>indeed</t>
        </is>
      </c>
      <c r="E48" t="inlineStr"/>
      <c r="F48" t="inlineStr"/>
      <c r="G48" t="inlineStr">
        <is>
          <t>Santa Clara, CA, US</t>
        </is>
      </c>
      <c r="H48" s="1" t="n">
        <v>46035</v>
      </c>
      <c r="I4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49">
      <c r="A49" t="inlineStr">
        <is>
          <t>in-cb51d528cf32f7a1</t>
        </is>
      </c>
      <c r="B49" t="inlineStr">
        <is>
          <t>Applied Scientist, LLM Code Agents, Kiro Science</t>
        </is>
      </c>
      <c r="C49" t="inlineStr">
        <is>
          <t>Amazon.com</t>
        </is>
      </c>
      <c r="D49" t="inlineStr">
        <is>
          <t>indeed</t>
        </is>
      </c>
      <c r="E49" t="inlineStr"/>
      <c r="F49" t="inlineStr"/>
      <c r="G49" t="inlineStr">
        <is>
          <t>Seattle, WA, US</t>
        </is>
      </c>
      <c r="H49" s="1" t="n">
        <v>46035</v>
      </c>
      <c r="I4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0">
      <c r="A50" t="inlineStr">
        <is>
          <t>in-eaa6f1b7f8fd1798</t>
        </is>
      </c>
      <c r="B50" t="inlineStr">
        <is>
          <t>Applied Scientist II, Prime Video Personalization and Discovery Science</t>
        </is>
      </c>
      <c r="C50" t="inlineStr">
        <is>
          <t>Amazon.com</t>
        </is>
      </c>
      <c r="D50" t="inlineStr">
        <is>
          <t>indeed</t>
        </is>
      </c>
      <c r="E50" t="inlineStr"/>
      <c r="F50" t="inlineStr"/>
      <c r="G50" t="inlineStr">
        <is>
          <t>Sunnyvale, CA, US</t>
        </is>
      </c>
      <c r="H50" s="1" t="n">
        <v>46034</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1">
      <c r="A51" t="inlineStr">
        <is>
          <t>in-75b50a71c98931ea</t>
        </is>
      </c>
      <c r="B51" t="inlineStr">
        <is>
          <t>Applied Scientist II, Prime Video Personalization and Discovery Science</t>
        </is>
      </c>
      <c r="C51" t="inlineStr">
        <is>
          <t>Amazon.com</t>
        </is>
      </c>
      <c r="D51" t="inlineStr">
        <is>
          <t>indeed</t>
        </is>
      </c>
      <c r="E51" t="inlineStr"/>
      <c r="F51" t="inlineStr"/>
      <c r="G51" t="inlineStr">
        <is>
          <t>Seattle, WA, US</t>
        </is>
      </c>
      <c r="H51" s="1" t="n">
        <v>46034</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2">
      <c r="A52" t="inlineStr">
        <is>
          <t>in-4ec6f00404a6d969</t>
        </is>
      </c>
      <c r="B52" t="inlineStr">
        <is>
          <t>Applied Scientist, Alexa Smart Home</t>
        </is>
      </c>
      <c r="C52" t="inlineStr">
        <is>
          <t>Amazon.com</t>
        </is>
      </c>
      <c r="D52" t="inlineStr">
        <is>
          <t>indeed</t>
        </is>
      </c>
      <c r="E52" t="inlineStr"/>
      <c r="F52" t="inlineStr"/>
      <c r="G52" t="inlineStr">
        <is>
          <t>Sunnyvale, CA, US</t>
        </is>
      </c>
      <c r="H52" s="1" t="n">
        <v>46033</v>
      </c>
      <c r="I5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3">
      <c r="A53" t="inlineStr">
        <is>
          <t>in-d6ea86ca099bdd77</t>
        </is>
      </c>
      <c r="B53" t="inlineStr">
        <is>
          <t>Applied Scientist, Alexa Smart Home</t>
        </is>
      </c>
      <c r="C53" t="inlineStr">
        <is>
          <t>Amazon.com</t>
        </is>
      </c>
      <c r="D53" t="inlineStr">
        <is>
          <t>indeed</t>
        </is>
      </c>
      <c r="E53" t="inlineStr"/>
      <c r="F53" t="inlineStr"/>
      <c r="G53" t="inlineStr">
        <is>
          <t>Seattle, WA, US</t>
        </is>
      </c>
      <c r="H53" s="1" t="n">
        <v>46033</v>
      </c>
      <c r="I5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4">
      <c r="A54" t="inlineStr">
        <is>
          <t>in-1b0b181e01eefcc0</t>
        </is>
      </c>
      <c r="B54" t="inlineStr">
        <is>
          <t>Sr Applied Scientist, AWS Proactive Security</t>
        </is>
      </c>
      <c r="C54" t="inlineStr">
        <is>
          <t>Amazon.com</t>
        </is>
      </c>
      <c r="D54" t="inlineStr">
        <is>
          <t>indeed</t>
        </is>
      </c>
      <c r="E54" t="inlineStr"/>
      <c r="F54" t="inlineStr"/>
      <c r="G54" t="inlineStr">
        <is>
          <t>Arlington, VA, US</t>
        </is>
      </c>
      <c r="H54" s="1" t="n">
        <v>46030</v>
      </c>
      <c r="I5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55">
      <c r="A55" t="inlineStr">
        <is>
          <t>in-d3177bb79f614030</t>
        </is>
      </c>
      <c r="B55" t="inlineStr">
        <is>
          <t>Sr Applied Scientist, AWS Proactive Security</t>
        </is>
      </c>
      <c r="C55" t="inlineStr">
        <is>
          <t>Amazon.com</t>
        </is>
      </c>
      <c r="D55" t="inlineStr">
        <is>
          <t>indeed</t>
        </is>
      </c>
      <c r="E55" t="inlineStr"/>
      <c r="F55" t="inlineStr"/>
      <c r="G55" t="inlineStr">
        <is>
          <t>Sunnyvale, CA, US</t>
        </is>
      </c>
      <c r="H55" s="1" t="n">
        <v>46030</v>
      </c>
      <c r="I55"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56">
      <c r="A56" t="inlineStr">
        <is>
          <t>in-0c44803343763691</t>
        </is>
      </c>
      <c r="B56" t="inlineStr">
        <is>
          <t>Sr Applied Scientist, AWS Proactive Security</t>
        </is>
      </c>
      <c r="C56" t="inlineStr">
        <is>
          <t>Amazon.com</t>
        </is>
      </c>
      <c r="D56" t="inlineStr">
        <is>
          <t>indeed</t>
        </is>
      </c>
      <c r="E56" t="inlineStr"/>
      <c r="F56" t="inlineStr"/>
      <c r="G56" t="inlineStr">
        <is>
          <t>Herndon, VA, US</t>
        </is>
      </c>
      <c r="H56" s="1" t="n">
        <v>46030</v>
      </c>
      <c r="I56"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57">
      <c r="A57" t="inlineStr">
        <is>
          <t>in-7f6819ac5450e2ee</t>
        </is>
      </c>
      <c r="B57" t="inlineStr">
        <is>
          <t>Applied Scientist, AWS Applied AI Solutions</t>
        </is>
      </c>
      <c r="C57" t="inlineStr">
        <is>
          <t>Amazon Web Services</t>
        </is>
      </c>
      <c r="D57" t="inlineStr">
        <is>
          <t>indeed</t>
        </is>
      </c>
      <c r="E57" t="inlineStr"/>
      <c r="F57" t="inlineStr"/>
      <c r="G57" t="inlineStr">
        <is>
          <t>New York, NY, US</t>
        </is>
      </c>
      <c r="H57" s="1" t="n">
        <v>46030</v>
      </c>
      <c r="I57"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8">
      <c r="A58" t="inlineStr">
        <is>
          <t>in-f7776705cf04571e</t>
        </is>
      </c>
      <c r="B58" t="inlineStr">
        <is>
          <t>Applied Scientist, AWS Applied AI Solutions</t>
        </is>
      </c>
      <c r="C58" t="inlineStr">
        <is>
          <t>Amazon Web Services</t>
        </is>
      </c>
      <c r="D58" t="inlineStr">
        <is>
          <t>indeed</t>
        </is>
      </c>
      <c r="E58" t="inlineStr"/>
      <c r="F58" t="inlineStr"/>
      <c r="G58" t="inlineStr">
        <is>
          <t>Seattle, WA, US</t>
        </is>
      </c>
      <c r="H58" s="1" t="n">
        <v>46030</v>
      </c>
      <c r="I58"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9">
      <c r="A59" t="inlineStr">
        <is>
          <t>in-d50f542cd49f21f4</t>
        </is>
      </c>
      <c r="B59" t="inlineStr">
        <is>
          <t>Senior Applied Scientist, Amazon Industrial Robotics</t>
        </is>
      </c>
      <c r="C59" t="inlineStr">
        <is>
          <t>Amazon.com</t>
        </is>
      </c>
      <c r="D59" t="inlineStr">
        <is>
          <t>indeed</t>
        </is>
      </c>
      <c r="E59" t="inlineStr"/>
      <c r="F59" t="inlineStr"/>
      <c r="G59" t="inlineStr">
        <is>
          <t>Reading, MA, US</t>
        </is>
      </c>
      <c r="H59" s="1" t="n">
        <v>46027</v>
      </c>
      <c r="I5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A day in the life  
* Lead design and implementation of methods for Visual SLAM, navigation and spatial reasoning
* Leverage simulation and real\-world data collection to create large datasets for model development
* Develop a hierarchical system that combines low\-level control with high\-level planning
* Collaborate effectively with multi\-disciplinary teams to co\-design hardware and algorithms for dexterous manipulation
**BASIC QUALIFICATIONS**
------------------------
* PhD, or Master's degree and 6\+ years of applied research experience
* Experience programming in Java, C\+\+, Python or related language
* High expertise and experience with state\-of\-the\-art in SLAM techniques
* Experience with data generation in simulation and real world
**PREFERRED QUALIFICATIONS**
----------------------------
* Experience working effectively across cross\-functional teams and partnering well with people at all levels within an organization
* PhD in Robotics, with focus on SLAM
* Experience in robotic manipulation, LLM, VLA, MPC and RL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60">
      <c r="A60" t="inlineStr">
        <is>
          <t>in-a7e59af23c4c9caa</t>
        </is>
      </c>
      <c r="B60" t="inlineStr">
        <is>
          <t>Senior Applied Scientist, Amazon Industrial Robotics</t>
        </is>
      </c>
      <c r="C60" t="inlineStr">
        <is>
          <t>Amazon.com</t>
        </is>
      </c>
      <c r="D60" t="inlineStr">
        <is>
          <t>indeed</t>
        </is>
      </c>
      <c r="E60" t="inlineStr"/>
      <c r="F60" t="inlineStr"/>
      <c r="G60" t="inlineStr">
        <is>
          <t>Reading, MA, US</t>
        </is>
      </c>
      <c r="H60" s="1" t="n">
        <v>46027</v>
      </c>
      <c r="I6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A day in the life  
* Lead design and implementation of methods for Visual SLAM, navigation and spatial reasoning
* Leverage simulation and real\-world data collection to create large datasets for model development
* Develop a hierarchical system that combines low\-level control with high\-level planning
* Collaborate effectively with multi\-disciplinary teams to co\-design hardware and algorithms for dexterous manipulation
**BASIC QUALIFICATIONS**
------------------------
* PhD, or Master's degree and 6\+ years of applied research experience
* Experience programming in Java, C\+\+, Python or related language
* High expertise and experience with state\-of\-the\-art in SLAM techniques
* Experience with data generation in simulation and real world
**PREFERRED QUALIFICATIONS**
----------------------------
* Experience working effectively across cross\-functional teams and partnering well with people at all levels within an organization
* PhD in Robotics, with focus on SLAM
* Experience in robotic manipulation, LLM, VLA, MPC and RL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61">
      <c r="A61" t="inlineStr">
        <is>
          <t>in-c98d53ed42528101</t>
        </is>
      </c>
      <c r="B61" t="inlineStr">
        <is>
          <t>Senior Applied Scientist, Dexterous Manipulation , Amazon Industrial Robotics</t>
        </is>
      </c>
      <c r="C61" t="inlineStr">
        <is>
          <t>Amazon.com</t>
        </is>
      </c>
      <c r="D61" t="inlineStr">
        <is>
          <t>indeed</t>
        </is>
      </c>
      <c r="E61" t="inlineStr"/>
      <c r="F61" t="inlineStr"/>
      <c r="G61" t="inlineStr">
        <is>
          <t>Reading, MA, US</t>
        </is>
      </c>
      <c r="H61" s="1" t="n">
        <v>46027</v>
      </c>
      <c r="I6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62">
      <c r="A62" t="inlineStr">
        <is>
          <t>in-db0886cdc8b33140</t>
        </is>
      </c>
      <c r="B62" t="inlineStr">
        <is>
          <t>Applied Scientist, Last Mile Delivery Automation</t>
        </is>
      </c>
      <c r="C62" t="inlineStr">
        <is>
          <t>Amazon.com</t>
        </is>
      </c>
      <c r="D62" t="inlineStr">
        <is>
          <t>indeed</t>
        </is>
      </c>
      <c r="E62" t="inlineStr"/>
      <c r="F62" t="inlineStr"/>
      <c r="G62" t="inlineStr">
        <is>
          <t>Santa Clara, CA, US</t>
        </is>
      </c>
      <c r="H62" s="1" t="n">
        <v>46026</v>
      </c>
      <c r="I6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in-8cd3dab4351c3e7c</t>
        </is>
      </c>
      <c r="B63" t="inlineStr">
        <is>
          <t>Applied Scientist, Last Mile Delivery Automation</t>
        </is>
      </c>
      <c r="C63" t="inlineStr">
        <is>
          <t>Amazon.com</t>
        </is>
      </c>
      <c r="D63" t="inlineStr">
        <is>
          <t>indeed</t>
        </is>
      </c>
      <c r="E63" t="inlineStr"/>
      <c r="F63" t="inlineStr"/>
      <c r="G63" t="inlineStr">
        <is>
          <t>Bellevue, WA, US</t>
        </is>
      </c>
      <c r="H63" s="1" t="n">
        <v>46026</v>
      </c>
      <c r="I6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in-e9997054f188ba7a</t>
        </is>
      </c>
      <c r="B64" t="inlineStr">
        <is>
          <t>Senior Applied Scientist, Sponsored Products and Brands, Off-Search</t>
        </is>
      </c>
      <c r="C64" t="inlineStr">
        <is>
          <t>Amazon.com</t>
        </is>
      </c>
      <c r="D64" t="inlineStr">
        <is>
          <t>indeed</t>
        </is>
      </c>
      <c r="E64" t="inlineStr"/>
      <c r="F64" t="inlineStr"/>
      <c r="G64" t="inlineStr">
        <is>
          <t>New York, NY, US</t>
        </is>
      </c>
      <c r="H64" s="1" t="n">
        <v>46017</v>
      </c>
      <c r="I64"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in-5dfef6a128297dd8</t>
        </is>
      </c>
      <c r="B65" t="inlineStr">
        <is>
          <t>Senior Applied Scientist, Sponsored Products and Brands, Off-Search</t>
        </is>
      </c>
      <c r="C65" t="inlineStr">
        <is>
          <t>Amazon.com</t>
        </is>
      </c>
      <c r="D65" t="inlineStr">
        <is>
          <t>indeed</t>
        </is>
      </c>
      <c r="E65" t="inlineStr"/>
      <c r="F65" t="inlineStr"/>
      <c r="G65" t="inlineStr">
        <is>
          <t>Palo Alto, CA, US</t>
        </is>
      </c>
      <c r="H65" s="1" t="n">
        <v>46017</v>
      </c>
      <c r="I65"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in-5bb829245cbff62f</t>
        </is>
      </c>
      <c r="B66" t="inlineStr">
        <is>
          <t>Senior Applied Scientist, Sponsored Products and Brands, Off-Search</t>
        </is>
      </c>
      <c r="C66" t="inlineStr">
        <is>
          <t>Amazon.com</t>
        </is>
      </c>
      <c r="D66" t="inlineStr">
        <is>
          <t>indeed</t>
        </is>
      </c>
      <c r="E66" t="inlineStr"/>
      <c r="F66" t="inlineStr"/>
      <c r="G66" t="inlineStr">
        <is>
          <t>Seattle, WA, US</t>
        </is>
      </c>
      <c r="H66" s="1" t="n">
        <v>46017</v>
      </c>
      <c r="I66"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in-f11ab4a9aeca1146</t>
        </is>
      </c>
      <c r="B67" t="inlineStr">
        <is>
          <t>Applied Scientist II, Prime Video - Personalization and Discovery Science</t>
        </is>
      </c>
      <c r="C67" t="inlineStr">
        <is>
          <t>Amazon.com</t>
        </is>
      </c>
      <c r="D67" t="inlineStr">
        <is>
          <t>indeed</t>
        </is>
      </c>
      <c r="E67" t="inlineStr"/>
      <c r="F67" t="inlineStr"/>
      <c r="G67" t="inlineStr">
        <is>
          <t>Sunnyvale, CA, US</t>
        </is>
      </c>
      <c r="H67" s="1" t="n">
        <v>46012</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8">
      <c r="A68" t="inlineStr">
        <is>
          <t>in-f2208dd8a7dafb78</t>
        </is>
      </c>
      <c r="B68" t="inlineStr">
        <is>
          <t>Applied Scientist II, Prime Video - Personalization and Discovery Science</t>
        </is>
      </c>
      <c r="C68" t="inlineStr">
        <is>
          <t>Amazon.com</t>
        </is>
      </c>
      <c r="D68" t="inlineStr">
        <is>
          <t>indeed</t>
        </is>
      </c>
      <c r="E68" t="inlineStr"/>
      <c r="F68" t="inlineStr"/>
      <c r="G68" t="inlineStr">
        <is>
          <t>Seattle, WA, US</t>
        </is>
      </c>
      <c r="H68" s="1" t="n">
        <v>46012</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9">
      <c r="A69" t="inlineStr">
        <is>
          <t>in-0b6aad9fdf46de97</t>
        </is>
      </c>
      <c r="B69" t="inlineStr">
        <is>
          <t>Applied Scientist, Delivery Foundation Model</t>
        </is>
      </c>
      <c r="C69" t="inlineStr">
        <is>
          <t>Amazon.com</t>
        </is>
      </c>
      <c r="D69" t="inlineStr">
        <is>
          <t>indeed</t>
        </is>
      </c>
      <c r="E69" t="inlineStr"/>
      <c r="F69" t="inlineStr"/>
      <c r="G69" t="inlineStr">
        <is>
          <t>Bellevue, WA, US</t>
        </is>
      </c>
      <c r="H69" s="1" t="n">
        <v>46009</v>
      </c>
      <c r="I6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0">
      <c r="A70" t="inlineStr">
        <is>
          <t>in-83cdcd9e926b8038</t>
        </is>
      </c>
      <c r="B70" t="inlineStr">
        <is>
          <t>Applied Scientist, Delivery Foundation Model</t>
        </is>
      </c>
      <c r="C70" t="inlineStr">
        <is>
          <t>Amazon.com</t>
        </is>
      </c>
      <c r="D70" t="inlineStr">
        <is>
          <t>indeed</t>
        </is>
      </c>
      <c r="E70" t="inlineStr"/>
      <c r="F70" t="inlineStr"/>
      <c r="G70" t="inlineStr">
        <is>
          <t>Santa Clara, CA, US</t>
        </is>
      </c>
      <c r="H70" s="1" t="n">
        <v>46009</v>
      </c>
      <c r="I7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1">
      <c r="A71" t="inlineStr">
        <is>
          <t>in-1a22a760cc00d3de</t>
        </is>
      </c>
      <c r="B71" t="inlineStr">
        <is>
          <t>Principal Applied Scientist, Kiro Science</t>
        </is>
      </c>
      <c r="C71" t="inlineStr">
        <is>
          <t>Amazon Web Services</t>
        </is>
      </c>
      <c r="D71" t="inlineStr">
        <is>
          <t>indeed</t>
        </is>
      </c>
      <c r="E71" t="inlineStr"/>
      <c r="F71" t="inlineStr"/>
      <c r="G71" t="inlineStr">
        <is>
          <t>New York, NY, US</t>
        </is>
      </c>
      <c r="H71" s="1" t="n">
        <v>45999</v>
      </c>
      <c r="I7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2">
      <c r="A72" t="inlineStr">
        <is>
          <t>in-9466a768487a6da5</t>
        </is>
      </c>
      <c r="B72" t="inlineStr">
        <is>
          <t>Principal Applied Scientist, Kiro Science</t>
        </is>
      </c>
      <c r="C72" t="inlineStr">
        <is>
          <t>Amazon Web Services</t>
        </is>
      </c>
      <c r="D72" t="inlineStr">
        <is>
          <t>indeed</t>
        </is>
      </c>
      <c r="E72" t="inlineStr"/>
      <c r="F72" t="inlineStr"/>
      <c r="G72" t="inlineStr">
        <is>
          <t>Santa Clara, CA, US</t>
        </is>
      </c>
      <c r="H72" s="1" t="n">
        <v>45999</v>
      </c>
      <c r="I7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3">
      <c r="A73" t="inlineStr">
        <is>
          <t>in-c1871419f9d586bf</t>
        </is>
      </c>
      <c r="B73" t="inlineStr">
        <is>
          <t>Senior Applied Scientist, Locomotion, Amazon Industrial Robotics</t>
        </is>
      </c>
      <c r="C73" t="inlineStr">
        <is>
          <t>Amazon.com</t>
        </is>
      </c>
      <c r="D73" t="inlineStr">
        <is>
          <t>indeed</t>
        </is>
      </c>
      <c r="E73" t="inlineStr"/>
      <c r="F73" t="inlineStr"/>
      <c r="G73" t="inlineStr">
        <is>
          <t>Reading, MA, US</t>
        </is>
      </c>
      <c r="H73" s="1" t="n">
        <v>45992</v>
      </c>
      <c r="I7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74">
      <c r="A74" t="inlineStr">
        <is>
          <t>in-2a8cfebb4db198b4</t>
        </is>
      </c>
      <c r="B74" t="inlineStr">
        <is>
          <t>Senior Applied Scientist, Locomotion, Amazon Industrial Robotics</t>
        </is>
      </c>
      <c r="C74" t="inlineStr">
        <is>
          <t>Amazon.com</t>
        </is>
      </c>
      <c r="D74" t="inlineStr">
        <is>
          <t>indeed</t>
        </is>
      </c>
      <c r="E74" t="inlineStr"/>
      <c r="F74" t="inlineStr"/>
      <c r="G74" t="inlineStr">
        <is>
          <t>Reading, MA, US</t>
        </is>
      </c>
      <c r="H74" s="1" t="n">
        <v>45992</v>
      </c>
      <c r="I7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75">
      <c r="A75" t="inlineStr">
        <is>
          <t>in-ba683dc69acdf326</t>
        </is>
      </c>
      <c r="B75" t="inlineStr">
        <is>
          <t>Applied Scientist, Robotic Sensing and Actuation Engineer , Amazon Industrial Robotics</t>
        </is>
      </c>
      <c r="C75" t="inlineStr">
        <is>
          <t>Amazon.com</t>
        </is>
      </c>
      <c r="D75" t="inlineStr">
        <is>
          <t>indeed</t>
        </is>
      </c>
      <c r="E75" t="inlineStr"/>
      <c r="F75" t="inlineStr"/>
      <c r="G75" t="inlineStr">
        <is>
          <t>Reading, MA, US</t>
        </is>
      </c>
      <c r="H75" s="1" t="n">
        <v>45984</v>
      </c>
      <c r="I7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 We are pioneering the development of robotics dexterous end\-effectors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novel sensing and actuation technologies for dexterous manipulation
* Develop parallel paths for rapid finger design and prototyping combining different actuation and sensing technologies as well as different finger morphologies
* Develop new testing and validation strategies to support fast continuous integration and modularity
* Build and test full hand prototypes to validate the performance of the solution
* Create hybrid approaches combining different actuation technologies, under\-actuation, active and passive compliance
* Hand integration into rest of the embodiment
* Partner with cross\-functional teams to rapidly create new concepts and prototypes
* Work with Amazon's robotics engineering and operations teams to grasp their requirements and develop tailored solutions
* Document the designs, performance, and validation of the final system
**BASIC QUALIFICATIONS**
------------------------
* Master's degree in Mechanical or Electrical Engineering, or 4\+ years of relevant discipline work experience
* Experience with CAD modelling software, such as Solidworks or MATLAB
* Experience applying theoretical models in an applied environment
* Experience in tactile sensing technologies
* Experience in dynamics simulation with physics engine (mujoco, drake, or similar)
* Experience in finger actuation, under\-actuation, active and passive compliance
* Experience in tactile sensing
**PREFERRED QUALIFICATIONS**
----------------------------
* Experience programming in Java, C\+\+, Python or related language
* Experience working effectively across cross\-functional teams and partnering well with people at all levels within an organization
* PhD in Robotics, with focus on mechanical design and robot control
* Experience in tendon\-driven, electrical and series elastic actuators
\- Experience Matlab \- Simulink / Real time workshop  
* Background in real\-time control, particularly in torque / impedance control and contact\-rich manipulation
* Experience with grasp planning
* Experience in ROS/ROS2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76">
      <c r="A76" t="inlineStr">
        <is>
          <t>in-c63f9302b3c77558</t>
        </is>
      </c>
      <c r="B76" t="inlineStr">
        <is>
          <t>Applied Scientist, Robotic Sensing and Actuation Engineer , Amazon Industrial Robotics</t>
        </is>
      </c>
      <c r="C76" t="inlineStr">
        <is>
          <t>Amazon.com</t>
        </is>
      </c>
      <c r="D76" t="inlineStr">
        <is>
          <t>indeed</t>
        </is>
      </c>
      <c r="E76" t="inlineStr"/>
      <c r="F76" t="inlineStr"/>
      <c r="G76" t="inlineStr">
        <is>
          <t>Reading, MA, US</t>
        </is>
      </c>
      <c r="H76" s="1" t="n">
        <v>45984</v>
      </c>
      <c r="I7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 We are pioneering the development of robotics dexterous end\-effectors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novel sensing and actuation technologies for dexterous manipulation
* Develop parallel paths for rapid finger design and prototyping combining different actuation and sensing technologies as well as different finger morphologies
* Develop new testing and validation strategies to support fast continuous integration and modularity
* Build and test full hand prototypes to validate the performance of the solution
* Create hybrid approaches combining different actuation technologies, under\-actuation, active and passive compliance
* Hand integration into rest of the embodiment
* Partner with cross\-functional teams to rapidly create new concepts and prototypes
* Work with Amazon's robotics engineering and operations teams to grasp their requirements and develop tailored solutions
* Document the designs, performance, and validation of the final system
**BASIC QUALIFICATIONS**
------------------------
* Master's degree in Mechanical or Electrical Engineering, or 4\+ years of relevant discipline work experience
* Experience with CAD modelling software, such as Solidworks or MATLAB
* Experience applying theoretical models in an applied environment
* Experience in tactile sensing technologies
* Experience in dynamics simulation with physics engine (mujoco, drake, or similar)
* Experience in finger actuation, under\-actuation, active and passive compliance
* Experience in tactile sensing
**PREFERRED QUALIFICATIONS**
----------------------------
* Experience programming in Java, C\+\+, Python or related language
* Experience working effectively across cross\-functional teams and partnering well with people at all levels within an organization
* PhD in Robotics, with focus on mechanical design and robot control
* Experience in tendon\-driven, electrical and series elastic actuators
\- Experience Matlab \- Simulink / Real time workshop  
* Background in real\-time control, particularly in torque / impedance control and contact\-rich manipulation
* Experience with grasp planning
* Experience in ROS/ROS2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77">
      <c r="A77" t="inlineStr">
        <is>
          <t>in-56f9bd0e4153d1b4</t>
        </is>
      </c>
      <c r="B77" t="inlineStr">
        <is>
          <t>Principal Applied Scientist, Sponsored Products and Brands</t>
        </is>
      </c>
      <c r="C77" t="inlineStr">
        <is>
          <t>Amazon.com</t>
        </is>
      </c>
      <c r="D77" t="inlineStr">
        <is>
          <t>indeed</t>
        </is>
      </c>
      <c r="E77" t="inlineStr"/>
      <c r="F77" t="inlineStr"/>
      <c r="G77" t="inlineStr">
        <is>
          <t>Seattle, WA, US</t>
        </is>
      </c>
      <c r="H77" s="1" t="n">
        <v>45979</v>
      </c>
      <c r="I7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in-eb9d9ad8c49cf0b8</t>
        </is>
      </c>
      <c r="B78" t="inlineStr">
        <is>
          <t>Principal Applied Scientist, Sponsored Products and Brands</t>
        </is>
      </c>
      <c r="C78" t="inlineStr">
        <is>
          <t>Amazon.com</t>
        </is>
      </c>
      <c r="D78" t="inlineStr">
        <is>
          <t>indeed</t>
        </is>
      </c>
      <c r="E78" t="inlineStr"/>
      <c r="F78" t="inlineStr"/>
      <c r="G78" t="inlineStr">
        <is>
          <t>New York, NY, US</t>
        </is>
      </c>
      <c r="H78" s="1" t="n">
        <v>45979</v>
      </c>
      <c r="I7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in-1252e809f3cf52dd</t>
        </is>
      </c>
      <c r="B79" t="inlineStr">
        <is>
          <t>Applied Scientist, Personalization, DTx Science</t>
        </is>
      </c>
      <c r="C79" t="inlineStr">
        <is>
          <t>Amazon.com</t>
        </is>
      </c>
      <c r="D79" t="inlineStr">
        <is>
          <t>indeed</t>
        </is>
      </c>
      <c r="E79" t="inlineStr"/>
      <c r="F79" t="inlineStr"/>
      <c r="G79" t="inlineStr">
        <is>
          <t>Seattle, WA, US</t>
        </is>
      </c>
      <c r="H79" s="1" t="n">
        <v>45979</v>
      </c>
      <c r="I7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0">
      <c r="A80" t="inlineStr">
        <is>
          <t>in-4d389018e399f615</t>
        </is>
      </c>
      <c r="B80" t="inlineStr">
        <is>
          <t>Applied Scientist, Personalization, DTx Science</t>
        </is>
      </c>
      <c r="C80" t="inlineStr">
        <is>
          <t>Amazon.com</t>
        </is>
      </c>
      <c r="D80" t="inlineStr">
        <is>
          <t>indeed</t>
        </is>
      </c>
      <c r="E80" t="inlineStr"/>
      <c r="F80" t="inlineStr"/>
      <c r="G80" t="inlineStr">
        <is>
          <t>New York, NY, US</t>
        </is>
      </c>
      <c r="H80" s="1" t="n">
        <v>45979</v>
      </c>
      <c r="I8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1">
      <c r="A81" t="inlineStr">
        <is>
          <t>in-67a105b2c193172b</t>
        </is>
      </c>
      <c r="B81" t="inlineStr">
        <is>
          <t>Senior Applied Scientist, Sponsored Products and Brands</t>
        </is>
      </c>
      <c r="C81" t="inlineStr">
        <is>
          <t>Amazon.com</t>
        </is>
      </c>
      <c r="D81" t="inlineStr">
        <is>
          <t>indeed</t>
        </is>
      </c>
      <c r="E81" t="inlineStr"/>
      <c r="F81" t="inlineStr"/>
      <c r="G81" t="inlineStr">
        <is>
          <t>New York, NY, US</t>
        </is>
      </c>
      <c r="H81" s="1" t="n">
        <v>45979</v>
      </c>
      <c r="I8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2">
      <c r="A82" t="inlineStr">
        <is>
          <t>in-e6b39e68cef5d19e</t>
        </is>
      </c>
      <c r="B82" t="inlineStr">
        <is>
          <t>Senior Applied Scientist, Sponsored Products and Brands</t>
        </is>
      </c>
      <c r="C82" t="inlineStr">
        <is>
          <t>Amazon.com</t>
        </is>
      </c>
      <c r="D82" t="inlineStr">
        <is>
          <t>indeed</t>
        </is>
      </c>
      <c r="E82" t="inlineStr"/>
      <c r="F82" t="inlineStr"/>
      <c r="G82" t="inlineStr">
        <is>
          <t>Seattle, WA, US</t>
        </is>
      </c>
      <c r="H82" s="1" t="n">
        <v>45979</v>
      </c>
      <c r="I8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3">
      <c r="A83" t="inlineStr">
        <is>
          <t>in-33ca5478128b28bc</t>
        </is>
      </c>
      <c r="B83" t="inlineStr">
        <is>
          <t>Applied Scientist II, Prime Video Personalization and Discovery Science</t>
        </is>
      </c>
      <c r="C83" t="inlineStr">
        <is>
          <t>Amazon.com</t>
        </is>
      </c>
      <c r="D83" t="inlineStr">
        <is>
          <t>indeed</t>
        </is>
      </c>
      <c r="E83" t="inlineStr"/>
      <c r="F83" t="inlineStr"/>
      <c r="G83" t="inlineStr">
        <is>
          <t>New York, NY, US</t>
        </is>
      </c>
      <c r="H83" s="1" t="n">
        <v>45978</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84">
      <c r="A84" t="inlineStr">
        <is>
          <t>in-dd58bcea9a24c962</t>
        </is>
      </c>
      <c r="B84" t="inlineStr">
        <is>
          <t>Applied Scientist II, Prime Video Personalization and Discovery Science</t>
        </is>
      </c>
      <c r="C84" t="inlineStr">
        <is>
          <t>Amazon.com</t>
        </is>
      </c>
      <c r="D84" t="inlineStr">
        <is>
          <t>indeed</t>
        </is>
      </c>
      <c r="E84" t="inlineStr"/>
      <c r="F84" t="inlineStr"/>
      <c r="G84" t="inlineStr">
        <is>
          <t>Sunnyvale, CA, US</t>
        </is>
      </c>
      <c r="H84" s="1" t="n">
        <v>45978</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85">
      <c r="A85" t="inlineStr">
        <is>
          <t>in-e0e668540c7ad412</t>
        </is>
      </c>
      <c r="B85" t="inlineStr">
        <is>
          <t>Applied Scientist II, Prime Video Personalization and Discovery Science</t>
        </is>
      </c>
      <c r="C85" t="inlineStr">
        <is>
          <t>Amazon.com</t>
        </is>
      </c>
      <c r="D85" t="inlineStr">
        <is>
          <t>indeed</t>
        </is>
      </c>
      <c r="E85" t="inlineStr"/>
      <c r="F85" t="inlineStr"/>
      <c r="G85" t="inlineStr">
        <is>
          <t>Seattle, WA, US</t>
        </is>
      </c>
      <c r="H85" s="1" t="n">
        <v>45978</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86">
      <c r="A86" t="inlineStr">
        <is>
          <t>in-8bd796243c8bfd95</t>
        </is>
      </c>
      <c r="B86" t="inlineStr">
        <is>
          <t>Sr. Applied Scientist, Sponsored Products</t>
        </is>
      </c>
      <c r="C86" t="inlineStr">
        <is>
          <t>Amazon.com</t>
        </is>
      </c>
      <c r="D86" t="inlineStr">
        <is>
          <t>indeed</t>
        </is>
      </c>
      <c r="E86" t="inlineStr"/>
      <c r="F86" t="inlineStr"/>
      <c r="G86" t="inlineStr">
        <is>
          <t>New York, NY, US</t>
        </is>
      </c>
      <c r="H86" s="1" t="n">
        <v>45976</v>
      </c>
      <c r="I8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7">
      <c r="A87" t="inlineStr">
        <is>
          <t>in-fe921540321d8730</t>
        </is>
      </c>
      <c r="B87" t="inlineStr">
        <is>
          <t>Sr. Applied Scientist, Sponsored Products</t>
        </is>
      </c>
      <c r="C87" t="inlineStr">
        <is>
          <t>Amazon.com</t>
        </is>
      </c>
      <c r="D87" t="inlineStr">
        <is>
          <t>indeed</t>
        </is>
      </c>
      <c r="E87" t="inlineStr"/>
      <c r="F87" t="inlineStr"/>
      <c r="G87" t="inlineStr">
        <is>
          <t>Arlington, VA, US</t>
        </is>
      </c>
      <c r="H87" s="1" t="n">
        <v>45976</v>
      </c>
      <c r="I8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8">
      <c r="A88" t="inlineStr">
        <is>
          <t>in-f4efc82277e8f98f</t>
        </is>
      </c>
      <c r="B88" t="inlineStr">
        <is>
          <t>Sr. Applied Scientist, Sponsored Products</t>
        </is>
      </c>
      <c r="C88" t="inlineStr">
        <is>
          <t>Amazon.com</t>
        </is>
      </c>
      <c r="D88" t="inlineStr">
        <is>
          <t>indeed</t>
        </is>
      </c>
      <c r="E88" t="inlineStr"/>
      <c r="F88" t="inlineStr"/>
      <c r="G88" t="inlineStr">
        <is>
          <t>Seattle, WA, US</t>
        </is>
      </c>
      <c r="H88" s="1" t="n">
        <v>45976</v>
      </c>
      <c r="I8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9">
      <c r="A89" t="inlineStr">
        <is>
          <t>in-ba60642755b874a8</t>
        </is>
      </c>
      <c r="B89" t="inlineStr">
        <is>
          <t>Applied Scientist II, Amazon Industrial Robotics</t>
        </is>
      </c>
      <c r="C89" t="inlineStr">
        <is>
          <t>Amazon.com</t>
        </is>
      </c>
      <c r="D89" t="inlineStr">
        <is>
          <t>indeed</t>
        </is>
      </c>
      <c r="E89" t="inlineStr"/>
      <c r="F89" t="inlineStr"/>
      <c r="G89" t="inlineStr">
        <is>
          <t>Reading, MA, US</t>
        </is>
      </c>
      <c r="H89" s="1" t="n">
        <v>45973</v>
      </c>
      <c r="I8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 We are pioneering the development of robotics dexterous end\-effectors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novel highly dexterous and reliable robotic dexterous hand morphologies
* Develop parallel paths for rapid finger design and prototyping combining different actuation and sensing technologies as well as different finger morphologies
* Develop new testing and validation strategies to support fast continuous integration and modularity
* Build and test full hand prototypes to validate the performance of the solution
* Create hybrid approaches combining different actuation technologies, under\-actuation, active and passive compliance
* Hand integration into rest of the embodiment
* Partner with cross\-functional teams to rapidly create new concepts and prototypes
* Work with Amazon's robotics engineering and operations teams to grasp their requirements and develop tailored solutions
* Document the designs, performance, and validation of the final system
**BASIC QUALIFICATIONS**
------------------------
* PhD, or Master's degree and 4\+ years of CS, CE, ML or related field experience
* Experience using one or more of the following technologies (e.g., AutoCAD, Rhino, Revit, SolidWorks, CREO, SketchUp, KeyShot, etc.) to deliver high quality models and designs
* Experience applying theoretical models in an applied environment
* Experience in finger actuation, under\-actuation, active and passive compliance
* Experience in tactile sensing
**PREFERRED QUALIFICATIONS**
----------------------------
* Experience programming in Java, C\+\+, Python or related language
* Experience with at least one of the following: Matlab, R, Python, Stata
* Experience working effectively across cross\-functional teams and partnering well with people at all levels within an organization
* PhD in Robotics, with focus on mechanical design and robot control
* Experience in tendon\-driven, electrical and series elastic actuators
* Background in real\-time control, particularly in torque / impedance control and contact\-rich manipulation
* Experience with grasp planning
* Experience in ROS/ROS2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90">
      <c r="A90" t="inlineStr">
        <is>
          <t>in-b735805f7314f67f</t>
        </is>
      </c>
      <c r="B90" t="inlineStr">
        <is>
          <t>Applied Scientist, Sponsored Products and Brands</t>
        </is>
      </c>
      <c r="C90" t="inlineStr">
        <is>
          <t>Amazon.com</t>
        </is>
      </c>
      <c r="D90" t="inlineStr">
        <is>
          <t>indeed</t>
        </is>
      </c>
      <c r="E90" t="inlineStr"/>
      <c r="F90" t="inlineStr"/>
      <c r="G90" t="inlineStr">
        <is>
          <t>New York, NY, US</t>
        </is>
      </c>
      <c r="H90" s="1" t="n">
        <v>45965</v>
      </c>
      <c r="I9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91">
      <c r="A91" t="inlineStr">
        <is>
          <t>in-52a34a9135b84250</t>
        </is>
      </c>
      <c r="B91" t="inlineStr">
        <is>
          <t>Applied Scientist, Sponsored Products and Brands</t>
        </is>
      </c>
      <c r="C91" t="inlineStr">
        <is>
          <t>Amazon.com</t>
        </is>
      </c>
      <c r="D91" t="inlineStr">
        <is>
          <t>indeed</t>
        </is>
      </c>
      <c r="E91" t="inlineStr"/>
      <c r="F91" t="inlineStr"/>
      <c r="G91" t="inlineStr">
        <is>
          <t>Seattle, WA, US</t>
        </is>
      </c>
      <c r="H91" s="1" t="n">
        <v>45965</v>
      </c>
      <c r="I9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92">
      <c r="A92" t="inlineStr">
        <is>
          <t>in-e1e240d313cd9389</t>
        </is>
      </c>
      <c r="B92" t="inlineStr">
        <is>
          <t>Applied Scientist, AWS Agentic AI</t>
        </is>
      </c>
      <c r="C92" t="inlineStr">
        <is>
          <t>Amazon Web Services</t>
        </is>
      </c>
      <c r="D92" t="inlineStr">
        <is>
          <t>indeed</t>
        </is>
      </c>
      <c r="E92" t="inlineStr"/>
      <c r="F92" t="inlineStr"/>
      <c r="G92" t="inlineStr">
        <is>
          <t>New York, NY, US</t>
        </is>
      </c>
      <c r="H92" s="1" t="n">
        <v>45962</v>
      </c>
      <c r="I9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in-434b0387507addcf</t>
        </is>
      </c>
      <c r="B93" t="inlineStr">
        <is>
          <t>Applied Scientist, AWS Agentic AI</t>
        </is>
      </c>
      <c r="C93" t="inlineStr">
        <is>
          <t>Amazon Web Services</t>
        </is>
      </c>
      <c r="D93" t="inlineStr">
        <is>
          <t>indeed</t>
        </is>
      </c>
      <c r="E93" t="inlineStr"/>
      <c r="F93" t="inlineStr"/>
      <c r="G93" t="inlineStr">
        <is>
          <t>Santa Clara, CA, US</t>
        </is>
      </c>
      <c r="H93" s="1" t="n">
        <v>45962</v>
      </c>
      <c r="I9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in-ffc989eb5219787c</t>
        </is>
      </c>
      <c r="B94" t="inlineStr">
        <is>
          <t>Applied Scientist, AWS Agentic AI</t>
        </is>
      </c>
      <c r="C94" t="inlineStr">
        <is>
          <t>Amazon Web Services</t>
        </is>
      </c>
      <c r="D94" t="inlineStr">
        <is>
          <t>indeed</t>
        </is>
      </c>
      <c r="E94" t="inlineStr"/>
      <c r="F94" t="inlineStr"/>
      <c r="G94" t="inlineStr">
        <is>
          <t>Seattle, WA, US</t>
        </is>
      </c>
      <c r="H94" s="1" t="n">
        <v>45962</v>
      </c>
      <c r="I9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in-ea3227121f339bb3</t>
        </is>
      </c>
      <c r="B95" t="inlineStr">
        <is>
          <t>Applied Scientist, AI Automation, Prime Video</t>
        </is>
      </c>
      <c r="C95" t="inlineStr">
        <is>
          <t>Amazon.com</t>
        </is>
      </c>
      <c r="D95" t="inlineStr">
        <is>
          <t>indeed</t>
        </is>
      </c>
      <c r="E95" t="inlineStr"/>
      <c r="F95" t="inlineStr"/>
      <c r="G95" t="inlineStr">
        <is>
          <t>Culver City, CA, US</t>
        </is>
      </c>
      <c r="H95" s="1" t="n">
        <v>45949</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in-a8632ee5737055d9</t>
        </is>
      </c>
      <c r="B96" t="inlineStr">
        <is>
          <t>Applied Scientist, AI Automation, Prime Video</t>
        </is>
      </c>
      <c r="C96" t="inlineStr">
        <is>
          <t>Amazon.com</t>
        </is>
      </c>
      <c r="D96" t="inlineStr">
        <is>
          <t>indeed</t>
        </is>
      </c>
      <c r="E96" t="inlineStr"/>
      <c r="F96" t="inlineStr"/>
      <c r="G96" t="inlineStr">
        <is>
          <t>Seattle, WA, US</t>
        </is>
      </c>
      <c r="H96" s="1" t="n">
        <v>45949</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in-8ab6f27da8cef310</t>
        </is>
      </c>
      <c r="B97" t="inlineStr">
        <is>
          <t>Principal Applied Scientist, Advertiser Growth, Amazon Sponsored Products &amp; Brands</t>
        </is>
      </c>
      <c r="C97" t="inlineStr">
        <is>
          <t>Amazon.com</t>
        </is>
      </c>
      <c r="D97" t="inlineStr">
        <is>
          <t>indeed</t>
        </is>
      </c>
      <c r="E97" t="inlineStr"/>
      <c r="F97" t="inlineStr"/>
      <c r="G97" t="inlineStr">
        <is>
          <t>New York, NY, US</t>
        </is>
      </c>
      <c r="H97" s="1" t="n">
        <v>45942</v>
      </c>
      <c r="I9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in-e504d996985e6270</t>
        </is>
      </c>
      <c r="B98" t="inlineStr">
        <is>
          <t>Principal Applied Scientist, Advertiser Growth, Amazon Sponsored Products &amp; Brands</t>
        </is>
      </c>
      <c r="C98" t="inlineStr">
        <is>
          <t>Amazon.com</t>
        </is>
      </c>
      <c r="D98" t="inlineStr">
        <is>
          <t>indeed</t>
        </is>
      </c>
      <c r="E98" t="inlineStr"/>
      <c r="F98" t="inlineStr"/>
      <c r="G98" t="inlineStr">
        <is>
          <t>Palo Alto, CA, US</t>
        </is>
      </c>
      <c r="H98" s="1" t="n">
        <v>45942</v>
      </c>
      <c r="I9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in-6d212ca64a81c985</t>
        </is>
      </c>
      <c r="B99" t="inlineStr">
        <is>
          <t>Principal Applied Scientist, Advertiser Growth, Amazon Sponsored Products &amp; Brands</t>
        </is>
      </c>
      <c r="C99" t="inlineStr">
        <is>
          <t>Amazon.com</t>
        </is>
      </c>
      <c r="D99" t="inlineStr">
        <is>
          <t>indeed</t>
        </is>
      </c>
      <c r="E99" t="inlineStr"/>
      <c r="F99" t="inlineStr"/>
      <c r="G99" t="inlineStr">
        <is>
          <t>Seattle, WA, US</t>
        </is>
      </c>
      <c r="H99" s="1" t="n">
        <v>45942</v>
      </c>
      <c r="I9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in-f67062669b78b076</t>
        </is>
      </c>
      <c r="B100" t="inlineStr">
        <is>
          <t>Applied Scientist, Workplace Health &amp; Safety</t>
        </is>
      </c>
      <c r="C100" t="inlineStr">
        <is>
          <t>Amazon.com</t>
        </is>
      </c>
      <c r="D100" t="inlineStr">
        <is>
          <t>indeed</t>
        </is>
      </c>
      <c r="E100" t="inlineStr"/>
      <c r="F100" t="inlineStr"/>
      <c r="G100" t="inlineStr">
        <is>
          <t>Nashville, TN, US</t>
        </is>
      </c>
      <c r="H100" s="1" t="n">
        <v>45917</v>
      </c>
      <c r="I10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in-712846a8ea1f8760</t>
        </is>
      </c>
      <c r="B101" t="inlineStr">
        <is>
          <t>Applied Scientist, Workplace Health &amp; Safety</t>
        </is>
      </c>
      <c r="C101" t="inlineStr">
        <is>
          <t>Amazon.com</t>
        </is>
      </c>
      <c r="D101" t="inlineStr">
        <is>
          <t>indeed</t>
        </is>
      </c>
      <c r="E101" t="inlineStr"/>
      <c r="F101" t="inlineStr"/>
      <c r="G101" t="inlineStr">
        <is>
          <t>Bellevue, WA, US</t>
        </is>
      </c>
      <c r="H101" s="1" t="n">
        <v>45917</v>
      </c>
      <c r="I10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in-56a5e12654ce5eb2</t>
        </is>
      </c>
      <c r="B102" t="inlineStr">
        <is>
          <t>Sr. Applied Scientist, Prime Video - Personalization and Discovery Science</t>
        </is>
      </c>
      <c r="C102" t="inlineStr">
        <is>
          <t>Amazon.com</t>
        </is>
      </c>
      <c r="D102" t="inlineStr">
        <is>
          <t>indeed</t>
        </is>
      </c>
      <c r="E102" t="inlineStr"/>
      <c r="F102" t="inlineStr"/>
      <c r="G102" t="inlineStr">
        <is>
          <t>Sunnyvale, CA, US</t>
        </is>
      </c>
      <c r="H102" s="1" t="n">
        <v>45896</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3">
      <c r="A103" t="inlineStr">
        <is>
          <t>in-2898e6bfeec111e8</t>
        </is>
      </c>
      <c r="B103" t="inlineStr">
        <is>
          <t>Sr. Applied Scientist, Prime Video - Personalization and Discovery Science</t>
        </is>
      </c>
      <c r="C103" t="inlineStr">
        <is>
          <t>Amazon.com</t>
        </is>
      </c>
      <c r="D103" t="inlineStr">
        <is>
          <t>indeed</t>
        </is>
      </c>
      <c r="E103" t="inlineStr"/>
      <c r="F103" t="inlineStr"/>
      <c r="G103" t="inlineStr">
        <is>
          <t>New York, NY, US</t>
        </is>
      </c>
      <c r="H103" s="1" t="n">
        <v>45896</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4">
      <c r="A104" t="inlineStr">
        <is>
          <t>in-e6a4e52f40977b80</t>
        </is>
      </c>
      <c r="B104" t="inlineStr">
        <is>
          <t>Sr. Applied Scientist, Prime Video - Personalization and Discovery Science</t>
        </is>
      </c>
      <c r="C104" t="inlineStr">
        <is>
          <t>Amazon.com</t>
        </is>
      </c>
      <c r="D104" t="inlineStr">
        <is>
          <t>indeed</t>
        </is>
      </c>
      <c r="E104" t="inlineStr"/>
      <c r="F104" t="inlineStr"/>
      <c r="G104" t="inlineStr">
        <is>
          <t>Seattle, WA, US</t>
        </is>
      </c>
      <c r="H104" s="1" t="n">
        <v>45896</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5">
      <c r="A105" t="inlineStr">
        <is>
          <t>in-dafcbdc85b36db9d</t>
        </is>
      </c>
      <c r="B105" t="inlineStr">
        <is>
          <t>Applied Scientist II, Prime Video , Personalization and Discovery Science</t>
        </is>
      </c>
      <c r="C105" t="inlineStr">
        <is>
          <t>Amazon.com</t>
        </is>
      </c>
      <c r="D105" t="inlineStr">
        <is>
          <t>indeed</t>
        </is>
      </c>
      <c r="E105" t="inlineStr"/>
      <c r="F105" t="inlineStr"/>
      <c r="G105" t="inlineStr">
        <is>
          <t>New York, NY, US</t>
        </is>
      </c>
      <c r="H105" s="1" t="n">
        <v>45886</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6">
      <c r="A106" t="inlineStr">
        <is>
          <t>in-22b9251d309e7608</t>
        </is>
      </c>
      <c r="B106" t="inlineStr">
        <is>
          <t>Applied Scientist II, Prime Video , Personalization and Discovery Science</t>
        </is>
      </c>
      <c r="C106" t="inlineStr">
        <is>
          <t>Amazon.com</t>
        </is>
      </c>
      <c r="D106" t="inlineStr">
        <is>
          <t>indeed</t>
        </is>
      </c>
      <c r="E106" t="inlineStr"/>
      <c r="F106" t="inlineStr"/>
      <c r="G106" t="inlineStr">
        <is>
          <t>Seattle, WA, US</t>
        </is>
      </c>
      <c r="H106" s="1" t="n">
        <v>45886</v>
      </c>
      <c r="I1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7">
      <c r="A107" t="inlineStr">
        <is>
          <t>in-b8b5f5d6057bf936</t>
        </is>
      </c>
      <c r="B107" t="inlineStr">
        <is>
          <t>Applied Scientist II, Prime Video , Personalization and Discovery Science</t>
        </is>
      </c>
      <c r="C107" t="inlineStr">
        <is>
          <t>Amazon.com</t>
        </is>
      </c>
      <c r="D107" t="inlineStr">
        <is>
          <t>indeed</t>
        </is>
      </c>
      <c r="E107" t="inlineStr"/>
      <c r="F107" t="inlineStr"/>
      <c r="G107" t="inlineStr">
        <is>
          <t>Sunnyvale, CA, US</t>
        </is>
      </c>
      <c r="H107" s="1" t="n">
        <v>45886</v>
      </c>
      <c r="I1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8">
      <c r="A108" t="inlineStr">
        <is>
          <t>in-0ed751c8057644b7</t>
        </is>
      </c>
      <c r="B108" t="inlineStr">
        <is>
          <t>Sr. Applied Scientist, Prime Video - Personalization and Discovery Science</t>
        </is>
      </c>
      <c r="C108" t="inlineStr">
        <is>
          <t>Amazon.com</t>
        </is>
      </c>
      <c r="D108" t="inlineStr">
        <is>
          <t>indeed</t>
        </is>
      </c>
      <c r="E108" t="inlineStr"/>
      <c r="F108" t="inlineStr"/>
      <c r="G108" t="inlineStr">
        <is>
          <t>New York, NY, US</t>
        </is>
      </c>
      <c r="H108" s="1" t="n">
        <v>45886</v>
      </c>
      <c r="I1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in-c26e7801aead4d4f</t>
        </is>
      </c>
      <c r="B109" t="inlineStr">
        <is>
          <t>Sr. Applied Scientist, Prime Video - Personalization and Discovery Science</t>
        </is>
      </c>
      <c r="C109" t="inlineStr">
        <is>
          <t>Amazon.com</t>
        </is>
      </c>
      <c r="D109" t="inlineStr">
        <is>
          <t>indeed</t>
        </is>
      </c>
      <c r="E109" t="inlineStr"/>
      <c r="F109" t="inlineStr"/>
      <c r="G109" t="inlineStr">
        <is>
          <t>Sunnyvale, CA, US</t>
        </is>
      </c>
      <c r="H109" s="1" t="n">
        <v>45886</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in-39748e7e1bc73ffa</t>
        </is>
      </c>
      <c r="B110" t="inlineStr">
        <is>
          <t>Sr. Applied Scientist, Prime Video - Personalization and Discovery Science</t>
        </is>
      </c>
      <c r="C110" t="inlineStr">
        <is>
          <t>Amazon.com</t>
        </is>
      </c>
      <c r="D110" t="inlineStr">
        <is>
          <t>indeed</t>
        </is>
      </c>
      <c r="E110" t="inlineStr"/>
      <c r="F110" t="inlineStr"/>
      <c r="G110" t="inlineStr">
        <is>
          <t>Seattle, WA, US</t>
        </is>
      </c>
      <c r="H110" s="1" t="n">
        <v>45886</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in-930e6722f926cdf1</t>
        </is>
      </c>
      <c r="B111" t="inlineStr">
        <is>
          <t>Applied Scientist III, StoreGen</t>
        </is>
      </c>
      <c r="C111" t="inlineStr">
        <is>
          <t>Amazon.com</t>
        </is>
      </c>
      <c r="D111" t="inlineStr">
        <is>
          <t>indeed</t>
        </is>
      </c>
      <c r="E111" t="inlineStr"/>
      <c r="F111" t="inlineStr"/>
      <c r="G111" t="inlineStr">
        <is>
          <t>Sunnyvale, CA, US</t>
        </is>
      </c>
      <c r="H111" s="1" t="n">
        <v>45868</v>
      </c>
      <c r="I11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in-93e5713f303946fe</t>
        </is>
      </c>
      <c r="B112" t="inlineStr">
        <is>
          <t>Applied Scientist III, StoreGen</t>
        </is>
      </c>
      <c r="C112" t="inlineStr">
        <is>
          <t>Amazon.com</t>
        </is>
      </c>
      <c r="D112" t="inlineStr">
        <is>
          <t>indeed</t>
        </is>
      </c>
      <c r="E112" t="inlineStr"/>
      <c r="F112" t="inlineStr"/>
      <c r="G112" t="inlineStr">
        <is>
          <t>Seattle, WA, US</t>
        </is>
      </c>
      <c r="H112" s="1" t="n">
        <v>45868</v>
      </c>
      <c r="I11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in-ac0714470c6a1350</t>
        </is>
      </c>
      <c r="B113" t="inlineStr">
        <is>
          <t>Sr. Applied Scientist, Amazon Advertising</t>
        </is>
      </c>
      <c r="C113" t="inlineStr">
        <is>
          <t>Amazon.com</t>
        </is>
      </c>
      <c r="D113" t="inlineStr">
        <is>
          <t>indeed</t>
        </is>
      </c>
      <c r="E113" t="inlineStr"/>
      <c r="F113" t="inlineStr"/>
      <c r="G113" t="inlineStr">
        <is>
          <t>Simi Valley, CA, US</t>
        </is>
      </c>
      <c r="H113" s="1"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in-d774f09d947685b8</t>
        </is>
      </c>
      <c r="B114" t="inlineStr">
        <is>
          <t>Sr. Applied Scientist, Amazon Advertising</t>
        </is>
      </c>
      <c r="C114" t="inlineStr">
        <is>
          <t>Amazon.com</t>
        </is>
      </c>
      <c r="D114" t="inlineStr">
        <is>
          <t>indeed</t>
        </is>
      </c>
      <c r="E114" t="inlineStr"/>
      <c r="F114" t="inlineStr"/>
      <c r="G114" t="inlineStr">
        <is>
          <t>Palo Alto, CA, US</t>
        </is>
      </c>
      <c r="H114" s="1"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in-28394d4797c1d6c9</t>
        </is>
      </c>
      <c r="B115" t="inlineStr">
        <is>
          <t>Sr. Applied Scientist, Amazon Advertising</t>
        </is>
      </c>
      <c r="C115" t="inlineStr">
        <is>
          <t>Amazon.com</t>
        </is>
      </c>
      <c r="D115" t="inlineStr">
        <is>
          <t>indeed</t>
        </is>
      </c>
      <c r="E115" t="inlineStr"/>
      <c r="F115" t="inlineStr"/>
      <c r="G115" t="inlineStr">
        <is>
          <t>New York, NY, US</t>
        </is>
      </c>
      <c r="H115" s="1"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in-13dc465c836b4e1a</t>
        </is>
      </c>
      <c r="B116" t="inlineStr">
        <is>
          <t>Sr. Applied Scientist, Amazon Advertising</t>
        </is>
      </c>
      <c r="C116" t="inlineStr">
        <is>
          <t>Amazon.com</t>
        </is>
      </c>
      <c r="D116" t="inlineStr">
        <is>
          <t>indeed</t>
        </is>
      </c>
      <c r="E116" t="inlineStr"/>
      <c r="F116" t="inlineStr"/>
      <c r="G116" t="inlineStr">
        <is>
          <t>Austin, TX, US</t>
        </is>
      </c>
      <c r="H116" s="1"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in-33c8edb1ff76587b</t>
        </is>
      </c>
      <c r="B117" t="inlineStr">
        <is>
          <t>Sr. Applied Scientist, Amazon Advertising</t>
        </is>
      </c>
      <c r="C117" t="inlineStr">
        <is>
          <t>Amazon.com</t>
        </is>
      </c>
      <c r="D117" t="inlineStr">
        <is>
          <t>indeed</t>
        </is>
      </c>
      <c r="E117" t="inlineStr"/>
      <c r="F117" t="inlineStr"/>
      <c r="G117" t="inlineStr">
        <is>
          <t>Los Angeles, CA, US</t>
        </is>
      </c>
      <c r="H117" s="1"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in-0826adfdf257a32b</t>
        </is>
      </c>
      <c r="B118" t="inlineStr">
        <is>
          <t>Sr. Applied Scientist, Amazon Advertising</t>
        </is>
      </c>
      <c r="C118" t="inlineStr">
        <is>
          <t>Amazon.com</t>
        </is>
      </c>
      <c r="D118" t="inlineStr">
        <is>
          <t>indeed</t>
        </is>
      </c>
      <c r="E118" t="inlineStr"/>
      <c r="F118" t="inlineStr"/>
      <c r="G118" t="inlineStr">
        <is>
          <t>West Hollywood, CA, US</t>
        </is>
      </c>
      <c r="H118" s="1"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in-9abf41140809028b</t>
        </is>
      </c>
      <c r="B119" t="inlineStr">
        <is>
          <t>Sr. Applied Scientist, Amazon Advertising</t>
        </is>
      </c>
      <c r="C119" t="inlineStr">
        <is>
          <t>Amazon.com</t>
        </is>
      </c>
      <c r="D119" t="inlineStr">
        <is>
          <t>indeed</t>
        </is>
      </c>
      <c r="E119" t="inlineStr"/>
      <c r="F119" t="inlineStr"/>
      <c r="G119" t="inlineStr">
        <is>
          <t>Seattle, WA, US</t>
        </is>
      </c>
      <c r="H119" s="1"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in-035dd001ce701453</t>
        </is>
      </c>
      <c r="B120" t="inlineStr">
        <is>
          <t>Sr. Applied Scientist, Amazon Advertising</t>
        </is>
      </c>
      <c r="C120" t="inlineStr">
        <is>
          <t>Amazon.com</t>
        </is>
      </c>
      <c r="D120" t="inlineStr">
        <is>
          <t>indeed</t>
        </is>
      </c>
      <c r="E120" t="inlineStr"/>
      <c r="F120" t="inlineStr"/>
      <c r="G120" t="inlineStr">
        <is>
          <t>Arlington, VA, US</t>
        </is>
      </c>
      <c r="H120" s="1" t="n">
        <v>45851</v>
      </c>
      <c r="I1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in-8abe57a6b096567e</t>
        </is>
      </c>
      <c r="B121" t="inlineStr">
        <is>
          <t>Sr. Applied Scientist, Sales AI</t>
        </is>
      </c>
      <c r="C121" t="inlineStr">
        <is>
          <t>Amazon.com</t>
        </is>
      </c>
      <c r="D121" t="inlineStr">
        <is>
          <t>indeed</t>
        </is>
      </c>
      <c r="E121" t="inlineStr"/>
      <c r="F121" t="inlineStr"/>
      <c r="G121" t="inlineStr">
        <is>
          <t>New York, NY, US</t>
        </is>
      </c>
      <c r="H121" s="1" t="n">
        <v>45830</v>
      </c>
      <c r="I12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in-039061a68d11a300</t>
        </is>
      </c>
      <c r="B122" t="inlineStr">
        <is>
          <t>Sr. Applied Scientist, Sales AI</t>
        </is>
      </c>
      <c r="C122" t="inlineStr">
        <is>
          <t>Amazon.com</t>
        </is>
      </c>
      <c r="D122" t="inlineStr">
        <is>
          <t>indeed</t>
        </is>
      </c>
      <c r="E122" t="inlineStr"/>
      <c r="F122" t="inlineStr"/>
      <c r="G122" t="inlineStr">
        <is>
          <t>Seattle, WA, US</t>
        </is>
      </c>
      <c r="H122" s="1" t="n">
        <v>45830</v>
      </c>
      <c r="I12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in-28a2a987470636f1</t>
        </is>
      </c>
      <c r="B123" t="inlineStr">
        <is>
          <t>Sr. Applied Scientist, Sales AI</t>
        </is>
      </c>
      <c r="C123" t="inlineStr">
        <is>
          <t>Amazon.com</t>
        </is>
      </c>
      <c r="D123" t="inlineStr">
        <is>
          <t>indeed</t>
        </is>
      </c>
      <c r="E123" t="inlineStr"/>
      <c r="F123" t="inlineStr"/>
      <c r="G123" t="inlineStr">
        <is>
          <t>Sunnyvale, CA, US</t>
        </is>
      </c>
      <c r="H123" s="1" t="n">
        <v>45830</v>
      </c>
      <c r="I12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in-6b3ce0aa88182710</t>
        </is>
      </c>
      <c r="B124" t="inlineStr">
        <is>
          <t>Senior Applied Scientist, Delivery Foundation Model</t>
        </is>
      </c>
      <c r="C124" t="inlineStr">
        <is>
          <t>Amazon.com</t>
        </is>
      </c>
      <c r="D124" t="inlineStr">
        <is>
          <t>indeed</t>
        </is>
      </c>
      <c r="E124" t="inlineStr"/>
      <c r="F124" t="inlineStr"/>
      <c r="G124" t="inlineStr">
        <is>
          <t>Santa Clara, CA, US</t>
        </is>
      </c>
      <c r="H124" s="1" t="n">
        <v>45806</v>
      </c>
      <c r="I12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in-d68a96edbe942770</t>
        </is>
      </c>
      <c r="B125" t="inlineStr">
        <is>
          <t>Senior Applied Scientist, Delivery Foundation Model</t>
        </is>
      </c>
      <c r="C125" t="inlineStr">
        <is>
          <t>Amazon.com</t>
        </is>
      </c>
      <c r="D125" t="inlineStr">
        <is>
          <t>indeed</t>
        </is>
      </c>
      <c r="E125" t="inlineStr"/>
      <c r="F125" t="inlineStr"/>
      <c r="G125" t="inlineStr">
        <is>
          <t>New York, NY, US</t>
        </is>
      </c>
      <c r="H125" s="1" t="n">
        <v>45806</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in-e742355e89fb9c42</t>
        </is>
      </c>
      <c r="B126" t="inlineStr">
        <is>
          <t>Senior Applied Scientist, Delivery Foundation Model</t>
        </is>
      </c>
      <c r="C126" t="inlineStr">
        <is>
          <t>Amazon.com</t>
        </is>
      </c>
      <c r="D126" t="inlineStr">
        <is>
          <t>indeed</t>
        </is>
      </c>
      <c r="E126" t="inlineStr"/>
      <c r="F126" t="inlineStr"/>
      <c r="G126" t="inlineStr">
        <is>
          <t>Bellevue, WA, US</t>
        </is>
      </c>
      <c r="H126" s="1" t="n">
        <v>45806</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in-febb7247c4a1831d</t>
        </is>
      </c>
      <c r="B127" t="inlineStr">
        <is>
          <t>Sr. Applied Scientist - Privacy, Privacy Engineering</t>
        </is>
      </c>
      <c r="C127" t="inlineStr">
        <is>
          <t>Amazon.com</t>
        </is>
      </c>
      <c r="D127" t="inlineStr">
        <is>
          <t>indeed</t>
        </is>
      </c>
      <c r="E127" t="inlineStr"/>
      <c r="F127" t="inlineStr"/>
      <c r="G127" t="inlineStr">
        <is>
          <t>Sunnyvale, CA, US</t>
        </is>
      </c>
      <c r="H127" s="1" t="n">
        <v>45787</v>
      </c>
      <c r="I12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in-22cc0f4efa7fc82a</t>
        </is>
      </c>
      <c r="B128" t="inlineStr">
        <is>
          <t>Sr. Applied Scientist - Privacy, Privacy Engineering</t>
        </is>
      </c>
      <c r="C128" t="inlineStr">
        <is>
          <t>Amazon.com</t>
        </is>
      </c>
      <c r="D128" t="inlineStr">
        <is>
          <t>indeed</t>
        </is>
      </c>
      <c r="E128" t="inlineStr"/>
      <c r="F128" t="inlineStr"/>
      <c r="G128" t="inlineStr">
        <is>
          <t>San Francisco, CA, US</t>
        </is>
      </c>
      <c r="H128" s="1" t="n">
        <v>45787</v>
      </c>
      <c r="I12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in-7120fcfe71078b54</t>
        </is>
      </c>
      <c r="B129" t="inlineStr">
        <is>
          <t>Sr. Applied Scientist - Privacy, Privacy Engineering</t>
        </is>
      </c>
      <c r="C129" t="inlineStr">
        <is>
          <t>Amazon.com</t>
        </is>
      </c>
      <c r="D129" t="inlineStr">
        <is>
          <t>indeed</t>
        </is>
      </c>
      <c r="E129" t="inlineStr"/>
      <c r="F129" t="inlineStr"/>
      <c r="G129" t="inlineStr">
        <is>
          <t>Santa Clara, CA, US</t>
        </is>
      </c>
      <c r="H129" s="1" t="n">
        <v>45787</v>
      </c>
      <c r="I12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in-96b9b496d857e525</t>
        </is>
      </c>
      <c r="B130" t="inlineStr">
        <is>
          <t>Sr. Applied Scientist - Privacy, Privacy Engineering</t>
        </is>
      </c>
      <c r="C130" t="inlineStr">
        <is>
          <t>Amazon.com</t>
        </is>
      </c>
      <c r="D130" t="inlineStr">
        <is>
          <t>indeed</t>
        </is>
      </c>
      <c r="E130" t="inlineStr"/>
      <c r="F130" t="inlineStr"/>
      <c r="G130" t="inlineStr">
        <is>
          <t>Seattle, WA, US</t>
        </is>
      </c>
      <c r="H130" s="1" t="n">
        <v>45787</v>
      </c>
      <c r="I13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in-5b01f52e8910dd01</t>
        </is>
      </c>
      <c r="B131" t="inlineStr">
        <is>
          <t>Sr. ML Engineer</t>
        </is>
      </c>
      <c r="C131" t="inlineStr">
        <is>
          <t>Visa</t>
        </is>
      </c>
      <c r="D131" t="inlineStr">
        <is>
          <t>indeed</t>
        </is>
      </c>
      <c r="E131" t="inlineStr"/>
      <c r="F131" t="inlineStr"/>
      <c r="G131" t="inlineStr">
        <is>
          <t>Austin, TX, US</t>
        </is>
      </c>
      <c r="H131" s="1" t="n">
        <v>46070</v>
      </c>
      <c r="I131"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Technology \&amp; Operations LLC, a Visa Inc. company, needs a Sr. ML Engineer (multiple openings) in Austin, TX To:
* Architect, design, build, develop, test, and/or implement software systems and/or applications.
* Conduct business and technical analysis, code reviews and unit testing, and implement and produce technical documentation of solutions for new development, system enhancements, and production support.
* Design, develop and implement modifications and corrections to existing software, including the development of debugging routines.
* Serve as an integral part of the Data Science product development team, investigate new requirements, and design and refactor existing functionality for performance and maintainability.
* Collaborate with project team members (Product Managers, Architects, Analysts, Developers, Project Managers, etc.) to ensure development and implementation of new data driven business solutions.
* Contribute in delivery of high\-quality solutions that conform to requirements and the architectural vision and comply with all applicable standards.
* Engage in requirements definition and clarification in collaboration with Business to ensure completeness and common understanding; deep understanding of the business needs is important.
* Facilitate design reviews to provide input on functional requirements, product designs, schedules, or potential problems.
* Facilitate code reviews with team members and third\-party vendors. Review and assess impact of proposed scope changes on assigned deliverables. Work with other engineering teams to facilitate a common approach to continuous integration that includes build automation, test automation, and deployment automation.
* Collaborate with senior technical staff and PM to identify, document, plan contingency, and track and manage risks and issues until all are resolved.
* Present technical solutions, capabilities, considerations, and features in business terms. Effectively communicate status, issues, and risks in a precise and timely manner.
* Position reports to the Austin, Texas office and may allow for partial telecommuting.
**Qualifications**  
Basic Qualifications:
Employer will accept a Master's degree in Computer Science, Computer Engineering, Information systems or related field and 2 years of experience in the job offered or in a Sr. ML Engineer\-related occupation.
Position requires experience in the following:
* Knowledge of Creational, Structural, Behavioral and Concurrency and understanding of ML algorithms (XGBoost, KNN, SVM, LSTM, Transformers, PCA and other deep learning models)
* Statistical computer programs for Machine Learning, Deep learning and natural language processing – Python, Tensorflow, SkLearn, SOLAR, SAS, MatLab, CUDA and GPU Acceleration
* Development of generic fraud detection systems using GANs, GNNs, DBSCAN clustering
* Pandas, NumPy, and SQL, as well as Matplotlib and Seaborn
* Bigdata technology stack: Hadoop and MapReduce, Spark, Pig, Impala, Kafka
* ML cloud services using AWS, Azure or GCP
* OWASP, static/dynamic analysis, and common security tools
* Oracle, MySQL, HBase, Cassandra, Hive, MongoDB
* Development utilizing Java/J2EE/JavaScripts and in using Java Web Application framework including Spring, Hibernate and Data JPA
* Web services standards and related technologies (XML, JSON, Rest, and SOAP)
**Additional Information** **Worksite:**Austin, TX
**Travel Requirements:** This position does not require travel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**U.S. APPLICANTS ONLY: The estimated salary range for this position is $130,700\.00 USD to $202,300\.00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32">
      <c r="A132" t="inlineStr">
        <is>
          <t>in-97ad6cb7caaf3cf5</t>
        </is>
      </c>
      <c r="B132" t="inlineStr">
        <is>
          <t>Senior Machine Learning Engineer | AI/ML Maestro</t>
        </is>
      </c>
      <c r="C132" t="inlineStr">
        <is>
          <t>Infinity Labs LLC</t>
        </is>
      </c>
      <c r="D132" t="inlineStr">
        <is>
          <t>indeed</t>
        </is>
      </c>
      <c r="E132" t="inlineStr"/>
      <c r="F132" t="inlineStr"/>
      <c r="G132" t="inlineStr">
        <is>
          <t>Huntsville, AL, US</t>
        </is>
      </c>
      <c r="H132" s="1" t="n">
        <v>46069</v>
      </c>
      <c r="I132" t="inlineStr">
        <is>
          <t>**Job Title:** Machine Learning Engineer \| AI/ML Maestro  
**Location:** Huntsville, AL
This position is open for a Senior AI/ML Engineer specializing in reinforcement learning (RL) and defense\-related modeling and simulation. Candidates must meet the general requirements below to be considered. Additional qualifications for senior\-level applicants are listed throughout the description.
**Who You Are:**
You wield artificial intelligence like a six\-shooter, deploying machine learning algorithms with the precision of a marksman. You’re a problem solver who doesn’t flinch at complex military simulations, integrating AI with DoD frameworks to provide decision\-makers with real\-time insights. With a sharp mind for AI/ML and a deep understanding of simulation environments, you thrive in secure, high\-stakes settings. You don’t just consume research—you apply it, innovate on it, and deploy it in real\-world scenarios that shape national security.
**Who We Are:**
At Infinity Labs, we don’t settle for incremental gains—we make bold leaps, pushing the boundaries of what’s possible. Our culture thrives on innovation, where creativity fuels action, and inspiration sparks breakthroughs. We don’t just embrace calculated risks; we see them as essential steps toward groundbreaking discoveries. We're on a mission to become the epicenter of transformational, multidisciplinary, system\-of\-systems technology solutions, strategically aligned with the National Defense Strategy. But our vision isn’t just about technology—it’s about you. Our structure and benefits are designed to protect your future and unleash your full potential. Join us if you're ready to make a real impact and redefine the future.
**What You’ll Do:**
* Design, develop, and integrate machine learning models into defense simulations and real\-world decision\-making systems.
* Apply a broad range of AI/ML techniques, including supervised learning, unsupervised learning, and deep learning to optimize system performance.
* Work with large\-scale datasets, developing data pipelines and feature engineering processes to support training and inference.
* Collaborate with DoD civilians, contractors, and stakeholders to align ML solutions with mission objectives.
* Develop high\-performance, scalable AI architectures for deployment on cloud and HPC environments.
* Optimize machine learning workflows, ensuring computational efficiency and maintainability in resource\-constrained settings.
* Build visualization tools, dashboards, and scripts to analyze model performance and interpret AI\-driven insights.
* Stay ahead of the latest advancements in AI/ML, incorporating cutting\-edge research into practical applications.
* Engage with the DoD modeling and simulation (M\&amp;S) community, presenting findings and collaborating on technical solutions.
* Develop and optimize deep learning architectures, such as transformers, CNNs, and graph\-based neural networks, for mission\-driven applications.
* Lead the development of custom ML libraries and toolkits to enhance AI capabilities across multiple projects.
* Oversee the design of relational and graph\-based database schemas to support large\-scale AI\-driven analytics.
**Minimum Education \| What You’ll Bring:**
* 10\+ years of experience in AI/ML.
* B.S. in Physics, Engineering, or Computer Science (STEM). Advanced degree preferred.
**Experience:**
* Expertise in machine learning frameworks such as PyTorch, TensorFlow, and JAX.
* Proficiency with reinforcement learning algorithms (PPO, SAC, DQN).
* Hands\-on experience integrating AI with modeling and simulation tools (AFSIM, MDASim).
* Strong programming skills in Python and experience with ML libraries like RLlib and Gymnasium.
* Cloud computing experience with AWS or DoD HPC environments.
* Version control proficiency (Git, GitLab, GitHub).
**Preferred Qualifications \| Nice to Haves:**
* Experience modifying and extending AFSIM framework capabilities.
* Familiarity with high\-level languages such as MATLAB, Simulink, or Julia.
* Deep understanding of component\-based architectures in AI/ML applications.
* Demonstrated ability to optimize RL training pipelines for computational efficiency.
* Contributions to published AI/ML research in a defense or security context.
**US Citizenship is REQUIRED:**
* To be considered for a role with Infinity Labs, candidates MUST be a US citizen, as these roles require a US government security clearance.
Must have * \- Secret level clearance.
Nice to have * \- Top Secret level clearance and current SCI access.
**Physical Demands:**
* Must be able to remain in a stationary position and work on a computer for prolonged periods.
*This job description provides a high\-level review of the responsibilities of the position and is not intended to be a complete list of all responsibilities, duties or skills that may be required for the job. The job description is subject to review and change at any time and other job\-related duties or requirements may be assigned as necessary.*  
**What We Offer:**
As a nationally recognized Great Place to Work ® and three\-time recipient of the Business of the Year award, we prioritize employee well\-being and foster a culture that values individuals. Our premier total compensation package for eligible employees includes:
* Comprehensive health benefits including medical, dental, and vision coverage.
* Company\-paid disability and life insurance.
* Generous 401(k) plan with guaranteed company contribution.
* Paid time\-off options including floating holidays, personal time, parental leave, and community service opportunities.
* Investment in employee growth and development through tuition reimbursement and discounted tuition programs with select colleges.
**Infinity Labs is an equal opportunity employer, including disability/vets.**</t>
        </is>
      </c>
    </row>
    <row r="133">
      <c r="A133" t="inlineStr">
        <is>
          <t>in-9b7b504587a32f5d</t>
        </is>
      </c>
      <c r="B133" t="inlineStr">
        <is>
          <t>Senior Machine Learning Engineer | AI/ML Maestro</t>
        </is>
      </c>
      <c r="C133" t="inlineStr">
        <is>
          <t>Infinity Labs LLC</t>
        </is>
      </c>
      <c r="D133" t="inlineStr">
        <is>
          <t>indeed</t>
        </is>
      </c>
      <c r="E133" t="inlineStr"/>
      <c r="F133" t="inlineStr"/>
      <c r="G133" t="inlineStr">
        <is>
          <t>Colorado Springs, CO, US</t>
        </is>
      </c>
      <c r="H133" s="1" t="n">
        <v>46069</v>
      </c>
      <c r="I133" t="inlineStr">
        <is>
          <t>**Job Title:** Machine Learning Engineer \| AI/ML Maestro  
**Location:** Colorado Springs, CO
This position is open for a Senior AI/ML Engineer specializing in reinforcement learning (RL) and defense\-related modeling and simulation. Candidates must meet the general requirements below to be considered. Additional qualifications for senior\-level applicants are listed throughout the description.
**Who You Are:**
You wield artificial intelligence like a six\-shooter, deploying machine learning algorithms with the precision of a marksman. You’re a problem solver who doesn’t flinch at complex military simulations, integrating AI with DoD frameworks to provide decision\-makers with real\-time insights. With a sharp mind for AI/ML and a deep understanding of simulation environments, you thrive in secure, high\-stakes settings. You don’t just consume research—you apply it, innovate on it, and deploy it in real\-world scenarios that shape national security.
**Who We Are:**
At Infinity Labs, we don’t settle for incremental gains—we make bold leaps, pushing the boundaries of what’s possible. Our culture thrives on innovation, where creativity fuels action, and inspiration sparks breakthroughs. We don’t just embrace calculated risks; we see them as essential steps toward groundbreaking discoveries. We're on a mission to become the epicenter of transformational, multidisciplinary, system\-of\-systems technology solutions, strategically aligned with the National Defense Strategy. But our vision isn’t just about technology—it’s about you. Our structure and benefits are designed to protect your future and unleash your full potential. Join us if you're ready to make a real impact and redefine the future.
**What You’ll Do:**
* Design, develop, and integrate machine learning models into defense simulations and real\-world decision\-making systems.
* Apply a broad range of AI/ML techniques, including supervised learning, unsupervised learning, and deep learning to optimize system performance.
* Work with large\-scale datasets, developing data pipelines and feature engineering processes to support training and inference.
* Collaborate with DoD civilians, contractors, and stakeholders to align ML solutions with mission objectives.
* Develop high\-performance, scalable AI architectures for deployment on cloud and HPC environments.
* Optimize machine learning workflows, ensuring computational efficiency and maintainability in resource\-constrained settings.
* Build visualization tools, dashboards, and scripts to analyze model performance and interpret AI\-driven insights.
* Stay ahead of the latest advancements in AI/ML, incorporating cutting\-edge research into practical applications.
* Engage with the DoD modeling and simulation (M\&amp;S) community, presenting findings and collaborating on technical solutions.
* Develop and optimize deep learning architectures, such as transformers, CNNs, and graph\-based neural networks, for mission\-driven applications.
* Lead the development of custom ML libraries and toolkits to enhance AI capabilities across multiple projects.
* Oversee the design of relational and graph\-based database schemas to support large\-scale AI\-driven analytics.
**Minimum Education \| What You’ll Bring:**
* 10\+ years of experience in AI/ML.
* B.S. in Physics, Engineering, or Computer Science (STEM). Advanced degree preferred.
**Experience:**
* Expertise in machine learning frameworks such as PyTorch, TensorFlow, and JAX.
* Proficiency with reinforcement learning algorithms (PPO, SAC, DQN).
* Hands\-on experience integrating AI with modeling and simulation tools (AFSIM, MDASim).
* Strong programming skills in Python and experience with ML libraries like RLlib and Gymnasium.
* Cloud computing experience with AWS or DoD HPC environments.
* Version control proficiency (Git, GitLab, GitHub).
**Preferred Qualifications \| Nice to Haves:**
* Experience modifying and extending AFSIM framework capabilities.
* Familiarity with high\-level languages such as MATLAB, Simulink, or Julia.
* Deep understanding of component\-based architectures in AI/ML applications.
* Demonstrated ability to optimize RL training pipelines for computational efficiency.
* Contributions to published AI/ML research in a defense or security context.
**US Citizenship is REQUIRED:**
* To be considered for a role with Infinity Labs, candidates MUST be a US citizen, as these roles require a US government security clearance.
Must have * \- Secret level clearance.
Nice to have * \- Top Secret level clearance and current SCI access.
**Physical Demands:**
* Must be able to remain in a stationary position and work on a computer for prolonged periods.
*This job description provides a high\-level review of the responsibilities of the position and is not intended to be a complete list of all responsibilities, duties or skills that may be required for the job. The job description is subject to review and change at any time and other job\-related duties or requirements may be assigned as necessary.*  
**What We Offer:**
As a nationally recognized Great Place to Work ® and three\-time recipient of the Business of the Year award, we prioritize employee well\-being and foster a culture that values individuals. Our premier total compensation package for eligible employees includes:
* Comprehensive health benefits including medical, dental, and vision coverage.
* Company\-paid disability and life insurance.
* Generous 401(k) plan with guaranteed company contribution.
* Paid time\-off options including floating holidays, personal time, parental leave, and community service opportunities.
* Investment in employee growth and development through tuition reimbursement and discounted tuition programs with select colleges.
* Perks include a convenient in\-town work location with Pikes Peak views, free parking next to the building, and complimentary snacks and beverages!
In support of Colorado pay transparency laws, the estimated salary range for this position is $150,000 \- $200,000\. Individual pay will be determined on a wide variety of job\-related factors permitted by law, such as experience and training, location, licensure and certifications, skills, budgets, and market.
**Infinity Labs is an equal opportunity employer, including disability/vets.**</t>
        </is>
      </c>
    </row>
    <row r="134">
      <c r="A134" t="inlineStr">
        <is>
          <t>in-f20630f7cb4db98d</t>
        </is>
      </c>
      <c r="B134" t="inlineStr">
        <is>
          <t>Sr. Machine Learning Engineer, WWPS ProServe Data and Machine Learning</t>
        </is>
      </c>
      <c r="C134" t="inlineStr">
        <is>
          <t>Amazon Web Services</t>
        </is>
      </c>
      <c r="D134" t="inlineStr">
        <is>
          <t>indeed</t>
        </is>
      </c>
      <c r="E134" t="inlineStr"/>
      <c r="F134" t="inlineStr"/>
      <c r="G134" t="inlineStr">
        <is>
          <t>Arlington, VA, US</t>
        </is>
      </c>
      <c r="H134" s="1" t="n">
        <v>46062</v>
      </c>
      <c r="I134" t="inlineStr">
        <is>
          <t>**DESCRIPTION**
---------------
This position requires that the candidate selected be a US Citizen and must currently possess and maintain an active TS/SCI security clearance with polygraph.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a quantitative field such as statistics, mathematics, data science, business analytics, economics, finance, engineering, or computer science
* 5\+ years of data querying languages (e.g. SQL), scripting languages (e.g. Python) or statistical/mathematical software (e.g. R, SAS, Matlab, etc.) experience
* Experience in data applications using large scale distributed systems (e.g., EMR, Spark, Elasticsearch, Hadoop, Pig, and Hive)
* Knowledge of professional software engineering \&amp; best practices for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in a quantitative field such as statistics, mathematics, data science, business analytics, economics, finance, engineering, or computer science
* 2\+ years of data visualization using AWS QuickSight, Tableau, R Shiny, etc. experience
* Experience managing data pipelines
* Knowledge of machine learning approaches and algorithms
* Experience working on multi\-team, cross\-disciplinary projects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35">
      <c r="A135" t="inlineStr">
        <is>
          <t>in-fcf2c5472c829c10</t>
        </is>
      </c>
      <c r="B135" t="inlineStr">
        <is>
          <t>Sr. Machine Learning Engineer, WWPS ProServe Data and Machine Learning</t>
        </is>
      </c>
      <c r="C135" t="inlineStr">
        <is>
          <t>Amazon Web Services</t>
        </is>
      </c>
      <c r="D135" t="inlineStr">
        <is>
          <t>indeed</t>
        </is>
      </c>
      <c r="E135" t="inlineStr"/>
      <c r="F135" t="inlineStr"/>
      <c r="G135" t="inlineStr">
        <is>
          <t>Herndon, VA, US</t>
        </is>
      </c>
      <c r="H135" s="1" t="n">
        <v>46062</v>
      </c>
      <c r="I135" t="inlineStr">
        <is>
          <t>**DESCRIPTION**
---------------
This position requires that the candidate selected be a US Citizen and must currently possess and maintain an active TS/SCI security clearance with polygraph.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a quantitative field such as statistics, mathematics, data science, business analytics, economics, finance, engineering, or computer science
* 5\+ years of data querying languages (e.g. SQL), scripting languages (e.g. Python) or statistical/mathematical software (e.g. R, SAS, Matlab, etc.) experience
* Experience in data applications using large scale distributed systems (e.g., EMR, Spark, Elasticsearch, Hadoop, Pig, and Hive)
* Knowledge of professional software engineering \&amp; best practices for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in a quantitative field such as statistics, mathematics, data science, business analytics, economics, finance, engineering, or computer science
* 2\+ years of data visualization using AWS QuickSight, Tableau, R Shiny, etc. experience
* Experience managing data pipelines
* Knowledge of machine learning approaches and algorithms
* Experience working on multi\-team, cross\-disciplinary projects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36">
      <c r="A136" t="inlineStr">
        <is>
          <t>in-89d0e652bc496e54</t>
        </is>
      </c>
      <c r="B136" t="inlineStr">
        <is>
          <t>Staff Machine Learning Engineer</t>
        </is>
      </c>
      <c r="C136" t="inlineStr">
        <is>
          <t>Qualcomm</t>
        </is>
      </c>
      <c r="D136" t="inlineStr">
        <is>
          <t>indeed</t>
        </is>
      </c>
      <c r="E136" t="inlineStr"/>
      <c r="F136" t="inlineStr"/>
      <c r="G136" t="inlineStr">
        <is>
          <t>San Diego, CA, US</t>
        </is>
      </c>
      <c r="H136" s="1" t="n">
        <v>46056</v>
      </c>
      <c r="I136" t="inlineStr">
        <is>
          <t>**Company:**
------------
Qualcomm Technologies, Inc.**Job Area:**
-------------
Engineering Group, Engineering Group \&gt; Machine Learning Engineering**General Summary:**
As a leading technology innovator, Qualcomm pushes the boundaries of what's possible to enable next\-generation experiences and drives digital transformation to help create a smarter, connected future for all. As a Qualcomm Machine Learning Engineer, you will create and implement machine learning techniques, frameworks, and tools that enable the efficient discovery and utilization of state\-of\-the\-art machine learning solutions over a broad set of technology verticals or designs. Qualcomm Engineers collaborate with cross\-functional teams to enhance the world of mobile, edge, auto, and IOT products through machine learning hardware and software.
**Minimum Qualifications:**
*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experience.**Preferred Qualifications:**
* Master's degree in Computer Science, Engineering, Information Systems, or related field.
* 5\+ years of experience with Machine Learning frameworks (e.g., Tensor Flow, Caffe, Caffe 2, Pytorch, Keras).
* 5\+ years of experience in embedded system development and optimization with application to a specific problem domain in ML (e.g., NLP, multi\-media).
* 5\+ years of experience with one or more programming language suitable for machine learning (e.g., Python, R, C, C\+\+)
* 5\+ years of experience using statistics and probability (e.g., conditional probability, Bayes rule).
* 3\+ years experience working in a large matrixed organization.
* 2\+ years of experience with low level interactions between operating systems (e.g., Linux, Android, QNX) and Hardware.
* 1\+ year in a technical leadership role with or without direct reports (only applies to positions with direct reports).
* 1\+ year of work experience in a role requiring interaction with senior leadership (e.g., Director and above).
**Principal Duties and Responsibilities:**
* Leverages advanced Machine Learning knowledge to extend training or runtime frameworks or model efficiency software tools with new features and optimizations.
* Models, architects, and develops advanced machine learning hardware (co\-designed with machine learning software) for inference or training solutions.
* Develops optimized software to enable AI models deployed on hardware (e.g., machine learning kernels, compiler tools, or model efficiency tools, etc.) to allow specific hardware features; collaborates with hardware teams for joint design and development.
* Develops and applies machine learning techniques into products and/or AI solutions to enable customers to do the same.
* Develops, adapts, or prototypes novel machine learning solutions aligned with and motivated by proposals or roadmaps for complex products and working features.
* Oversees and conducts experiments to train and evaluate machine learning models and/or software.
**Level of Responsibility:**  
* Works independently with minimal supervision.
* Provides supervision/guidance to other team members.
* Decision\-making is significant in nature and affects work beyond immediate work group.
* Requires verbal and written communication skills to convey complex information. May require negotiation, influence, tact, etc.
* Has a moderate amount of influence over key organizational decisions (e.g., is consulted by senior leadership to make key decisions).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$158,400\.00 \- $237,600\.00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37">
      <c r="A137" t="inlineStr">
        <is>
          <t>in-104bddf757ac26fd</t>
        </is>
      </c>
      <c r="B137" t="inlineStr">
        <is>
          <t>Data and Machine Learning Engineer - Vision Language Models, Data &amp; Machine Learning (DML)</t>
        </is>
      </c>
      <c r="C137" t="inlineStr">
        <is>
          <t>Amazon Web Services</t>
        </is>
      </c>
      <c r="D137" t="inlineStr">
        <is>
          <t>indeed</t>
        </is>
      </c>
      <c r="E137" t="inlineStr"/>
      <c r="F137" t="inlineStr"/>
      <c r="G137" t="inlineStr">
        <is>
          <t>Arlington, VA, US</t>
        </is>
      </c>
      <c r="H137" s="1" t="n">
        <v>46051</v>
      </c>
      <c r="I137"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8">
      <c r="A138" t="inlineStr">
        <is>
          <t>in-086eb943f905ad2e</t>
        </is>
      </c>
      <c r="B138" t="inlineStr">
        <is>
          <t>Data and Machine Learning Engineer - Vision Language Models, Data &amp; Machine Learning (DML)</t>
        </is>
      </c>
      <c r="C138" t="inlineStr">
        <is>
          <t>Amazon Web Services</t>
        </is>
      </c>
      <c r="D138" t="inlineStr">
        <is>
          <t>indeed</t>
        </is>
      </c>
      <c r="E138" t="inlineStr"/>
      <c r="F138" t="inlineStr"/>
      <c r="G138" t="inlineStr">
        <is>
          <t>Herndon, VA, US</t>
        </is>
      </c>
      <c r="H138" s="1" t="n">
        <v>46051</v>
      </c>
      <c r="I138"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9">
      <c r="A139" t="inlineStr">
        <is>
          <t>in-067a1be573095de8</t>
        </is>
      </c>
      <c r="B139" t="inlineStr">
        <is>
          <t>Machine Learning Engineer, WWPS ProServe Data and Machine Learning</t>
        </is>
      </c>
      <c r="C139" t="inlineStr">
        <is>
          <t>Amazon Web Services</t>
        </is>
      </c>
      <c r="D139" t="inlineStr">
        <is>
          <t>indeed</t>
        </is>
      </c>
      <c r="E139" t="inlineStr"/>
      <c r="F139" t="inlineStr"/>
      <c r="G139" t="inlineStr">
        <is>
          <t>Herndon, VA, US</t>
        </is>
      </c>
      <c r="H139" s="1" t="n">
        <v>46044</v>
      </c>
      <c r="I13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40">
      <c r="A140" t="inlineStr">
        <is>
          <t>in-8426d0c2dfb02e5b</t>
        </is>
      </c>
      <c r="B140" t="inlineStr">
        <is>
          <t>Machine Learning Engineer, WWPS ProServe Data and Machine Learning</t>
        </is>
      </c>
      <c r="C140" t="inlineStr">
        <is>
          <t>Amazon Web Services</t>
        </is>
      </c>
      <c r="D140" t="inlineStr">
        <is>
          <t>indeed</t>
        </is>
      </c>
      <c r="E140" t="inlineStr"/>
      <c r="F140" t="inlineStr"/>
      <c r="G140" t="inlineStr">
        <is>
          <t>Arlington, VA, US</t>
        </is>
      </c>
      <c r="H140" s="1" t="n">
        <v>46044</v>
      </c>
      <c r="I140"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41">
      <c r="A141" t="inlineStr">
        <is>
          <t>in-a83b437b545f1181</t>
        </is>
      </c>
      <c r="B141" t="inlineStr">
        <is>
          <t>ML Engineer, GO-AI Technology &amp; Development Team</t>
        </is>
      </c>
      <c r="C141" t="inlineStr">
        <is>
          <t>Amazon.com</t>
        </is>
      </c>
      <c r="D141" t="inlineStr">
        <is>
          <t>indeed</t>
        </is>
      </c>
      <c r="E141" t="inlineStr"/>
      <c r="F141" t="inlineStr"/>
      <c r="G141" t="inlineStr">
        <is>
          <t>Westborough, MA, US</t>
        </is>
      </c>
      <c r="H141" s="1" t="n">
        <v>45998</v>
      </c>
      <c r="I14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42">
      <c r="A142" t="inlineStr">
        <is>
          <t>in-f0fa05fe686e77ab</t>
        </is>
      </c>
      <c r="B142" t="inlineStr">
        <is>
          <t>ML Engineer, GO-AI Technology &amp; Development Team</t>
        </is>
      </c>
      <c r="C142" t="inlineStr">
        <is>
          <t>Amazon.com</t>
        </is>
      </c>
      <c r="D142" t="inlineStr">
        <is>
          <t>indeed</t>
        </is>
      </c>
      <c r="E142" t="inlineStr"/>
      <c r="F142" t="inlineStr"/>
      <c r="G142" t="inlineStr">
        <is>
          <t>Boston, MA, US</t>
        </is>
      </c>
      <c r="H142" s="1" t="n">
        <v>45998</v>
      </c>
      <c r="I14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43">
      <c r="A143" t="inlineStr">
        <is>
          <t>in-e658834ee5d69089</t>
        </is>
      </c>
      <c r="B143" t="inlineStr">
        <is>
          <t>ML Engineer, GO-AI Technology &amp; Development Team</t>
        </is>
      </c>
      <c r="C143" t="inlineStr">
        <is>
          <t>Amazon.com</t>
        </is>
      </c>
      <c r="D143" t="inlineStr">
        <is>
          <t>indeed</t>
        </is>
      </c>
      <c r="E143" t="inlineStr"/>
      <c r="F143" t="inlineStr"/>
      <c r="G143" t="inlineStr">
        <is>
          <t>Seattle, WA, US</t>
        </is>
      </c>
      <c r="H143" s="1" t="n">
        <v>45998</v>
      </c>
      <c r="I14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44">
      <c r="A144" t="inlineStr">
        <is>
          <t>in-716c7f90c4e2fcae</t>
        </is>
      </c>
      <c r="B144" t="inlineStr">
        <is>
          <t>ML Engineer, GO-AI Technology &amp; Development Team</t>
        </is>
      </c>
      <c r="C144" t="inlineStr">
        <is>
          <t>Amazon.com</t>
        </is>
      </c>
      <c r="D144" t="inlineStr">
        <is>
          <t>indeed</t>
        </is>
      </c>
      <c r="E144" t="inlineStr"/>
      <c r="F144" t="inlineStr"/>
      <c r="G144" t="inlineStr">
        <is>
          <t>Reading, MA, US</t>
        </is>
      </c>
      <c r="H144" s="1" t="n">
        <v>45998</v>
      </c>
      <c r="I14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45">
      <c r="A145" t="inlineStr">
        <is>
          <t>in-7372df2730f72f32</t>
        </is>
      </c>
      <c r="B145" t="inlineStr">
        <is>
          <t>Contractor Support to Capability Lifecycle AI-ML Engineer</t>
        </is>
      </c>
      <c r="C145" t="inlineStr">
        <is>
          <t>DEFTEC Corporation</t>
        </is>
      </c>
      <c r="D145" t="inlineStr">
        <is>
          <t>indeed</t>
        </is>
      </c>
      <c r="E145">
        <f>HYPERLINK("https://www.indeed.com/viewjob?jk=7372df2730f72f32", "https://www.indeed.com/viewjob?jk=7372df2730f72f32")</f>
        <v/>
      </c>
      <c r="F145">
        <f>HYPERLINK("https://www.applicantpro.com/openings/deftec/jobs/3994990-449567", "https://www.applicantpro.com/openings/deftec/jobs/3994990-449567")</f>
        <v/>
      </c>
      <c r="G145" t="inlineStr">
        <is>
          <t>Norfolk, VA, US</t>
        </is>
      </c>
      <c r="H145" s="2" t="n">
        <v>46070</v>
      </c>
      <c r="I145" t="inlineStr">
        <is>
          <t>**Contractor Support to Capability Lifecycle AI\-ML Engineer**
DEFTEC delivers mission\-critical solutions through skillfully delivered services and innovative products. We are inspired by our clients' critical missions and driven to provide the most effective solutions to execute their missions, operational challenges, and requirements. Our dedicated, experienced, and talented employees work closely with our clients to ensure the delivery of exceptional services and products.
**POSITION OVERVIEW**
This position provides specialized contractor support to the Capability Development Directorate at Headquarters Allied Command Transformation (HQ SACT), focusing on the integration of Artificial Intelligence (AI) and Machine Learning (ML) solutions across the capability lifecycle. The role is responsible for developing and implementing advanced data\-driven models and analytics to enhance NATO's capability planning, prioritization, and decision\-making processes. Working closely with the CAPDEV Data and Analytics Office (DAO), the AI/ML Engineer will design and optimize algorithms for requirements analysis, capability forecasting, and performance assessment, ensuring alignment with NATO's strategic objectives. Additional responsibilities include supporting data governance, enabling self\-service analytics, and contributing to the modernization of capability development through innovative AI/ML applications that improve interoperability, deployability, and sustainability of Alliance forces.
**JOB RESPONSIBILITIES**
* Al/ML Model Development: Design, develop, train, and deploy machine learning models to support forecasting, risk identification, readiness assessment, and decision support across the capability lifecycle.
* Advanced Analytics Integration: Integrate Al/ML models into enterprise analytics workflows, dashboards, and reporting solutions to enable operational use by analysts and decisionmakers.
* Data Preparation and Feature Engineering: Develop and maintain data preparation pipelines, feature engineering processes, and training datasets in coordination with data engineering teams to ensure model accuracy, robustness, and traceability.
* Cloud\-Based Al/ML Engineering: Implement and operate Al/ML solutions within approved cloud environments, including model training, deployment, and orchestration using secure, scalable architectures.
* Model Lifecycle Management: Establish and execute model validation, performance monitoring, retraining, and version control processes to ensure sustained accuracy and operational relevance of deployed models.
* Responsible Al Practices: Apply responsible and explainable Al principles, including transparency, bias awareness, and interpretability, appropriate to defense and decision support contexts.
* Automation and Optimization: Identify and implement opportunities to automate analytic workflows, model execution, and data processing to improve efficiency and reduce manual intervention.
* Prototyping and Experimentation: Design and deliver proof\-of\-concept and prototype Al/ML solutions, including exploration of emerging techniques (e.g., large language models or incremental learning), aligned with DAO priorities.
* Performance and Scalability Optimization: Optimize Al/ML pipelines and supporting infrastructure to ensure reliable performance under operational workloads and evolving data volumes.
* Technical Documentation: Produce and maintain comprehensive technical documentation describing Al/ML models, data dependencies, assumptions, limitations, and operational integration points.
* Stakeholder Engagement: Collaborate with analysts, engineers, and stakeholders to translate operational requirements into Al/ML solutions and explain analytic outputs to technical and non\-technical audiences.
* Knowledge Transfer: Deliver knowledge transfer, mentoring, and technical guidance to DAO personnel to support long\-term sustainment of Al/ML capabilities.
* Security and Compliance: Ensure Al/ML development and deployment comply with NATO and organizational security, data protection, and classification handling requirements.
* Capability Lifecycle Support: Apply Al/ML expertise to support requirements\-based planning, capability development, delivery monitoring, and performance assessment activities.
* Continuous Improvement: Identify opportunities to enhance Al/ML methods, tooling, and practices in alignment with DAO's Decision Advantage objectives.
* Technical Support: Provide ongoing technical support and troubleshooting for Al/ML models, pipelines, and integrated analytic solutions.
* Additional Tasks: Perform additional tasks as required by the COTR in scope of this labor category.
**REQUIRED QUALIFICATIONS**
* 8\+ years of progressive professional experience in data science, advanced analytics, and/or machine learning engineering, including experience delivering operational analytics or decision\-support solutions in complex enterprise environments.
* Demonstrated expertise in machine learning and statistical modeling, including development, training, validation, and deployment of models supporting forecasting, risk analysis, performance assessment, or decision support across business or capability lifecycles.
* Demonstrated experience designing and operating automated data pipelines, including ETL/ELT workflows, feature engineering, and data transformation processes to support analytics and Al/ML workloads.
* Demonstrated professional experience with cloud\-based analytics and Al/ML platforms, including deployment and operation of models and data pipelines in secure, scalable cloud envi ran men ts.
* Bachelor's degree in Data Science, Computer Science, Mathematics, Engineering, Statistics, or a related quantitative discipline.
* Demonstrated experience integrating Al/ML solutions into enterprise analytics tools, dashboards, or reporting platforms to support operational use by analysts and decisionmakers.
* Demonstrated experience with model lifecycle management, including performance monitoring, retraining strategies, version control, documentation, and optimization for production environments.
* Demonstrated experience working within governed or regulated environments, including adherence to data governance, security, and compliance requirements relevant to defense, security, or other highly regulated domains.
* Demonstrated ability to col la borate across multidisciplinary teams, including analysts, data engineers, platform engineers, and system administrators, to deliver interoperable, production\-ready analytics solutions.
* Demonstrated ability to communicate complex analytical and Al/ML concepts clearly to both technical and non\-technical stakeholders, supporting effective adoption and operational use of delivered solutions. Demonstrated minimum NATO or National SECRET clearance with the appropriate national authority for the duration of the contract.
* Demonstrated proficiency in English as defined in STANAG 6001 (Standardized Linguistic Profile (SLP) 3333 \- Listening, Speaking, Reading and Writing) or equivalent.
* Demonstrable proficiency in effective oral and written communication, including briefing and coordinating with business stakeholders.
*DEFTEC offers a comprehensive whole\-life benefits package that includes medical, dental, vision, holiday, paid time off, 401K with a match, life insurance, short/long\-term disability, and educational reimbursement. The DEFTEC team comprises* professionals who make a difference daily in crucial national security missions. Our leadership knows that this happens by employing a diverse team that is well cared for. Our top priority is our employees, making DEFTEC an ideal workplace.
*Reasonable accommodations may be made to enable individuals with disabilities to perform essential functions.* Please get in touch with HR@deftec.com if you require reasonable accommodations.
*DEFTEC is a Drug\-Free Workplace where post\-offer applicants and employees are subject to testing for marijuana, cocaine, opioids, amphetamines, PCP, and alcohol when criteria are met as outlined in our policies.*
**AAP/EEO STATEMENT**
DEFTEC Corp is an Equal Opportunity and Affirmative Action Employer and prohibits discrimination and harassment of any type based on actual or perceived race, color, national origin, ancestry, sex (including pregnancy, childbirth, breastfeeding and medical conditions related to pregnancy, childbirth or breastfeeding), gender, gender identity, and gender expression, religious creed, disability (mental and physical) including HIV and AIDS, medical condition (cancer and genetic characteristics ), genetic information, age, marital status, civil union status, sexual orientation, military and veteran status, denial of family and medical care leave, arrest record and/or any other characteristic(s) protected by federal, state or local law.
This policy applies to all terms of employment, including recruiting, hiring, placement, promotion, termination, layoff, recall, transfer, leaves of absence, training, compensation, benefits, employee activities, and general treatment during employment.
**OTHER DUTIES**
Please note that this job description is not designed to cover or contain a comprehensive listing of the activities, duties, or responsibilities that are required of the employee for this job. Duties, responsibilities, and activities may change at any time, with or without notice.</t>
        </is>
      </c>
    </row>
    <row r="146">
      <c r="A146" t="inlineStr">
        <is>
          <t>in-3045efe6a96932bf</t>
        </is>
      </c>
      <c r="B146" t="inlineStr">
        <is>
          <t>Senior AI Engineer</t>
        </is>
      </c>
      <c r="C146" t="inlineStr">
        <is>
          <t>Lenovo</t>
        </is>
      </c>
      <c r="D146" t="inlineStr">
        <is>
          <t>indeed</t>
        </is>
      </c>
      <c r="E146">
        <f>HYPERLINK("https://www.indeed.com/viewjob?jk=3045efe6a96932bf", "https://www.indeed.com/viewjob?jk=3045efe6a96932bf")</f>
        <v/>
      </c>
      <c r="F146">
        <f>HYPERLINK("https://jobs.lenovo.com/en_US/careers/JobDetail/Senior-AI-Engineer/74927", "https://jobs.lenovo.com/en_US/careers/JobDetail/Senior-AI-Engineer/74927")</f>
        <v/>
      </c>
      <c r="G146" t="inlineStr">
        <is>
          <t>Morrisville, NC, US</t>
        </is>
      </c>
      <c r="H146" s="2" t="n">
        <v>46064</v>
      </c>
      <c r="I146" t="inlineStr">
        <is>
          <t>### **General Information**
**Req \#** WD00094606
**Career Area:** Artificial Intelligence
**Country/Region:** United States of America
**State:** North Carolina
**City:** Morrisville
**Date:** Thursday, February 12, 2026
**Working Time:** Full\-time
**Additional Locations**:
* United States of America \- North Carolina \- Morrisville
###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 **Description and Requirements**
**About the Role**
We are seeking a Senior AI Engineer to support Lenovo’s global Marketing and Sales organizations. In this role, you will lead the design and development of agentic AI solutions that accelerate Lenovo’s digital transformation in the AI era. You will work at the intersection of advanced analytics, enterprise systems, and business strategy to deliver scalable, compliant, and high\-impact AI\-driven solutions. This position has a hybrid schedule onsite 3 days per week at our Morrisville, NC office.
**Key Responsibilities**
* Collaborate cross\-functionally with data scientists, business stakeholders, project managers, IT partners, and digital transformation teams to design and deliver leading\-edge AI and analytics solutions.
* Lead end\-to\-end AI/ML initiatives, from problem definition and solution design through implementation, deployment, and business value realization.
* Own and contribute to project management activities, including planning, execution, tracking, and delivery, to ensure projects are completed on time and deliver measurable business outcomes.
* Support portfolio and roadmap management by helping define, track, and report progress against Lenovo’s digital and AI transformation initiatives.
* Act as a solution and system architect, designing and implementing highly available, scalable, secure, and legally compliant AI\-enabled features within core enterprise IT systems.
* Hands\-on participation in proof\-of\-concepts (POCs), model and module development, and code reviews to ensure technical quality, performance, and alignment with complex requirements.
* Evaluate, prototype, and recommend emerging technologies—particularly in advanced analytics, machine learning, and generative/agentic AI—to improve the effectiveness and compliance of Lenovo’s global sales and marketing operations.
* Communicate technical concepts and AI solutions clearly to audiences with diverse technical backgrounds, including senior leadership.
**Basic Qualifications**
* Bachelor’s degree or higher in Computer Science, Artificial Intelligence, Software Engineering, Data Science, Business Analytics, or a related field.
* 5\+ years of hands\-on experience designing and developing ML/AI solutions in production environments.
* At least 1 year of experience delivering or managing AI\-powered applications or platforms in an enterprise setting.
* Solid understanding of the full AI/ML lifecycle, including data preparation, model development, deployment, and monitoring.
**Preferred Qualifications**
* Master’s degree or higher in a relevant field.
* Strong working knowledge of machine learning, large language models (LLMs), and data analytics, with hands\-on development experience preferred.
* Prior experience building AI/ML solutions for marketing and sales use cases.
* Experience designing and implementing agentic AI or multi\-agent systems.
* Demonstrated experience managing project cadence, reporting, and deliverables across multiple stakeholders.
* Proven ability to present and “pitch” AI solutions to audiences at varying levels of technical and leadership seniority.
* Strong collaboration and stakeholder\-influencing skills in cross\-functional, global environments.
* Bilingual proficiency in Mandarin and English is a plus.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North Carolina \- Morrisville</t>
        </is>
      </c>
    </row>
    <row r="147">
      <c r="A147" t="inlineStr">
        <is>
          <t>in-0e8c12aa9755214d</t>
        </is>
      </c>
      <c r="B147" t="inlineStr">
        <is>
          <t>Sr. Applied Scientist, Sponsored Products Off-Search Sourcing</t>
        </is>
      </c>
      <c r="C147" t="inlineStr">
        <is>
          <t>Amazon.com</t>
        </is>
      </c>
      <c r="D147" t="inlineStr">
        <is>
          <t>indeed</t>
        </is>
      </c>
      <c r="E147">
        <f>HYPERLINK("https://www.indeed.com/viewjob?jk=0e8c12aa9755214d", "https://www.indeed.com/viewjob?jk=0e8c12aa9755214d")</f>
        <v/>
      </c>
      <c r="F147">
        <f>HYPERLINK("https://www.amazon.jobs/jobs/3169094/sr-applied-scientist-sponsored-products-offsearch-sourcing?cmpid=DA_INAD200785B", "https://www.amazon.jobs/jobs/3169094/sr-applied-scientist-sponsored-products-offsearch-sourcing?cmpid=DA_INAD200785B")</f>
        <v/>
      </c>
      <c r="G147" t="inlineStr">
        <is>
          <t>New York, NY, US</t>
        </is>
      </c>
      <c r="H147" s="2" t="n">
        <v>46049</v>
      </c>
      <c r="I14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48">
      <c r="A148" t="inlineStr">
        <is>
          <t>in-0981619d74876b19</t>
        </is>
      </c>
      <c r="B148" t="inlineStr">
        <is>
          <t>Sr. Applied Scientist, Sponsored Products Off-Search Sourcing</t>
        </is>
      </c>
      <c r="C148" t="inlineStr">
        <is>
          <t>Amazon.com</t>
        </is>
      </c>
      <c r="D148" t="inlineStr">
        <is>
          <t>indeed</t>
        </is>
      </c>
      <c r="E148">
        <f>HYPERLINK("https://www.indeed.com/viewjob?jk=0981619d74876b19", "https://www.indeed.com/viewjob?jk=0981619d74876b19")</f>
        <v/>
      </c>
      <c r="F148">
        <f>HYPERLINK("https://www.amazon.jobs/jobs/3169094/sr-applied-scientist-sponsored-products-offsearch-sourcing?cmpid=DA_INAD200785B", "https://www.amazon.jobs/jobs/3169094/sr-applied-scientist-sponsored-products-offsearch-sourcing?cmpid=DA_INAD200785B")</f>
        <v/>
      </c>
      <c r="G148" t="inlineStr">
        <is>
          <t>Seattle, WA, US</t>
        </is>
      </c>
      <c r="H148" s="2" t="n">
        <v>46049</v>
      </c>
      <c r="I14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49">
      <c r="A149" t="inlineStr">
        <is>
          <t>in-e54c91bfa7e1772f</t>
        </is>
      </c>
      <c r="B149" t="inlineStr">
        <is>
          <t>Sr. Applied Scientist, Sponsored Products Off-Search Sourcing</t>
        </is>
      </c>
      <c r="C149" t="inlineStr">
        <is>
          <t>Amazon.com</t>
        </is>
      </c>
      <c r="D149" t="inlineStr">
        <is>
          <t>indeed</t>
        </is>
      </c>
      <c r="E149">
        <f>HYPERLINK("https://www.indeed.com/viewjob?jk=e54c91bfa7e1772f", "https://www.indeed.com/viewjob?jk=e54c91bfa7e1772f")</f>
        <v/>
      </c>
      <c r="F149">
        <f>HYPERLINK("https://www.amazon.jobs/jobs/3169094/sr-applied-scientist-sponsored-products-offsearch-sourcing?cmpid=DA_INAD200785B", "https://www.amazon.jobs/jobs/3169094/sr-applied-scientist-sponsored-products-offsearch-sourcing?cmpid=DA_INAD200785B")</f>
        <v/>
      </c>
      <c r="G149" t="inlineStr">
        <is>
          <t>Palo Alto, CA, US</t>
        </is>
      </c>
      <c r="H149" s="2" t="n">
        <v>46049</v>
      </c>
      <c r="I14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50">
      <c r="A150" t="inlineStr">
        <is>
          <t>in-5e44afb287ad56fb</t>
        </is>
      </c>
      <c r="B150" t="inlineStr">
        <is>
          <t>Applied Scientist II, Prime Video Personalization and Discovery Science</t>
        </is>
      </c>
      <c r="C150" t="inlineStr">
        <is>
          <t>Amazon.com</t>
        </is>
      </c>
      <c r="D150" t="inlineStr">
        <is>
          <t>indeed</t>
        </is>
      </c>
      <c r="E150">
        <f>HYPERLINK("https://www.indeed.com/viewjob?jk=5e44afb287ad56fb", "https://www.indeed.com/viewjob?jk=5e44afb287ad56fb")</f>
        <v/>
      </c>
      <c r="F150">
        <f>HYPERLINK("https://www.amazon.jobs/jobs/3168905/applied-scientist-ii-prime-video-personalization-and-discovery-science?cmpid=DA_INAD200785B", "https://www.amazon.jobs/jobs/3168905/applied-scientist-ii-prime-video-personalization-and-discovery-science?cmpid=DA_INAD200785B")</f>
        <v/>
      </c>
      <c r="G150" t="inlineStr">
        <is>
          <t>Sunnyvale, CA, US</t>
        </is>
      </c>
      <c r="H150" s="2" t="n">
        <v>46047</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51">
      <c r="A151" t="inlineStr">
        <is>
          <t>in-40cf750bee202579</t>
        </is>
      </c>
      <c r="B151" t="inlineStr">
        <is>
          <t>Applied Scientist II, Prime Video Personalization and Discovery Science</t>
        </is>
      </c>
      <c r="C151" t="inlineStr">
        <is>
          <t>Amazon.com</t>
        </is>
      </c>
      <c r="D151" t="inlineStr">
        <is>
          <t>indeed</t>
        </is>
      </c>
      <c r="E151">
        <f>HYPERLINK("https://www.indeed.com/viewjob?jk=40cf750bee202579", "https://www.indeed.com/viewjob?jk=40cf750bee202579")</f>
        <v/>
      </c>
      <c r="F151">
        <f>HYPERLINK("https://www.amazon.jobs/jobs/3168905/applied-scientist-ii-prime-video-personalization-and-discovery-science?cmpid=DA_INAD200785B", "https://www.amazon.jobs/jobs/3168905/applied-scientist-ii-prime-video-personalization-and-discovery-science?cmpid=DA_INAD200785B")</f>
        <v/>
      </c>
      <c r="G151" t="inlineStr">
        <is>
          <t>New York, NY, US</t>
        </is>
      </c>
      <c r="H151" s="2" t="n">
        <v>46047</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52">
      <c r="A152" t="inlineStr">
        <is>
          <t>in-7f8d658d39014e91</t>
        </is>
      </c>
      <c r="B152" t="inlineStr">
        <is>
          <t>Applied Scientist, Amazon Connect</t>
        </is>
      </c>
      <c r="C152" t="inlineStr">
        <is>
          <t>Amazon Web Services</t>
        </is>
      </c>
      <c r="D152" t="inlineStr">
        <is>
          <t>indeed</t>
        </is>
      </c>
      <c r="E152">
        <f>HYPERLINK("https://www.indeed.com/viewjob?jk=7f8d658d39014e91", "https://www.indeed.com/viewjob?jk=7f8d658d39014e91")</f>
        <v/>
      </c>
      <c r="F152">
        <f>HYPERLINK("https://www.amazon.jobs/jobs/3168981/applied-scientist-amazon-connect?cmpid=DA_INAD200785B", "https://www.amazon.jobs/jobs/3168981/applied-scientist-amazon-connect?cmpid=DA_INAD200785B")</f>
        <v/>
      </c>
      <c r="G152" t="inlineStr">
        <is>
          <t>Seattle, WA, US</t>
        </is>
      </c>
      <c r="H152" s="2" t="n">
        <v>46047</v>
      </c>
      <c r="I152"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53">
      <c r="A153" t="inlineStr">
        <is>
          <t>in-ebb4469ccf09da5c</t>
        </is>
      </c>
      <c r="B153" t="inlineStr">
        <is>
          <t>Applied Scientist II, Prime Video Personalization and Discovery Science</t>
        </is>
      </c>
      <c r="C153" t="inlineStr">
        <is>
          <t>Amazon.com</t>
        </is>
      </c>
      <c r="D153" t="inlineStr">
        <is>
          <t>indeed</t>
        </is>
      </c>
      <c r="E153">
        <f>HYPERLINK("https://www.indeed.com/viewjob?jk=ebb4469ccf09da5c", "https://www.indeed.com/viewjob?jk=ebb4469ccf09da5c")</f>
        <v/>
      </c>
      <c r="F153">
        <f>HYPERLINK("https://www.amazon.jobs/jobs/3168905/applied-scientist-ii-prime-video-personalization-and-discovery-science?cmpid=DA_INAD200785B", "https://www.amazon.jobs/jobs/3168905/applied-scientist-ii-prime-video-personalization-and-discovery-science?cmpid=DA_INAD200785B")</f>
        <v/>
      </c>
      <c r="G153" t="inlineStr">
        <is>
          <t>Seattle, WA, US</t>
        </is>
      </c>
      <c r="H153" s="2" t="n">
        <v>46047</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54">
      <c r="A154" t="inlineStr">
        <is>
          <t>in-dc37b2c16103a3f9</t>
        </is>
      </c>
      <c r="B154" t="inlineStr">
        <is>
          <t>Applied Scientist, Amazon Connect</t>
        </is>
      </c>
      <c r="C154" t="inlineStr">
        <is>
          <t>Amazon Web Services</t>
        </is>
      </c>
      <c r="D154" t="inlineStr">
        <is>
          <t>indeed</t>
        </is>
      </c>
      <c r="E154">
        <f>HYPERLINK("https://www.indeed.com/viewjob?jk=dc37b2c16103a3f9", "https://www.indeed.com/viewjob?jk=dc37b2c16103a3f9")</f>
        <v/>
      </c>
      <c r="F154">
        <f>HYPERLINK("https://www.amazon.jobs/jobs/3168981/applied-scientist-amazon-connect?cmpid=DA_INAD200785B", "https://www.amazon.jobs/jobs/3168981/applied-scientist-amazon-connect?cmpid=DA_INAD200785B")</f>
        <v/>
      </c>
      <c r="G154" t="inlineStr">
        <is>
          <t>New York, NY, US</t>
        </is>
      </c>
      <c r="H154" s="2" t="n">
        <v>46047</v>
      </c>
      <c r="I154"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55">
      <c r="A155" t="inlineStr">
        <is>
          <t>in-1e05e74b2f8dbd56</t>
        </is>
      </c>
      <c r="B155" t="inlineStr">
        <is>
          <t>Machine Learning Engineer, WWPS ProServe Data and Machine Learning</t>
        </is>
      </c>
      <c r="C155" t="inlineStr">
        <is>
          <t>Amazon Web Services</t>
        </is>
      </c>
      <c r="D155" t="inlineStr">
        <is>
          <t>indeed</t>
        </is>
      </c>
      <c r="E155">
        <f>HYPERLINK("https://www.indeed.com/viewjob?jk=1e05e74b2f8dbd56", "https://www.indeed.com/viewjob?jk=1e05e74b2f8dbd56")</f>
        <v/>
      </c>
      <c r="F155">
        <f>HYPERLINK("https://www.amazon.jobs/jobs/3168180/machine-learning-engineer-wwps-proserve-data-and-machine-learning?cmpid=DA_INAD200785B", "https://www.amazon.jobs/jobs/3168180/machine-learning-engineer-wwps-proserve-data-and-machine-learning?cmpid=DA_INAD200785B")</f>
        <v/>
      </c>
      <c r="G155" t="inlineStr">
        <is>
          <t>Herndon, VA, US</t>
        </is>
      </c>
      <c r="H155" s="2" t="n">
        <v>46043</v>
      </c>
      <c r="I155"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56">
      <c r="A156" t="inlineStr">
        <is>
          <t>in-da5e90b26cc08d07</t>
        </is>
      </c>
      <c r="B156" t="inlineStr">
        <is>
          <t>Machine Learning Engineer, WWPS ProServe Data and Machine Learning</t>
        </is>
      </c>
      <c r="C156" t="inlineStr">
        <is>
          <t>Amazon Web Services</t>
        </is>
      </c>
      <c r="D156" t="inlineStr">
        <is>
          <t>indeed</t>
        </is>
      </c>
      <c r="E156">
        <f>HYPERLINK("https://www.indeed.com/viewjob?jk=da5e90b26cc08d07", "https://www.indeed.com/viewjob?jk=da5e90b26cc08d07")</f>
        <v/>
      </c>
      <c r="F156">
        <f>HYPERLINK("https://www.amazon.jobs/jobs/3168180/machine-learning-engineer-wwps-proserve-data-and-machine-learning?cmpid=DA_INAD200785B", "https://www.amazon.jobs/jobs/3168180/machine-learning-engineer-wwps-proserve-data-and-machine-learning?cmpid=DA_INAD200785B")</f>
        <v/>
      </c>
      <c r="G156" t="inlineStr">
        <is>
          <t>Arlington, VA, US</t>
        </is>
      </c>
      <c r="H156" s="2" t="n">
        <v>46043</v>
      </c>
      <c r="I15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57">
      <c r="A157" t="inlineStr">
        <is>
          <t>in-c1e32fd62a908389</t>
        </is>
      </c>
      <c r="B157" t="inlineStr">
        <is>
          <t>Applied Scientist, Safety ML</t>
        </is>
      </c>
      <c r="C157" t="inlineStr">
        <is>
          <t>Amazon.com</t>
        </is>
      </c>
      <c r="D157" t="inlineStr">
        <is>
          <t>indeed</t>
        </is>
      </c>
      <c r="E157">
        <f>HYPERLINK("https://www.indeed.com/viewjob?jk=c1e32fd62a908389", "https://www.indeed.com/viewjob?jk=c1e32fd62a908389")</f>
        <v/>
      </c>
      <c r="F157">
        <f>HYPERLINK("https://www.amazon.jobs/jobs/3161224/applied-scientist-safety-ml?cmpid=DA_INAD200785B", "https://www.amazon.jobs/jobs/3161224/applied-scientist-safety-ml?cmpid=DA_INAD200785B")</f>
        <v/>
      </c>
      <c r="G157" t="inlineStr">
        <is>
          <t>San Francisco, CA, US</t>
        </is>
      </c>
      <c r="H157" s="2" t="n">
        <v>46037</v>
      </c>
      <c r="I1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58">
      <c r="A158" t="inlineStr">
        <is>
          <t>in-d873ab8057a2ae8e</t>
        </is>
      </c>
      <c r="B158" t="inlineStr">
        <is>
          <t>Applied Scientist, Safety ML</t>
        </is>
      </c>
      <c r="C158" t="inlineStr">
        <is>
          <t>Amazon.com</t>
        </is>
      </c>
      <c r="D158" t="inlineStr">
        <is>
          <t>indeed</t>
        </is>
      </c>
      <c r="E158">
        <f>HYPERLINK("https://www.indeed.com/viewjob?jk=d873ab8057a2ae8e", "https://www.indeed.com/viewjob?jk=d873ab8057a2ae8e")</f>
        <v/>
      </c>
      <c r="F158">
        <f>HYPERLINK("https://www.amazon.jobs/jobs/3161224/applied-scientist-safety-ml?cmpid=DA_INAD200785B", "https://www.amazon.jobs/jobs/3161224/applied-scientist-safety-ml?cmpid=DA_INAD200785B")</f>
        <v/>
      </c>
      <c r="G158" t="inlineStr">
        <is>
          <t>Seattle, WA, US</t>
        </is>
      </c>
      <c r="H158" s="2" t="n">
        <v>46037</v>
      </c>
      <c r="I1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59">
      <c r="A159" t="inlineStr">
        <is>
          <t>in-f9c82b7e47286a97</t>
        </is>
      </c>
      <c r="B159" t="inlineStr">
        <is>
          <t>Applied Scientist, LLM Code Agents, Kiro Science</t>
        </is>
      </c>
      <c r="C159" t="inlineStr">
        <is>
          <t>Amazon.com</t>
        </is>
      </c>
      <c r="D159" t="inlineStr">
        <is>
          <t>indeed</t>
        </is>
      </c>
      <c r="E159">
        <f>HYPERLINK("https://www.indeed.com/viewjob?jk=f9c82b7e47286a97", "https://www.indeed.com/viewjob?jk=f9c82b7e47286a97")</f>
        <v/>
      </c>
      <c r="F159">
        <f>HYPERLINK("https://www.amazon.jobs/jobs/3161363/applied-scientist-llm-code-agents-kiro-science?cmpid=DA_INAD200785B", "https://www.amazon.jobs/jobs/3161363/applied-scientist-llm-code-agents-kiro-science?cmpid=DA_INAD200785B")</f>
        <v/>
      </c>
      <c r="G159" t="inlineStr">
        <is>
          <t>Santa Clara, CA, US</t>
        </is>
      </c>
      <c r="H159" s="2" t="n">
        <v>46035</v>
      </c>
      <c r="I15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60">
      <c r="A160" t="inlineStr">
        <is>
          <t>in-cb51d528cf32f7a1</t>
        </is>
      </c>
      <c r="B160" t="inlineStr">
        <is>
          <t>Applied Scientist, LLM Code Agents, Kiro Science</t>
        </is>
      </c>
      <c r="C160" t="inlineStr">
        <is>
          <t>Amazon.com</t>
        </is>
      </c>
      <c r="D160" t="inlineStr">
        <is>
          <t>indeed</t>
        </is>
      </c>
      <c r="E160">
        <f>HYPERLINK("https://www.indeed.com/viewjob?jk=cb51d528cf32f7a1", "https://www.indeed.com/viewjob?jk=cb51d528cf32f7a1")</f>
        <v/>
      </c>
      <c r="F160">
        <f>HYPERLINK("https://www.amazon.jobs/jobs/3161363/applied-scientist-llm-code-agents-kiro-science?cmpid=DA_INAD200785B", "https://www.amazon.jobs/jobs/3161363/applied-scientist-llm-code-agents-kiro-science?cmpid=DA_INAD200785B")</f>
        <v/>
      </c>
      <c r="G160" t="inlineStr">
        <is>
          <t>Seattle, WA, US</t>
        </is>
      </c>
      <c r="H160" s="2" t="n">
        <v>46035</v>
      </c>
      <c r="I16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61">
      <c r="A161" t="inlineStr">
        <is>
          <t>in-eaa6f1b7f8fd1798</t>
        </is>
      </c>
      <c r="B161" t="inlineStr">
        <is>
          <t>Applied Scientist II, Prime Video Personalization and Discovery Science</t>
        </is>
      </c>
      <c r="C161" t="inlineStr">
        <is>
          <t>Amazon.com</t>
        </is>
      </c>
      <c r="D161" t="inlineStr">
        <is>
          <t>indeed</t>
        </is>
      </c>
      <c r="E161">
        <f>HYPERLINK("https://www.indeed.com/viewjob?jk=eaa6f1b7f8fd1798", "https://www.indeed.com/viewjob?jk=eaa6f1b7f8fd1798")</f>
        <v/>
      </c>
      <c r="F161">
        <f>HYPERLINK("https://www.amazon.jobs/jobs/3165157/applied-scientist-ii-prime-video-personalization-and-discovery-science?cmpid=DA_INAD200785B", "https://www.amazon.jobs/jobs/3165157/applied-scientist-ii-prime-video-personalization-and-discovery-science?cmpid=DA_INAD200785B")</f>
        <v/>
      </c>
      <c r="G161" t="inlineStr">
        <is>
          <t>Sunnyvale, CA, US</t>
        </is>
      </c>
      <c r="H161" s="2" t="n">
        <v>46034</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62">
      <c r="A162" t="inlineStr">
        <is>
          <t>in-75b50a71c98931ea</t>
        </is>
      </c>
      <c r="B162" t="inlineStr">
        <is>
          <t>Applied Scientist II, Prime Video Personalization and Discovery Science</t>
        </is>
      </c>
      <c r="C162" t="inlineStr">
        <is>
          <t>Amazon.com</t>
        </is>
      </c>
      <c r="D162" t="inlineStr">
        <is>
          <t>indeed</t>
        </is>
      </c>
      <c r="E162">
        <f>HYPERLINK("https://www.indeed.com/viewjob?jk=75b50a71c98931ea", "https://www.indeed.com/viewjob?jk=75b50a71c98931ea")</f>
        <v/>
      </c>
      <c r="F162">
        <f>HYPERLINK("https://www.amazon.jobs/jobs/3165157/applied-scientist-ii-prime-video-personalization-and-discovery-science?cmpid=DA_INAD200785B", "https://www.amazon.jobs/jobs/3165157/applied-scientist-ii-prime-video-personalization-and-discovery-science?cmpid=DA_INAD200785B")</f>
        <v/>
      </c>
      <c r="G162" t="inlineStr">
        <is>
          <t>Seattle, WA, US</t>
        </is>
      </c>
      <c r="H162" s="2" t="n">
        <v>46034</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63">
      <c r="A163" t="inlineStr">
        <is>
          <t>in-1b0b181e01eefcc0</t>
        </is>
      </c>
      <c r="B163" t="inlineStr">
        <is>
          <t>Sr Applied Scientist, AWS Proactive Security</t>
        </is>
      </c>
      <c r="C163" t="inlineStr">
        <is>
          <t>Amazon.com</t>
        </is>
      </c>
      <c r="D163" t="inlineStr">
        <is>
          <t>indeed</t>
        </is>
      </c>
      <c r="E163">
        <f>HYPERLINK("https://www.indeed.com/viewjob?jk=1b0b181e01eefcc0", "https://www.indeed.com/viewjob?jk=1b0b181e01eefcc0")</f>
        <v/>
      </c>
      <c r="F163">
        <f>HYPERLINK("https://www.amazon.jobs/jobs/3164664/sr-applied-scientist-aws-proactive-security?cmpid=DA_INAD200785B", "https://www.amazon.jobs/jobs/3164664/sr-applied-scientist-aws-proactive-security?cmpid=DA_INAD200785B")</f>
        <v/>
      </c>
      <c r="G163" t="inlineStr">
        <is>
          <t>Arlington, VA, US</t>
        </is>
      </c>
      <c r="H163" s="2" t="n">
        <v>46030</v>
      </c>
      <c r="I163"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64">
      <c r="A164" t="inlineStr">
        <is>
          <t>in-d3177bb79f614030</t>
        </is>
      </c>
      <c r="B164" t="inlineStr">
        <is>
          <t>Sr Applied Scientist, AWS Proactive Security</t>
        </is>
      </c>
      <c r="C164" t="inlineStr">
        <is>
          <t>Amazon.com</t>
        </is>
      </c>
      <c r="D164" t="inlineStr">
        <is>
          <t>indeed</t>
        </is>
      </c>
      <c r="E164">
        <f>HYPERLINK("https://www.indeed.com/viewjob?jk=d3177bb79f614030", "https://www.indeed.com/viewjob?jk=d3177bb79f614030")</f>
        <v/>
      </c>
      <c r="F164">
        <f>HYPERLINK("https://www.amazon.jobs/jobs/3164664/sr-applied-scientist-aws-proactive-security?cmpid=DA_INAD200785B", "https://www.amazon.jobs/jobs/3164664/sr-applied-scientist-aws-proactive-security?cmpid=DA_INAD200785B")</f>
        <v/>
      </c>
      <c r="G164" t="inlineStr">
        <is>
          <t>Sunnyvale, CA, US</t>
        </is>
      </c>
      <c r="H164" s="2" t="n">
        <v>46030</v>
      </c>
      <c r="I16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65">
      <c r="A165" t="inlineStr">
        <is>
          <t>in-0c44803343763691</t>
        </is>
      </c>
      <c r="B165" t="inlineStr">
        <is>
          <t>Sr Applied Scientist, AWS Proactive Security</t>
        </is>
      </c>
      <c r="C165" t="inlineStr">
        <is>
          <t>Amazon.com</t>
        </is>
      </c>
      <c r="D165" t="inlineStr">
        <is>
          <t>indeed</t>
        </is>
      </c>
      <c r="E165">
        <f>HYPERLINK("https://www.indeed.com/viewjob?jk=0c44803343763691", "https://www.indeed.com/viewjob?jk=0c44803343763691")</f>
        <v/>
      </c>
      <c r="F165">
        <f>HYPERLINK("https://www.amazon.jobs/jobs/3164664/sr-applied-scientist-aws-proactive-security?cmpid=DA_INAD200785B", "https://www.amazon.jobs/jobs/3164664/sr-applied-scientist-aws-proactive-security?cmpid=DA_INAD200785B")</f>
        <v/>
      </c>
      <c r="G165" t="inlineStr">
        <is>
          <t>Herndon, VA, US</t>
        </is>
      </c>
      <c r="H165" s="2" t="n">
        <v>46030</v>
      </c>
      <c r="I165"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66">
      <c r="A166" t="inlineStr">
        <is>
          <t>in-7f6819ac5450e2ee</t>
        </is>
      </c>
      <c r="B166" t="inlineStr">
        <is>
          <t>Applied Scientist, AWS Applied AI Solutions</t>
        </is>
      </c>
      <c r="C166" t="inlineStr">
        <is>
          <t>Amazon Web Services</t>
        </is>
      </c>
      <c r="D166" t="inlineStr">
        <is>
          <t>indeed</t>
        </is>
      </c>
      <c r="E166">
        <f>HYPERLINK("https://www.indeed.com/viewjob?jk=7f6819ac5450e2ee", "https://www.indeed.com/viewjob?jk=7f6819ac5450e2ee")</f>
        <v/>
      </c>
      <c r="F166">
        <f>HYPERLINK("https://www.amazon.jobs/jobs/3166907/applied-scientist-aws-applied-ai-solutions?cmpid=DA_INAD200785B", "https://www.amazon.jobs/jobs/3166907/applied-scientist-aws-applied-ai-solutions?cmpid=DA_INAD200785B")</f>
        <v/>
      </c>
      <c r="G166" t="inlineStr">
        <is>
          <t>New York, NY, US</t>
        </is>
      </c>
      <c r="H166" s="2" t="n">
        <v>46030</v>
      </c>
      <c r="I16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7">
      <c r="A167" t="inlineStr">
        <is>
          <t>in-f7776705cf04571e</t>
        </is>
      </c>
      <c r="B167" t="inlineStr">
        <is>
          <t>Applied Scientist, AWS Applied AI Solutions</t>
        </is>
      </c>
      <c r="C167" t="inlineStr">
        <is>
          <t>Amazon Web Services</t>
        </is>
      </c>
      <c r="D167" t="inlineStr">
        <is>
          <t>indeed</t>
        </is>
      </c>
      <c r="E167">
        <f>HYPERLINK("https://www.indeed.com/viewjob?jk=f7776705cf04571e", "https://www.indeed.com/viewjob?jk=f7776705cf04571e")</f>
        <v/>
      </c>
      <c r="F167">
        <f>HYPERLINK("https://www.amazon.jobs/jobs/3166907/applied-scientist-aws-applied-ai-solutions?cmpid=DA_INAD200785B", "https://www.amazon.jobs/jobs/3166907/applied-scientist-aws-applied-ai-solutions?cmpid=DA_INAD200785B")</f>
        <v/>
      </c>
      <c r="G167" t="inlineStr">
        <is>
          <t>Seattle, WA, US</t>
        </is>
      </c>
      <c r="H167" s="2" t="n">
        <v>46030</v>
      </c>
      <c r="I167"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8">
      <c r="A168" t="inlineStr">
        <is>
          <t>in-db0886cdc8b33140</t>
        </is>
      </c>
      <c r="B168" t="inlineStr">
        <is>
          <t>Applied Scientist, Last Mile Delivery Automation</t>
        </is>
      </c>
      <c r="C168" t="inlineStr">
        <is>
          <t>Amazon.com</t>
        </is>
      </c>
      <c r="D168" t="inlineStr">
        <is>
          <t>indeed</t>
        </is>
      </c>
      <c r="E168">
        <f>HYPERLINK("https://www.indeed.com/viewjob?jk=db0886cdc8b33140", "https://www.indeed.com/viewjob?jk=db0886cdc8b33140")</f>
        <v/>
      </c>
      <c r="F168">
        <f>HYPERLINK("https://www.amazon.jobs/jobs/3155354/applied-scientist-last-mile-delivery-automation?cmpid=DA_INAD200785B", "https://www.amazon.jobs/jobs/3155354/applied-scientist-last-mile-delivery-automation?cmpid=DA_INAD200785B")</f>
        <v/>
      </c>
      <c r="G168" t="inlineStr">
        <is>
          <t>Santa Clara, CA, US</t>
        </is>
      </c>
      <c r="H168" s="2" t="n">
        <v>46026</v>
      </c>
      <c r="I168"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in-8cd3dab4351c3e7c</t>
        </is>
      </c>
      <c r="B169" t="inlineStr">
        <is>
          <t>Applied Scientist, Last Mile Delivery Automation</t>
        </is>
      </c>
      <c r="C169" t="inlineStr">
        <is>
          <t>Amazon.com</t>
        </is>
      </c>
      <c r="D169" t="inlineStr">
        <is>
          <t>indeed</t>
        </is>
      </c>
      <c r="E169">
        <f>HYPERLINK("https://www.indeed.com/viewjob?jk=8cd3dab4351c3e7c", "https://www.indeed.com/viewjob?jk=8cd3dab4351c3e7c")</f>
        <v/>
      </c>
      <c r="F169">
        <f>HYPERLINK("https://www.amazon.jobs/jobs/3155354/applied-scientist-last-mile-delivery-automation?cmpid=DA_INAD200785B", "https://www.amazon.jobs/jobs/3155354/applied-scientist-last-mile-delivery-automation?cmpid=DA_INAD200785B")</f>
        <v/>
      </c>
      <c r="G169" t="inlineStr">
        <is>
          <t>Bellevue, WA, US</t>
        </is>
      </c>
      <c r="H169" s="2" t="n">
        <v>46026</v>
      </c>
      <c r="I169"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in-e9997054f188ba7a</t>
        </is>
      </c>
      <c r="B170" t="inlineStr">
        <is>
          <t>Senior Applied Scientist, Sponsored Products and Brands, Off-Search</t>
        </is>
      </c>
      <c r="C170" t="inlineStr">
        <is>
          <t>Amazon.com</t>
        </is>
      </c>
      <c r="D170" t="inlineStr">
        <is>
          <t>indeed</t>
        </is>
      </c>
      <c r="E170">
        <f>HYPERLINK("https://www.indeed.com/viewjob?jk=e9997054f188ba7a", "https://www.indeed.com/viewjob?jk=e9997054f188ba7a")</f>
        <v/>
      </c>
      <c r="F170">
        <f>HYPERLINK("https://www.amazon.jobs/jobs/3153569/senior-applied-scientist-sponsored-products-and-brands-offsearch?cmpid=DA_INAD200785B", "https://www.amazon.jobs/jobs/3153569/senior-applied-scientist-sponsored-products-and-brands-offsearch?cmpid=DA_INAD200785B")</f>
        <v/>
      </c>
      <c r="G170" t="inlineStr">
        <is>
          <t>New York, NY, US</t>
        </is>
      </c>
      <c r="H170" s="2" t="n">
        <v>46017</v>
      </c>
      <c r="I17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in-5dfef6a128297dd8</t>
        </is>
      </c>
      <c r="B171" t="inlineStr">
        <is>
          <t>Senior Applied Scientist, Sponsored Products and Brands, Off-Search</t>
        </is>
      </c>
      <c r="C171" t="inlineStr">
        <is>
          <t>Amazon.com</t>
        </is>
      </c>
      <c r="D171" t="inlineStr">
        <is>
          <t>indeed</t>
        </is>
      </c>
      <c r="E171">
        <f>HYPERLINK("https://www.indeed.com/viewjob?jk=5dfef6a128297dd8", "https://www.indeed.com/viewjob?jk=5dfef6a128297dd8")</f>
        <v/>
      </c>
      <c r="F171">
        <f>HYPERLINK("https://www.amazon.jobs/jobs/3153569/senior-applied-scientist-sponsored-products-and-brands-offsearch?cmpid=DA_INAD200785B", "https://www.amazon.jobs/jobs/3153569/senior-applied-scientist-sponsored-products-and-brands-offsearch?cmpid=DA_INAD200785B")</f>
        <v/>
      </c>
      <c r="G171" t="inlineStr">
        <is>
          <t>Palo Alto, CA, US</t>
        </is>
      </c>
      <c r="H171" s="2" t="n">
        <v>46017</v>
      </c>
      <c r="I17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in-5bb829245cbff62f</t>
        </is>
      </c>
      <c r="B172" t="inlineStr">
        <is>
          <t>Senior Applied Scientist, Sponsored Products and Brands, Off-Search</t>
        </is>
      </c>
      <c r="C172" t="inlineStr">
        <is>
          <t>Amazon.com</t>
        </is>
      </c>
      <c r="D172" t="inlineStr">
        <is>
          <t>indeed</t>
        </is>
      </c>
      <c r="E172">
        <f>HYPERLINK("https://www.indeed.com/viewjob?jk=5bb829245cbff62f", "https://www.indeed.com/viewjob?jk=5bb829245cbff62f")</f>
        <v/>
      </c>
      <c r="F172">
        <f>HYPERLINK("https://www.amazon.jobs/jobs/3153569/senior-applied-scientist-sponsored-products-and-brands-offsearch?cmpid=DA_INAD200785B", "https://www.amazon.jobs/jobs/3153569/senior-applied-scientist-sponsored-products-and-brands-offsearch?cmpid=DA_INAD200785B")</f>
        <v/>
      </c>
      <c r="G172" t="inlineStr">
        <is>
          <t>Seattle, WA, US</t>
        </is>
      </c>
      <c r="H172" s="2" t="n">
        <v>46017</v>
      </c>
      <c r="I172"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in-f11ab4a9aeca1146</t>
        </is>
      </c>
      <c r="B173" t="inlineStr">
        <is>
          <t>Applied Scientist II, Prime Video - Personalization and Discovery Science</t>
        </is>
      </c>
      <c r="C173" t="inlineStr">
        <is>
          <t>Amazon.com</t>
        </is>
      </c>
      <c r="D173" t="inlineStr">
        <is>
          <t>indeed</t>
        </is>
      </c>
      <c r="E173">
        <f>HYPERLINK("https://www.indeed.com/viewjob?jk=f11ab4a9aeca1146", "https://www.indeed.com/viewjob?jk=f11ab4a9aeca1146")</f>
        <v/>
      </c>
      <c r="F173">
        <f>HYPERLINK("https://www.amazon.jobs/jobs/3154128/applied-scientist-ii-prime-video--personalization-and-discovery-science?cmpid=DA_INAD200785B", "https://www.amazon.jobs/jobs/3154128/applied-scientist-ii-prime-video--personalization-and-discovery-science?cmpid=DA_INAD200785B")</f>
        <v/>
      </c>
      <c r="G173" t="inlineStr">
        <is>
          <t>Sunnyvale, CA, US</t>
        </is>
      </c>
      <c r="H173" s="2" t="n">
        <v>46012</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74">
      <c r="A174" t="inlineStr">
        <is>
          <t>in-f2208dd8a7dafb78</t>
        </is>
      </c>
      <c r="B174" t="inlineStr">
        <is>
          <t>Applied Scientist II, Prime Video - Personalization and Discovery Science</t>
        </is>
      </c>
      <c r="C174" t="inlineStr">
        <is>
          <t>Amazon.com</t>
        </is>
      </c>
      <c r="D174" t="inlineStr">
        <is>
          <t>indeed</t>
        </is>
      </c>
      <c r="E174">
        <f>HYPERLINK("https://www.indeed.com/viewjob?jk=f2208dd8a7dafb78", "https://www.indeed.com/viewjob?jk=f2208dd8a7dafb78")</f>
        <v/>
      </c>
      <c r="F174">
        <f>HYPERLINK("https://www.amazon.jobs/jobs/3154128/applied-scientist-ii-prime-video--personalization-and-discovery-science?cmpid=DA_INAD200785B", "https://www.amazon.jobs/jobs/3154128/applied-scientist-ii-prime-video--personalization-and-discovery-science?cmpid=DA_INAD200785B")</f>
        <v/>
      </c>
      <c r="G174" t="inlineStr">
        <is>
          <t>Seattle, WA, US</t>
        </is>
      </c>
      <c r="H174" s="2" t="n">
        <v>46012</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75">
      <c r="A175" t="inlineStr">
        <is>
          <t>in-1a22a760cc00d3de</t>
        </is>
      </c>
      <c r="B175" t="inlineStr">
        <is>
          <t>Principal Applied Scientist, Kiro Science</t>
        </is>
      </c>
      <c r="C175" t="inlineStr">
        <is>
          <t>Amazon Web Services</t>
        </is>
      </c>
      <c r="D175" t="inlineStr">
        <is>
          <t>indeed</t>
        </is>
      </c>
      <c r="E175">
        <f>HYPERLINK("https://www.indeed.com/viewjob?jk=1a22a760cc00d3de", "https://www.indeed.com/viewjob?jk=1a22a760cc00d3de")</f>
        <v/>
      </c>
      <c r="F175">
        <f>HYPERLINK("https://www.amazon.jobs/jobs/3161064/principal-applied-scientist-kiro-science?cmpid=DA_INAD200785B", "https://www.amazon.jobs/jobs/3161064/principal-applied-scientist-kiro-science?cmpid=DA_INAD200785B")</f>
        <v/>
      </c>
      <c r="G175" t="inlineStr">
        <is>
          <t>New York, NY, US</t>
        </is>
      </c>
      <c r="H175" s="2" t="n">
        <v>45999</v>
      </c>
      <c r="I17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76">
      <c r="A176" t="inlineStr">
        <is>
          <t>in-9466a768487a6da5</t>
        </is>
      </c>
      <c r="B176" t="inlineStr">
        <is>
          <t>Principal Applied Scientist, Kiro Science</t>
        </is>
      </c>
      <c r="C176" t="inlineStr">
        <is>
          <t>Amazon Web Services</t>
        </is>
      </c>
      <c r="D176" t="inlineStr">
        <is>
          <t>indeed</t>
        </is>
      </c>
      <c r="E176">
        <f>HYPERLINK("https://www.indeed.com/viewjob?jk=9466a768487a6da5", "https://www.indeed.com/viewjob?jk=9466a768487a6da5")</f>
        <v/>
      </c>
      <c r="F176">
        <f>HYPERLINK("https://www.amazon.jobs/jobs/3161064/principal-applied-scientist-kiro-science?cmpid=DA_INAD200785B", "https://www.amazon.jobs/jobs/3161064/principal-applied-scientist-kiro-science?cmpid=DA_INAD200785B")</f>
        <v/>
      </c>
      <c r="G176" t="inlineStr">
        <is>
          <t>Santa Clara, CA, US</t>
        </is>
      </c>
      <c r="H176" s="2" t="n">
        <v>45999</v>
      </c>
      <c r="I17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77">
      <c r="A177" t="inlineStr">
        <is>
          <t>in-d4597831ef6fee4b</t>
        </is>
      </c>
      <c r="B177" t="inlineStr">
        <is>
          <t>Sr. Applied Scientist, Amazon Ads</t>
        </is>
      </c>
      <c r="C177" t="inlineStr">
        <is>
          <t>Amazon.com</t>
        </is>
      </c>
      <c r="D177" t="inlineStr">
        <is>
          <t>indeed</t>
        </is>
      </c>
      <c r="E177">
        <f>HYPERLINK("https://www.indeed.com/viewjob?jk=d4597831ef6fee4b", "https://www.indeed.com/viewjob?jk=d4597831ef6fee4b")</f>
        <v/>
      </c>
      <c r="F177">
        <f>HYPERLINK("https://www.amazon.jobs/jobs/3139328/sr-applied-scientist-amazon-ads?cmpid=DA_INAD200785B", "https://www.amazon.jobs/jobs/3139328/sr-applied-scientist-amazon-ads?cmpid=DA_INAD200785B")</f>
        <v/>
      </c>
      <c r="G177" t="inlineStr">
        <is>
          <t>Palo Alto, CA, US</t>
        </is>
      </c>
      <c r="H177" s="2" t="n">
        <v>45998</v>
      </c>
      <c r="I17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8">
      <c r="A178" t="inlineStr">
        <is>
          <t>in-2c009fdab5dcd7c2</t>
        </is>
      </c>
      <c r="B178" t="inlineStr">
        <is>
          <t>Sr. Applied Scientist, Amazon Ads</t>
        </is>
      </c>
      <c r="C178" t="inlineStr">
        <is>
          <t>Amazon.com</t>
        </is>
      </c>
      <c r="D178" t="inlineStr">
        <is>
          <t>indeed</t>
        </is>
      </c>
      <c r="E178">
        <f>HYPERLINK("https://www.indeed.com/viewjob?jk=2c009fdab5dcd7c2", "https://www.indeed.com/viewjob?jk=2c009fdab5dcd7c2")</f>
        <v/>
      </c>
      <c r="F178">
        <f>HYPERLINK("https://www.amazon.jobs/jobs/3139328/sr-applied-scientist-amazon-ads?cmpid=DA_INAD200785B", "https://www.amazon.jobs/jobs/3139328/sr-applied-scientist-amazon-ads?cmpid=DA_INAD200785B")</f>
        <v/>
      </c>
      <c r="G178" t="inlineStr">
        <is>
          <t>Tukwila, WA, US</t>
        </is>
      </c>
      <c r="H178" s="2" t="n">
        <v>45998</v>
      </c>
      <c r="I17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9">
      <c r="A179" t="inlineStr">
        <is>
          <t>in-0213348a1ba8cf4f</t>
        </is>
      </c>
      <c r="B179" t="inlineStr">
        <is>
          <t>Sr. Applied Scientist, Amazon Ads</t>
        </is>
      </c>
      <c r="C179" t="inlineStr">
        <is>
          <t>Amazon.com</t>
        </is>
      </c>
      <c r="D179" t="inlineStr">
        <is>
          <t>indeed</t>
        </is>
      </c>
      <c r="E179">
        <f>HYPERLINK("https://www.indeed.com/viewjob?jk=0213348a1ba8cf4f", "https://www.indeed.com/viewjob?jk=0213348a1ba8cf4f")</f>
        <v/>
      </c>
      <c r="F179">
        <f>HYPERLINK("https://www.amazon.jobs/jobs/3139328/sr-applied-scientist-amazon-ads?cmpid=DA_INAD200785B", "https://www.amazon.jobs/jobs/3139328/sr-applied-scientist-amazon-ads?cmpid=DA_INAD200785B")</f>
        <v/>
      </c>
      <c r="G179" t="inlineStr">
        <is>
          <t>Seattle, WA, US</t>
        </is>
      </c>
      <c r="H179" s="2" t="n">
        <v>45998</v>
      </c>
      <c r="I17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0">
      <c r="A180" t="inlineStr">
        <is>
          <t>in-7b54c502f750622c</t>
        </is>
      </c>
      <c r="B180" t="inlineStr">
        <is>
          <t>Sr. Applied Scientist, Amazon Ads</t>
        </is>
      </c>
      <c r="C180" t="inlineStr">
        <is>
          <t>Amazon.com</t>
        </is>
      </c>
      <c r="D180" t="inlineStr">
        <is>
          <t>indeed</t>
        </is>
      </c>
      <c r="E180">
        <f>HYPERLINK("https://www.indeed.com/viewjob?jk=7b54c502f750622c", "https://www.indeed.com/viewjob?jk=7b54c502f750622c")</f>
        <v/>
      </c>
      <c r="F180">
        <f>HYPERLINK("https://www.amazon.jobs/jobs/3139328/sr-applied-scientist-amazon-ads?cmpid=DA_INAD200785B", "https://www.amazon.jobs/jobs/3139328/sr-applied-scientist-amazon-ads?cmpid=DA_INAD200785B")</f>
        <v/>
      </c>
      <c r="G180" t="inlineStr">
        <is>
          <t>Brooklyn, NY, US</t>
        </is>
      </c>
      <c r="H180" s="2" t="n">
        <v>45998</v>
      </c>
      <c r="I18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1">
      <c r="A181" t="inlineStr">
        <is>
          <t>in-be93f3288cdb10a3</t>
        </is>
      </c>
      <c r="B181" t="inlineStr">
        <is>
          <t>Sr. Applied Scientist, Amazon Ads</t>
        </is>
      </c>
      <c r="C181" t="inlineStr">
        <is>
          <t>Amazon.com</t>
        </is>
      </c>
      <c r="D181" t="inlineStr">
        <is>
          <t>indeed</t>
        </is>
      </c>
      <c r="E181">
        <f>HYPERLINK("https://www.indeed.com/viewjob?jk=be93f3288cdb10a3", "https://www.indeed.com/viewjob?jk=be93f3288cdb10a3")</f>
        <v/>
      </c>
      <c r="F181">
        <f>HYPERLINK("https://www.amazon.jobs/jobs/3139328/sr-applied-scientist-amazon-ads?cmpid=DA_INAD200785B", "https://www.amazon.jobs/jobs/3139328/sr-applied-scientist-amazon-ads?cmpid=DA_INAD200785B")</f>
        <v/>
      </c>
      <c r="G181" t="inlineStr">
        <is>
          <t>Santa Monica, CA, US</t>
        </is>
      </c>
      <c r="H181" s="2" t="n">
        <v>45998</v>
      </c>
      <c r="I18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2">
      <c r="A182" t="inlineStr">
        <is>
          <t>in-b1d86b5b07ae072d</t>
        </is>
      </c>
      <c r="B182" t="inlineStr">
        <is>
          <t>Sr. Applied Scientist, Amazon Ads</t>
        </is>
      </c>
      <c r="C182" t="inlineStr">
        <is>
          <t>Amazon.com</t>
        </is>
      </c>
      <c r="D182" t="inlineStr">
        <is>
          <t>indeed</t>
        </is>
      </c>
      <c r="E182">
        <f>HYPERLINK("https://www.indeed.com/viewjob?jk=b1d86b5b07ae072d", "https://www.indeed.com/viewjob?jk=b1d86b5b07ae072d")</f>
        <v/>
      </c>
      <c r="F182">
        <f>HYPERLINK("https://www.amazon.jobs/jobs/3139328/sr-applied-scientist-amazon-ads?cmpid=DA_INAD200785B", "https://www.amazon.jobs/jobs/3139328/sr-applied-scientist-amazon-ads?cmpid=DA_INAD200785B")</f>
        <v/>
      </c>
      <c r="G182" t="inlineStr">
        <is>
          <t>Corvallis, OR, US</t>
        </is>
      </c>
      <c r="H182" s="2" t="n">
        <v>45998</v>
      </c>
      <c r="I18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3">
      <c r="A183" t="inlineStr">
        <is>
          <t>in-99553db6f5002305</t>
        </is>
      </c>
      <c r="B183" t="inlineStr">
        <is>
          <t>Sr. Applied Scientist, Amazon Ads</t>
        </is>
      </c>
      <c r="C183" t="inlineStr">
        <is>
          <t>Amazon.com</t>
        </is>
      </c>
      <c r="D183" t="inlineStr">
        <is>
          <t>indeed</t>
        </is>
      </c>
      <c r="E183">
        <f>HYPERLINK("https://www.indeed.com/viewjob?jk=99553db6f5002305", "https://www.indeed.com/viewjob?jk=99553db6f5002305")</f>
        <v/>
      </c>
      <c r="F183">
        <f>HYPERLINK("https://www.amazon.jobs/jobs/3139328/sr-applied-scientist-amazon-ads?cmpid=DA_INAD200785B", "https://www.amazon.jobs/jobs/3139328/sr-applied-scientist-amazon-ads?cmpid=DA_INAD200785B")</f>
        <v/>
      </c>
      <c r="G183" t="inlineStr">
        <is>
          <t>Sunnyvale, CA, US</t>
        </is>
      </c>
      <c r="H183" s="2" t="n">
        <v>45998</v>
      </c>
      <c r="I18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4">
      <c r="A184" t="inlineStr">
        <is>
          <t>in-7d3299501027bb14</t>
        </is>
      </c>
      <c r="B184" t="inlineStr">
        <is>
          <t>Sr. Applied Scientist, Amazon Ads</t>
        </is>
      </c>
      <c r="C184" t="inlineStr">
        <is>
          <t>Amazon.com</t>
        </is>
      </c>
      <c r="D184" t="inlineStr">
        <is>
          <t>indeed</t>
        </is>
      </c>
      <c r="E184">
        <f>HYPERLINK("https://www.indeed.com/viewjob?jk=7d3299501027bb14", "https://www.indeed.com/viewjob?jk=7d3299501027bb14")</f>
        <v/>
      </c>
      <c r="F184">
        <f>HYPERLINK("https://www.amazon.jobs/jobs/3139328/sr-applied-scientist-amazon-ads?cmpid=DA_INAD200785B", "https://www.amazon.jobs/jobs/3139328/sr-applied-scientist-amazon-ads?cmpid=DA_INAD200785B")</f>
        <v/>
      </c>
      <c r="G184" t="inlineStr">
        <is>
          <t>Boulder, CO, US</t>
        </is>
      </c>
      <c r="H184" s="2" t="n">
        <v>45998</v>
      </c>
      <c r="I18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5">
      <c r="A185" t="inlineStr">
        <is>
          <t>in-f2a6884af458cd7c</t>
        </is>
      </c>
      <c r="B185" t="inlineStr">
        <is>
          <t>Sr. Applied Scientist, Amazon Ads</t>
        </is>
      </c>
      <c r="C185" t="inlineStr">
        <is>
          <t>Amazon.com</t>
        </is>
      </c>
      <c r="D185" t="inlineStr">
        <is>
          <t>indeed</t>
        </is>
      </c>
      <c r="E185">
        <f>HYPERLINK("https://www.indeed.com/viewjob?jk=f2a6884af458cd7c", "https://www.indeed.com/viewjob?jk=f2a6884af458cd7c")</f>
        <v/>
      </c>
      <c r="F185">
        <f>HYPERLINK("https://www.amazon.jobs/jobs/3139328/sr-applied-scientist-amazon-ads?cmpid=DA_INAD200785B", "https://www.amazon.jobs/jobs/3139328/sr-applied-scientist-amazon-ads?cmpid=DA_INAD200785B")</f>
        <v/>
      </c>
      <c r="G185" t="inlineStr">
        <is>
          <t>New York, NY, US</t>
        </is>
      </c>
      <c r="H185" s="2" t="n">
        <v>45998</v>
      </c>
      <c r="I18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6">
      <c r="A186" t="inlineStr">
        <is>
          <t>in-d1ce32eaea6c4d91</t>
        </is>
      </c>
      <c r="B186" t="inlineStr">
        <is>
          <t>Sr. Applied Scientist, Amazon Ads</t>
        </is>
      </c>
      <c r="C186" t="inlineStr">
        <is>
          <t>Amazon.com</t>
        </is>
      </c>
      <c r="D186" t="inlineStr">
        <is>
          <t>indeed</t>
        </is>
      </c>
      <c r="E186">
        <f>HYPERLINK("https://www.indeed.com/viewjob?jk=d1ce32eaea6c4d91", "https://www.indeed.com/viewjob?jk=d1ce32eaea6c4d91")</f>
        <v/>
      </c>
      <c r="F186">
        <f>HYPERLINK("https://www.amazon.jobs/jobs/3139328/sr-applied-scientist-amazon-ads?cmpid=DA_INAD200785B", "https://www.amazon.jobs/jobs/3139328/sr-applied-scientist-amazon-ads?cmpid=DA_INAD200785B")</f>
        <v/>
      </c>
      <c r="G186" t="inlineStr">
        <is>
          <t>Boston, MA, US</t>
        </is>
      </c>
      <c r="H186" s="2" t="n">
        <v>45998</v>
      </c>
      <c r="I18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7">
      <c r="A187" t="inlineStr">
        <is>
          <t>in-56f9bd0e4153d1b4</t>
        </is>
      </c>
      <c r="B187" t="inlineStr">
        <is>
          <t>Principal Applied Scientist, Sponsored Products and Brands</t>
        </is>
      </c>
      <c r="C187" t="inlineStr">
        <is>
          <t>Amazon.com</t>
        </is>
      </c>
      <c r="D187" t="inlineStr">
        <is>
          <t>indeed</t>
        </is>
      </c>
      <c r="E187">
        <f>HYPERLINK("https://www.indeed.com/viewjob?jk=56f9bd0e4153d1b4", "https://www.indeed.com/viewjob?jk=56f9bd0e4153d1b4")</f>
        <v/>
      </c>
      <c r="F187">
        <f>HYPERLINK("https://www.amazon.jobs/jobs/3130855/principal-applied-scientist-sponsored-products-and-brands?cmpid=DA_INAD200785B", "https://www.amazon.jobs/jobs/3130855/principal-applied-scientist-sponsored-products-and-brands?cmpid=DA_INAD200785B")</f>
        <v/>
      </c>
      <c r="G187" t="inlineStr">
        <is>
          <t>Seattle, WA, US</t>
        </is>
      </c>
      <c r="H187" s="2" t="n">
        <v>45979</v>
      </c>
      <c r="I18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in-eb9d9ad8c49cf0b8</t>
        </is>
      </c>
      <c r="B188" t="inlineStr">
        <is>
          <t>Principal Applied Scientist, Sponsored Products and Brands</t>
        </is>
      </c>
      <c r="C188" t="inlineStr">
        <is>
          <t>Amazon.com</t>
        </is>
      </c>
      <c r="D188" t="inlineStr">
        <is>
          <t>indeed</t>
        </is>
      </c>
      <c r="E188">
        <f>HYPERLINK("https://www.indeed.com/viewjob?jk=eb9d9ad8c49cf0b8", "https://www.indeed.com/viewjob?jk=eb9d9ad8c49cf0b8")</f>
        <v/>
      </c>
      <c r="F188">
        <f>HYPERLINK("https://www.amazon.jobs/jobs/3130855/principal-applied-scientist-sponsored-products-and-brands?cmpid=DA_INAD200785B", "https://www.amazon.jobs/jobs/3130855/principal-applied-scientist-sponsored-products-and-brands?cmpid=DA_INAD200785B")</f>
        <v/>
      </c>
      <c r="G188" t="inlineStr">
        <is>
          <t>New York, NY, US</t>
        </is>
      </c>
      <c r="H188" s="2" t="n">
        <v>45979</v>
      </c>
      <c r="I18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in-1252e809f3cf52dd</t>
        </is>
      </c>
      <c r="B189" t="inlineStr">
        <is>
          <t>Applied Scientist, Personalization, DTx Science</t>
        </is>
      </c>
      <c r="C189" t="inlineStr">
        <is>
          <t>Amazon.com</t>
        </is>
      </c>
      <c r="D189" t="inlineStr">
        <is>
          <t>indeed</t>
        </is>
      </c>
      <c r="E189">
        <f>HYPERLINK("https://www.indeed.com/viewjob?jk=1252e809f3cf52dd", "https://www.indeed.com/viewjob?jk=1252e809f3cf52dd")</f>
        <v/>
      </c>
      <c r="F189">
        <f>HYPERLINK("https://www.amazon.jobs/jobs/3136853/applied-scientist-personalization-dtx-science?cmpid=DA_INAD200785B", "https://www.amazon.jobs/jobs/3136853/applied-scientist-personalization-dtx-science?cmpid=DA_INAD200785B")</f>
        <v/>
      </c>
      <c r="G189" t="inlineStr">
        <is>
          <t>Seattle, WA, US</t>
        </is>
      </c>
      <c r="H189" s="2" t="n">
        <v>45979</v>
      </c>
      <c r="I18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0">
      <c r="A190" t="inlineStr">
        <is>
          <t>in-4d389018e399f615</t>
        </is>
      </c>
      <c r="B190" t="inlineStr">
        <is>
          <t>Applied Scientist, Personalization, DTx Science</t>
        </is>
      </c>
      <c r="C190" t="inlineStr">
        <is>
          <t>Amazon.com</t>
        </is>
      </c>
      <c r="D190" t="inlineStr">
        <is>
          <t>indeed</t>
        </is>
      </c>
      <c r="E190">
        <f>HYPERLINK("https://www.indeed.com/viewjob?jk=4d389018e399f615", "https://www.indeed.com/viewjob?jk=4d389018e399f615")</f>
        <v/>
      </c>
      <c r="F190">
        <f>HYPERLINK("https://www.amazon.jobs/jobs/3136853/applied-scientist-personalization-dtx-science?cmpid=DA_INAD200785B", "https://www.amazon.jobs/jobs/3136853/applied-scientist-personalization-dtx-science?cmpid=DA_INAD200785B")</f>
        <v/>
      </c>
      <c r="G190" t="inlineStr">
        <is>
          <t>New York, NY, US</t>
        </is>
      </c>
      <c r="H190" s="2" t="n">
        <v>45979</v>
      </c>
      <c r="I19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1">
      <c r="A191" t="inlineStr">
        <is>
          <t>in-67a105b2c193172b</t>
        </is>
      </c>
      <c r="B191" t="inlineStr">
        <is>
          <t>Senior Applied Scientist, Sponsored Products and Brands</t>
        </is>
      </c>
      <c r="C191" t="inlineStr">
        <is>
          <t>Amazon.com</t>
        </is>
      </c>
      <c r="D191" t="inlineStr">
        <is>
          <t>indeed</t>
        </is>
      </c>
      <c r="E191">
        <f>HYPERLINK("https://www.indeed.com/viewjob?jk=67a105b2c193172b", "https://www.indeed.com/viewjob?jk=67a105b2c193172b")</f>
        <v/>
      </c>
      <c r="F191">
        <f>HYPERLINK("https://www.amazon.jobs/jobs/3130062/senior-applied-scientist-sponsored-products-and-brands?cmpid=DA_INAD200785B", "https://www.amazon.jobs/jobs/3130062/senior-applied-scientist-sponsored-products-and-brands?cmpid=DA_INAD200785B")</f>
        <v/>
      </c>
      <c r="G191" t="inlineStr">
        <is>
          <t>New York, NY, US</t>
        </is>
      </c>
      <c r="H191" s="2" t="n">
        <v>45979</v>
      </c>
      <c r="I19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92">
      <c r="A192" t="inlineStr">
        <is>
          <t>in-e6b39e68cef5d19e</t>
        </is>
      </c>
      <c r="B192" t="inlineStr">
        <is>
          <t>Senior Applied Scientist, Sponsored Products and Brands</t>
        </is>
      </c>
      <c r="C192" t="inlineStr">
        <is>
          <t>Amazon.com</t>
        </is>
      </c>
      <c r="D192" t="inlineStr">
        <is>
          <t>indeed</t>
        </is>
      </c>
      <c r="E192">
        <f>HYPERLINK("https://www.indeed.com/viewjob?jk=e6b39e68cef5d19e", "https://www.indeed.com/viewjob?jk=e6b39e68cef5d19e")</f>
        <v/>
      </c>
      <c r="F192">
        <f>HYPERLINK("https://www.amazon.jobs/jobs/3130062/senior-applied-scientist-sponsored-products-and-brands?cmpid=DA_INAD200785B", "https://www.amazon.jobs/jobs/3130062/senior-applied-scientist-sponsored-products-and-brands?cmpid=DA_INAD200785B")</f>
        <v/>
      </c>
      <c r="G192" t="inlineStr">
        <is>
          <t>Seattle, WA, US</t>
        </is>
      </c>
      <c r="H192" s="2" t="n">
        <v>45979</v>
      </c>
      <c r="I19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93">
      <c r="A193" t="inlineStr">
        <is>
          <t>in-33ca5478128b28bc</t>
        </is>
      </c>
      <c r="B193" t="inlineStr">
        <is>
          <t>Applied Scientist II, Prime Video Personalization and Discovery Science</t>
        </is>
      </c>
      <c r="C193" t="inlineStr">
        <is>
          <t>Amazon.com</t>
        </is>
      </c>
      <c r="D193" t="inlineStr">
        <is>
          <t>indeed</t>
        </is>
      </c>
      <c r="E193">
        <f>HYPERLINK("https://www.indeed.com/viewjob?jk=33ca5478128b28bc", "https://www.indeed.com/viewjob?jk=33ca5478128b28bc")</f>
        <v/>
      </c>
      <c r="F193">
        <f>HYPERLINK("https://www.amazon.jobs/jobs/3129475/applied-scientist-ii-prime-video-personalization-and-discovery-science?cmpid=DA_INAD200785B", "https://www.amazon.jobs/jobs/3129475/applied-scientist-ii-prime-video-personalization-and-discovery-science?cmpid=DA_INAD200785B")</f>
        <v/>
      </c>
      <c r="G193" t="inlineStr">
        <is>
          <t>New York, NY, US</t>
        </is>
      </c>
      <c r="H193" s="2" t="n">
        <v>45978</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4">
      <c r="A194" t="inlineStr">
        <is>
          <t>in-dd58bcea9a24c962</t>
        </is>
      </c>
      <c r="B194" t="inlineStr">
        <is>
          <t>Applied Scientist II, Prime Video Personalization and Discovery Science</t>
        </is>
      </c>
      <c r="C194" t="inlineStr">
        <is>
          <t>Amazon.com</t>
        </is>
      </c>
      <c r="D194" t="inlineStr">
        <is>
          <t>indeed</t>
        </is>
      </c>
      <c r="E194">
        <f>HYPERLINK("https://www.indeed.com/viewjob?jk=dd58bcea9a24c962", "https://www.indeed.com/viewjob?jk=dd58bcea9a24c962")</f>
        <v/>
      </c>
      <c r="F194">
        <f>HYPERLINK("https://www.amazon.jobs/jobs/3129475/applied-scientist-ii-prime-video-personalization-and-discovery-science?cmpid=DA_INAD200785B", "https://www.amazon.jobs/jobs/3129475/applied-scientist-ii-prime-video-personalization-and-discovery-science?cmpid=DA_INAD200785B")</f>
        <v/>
      </c>
      <c r="G194" t="inlineStr">
        <is>
          <t>Sunnyvale, CA, US</t>
        </is>
      </c>
      <c r="H194" s="2" t="n">
        <v>45978</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5">
      <c r="A195" t="inlineStr">
        <is>
          <t>in-e0e668540c7ad412</t>
        </is>
      </c>
      <c r="B195" t="inlineStr">
        <is>
          <t>Applied Scientist II, Prime Video Personalization and Discovery Science</t>
        </is>
      </c>
      <c r="C195" t="inlineStr">
        <is>
          <t>Amazon.com</t>
        </is>
      </c>
      <c r="D195" t="inlineStr">
        <is>
          <t>indeed</t>
        </is>
      </c>
      <c r="E195">
        <f>HYPERLINK("https://www.indeed.com/viewjob?jk=e0e668540c7ad412", "https://www.indeed.com/viewjob?jk=e0e668540c7ad412")</f>
        <v/>
      </c>
      <c r="F195">
        <f>HYPERLINK("https://www.amazon.jobs/jobs/3129475/applied-scientist-ii-prime-video-personalization-and-discovery-science?cmpid=DA_INAD200785B", "https://www.amazon.jobs/jobs/3129475/applied-scientist-ii-prime-video-personalization-and-discovery-science?cmpid=DA_INAD200785B")</f>
        <v/>
      </c>
      <c r="G195" t="inlineStr">
        <is>
          <t>Seattle, WA, US</t>
        </is>
      </c>
      <c r="H195" s="2" t="n">
        <v>45978</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6">
      <c r="A196" t="inlineStr">
        <is>
          <t>in-8bd796243c8bfd95</t>
        </is>
      </c>
      <c r="B196" t="inlineStr">
        <is>
          <t>Sr. Applied Scientist, Sponsored Products</t>
        </is>
      </c>
      <c r="C196" t="inlineStr">
        <is>
          <t>Amazon.com</t>
        </is>
      </c>
      <c r="D196" t="inlineStr">
        <is>
          <t>indeed</t>
        </is>
      </c>
      <c r="E196">
        <f>HYPERLINK("https://www.indeed.com/viewjob?jk=8bd796243c8bfd95", "https://www.indeed.com/viewjob?jk=8bd796243c8bfd95")</f>
        <v/>
      </c>
      <c r="F196">
        <f>HYPERLINK("https://www.amazon.jobs/jobs/3136156/sr-applied-scientist-sponsored-products?cmpid=DA_INAD200785B", "https://www.amazon.jobs/jobs/3136156/sr-applied-scientist-sponsored-products?cmpid=DA_INAD200785B")</f>
        <v/>
      </c>
      <c r="G196" t="inlineStr">
        <is>
          <t>New York, NY, US</t>
        </is>
      </c>
      <c r="H196" s="2" t="n">
        <v>45976</v>
      </c>
      <c r="I19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97">
      <c r="A197" t="inlineStr">
        <is>
          <t>in-fe921540321d8730</t>
        </is>
      </c>
      <c r="B197" t="inlineStr">
        <is>
          <t>Sr. Applied Scientist, Sponsored Products</t>
        </is>
      </c>
      <c r="C197" t="inlineStr">
        <is>
          <t>Amazon.com</t>
        </is>
      </c>
      <c r="D197" t="inlineStr">
        <is>
          <t>indeed</t>
        </is>
      </c>
      <c r="E197">
        <f>HYPERLINK("https://www.indeed.com/viewjob?jk=fe921540321d8730", "https://www.indeed.com/viewjob?jk=fe921540321d8730")</f>
        <v/>
      </c>
      <c r="F197">
        <f>HYPERLINK("https://www.amazon.jobs/jobs/3136156/sr-applied-scientist-sponsored-products?cmpid=DA_INAD200785B", "https://www.amazon.jobs/jobs/3136156/sr-applied-scientist-sponsored-products?cmpid=DA_INAD200785B")</f>
        <v/>
      </c>
      <c r="G197" t="inlineStr">
        <is>
          <t>Arlington, VA, US</t>
        </is>
      </c>
      <c r="H197" s="2" t="n">
        <v>45976</v>
      </c>
      <c r="I19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98">
      <c r="A198" t="inlineStr">
        <is>
          <t>in-f4efc82277e8f98f</t>
        </is>
      </c>
      <c r="B198" t="inlineStr">
        <is>
          <t>Sr. Applied Scientist, Sponsored Products</t>
        </is>
      </c>
      <c r="C198" t="inlineStr">
        <is>
          <t>Amazon.com</t>
        </is>
      </c>
      <c r="D198" t="inlineStr">
        <is>
          <t>indeed</t>
        </is>
      </c>
      <c r="E198">
        <f>HYPERLINK("https://www.indeed.com/viewjob?jk=f4efc82277e8f98f", "https://www.indeed.com/viewjob?jk=f4efc82277e8f98f")</f>
        <v/>
      </c>
      <c r="F198">
        <f>HYPERLINK("https://www.amazon.jobs/jobs/3136156/sr-applied-scientist-sponsored-products?cmpid=DA_INAD200785B", "https://www.amazon.jobs/jobs/3136156/sr-applied-scientist-sponsored-products?cmpid=DA_INAD200785B")</f>
        <v/>
      </c>
      <c r="G198" t="inlineStr">
        <is>
          <t>Seattle, WA, US</t>
        </is>
      </c>
      <c r="H198" s="2" t="n">
        <v>45976</v>
      </c>
      <c r="I19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99">
      <c r="A199" t="inlineStr">
        <is>
          <t>in-e1e240d313cd9389</t>
        </is>
      </c>
      <c r="B199" t="inlineStr">
        <is>
          <t>Applied Scientist, AWS Agentic AI</t>
        </is>
      </c>
      <c r="C199" t="inlineStr">
        <is>
          <t>Amazon Web Services</t>
        </is>
      </c>
      <c r="D199" t="inlineStr">
        <is>
          <t>indeed</t>
        </is>
      </c>
      <c r="E199">
        <f>HYPERLINK("https://www.indeed.com/viewjob?jk=e1e240d313cd9389", "https://www.indeed.com/viewjob?jk=e1e240d313cd9389")</f>
        <v/>
      </c>
      <c r="F199">
        <f>HYPERLINK("https://www.amazon.jobs/jobs/3141517/applied-scientist-aws-agentic-ai-?cmpid=DA_INAD200785B", "https://www.amazon.jobs/jobs/3141517/applied-scientist-aws-agentic-ai-?cmpid=DA_INAD200785B")</f>
        <v/>
      </c>
      <c r="G199" t="inlineStr">
        <is>
          <t>New York, NY, US</t>
        </is>
      </c>
      <c r="H199" s="2" t="n">
        <v>45962</v>
      </c>
      <c r="I19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in-434b0387507addcf</t>
        </is>
      </c>
      <c r="B200" t="inlineStr">
        <is>
          <t>Applied Scientist, AWS Agentic AI</t>
        </is>
      </c>
      <c r="C200" t="inlineStr">
        <is>
          <t>Amazon Web Services</t>
        </is>
      </c>
      <c r="D200" t="inlineStr">
        <is>
          <t>indeed</t>
        </is>
      </c>
      <c r="E200">
        <f>HYPERLINK("https://www.indeed.com/viewjob?jk=434b0387507addcf", "https://www.indeed.com/viewjob?jk=434b0387507addcf")</f>
        <v/>
      </c>
      <c r="F200">
        <f>HYPERLINK("https://www.amazon.jobs/jobs/3141517/applied-scientist-aws-agentic-ai-?cmpid=DA_INAD200785B", "https://www.amazon.jobs/jobs/3141517/applied-scientist-aws-agentic-ai-?cmpid=DA_INAD200785B")</f>
        <v/>
      </c>
      <c r="G200" t="inlineStr">
        <is>
          <t>Santa Clara, CA, US</t>
        </is>
      </c>
      <c r="H200" s="2" t="n">
        <v>45962</v>
      </c>
      <c r="I20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in-ffc989eb5219787c</t>
        </is>
      </c>
      <c r="B201" t="inlineStr">
        <is>
          <t>Applied Scientist, AWS Agentic AI</t>
        </is>
      </c>
      <c r="C201" t="inlineStr">
        <is>
          <t>Amazon Web Services</t>
        </is>
      </c>
      <c r="D201" t="inlineStr">
        <is>
          <t>indeed</t>
        </is>
      </c>
      <c r="E201">
        <f>HYPERLINK("https://www.indeed.com/viewjob?jk=ffc989eb5219787c", "https://www.indeed.com/viewjob?jk=ffc989eb5219787c")</f>
        <v/>
      </c>
      <c r="F201">
        <f>HYPERLINK("https://www.amazon.jobs/jobs/3141517/applied-scientist-aws-agentic-ai-?cmpid=DA_INAD200785B", "https://www.amazon.jobs/jobs/3141517/applied-scientist-aws-agentic-ai-?cmpid=DA_INAD200785B")</f>
        <v/>
      </c>
      <c r="G201" t="inlineStr">
        <is>
          <t>Seattle, WA, US</t>
        </is>
      </c>
      <c r="H201" s="2" t="n">
        <v>45962</v>
      </c>
      <c r="I20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in-ea3227121f339bb3</t>
        </is>
      </c>
      <c r="B202" t="inlineStr">
        <is>
          <t>Applied Scientist, AI Automation, Prime Video</t>
        </is>
      </c>
      <c r="C202" t="inlineStr">
        <is>
          <t>Amazon.com</t>
        </is>
      </c>
      <c r="D202" t="inlineStr">
        <is>
          <t>indeed</t>
        </is>
      </c>
      <c r="E202">
        <f>HYPERLINK("https://www.indeed.com/viewjob?jk=ea3227121f339bb3", "https://www.indeed.com/viewjob?jk=ea3227121f339bb3")</f>
        <v/>
      </c>
      <c r="F202">
        <f>HYPERLINK("https://www.amazon.jobs/jobs/3119822/applied-scientist-ai-automation-prime-video?cmpid=DA_INAD200785B", "https://www.amazon.jobs/jobs/3119822/applied-scientist-ai-automation-prime-video?cmpid=DA_INAD200785B")</f>
        <v/>
      </c>
      <c r="G202" t="inlineStr">
        <is>
          <t>Culver City, CA, US</t>
        </is>
      </c>
      <c r="H202" s="2" t="n">
        <v>45949</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in-a8632ee5737055d9</t>
        </is>
      </c>
      <c r="B203" t="inlineStr">
        <is>
          <t>Applied Scientist, AI Automation, Prime Video</t>
        </is>
      </c>
      <c r="C203" t="inlineStr">
        <is>
          <t>Amazon.com</t>
        </is>
      </c>
      <c r="D203" t="inlineStr">
        <is>
          <t>indeed</t>
        </is>
      </c>
      <c r="E203">
        <f>HYPERLINK("https://www.indeed.com/viewjob?jk=a8632ee5737055d9", "https://www.indeed.com/viewjob?jk=a8632ee5737055d9")</f>
        <v/>
      </c>
      <c r="F203">
        <f>HYPERLINK("https://www.amazon.jobs/jobs/3119822/applied-scientist-ai-automation-prime-video?cmpid=DA_INAD200785B", "https://www.amazon.jobs/jobs/3119822/applied-scientist-ai-automation-prime-video?cmpid=DA_INAD200785B")</f>
        <v/>
      </c>
      <c r="G203" t="inlineStr">
        <is>
          <t>Seattle, WA, US</t>
        </is>
      </c>
      <c r="H203" s="2" t="n">
        <v>45949</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in-8ab6f27da8cef310</t>
        </is>
      </c>
      <c r="B204" t="inlineStr">
        <is>
          <t>Principal Applied Scientist, Advertiser Growth, Amazon Sponsored Products &amp; Brands</t>
        </is>
      </c>
      <c r="C204" t="inlineStr">
        <is>
          <t>Amazon.com</t>
        </is>
      </c>
      <c r="D204" t="inlineStr">
        <is>
          <t>indeed</t>
        </is>
      </c>
      <c r="E204">
        <f>HYPERLINK("https://www.indeed.com/viewjob?jk=8ab6f27da8cef310", "https://www.indeed.com/viewjob?jk=8ab6f27da8cef310")</f>
        <v/>
      </c>
      <c r="F204">
        <f>HYPERLINK("https://www.amazon.jobs/jobs/3115279/principal-applied-scientist-advertiser-growth-amazon-sponsored-products--brands?cmpid=DA_INAD200785B", "https://www.amazon.jobs/jobs/3115279/principal-applied-scientist-advertiser-growth-amazon-sponsored-products--brands?cmpid=DA_INAD200785B")</f>
        <v/>
      </c>
      <c r="G204" t="inlineStr">
        <is>
          <t>New York, NY, US</t>
        </is>
      </c>
      <c r="H204" s="2" t="n">
        <v>45942</v>
      </c>
      <c r="I20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in-e504d996985e6270</t>
        </is>
      </c>
      <c r="B205" t="inlineStr">
        <is>
          <t>Principal Applied Scientist, Advertiser Growth, Amazon Sponsored Products &amp; Brands</t>
        </is>
      </c>
      <c r="C205" t="inlineStr">
        <is>
          <t>Amazon.com</t>
        </is>
      </c>
      <c r="D205" t="inlineStr">
        <is>
          <t>indeed</t>
        </is>
      </c>
      <c r="E205">
        <f>HYPERLINK("https://www.indeed.com/viewjob?jk=e504d996985e6270", "https://www.indeed.com/viewjob?jk=e504d996985e6270")</f>
        <v/>
      </c>
      <c r="F205">
        <f>HYPERLINK("https://www.amazon.jobs/jobs/3115279/principal-applied-scientist-advertiser-growth-amazon-sponsored-products--brands?cmpid=DA_INAD200785B", "https://www.amazon.jobs/jobs/3115279/principal-applied-scientist-advertiser-growth-amazon-sponsored-products--brands?cmpid=DA_INAD200785B")</f>
        <v/>
      </c>
      <c r="G205" t="inlineStr">
        <is>
          <t>Palo Alto, CA, US</t>
        </is>
      </c>
      <c r="H205" s="2" t="n">
        <v>45942</v>
      </c>
      <c r="I20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in-6d212ca64a81c985</t>
        </is>
      </c>
      <c r="B206" t="inlineStr">
        <is>
          <t>Principal Applied Scientist, Advertiser Growth, Amazon Sponsored Products &amp; Brands</t>
        </is>
      </c>
      <c r="C206" t="inlineStr">
        <is>
          <t>Amazon.com</t>
        </is>
      </c>
      <c r="D206" t="inlineStr">
        <is>
          <t>indeed</t>
        </is>
      </c>
      <c r="E206">
        <f>HYPERLINK("https://www.indeed.com/viewjob?jk=6d212ca64a81c985", "https://www.indeed.com/viewjob?jk=6d212ca64a81c985")</f>
        <v/>
      </c>
      <c r="F206">
        <f>HYPERLINK("https://www.amazon.jobs/jobs/3115279/principal-applied-scientist-advertiser-growth-amazon-sponsored-products--brands?cmpid=DA_INAD200785B", "https://www.amazon.jobs/jobs/3115279/principal-applied-scientist-advertiser-growth-amazon-sponsored-products--brands?cmpid=DA_INAD200785B")</f>
        <v/>
      </c>
      <c r="G206" t="inlineStr">
        <is>
          <t>Seattle, WA, US</t>
        </is>
      </c>
      <c r="H206" s="2" t="n">
        <v>45942</v>
      </c>
      <c r="I20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in-31e7c307dc11bf88</t>
        </is>
      </c>
      <c r="B207" t="inlineStr">
        <is>
          <t>Sr. Applied Scientist, SPB Advertiser Guidance</t>
        </is>
      </c>
      <c r="C207" t="inlineStr">
        <is>
          <t>Amazon.com</t>
        </is>
      </c>
      <c r="D207" t="inlineStr">
        <is>
          <t>indeed</t>
        </is>
      </c>
      <c r="E207">
        <f>HYPERLINK("https://www.indeed.com/viewjob?jk=31e7c307dc11bf88", "https://www.indeed.com/viewjob?jk=31e7c307dc11bf88")</f>
        <v/>
      </c>
      <c r="F207">
        <f>HYPERLINK("https://www.amazon.jobs/jobs/3106497/sr-applied-scientist-spb-advertiser-guidance?cmpid=DA_INAD200785B", "https://www.amazon.jobs/jobs/3106497/sr-applied-scientist-spb-advertiser-guidance?cmpid=DA_INAD200785B")</f>
        <v/>
      </c>
      <c r="G207" t="inlineStr">
        <is>
          <t>New York, NY, US</t>
        </is>
      </c>
      <c r="H207" s="2" t="n">
        <v>45939</v>
      </c>
      <c r="I20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in-f5808def7f55a454</t>
        </is>
      </c>
      <c r="B208" t="inlineStr">
        <is>
          <t>Applied Scientist</t>
        </is>
      </c>
      <c r="C208" t="inlineStr">
        <is>
          <t>Amazon.com</t>
        </is>
      </c>
      <c r="D208" t="inlineStr">
        <is>
          <t>indeed</t>
        </is>
      </c>
      <c r="E208">
        <f>HYPERLINK("https://www.indeed.com/viewjob?jk=f5808def7f55a454", "https://www.indeed.com/viewjob?jk=f5808def7f55a454")</f>
        <v/>
      </c>
      <c r="F208">
        <f>HYPERLINK("https://www.amazon.jobs/jobs/3106501/applied-scientist?cmpid=DA_INAD200785B", "https://www.amazon.jobs/jobs/3106501/applied-scientist?cmpid=DA_INAD200785B")</f>
        <v/>
      </c>
      <c r="G208" t="inlineStr">
        <is>
          <t>New York, NY, US</t>
        </is>
      </c>
      <c r="H208" s="2" t="n">
        <v>45939</v>
      </c>
      <c r="I20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in-4907485b76674f61</t>
        </is>
      </c>
      <c r="B209" t="inlineStr">
        <is>
          <t>Sr. Applied Scientist, SPB Advertiser Guidance</t>
        </is>
      </c>
      <c r="C209" t="inlineStr">
        <is>
          <t>Amazon.com</t>
        </is>
      </c>
      <c r="D209" t="inlineStr">
        <is>
          <t>indeed</t>
        </is>
      </c>
      <c r="E209">
        <f>HYPERLINK("https://www.indeed.com/viewjob?jk=4907485b76674f61", "https://www.indeed.com/viewjob?jk=4907485b76674f61")</f>
        <v/>
      </c>
      <c r="F209">
        <f>HYPERLINK("https://www.amazon.jobs/jobs/3106497/sr-applied-scientist-spb-advertiser-guidance?cmpid=DA_INAD200785B", "https://www.amazon.jobs/jobs/3106497/sr-applied-scientist-spb-advertiser-guidance?cmpid=DA_INAD200785B")</f>
        <v/>
      </c>
      <c r="G209" t="inlineStr">
        <is>
          <t>Palo Alto, CA, US</t>
        </is>
      </c>
      <c r="H209" s="2" t="n">
        <v>45939</v>
      </c>
      <c r="I20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in-395c31e97fd54a9d</t>
        </is>
      </c>
      <c r="B210" t="inlineStr">
        <is>
          <t>Applied Scientist</t>
        </is>
      </c>
      <c r="C210" t="inlineStr">
        <is>
          <t>Amazon.com</t>
        </is>
      </c>
      <c r="D210" t="inlineStr">
        <is>
          <t>indeed</t>
        </is>
      </c>
      <c r="E210">
        <f>HYPERLINK("https://www.indeed.com/viewjob?jk=395c31e97fd54a9d", "https://www.indeed.com/viewjob?jk=395c31e97fd54a9d")</f>
        <v/>
      </c>
      <c r="F210">
        <f>HYPERLINK("https://www.amazon.jobs/jobs/3106501/applied-scientist?cmpid=DA_INAD200785B", "https://www.amazon.jobs/jobs/3106501/applied-scientist?cmpid=DA_INAD200785B")</f>
        <v/>
      </c>
      <c r="G210" t="inlineStr">
        <is>
          <t>Seattle, WA, US</t>
        </is>
      </c>
      <c r="H210" s="2" t="n">
        <v>45939</v>
      </c>
      <c r="I21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in-2aa3ab980dada3f7</t>
        </is>
      </c>
      <c r="B211" t="inlineStr">
        <is>
          <t>Sr. Applied Scientist, SPB Advertiser Guidance</t>
        </is>
      </c>
      <c r="C211" t="inlineStr">
        <is>
          <t>Amazon.com</t>
        </is>
      </c>
      <c r="D211" t="inlineStr">
        <is>
          <t>indeed</t>
        </is>
      </c>
      <c r="E211">
        <f>HYPERLINK("https://www.indeed.com/viewjob?jk=2aa3ab980dada3f7", "https://www.indeed.com/viewjob?jk=2aa3ab980dada3f7")</f>
        <v/>
      </c>
      <c r="F211">
        <f>HYPERLINK("https://www.amazon.jobs/jobs/3106497/sr-applied-scientist-spb-advertiser-guidance?cmpid=DA_INAD200785B", "https://www.amazon.jobs/jobs/3106497/sr-applied-scientist-spb-advertiser-guidance?cmpid=DA_INAD200785B")</f>
        <v/>
      </c>
      <c r="G211" t="inlineStr">
        <is>
          <t>Seattle, WA, US</t>
        </is>
      </c>
      <c r="H211" s="2" t="n">
        <v>45939</v>
      </c>
      <c r="I21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in-0502822a7929a83c</t>
        </is>
      </c>
      <c r="B212" t="inlineStr">
        <is>
          <t>Applied Scientist</t>
        </is>
      </c>
      <c r="C212" t="inlineStr">
        <is>
          <t>Amazon.com</t>
        </is>
      </c>
      <c r="D212" t="inlineStr">
        <is>
          <t>indeed</t>
        </is>
      </c>
      <c r="E212">
        <f>HYPERLINK("https://www.indeed.com/viewjob?jk=0502822a7929a83c", "https://www.indeed.com/viewjob?jk=0502822a7929a83c")</f>
        <v/>
      </c>
      <c r="F212">
        <f>HYPERLINK("https://www.amazon.jobs/jobs/3106501/applied-scientist?cmpid=DA_INAD200785B", "https://www.amazon.jobs/jobs/3106501/applied-scientist?cmpid=DA_INAD200785B")</f>
        <v/>
      </c>
      <c r="G212" t="inlineStr">
        <is>
          <t>Palo Alto, CA, US</t>
        </is>
      </c>
      <c r="H212" s="2" t="n">
        <v>45939</v>
      </c>
      <c r="I21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in-b88aae801851fd57</t>
        </is>
      </c>
      <c r="B213" t="inlineStr">
        <is>
          <t>Applied Scientist II, Prime Video - Personalization and Discovery Science, Personalization and Discovery Science</t>
        </is>
      </c>
      <c r="C213" t="inlineStr">
        <is>
          <t>Amazon.com</t>
        </is>
      </c>
      <c r="D213" t="inlineStr">
        <is>
          <t>indeed</t>
        </is>
      </c>
      <c r="E213">
        <f>HYPERLINK("https://www.indeed.com/viewjob?jk=b88aae801851fd57", "https://www.indeed.com/viewjob?jk=b88aae801851fd57")</f>
        <v/>
      </c>
      <c r="F21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13" t="inlineStr">
        <is>
          <t>New York, NY, US</t>
        </is>
      </c>
      <c r="H213" s="2" t="n">
        <v>45930</v>
      </c>
      <c r="I2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in-41f1543583cb3e55</t>
        </is>
      </c>
      <c r="B214" t="inlineStr">
        <is>
          <t>Applied Scientist II, Prime Video - Personalization and Discovery Science, Personalization and Discovery Science</t>
        </is>
      </c>
      <c r="C214" t="inlineStr">
        <is>
          <t>Amazon.com</t>
        </is>
      </c>
      <c r="D214" t="inlineStr">
        <is>
          <t>indeed</t>
        </is>
      </c>
      <c r="E214">
        <f>HYPERLINK("https://www.indeed.com/viewjob?jk=41f1543583cb3e55", "https://www.indeed.com/viewjob?jk=41f1543583cb3e55")</f>
        <v/>
      </c>
      <c r="F21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14" t="inlineStr">
        <is>
          <t>Sunnyvale, CA, US</t>
        </is>
      </c>
      <c r="H214" s="2" t="n">
        <v>45930</v>
      </c>
      <c r="I2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in-1869376af139a1d0</t>
        </is>
      </c>
      <c r="B215" t="inlineStr">
        <is>
          <t>Applied Scientist II, Prime Video - Personalization and Discovery Science, Personalization and Discovery Science</t>
        </is>
      </c>
      <c r="C215" t="inlineStr">
        <is>
          <t>Amazon.com</t>
        </is>
      </c>
      <c r="D215" t="inlineStr">
        <is>
          <t>indeed</t>
        </is>
      </c>
      <c r="E215">
        <f>HYPERLINK("https://www.indeed.com/viewjob?jk=1869376af139a1d0", "https://www.indeed.com/viewjob?jk=1869376af139a1d0")</f>
        <v/>
      </c>
      <c r="F21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15" t="inlineStr">
        <is>
          <t>Seattle, WA, US</t>
        </is>
      </c>
      <c r="H215" s="2" t="n">
        <v>45930</v>
      </c>
      <c r="I2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in-f67062669b78b076</t>
        </is>
      </c>
      <c r="B216" t="inlineStr">
        <is>
          <t>Applied Scientist, Workplace Health &amp; Safety</t>
        </is>
      </c>
      <c r="C216" t="inlineStr">
        <is>
          <t>Amazon.com</t>
        </is>
      </c>
      <c r="D216" t="inlineStr">
        <is>
          <t>indeed</t>
        </is>
      </c>
      <c r="E216">
        <f>HYPERLINK("https://www.indeed.com/viewjob?jk=f67062669b78b076", "https://www.indeed.com/viewjob?jk=f67062669b78b076")</f>
        <v/>
      </c>
      <c r="F216">
        <f>HYPERLINK("https://www.amazon.jobs/jobs/3144886/applied-scientist-workplace-health--safety-?cmpid=DA_INAD200785B", "https://www.amazon.jobs/jobs/3144886/applied-scientist-workplace-health--safety-?cmpid=DA_INAD200785B")</f>
        <v/>
      </c>
      <c r="G216" t="inlineStr">
        <is>
          <t>Nashville, TN, US</t>
        </is>
      </c>
      <c r="H216" s="2" t="n">
        <v>45917</v>
      </c>
      <c r="I21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in-712846a8ea1f8760</t>
        </is>
      </c>
      <c r="B217" t="inlineStr">
        <is>
          <t>Applied Scientist, Workplace Health &amp; Safety</t>
        </is>
      </c>
      <c r="C217" t="inlineStr">
        <is>
          <t>Amazon.com</t>
        </is>
      </c>
      <c r="D217" t="inlineStr">
        <is>
          <t>indeed</t>
        </is>
      </c>
      <c r="E217">
        <f>HYPERLINK("https://www.indeed.com/viewjob?jk=712846a8ea1f8760", "https://www.indeed.com/viewjob?jk=712846a8ea1f8760")</f>
        <v/>
      </c>
      <c r="F217">
        <f>HYPERLINK("https://www.amazon.jobs/jobs/3144886/applied-scientist-workplace-health--safety-?cmpid=DA_INAD200785B", "https://www.amazon.jobs/jobs/3144886/applied-scientist-workplace-health--safety-?cmpid=DA_INAD200785B")</f>
        <v/>
      </c>
      <c r="G217" t="inlineStr">
        <is>
          <t>Bellevue, WA, US</t>
        </is>
      </c>
      <c r="H217" s="2" t="n">
        <v>45917</v>
      </c>
      <c r="I21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in-56a5e12654ce5eb2</t>
        </is>
      </c>
      <c r="B218" t="inlineStr">
        <is>
          <t>Sr. Applied Scientist, Prime Video - Personalization and Discovery Science</t>
        </is>
      </c>
      <c r="C218" t="inlineStr">
        <is>
          <t>Amazon.com</t>
        </is>
      </c>
      <c r="D218" t="inlineStr">
        <is>
          <t>indeed</t>
        </is>
      </c>
      <c r="E218">
        <f>HYPERLINK("https://www.indeed.com/viewjob?jk=56a5e12654ce5eb2", "https://www.indeed.com/viewjob?jk=56a5e12654ce5eb2")</f>
        <v/>
      </c>
      <c r="F218">
        <f>HYPERLINK("https://www.amazon.jobs/jobs/3084479/sr-applied-scientist-prime-video--personalization-and-discovery-science?cmpid=DA_INAD200785B", "https://www.amazon.jobs/jobs/3084479/sr-applied-scientist-prime-video--personalization-and-discovery-science?cmpid=DA_INAD200785B")</f>
        <v/>
      </c>
      <c r="G218" t="inlineStr">
        <is>
          <t>Sunnyvale, CA, US</t>
        </is>
      </c>
      <c r="H218" s="2" t="n">
        <v>45896</v>
      </c>
      <c r="I2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19">
      <c r="A219" t="inlineStr">
        <is>
          <t>in-2898e6bfeec111e8</t>
        </is>
      </c>
      <c r="B219" t="inlineStr">
        <is>
          <t>Sr. Applied Scientist, Prime Video - Personalization and Discovery Science</t>
        </is>
      </c>
      <c r="C219" t="inlineStr">
        <is>
          <t>Amazon.com</t>
        </is>
      </c>
      <c r="D219" t="inlineStr">
        <is>
          <t>indeed</t>
        </is>
      </c>
      <c r="E219">
        <f>HYPERLINK("https://www.indeed.com/viewjob?jk=2898e6bfeec111e8", "https://www.indeed.com/viewjob?jk=2898e6bfeec111e8")</f>
        <v/>
      </c>
      <c r="F219">
        <f>HYPERLINK("https://www.amazon.jobs/jobs/3084479/sr-applied-scientist-prime-video--personalization-and-discovery-science?cmpid=DA_INAD200785B", "https://www.amazon.jobs/jobs/3084479/sr-applied-scientist-prime-video--personalization-and-discovery-science?cmpid=DA_INAD200785B")</f>
        <v/>
      </c>
      <c r="G219" t="inlineStr">
        <is>
          <t>New York, NY, US</t>
        </is>
      </c>
      <c r="H219" s="2" t="n">
        <v>45896</v>
      </c>
      <c r="I2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0">
      <c r="A220" t="inlineStr">
        <is>
          <t>in-e6a4e52f40977b80</t>
        </is>
      </c>
      <c r="B220" t="inlineStr">
        <is>
          <t>Sr. Applied Scientist, Prime Video - Personalization and Discovery Science</t>
        </is>
      </c>
      <c r="C220" t="inlineStr">
        <is>
          <t>Amazon.com</t>
        </is>
      </c>
      <c r="D220" t="inlineStr">
        <is>
          <t>indeed</t>
        </is>
      </c>
      <c r="E220">
        <f>HYPERLINK("https://www.indeed.com/viewjob?jk=e6a4e52f40977b80", "https://www.indeed.com/viewjob?jk=e6a4e52f40977b80")</f>
        <v/>
      </c>
      <c r="F220">
        <f>HYPERLINK("https://www.amazon.jobs/jobs/3084479/sr-applied-scientist-prime-video--personalization-and-discovery-science?cmpid=DA_INAD200785B", "https://www.amazon.jobs/jobs/3084479/sr-applied-scientist-prime-video--personalization-and-discovery-science?cmpid=DA_INAD200785B")</f>
        <v/>
      </c>
      <c r="G220" t="inlineStr">
        <is>
          <t>Seattle, WA, US</t>
        </is>
      </c>
      <c r="H220" s="2" t="n">
        <v>45896</v>
      </c>
      <c r="I2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1">
      <c r="A221" t="inlineStr">
        <is>
          <t>in-dafcbdc85b36db9d</t>
        </is>
      </c>
      <c r="B221" t="inlineStr">
        <is>
          <t>Applied Scientist II, Prime Video , Personalization and Discovery Science</t>
        </is>
      </c>
      <c r="C221" t="inlineStr">
        <is>
          <t>Amazon.com</t>
        </is>
      </c>
      <c r="D221" t="inlineStr">
        <is>
          <t>indeed</t>
        </is>
      </c>
      <c r="E221">
        <f>HYPERLINK("https://www.indeed.com/viewjob?jk=dafcbdc85b36db9d", "https://www.indeed.com/viewjob?jk=dafcbdc85b36db9d")</f>
        <v/>
      </c>
      <c r="F221">
        <f>HYPERLINK("https://www.amazon.jobs/jobs/3061303/applied-scientist-ii-prime-video--personalization-and-discovery-science?cmpid=DA_INAD200785B", "https://www.amazon.jobs/jobs/3061303/applied-scientist-ii-prime-video--personalization-and-discovery-science?cmpid=DA_INAD200785B")</f>
        <v/>
      </c>
      <c r="G221" t="inlineStr">
        <is>
          <t>New York, NY, US</t>
        </is>
      </c>
      <c r="H221" s="2" t="n">
        <v>45886</v>
      </c>
      <c r="I2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22">
      <c r="A222" t="inlineStr">
        <is>
          <t>in-22b9251d309e7608</t>
        </is>
      </c>
      <c r="B222" t="inlineStr">
        <is>
          <t>Applied Scientist II, Prime Video , Personalization and Discovery Science</t>
        </is>
      </c>
      <c r="C222" t="inlineStr">
        <is>
          <t>Amazon.com</t>
        </is>
      </c>
      <c r="D222" t="inlineStr">
        <is>
          <t>indeed</t>
        </is>
      </c>
      <c r="E222">
        <f>HYPERLINK("https://www.indeed.com/viewjob?jk=22b9251d309e7608", "https://www.indeed.com/viewjob?jk=22b9251d309e7608")</f>
        <v/>
      </c>
      <c r="F222">
        <f>HYPERLINK("https://www.amazon.jobs/jobs/3061303/applied-scientist-ii-prime-video--personalization-and-discovery-science?cmpid=DA_INAD200785B", "https://www.amazon.jobs/jobs/3061303/applied-scientist-ii-prime-video--personalization-and-discovery-science?cmpid=DA_INAD200785B")</f>
        <v/>
      </c>
      <c r="G222" t="inlineStr">
        <is>
          <t>Seattle, WA, US</t>
        </is>
      </c>
      <c r="H222" s="2" t="n">
        <v>45886</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23">
      <c r="A223" t="inlineStr">
        <is>
          <t>in-b8b5f5d6057bf936</t>
        </is>
      </c>
      <c r="B223" t="inlineStr">
        <is>
          <t>Applied Scientist II, Prime Video , Personalization and Discovery Science</t>
        </is>
      </c>
      <c r="C223" t="inlineStr">
        <is>
          <t>Amazon.com</t>
        </is>
      </c>
      <c r="D223" t="inlineStr">
        <is>
          <t>indeed</t>
        </is>
      </c>
      <c r="E223">
        <f>HYPERLINK("https://www.indeed.com/viewjob?jk=b8b5f5d6057bf936", "https://www.indeed.com/viewjob?jk=b8b5f5d6057bf936")</f>
        <v/>
      </c>
      <c r="F223">
        <f>HYPERLINK("https://www.amazon.jobs/jobs/3061303/applied-scientist-ii-prime-video--personalization-and-discovery-science?cmpid=DA_INAD200785B", "https://www.amazon.jobs/jobs/3061303/applied-scientist-ii-prime-video--personalization-and-discovery-science?cmpid=DA_INAD200785B")</f>
        <v/>
      </c>
      <c r="G223" t="inlineStr">
        <is>
          <t>Sunnyvale, CA, US</t>
        </is>
      </c>
      <c r="H223" s="2" t="n">
        <v>45886</v>
      </c>
      <c r="I2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24">
      <c r="A224" t="inlineStr">
        <is>
          <t>in-6bc014124ea9ca42</t>
        </is>
      </c>
      <c r="B224" t="inlineStr">
        <is>
          <t>Applied Scientist II, Prime Video - Personalization and Discovery Science</t>
        </is>
      </c>
      <c r="C224" t="inlineStr">
        <is>
          <t>Amazon.com</t>
        </is>
      </c>
      <c r="D224" t="inlineStr">
        <is>
          <t>indeed</t>
        </is>
      </c>
      <c r="E224">
        <f>HYPERLINK("https://www.indeed.com/viewjob?jk=6bc014124ea9ca42", "https://www.indeed.com/viewjob?jk=6bc014124ea9ca42")</f>
        <v/>
      </c>
      <c r="F224">
        <f>HYPERLINK("https://www.amazon.jobs/jobs/3059253/applied-scientist-ii-prime-video--personalization-and-discovery-science?cmpid=DA_INAD200785B", "https://www.amazon.jobs/jobs/3059253/applied-scientist-ii-prime-video--personalization-and-discovery-science?cmpid=DA_INAD200785B")</f>
        <v/>
      </c>
      <c r="G224" t="inlineStr">
        <is>
          <t>New York, NY, US</t>
        </is>
      </c>
      <c r="H224" s="2" t="n">
        <v>45881</v>
      </c>
      <c r="I2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in-86def11c5c61994e</t>
        </is>
      </c>
      <c r="B225" t="inlineStr">
        <is>
          <t>Sr. Applied Scientist, Prime Video - Personalization and Discovery Science</t>
        </is>
      </c>
      <c r="C225" t="inlineStr">
        <is>
          <t>Amazon.com</t>
        </is>
      </c>
      <c r="D225" t="inlineStr">
        <is>
          <t>indeed</t>
        </is>
      </c>
      <c r="E225">
        <f>HYPERLINK("https://www.indeed.com/viewjob?jk=86def11c5c61994e", "https://www.indeed.com/viewjob?jk=86def11c5c61994e")</f>
        <v/>
      </c>
      <c r="F225">
        <f>HYPERLINK("https://www.amazon.jobs/jobs/3059256/sr-applied-scientist-prime-video--personalization-and-discovery-science?cmpid=DA_INAD200785B", "https://www.amazon.jobs/jobs/3059256/sr-applied-scientist-prime-video--personalization-and-discovery-science?cmpid=DA_INAD200785B")</f>
        <v/>
      </c>
      <c r="G225" t="inlineStr">
        <is>
          <t>Seattle, WA, US</t>
        </is>
      </c>
      <c r="H225" s="2" t="n">
        <v>45881</v>
      </c>
      <c r="I2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in-f421826614f133f0</t>
        </is>
      </c>
      <c r="B226" t="inlineStr">
        <is>
          <t>Applied Scientist II, Prime Video - Personalization and Discovery Science</t>
        </is>
      </c>
      <c r="C226" t="inlineStr">
        <is>
          <t>Amazon.com</t>
        </is>
      </c>
      <c r="D226" t="inlineStr">
        <is>
          <t>indeed</t>
        </is>
      </c>
      <c r="E226">
        <f>HYPERLINK("https://www.indeed.com/viewjob?jk=f421826614f133f0", "https://www.indeed.com/viewjob?jk=f421826614f133f0")</f>
        <v/>
      </c>
      <c r="F226">
        <f>HYPERLINK("https://www.amazon.jobs/jobs/3059253/applied-scientist-ii-prime-video--personalization-and-discovery-science?cmpid=DA_INAD200785B", "https://www.amazon.jobs/jobs/3059253/applied-scientist-ii-prime-video--personalization-and-discovery-science?cmpid=DA_INAD200785B")</f>
        <v/>
      </c>
      <c r="G226" t="inlineStr">
        <is>
          <t>Sunnyvale, CA, US</t>
        </is>
      </c>
      <c r="H226" s="2" t="n">
        <v>45881</v>
      </c>
      <c r="I2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in-f27bc33d343f4903</t>
        </is>
      </c>
      <c r="B227" t="inlineStr">
        <is>
          <t>Applied Scientist II, Prime Video - Personalization and Discovery Science</t>
        </is>
      </c>
      <c r="C227" t="inlineStr">
        <is>
          <t>Amazon.com</t>
        </is>
      </c>
      <c r="D227" t="inlineStr">
        <is>
          <t>indeed</t>
        </is>
      </c>
      <c r="E227">
        <f>HYPERLINK("https://www.indeed.com/viewjob?jk=f27bc33d343f4903", "https://www.indeed.com/viewjob?jk=f27bc33d343f4903")</f>
        <v/>
      </c>
      <c r="F227">
        <f>HYPERLINK("https://www.amazon.jobs/jobs/3059253/applied-scientist-ii-prime-video--personalization-and-discovery-science?cmpid=DA_INAD200785B", "https://www.amazon.jobs/jobs/3059253/applied-scientist-ii-prime-video--personalization-and-discovery-science?cmpid=DA_INAD200785B")</f>
        <v/>
      </c>
      <c r="G227" t="inlineStr">
        <is>
          <t>Seattle, WA, US</t>
        </is>
      </c>
      <c r="H227" s="2" t="n">
        <v>45881</v>
      </c>
      <c r="I2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in-f72dc11f6c3be348</t>
        </is>
      </c>
      <c r="B228" t="inlineStr">
        <is>
          <t>Sr. Applied Scientist, Prime Video - Personalization and Discovery Science</t>
        </is>
      </c>
      <c r="C228" t="inlineStr">
        <is>
          <t>Amazon.com</t>
        </is>
      </c>
      <c r="D228" t="inlineStr">
        <is>
          <t>indeed</t>
        </is>
      </c>
      <c r="E228">
        <f>HYPERLINK("https://www.indeed.com/viewjob?jk=f72dc11f6c3be348", "https://www.indeed.com/viewjob?jk=f72dc11f6c3be348")</f>
        <v/>
      </c>
      <c r="F228">
        <f>HYPERLINK("https://www.amazon.jobs/jobs/3059256/sr-applied-scientist-prime-video--personalization-and-discovery-science?cmpid=DA_INAD200785B", "https://www.amazon.jobs/jobs/3059256/sr-applied-scientist-prime-video--personalization-and-discovery-science?cmpid=DA_INAD200785B")</f>
        <v/>
      </c>
      <c r="G228" t="inlineStr">
        <is>
          <t>Sunnyvale, CA, US</t>
        </is>
      </c>
      <c r="H228" s="2" t="n">
        <v>45881</v>
      </c>
      <c r="I2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in-2d755f929fa4fdb7</t>
        </is>
      </c>
      <c r="B229" t="inlineStr">
        <is>
          <t>Sr. Applied Scientist, Prime Video - Personalization and Discovery Science</t>
        </is>
      </c>
      <c r="C229" t="inlineStr">
        <is>
          <t>Amazon.com</t>
        </is>
      </c>
      <c r="D229" t="inlineStr">
        <is>
          <t>indeed</t>
        </is>
      </c>
      <c r="E229">
        <f>HYPERLINK("https://www.indeed.com/viewjob?jk=2d755f929fa4fdb7", "https://www.indeed.com/viewjob?jk=2d755f929fa4fdb7")</f>
        <v/>
      </c>
      <c r="F229">
        <f>HYPERLINK("https://www.amazon.jobs/jobs/3059256/sr-applied-scientist-prime-video--personalization-and-discovery-science?cmpid=DA_INAD200785B", "https://www.amazon.jobs/jobs/3059256/sr-applied-scientist-prime-video--personalization-and-discovery-science?cmpid=DA_INAD200785B")</f>
        <v/>
      </c>
      <c r="G229" t="inlineStr">
        <is>
          <t>New York, NY, US</t>
        </is>
      </c>
      <c r="H229" s="2" t="n">
        <v>45881</v>
      </c>
      <c r="I2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in-930e6722f926cdf1</t>
        </is>
      </c>
      <c r="B230" t="inlineStr">
        <is>
          <t>Applied Scientist III, StoreGen</t>
        </is>
      </c>
      <c r="C230" t="inlineStr">
        <is>
          <t>Amazon.com</t>
        </is>
      </c>
      <c r="D230" t="inlineStr">
        <is>
          <t>indeed</t>
        </is>
      </c>
      <c r="E230">
        <f>HYPERLINK("https://www.indeed.com/viewjob?jk=930e6722f926cdf1", "https://www.indeed.com/viewjob?jk=930e6722f926cdf1")</f>
        <v/>
      </c>
      <c r="F230">
        <f>HYPERLINK("https://www.amazon.jobs/jobs/3065534/applied-scientist-iii-storegen?cmpid=DA_INAD200785B", "https://www.amazon.jobs/jobs/3065534/applied-scientist-iii-storegen?cmpid=DA_INAD200785B")</f>
        <v/>
      </c>
      <c r="G230" t="inlineStr">
        <is>
          <t>Sunnyvale, CA, US</t>
        </is>
      </c>
      <c r="H230" s="2" t="n">
        <v>45868</v>
      </c>
      <c r="I230"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in-93e5713f303946fe</t>
        </is>
      </c>
      <c r="B231" t="inlineStr">
        <is>
          <t>Applied Scientist III, StoreGen</t>
        </is>
      </c>
      <c r="C231" t="inlineStr">
        <is>
          <t>Amazon.com</t>
        </is>
      </c>
      <c r="D231" t="inlineStr">
        <is>
          <t>indeed</t>
        </is>
      </c>
      <c r="E231">
        <f>HYPERLINK("https://www.indeed.com/viewjob?jk=93e5713f303946fe", "https://www.indeed.com/viewjob?jk=93e5713f303946fe")</f>
        <v/>
      </c>
      <c r="F231">
        <f>HYPERLINK("https://www.amazon.jobs/jobs/3065534/applied-scientist-iii-storegen?cmpid=DA_INAD200785B", "https://www.amazon.jobs/jobs/3065534/applied-scientist-iii-storegen?cmpid=DA_INAD200785B")</f>
        <v/>
      </c>
      <c r="G231" t="inlineStr">
        <is>
          <t>Seattle, WA, US</t>
        </is>
      </c>
      <c r="H231" s="2" t="n">
        <v>45868</v>
      </c>
      <c r="I23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in-ac0714470c6a1350</t>
        </is>
      </c>
      <c r="B232" t="inlineStr">
        <is>
          <t>Sr. Applied Scientist, Amazon Advertising</t>
        </is>
      </c>
      <c r="C232" t="inlineStr">
        <is>
          <t>Amazon.com</t>
        </is>
      </c>
      <c r="D232" t="inlineStr">
        <is>
          <t>indeed</t>
        </is>
      </c>
      <c r="E232">
        <f>HYPERLINK("https://www.indeed.com/viewjob?jk=ac0714470c6a1350", "https://www.indeed.com/viewjob?jk=ac0714470c6a1350")</f>
        <v/>
      </c>
      <c r="F232">
        <f>HYPERLINK("https://www.amazon.jobs/jobs/3035686/sr-applied-scientist-amazon-advertising?cmpid=DA_INAD200785B", "https://www.amazon.jobs/jobs/3035686/sr-applied-scientist-amazon-advertising?cmpid=DA_INAD200785B")</f>
        <v/>
      </c>
      <c r="G232" t="inlineStr">
        <is>
          <t>Simi Valley, CA, US</t>
        </is>
      </c>
      <c r="H232" s="2" t="n">
        <v>45851</v>
      </c>
      <c r="I2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in-d774f09d947685b8</t>
        </is>
      </c>
      <c r="B233" t="inlineStr">
        <is>
          <t>Sr. Applied Scientist, Amazon Advertising</t>
        </is>
      </c>
      <c r="C233" t="inlineStr">
        <is>
          <t>Amazon.com</t>
        </is>
      </c>
      <c r="D233" t="inlineStr">
        <is>
          <t>indeed</t>
        </is>
      </c>
      <c r="E233">
        <f>HYPERLINK("https://www.indeed.com/viewjob?jk=d774f09d947685b8", "https://www.indeed.com/viewjob?jk=d774f09d947685b8")</f>
        <v/>
      </c>
      <c r="F233">
        <f>HYPERLINK("https://www.amazon.jobs/jobs/3035686/sr-applied-scientist-amazon-advertising?cmpid=DA_INAD200785B", "https://www.amazon.jobs/jobs/3035686/sr-applied-scientist-amazon-advertising?cmpid=DA_INAD200785B")</f>
        <v/>
      </c>
      <c r="G233" t="inlineStr">
        <is>
          <t>Palo Alto, CA, US</t>
        </is>
      </c>
      <c r="H233" s="2" t="n">
        <v>45851</v>
      </c>
      <c r="I2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in-28394d4797c1d6c9</t>
        </is>
      </c>
      <c r="B234" t="inlineStr">
        <is>
          <t>Sr. Applied Scientist, Amazon Advertising</t>
        </is>
      </c>
      <c r="C234" t="inlineStr">
        <is>
          <t>Amazon.com</t>
        </is>
      </c>
      <c r="D234" t="inlineStr">
        <is>
          <t>indeed</t>
        </is>
      </c>
      <c r="E234">
        <f>HYPERLINK("https://www.indeed.com/viewjob?jk=28394d4797c1d6c9", "https://www.indeed.com/viewjob?jk=28394d4797c1d6c9")</f>
        <v/>
      </c>
      <c r="F234">
        <f>HYPERLINK("https://www.amazon.jobs/jobs/3035686/sr-applied-scientist-amazon-advertising?cmpid=DA_INAD200785B", "https://www.amazon.jobs/jobs/3035686/sr-applied-scientist-amazon-advertising?cmpid=DA_INAD200785B")</f>
        <v/>
      </c>
      <c r="G234" t="inlineStr">
        <is>
          <t>New York, NY, US</t>
        </is>
      </c>
      <c r="H234" s="2" t="n">
        <v>45851</v>
      </c>
      <c r="I2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in-13dc465c836b4e1a</t>
        </is>
      </c>
      <c r="B235" t="inlineStr">
        <is>
          <t>Sr. Applied Scientist, Amazon Advertising</t>
        </is>
      </c>
      <c r="C235" t="inlineStr">
        <is>
          <t>Amazon.com</t>
        </is>
      </c>
      <c r="D235" t="inlineStr">
        <is>
          <t>indeed</t>
        </is>
      </c>
      <c r="E235">
        <f>HYPERLINK("https://www.indeed.com/viewjob?jk=13dc465c836b4e1a", "https://www.indeed.com/viewjob?jk=13dc465c836b4e1a")</f>
        <v/>
      </c>
      <c r="F235">
        <f>HYPERLINK("https://www.amazon.jobs/jobs/3035686/sr-applied-scientist-amazon-advertising?cmpid=DA_INAD200785B", "https://www.amazon.jobs/jobs/3035686/sr-applied-scientist-amazon-advertising?cmpid=DA_INAD200785B")</f>
        <v/>
      </c>
      <c r="G235" t="inlineStr">
        <is>
          <t>Austin, TX, US</t>
        </is>
      </c>
      <c r="H235" s="2" t="n">
        <v>45851</v>
      </c>
      <c r="I2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in-33c8edb1ff76587b</t>
        </is>
      </c>
      <c r="B236" t="inlineStr">
        <is>
          <t>Sr. Applied Scientist, Amazon Advertising</t>
        </is>
      </c>
      <c r="C236" t="inlineStr">
        <is>
          <t>Amazon.com</t>
        </is>
      </c>
      <c r="D236" t="inlineStr">
        <is>
          <t>indeed</t>
        </is>
      </c>
      <c r="E236">
        <f>HYPERLINK("https://www.indeed.com/viewjob?jk=33c8edb1ff76587b", "https://www.indeed.com/viewjob?jk=33c8edb1ff76587b")</f>
        <v/>
      </c>
      <c r="F236">
        <f>HYPERLINK("https://www.amazon.jobs/jobs/3035686/sr-applied-scientist-amazon-advertising?cmpid=DA_INAD200785B", "https://www.amazon.jobs/jobs/3035686/sr-applied-scientist-amazon-advertising?cmpid=DA_INAD200785B")</f>
        <v/>
      </c>
      <c r="G236" t="inlineStr">
        <is>
          <t>Los Angeles, CA, US</t>
        </is>
      </c>
      <c r="H236" s="2" t="n">
        <v>45851</v>
      </c>
      <c r="I2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in-0826adfdf257a32b</t>
        </is>
      </c>
      <c r="B237" t="inlineStr">
        <is>
          <t>Sr. Applied Scientist, Amazon Advertising</t>
        </is>
      </c>
      <c r="C237" t="inlineStr">
        <is>
          <t>Amazon.com</t>
        </is>
      </c>
      <c r="D237" t="inlineStr">
        <is>
          <t>indeed</t>
        </is>
      </c>
      <c r="E237">
        <f>HYPERLINK("https://www.indeed.com/viewjob?jk=0826adfdf257a32b", "https://www.indeed.com/viewjob?jk=0826adfdf257a32b")</f>
        <v/>
      </c>
      <c r="F237">
        <f>HYPERLINK("https://www.amazon.jobs/jobs/3035686/sr-applied-scientist-amazon-advertising?cmpid=DA_INAD200785B", "https://www.amazon.jobs/jobs/3035686/sr-applied-scientist-amazon-advertising?cmpid=DA_INAD200785B")</f>
        <v/>
      </c>
      <c r="G237" t="inlineStr">
        <is>
          <t>West Hollywood, CA, US</t>
        </is>
      </c>
      <c r="H237" s="2" t="n">
        <v>45851</v>
      </c>
      <c r="I2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in-9abf41140809028b</t>
        </is>
      </c>
      <c r="B238" t="inlineStr">
        <is>
          <t>Sr. Applied Scientist, Amazon Advertising</t>
        </is>
      </c>
      <c r="C238" t="inlineStr">
        <is>
          <t>Amazon.com</t>
        </is>
      </c>
      <c r="D238" t="inlineStr">
        <is>
          <t>indeed</t>
        </is>
      </c>
      <c r="E238">
        <f>HYPERLINK("https://www.indeed.com/viewjob?jk=9abf41140809028b", "https://www.indeed.com/viewjob?jk=9abf41140809028b")</f>
        <v/>
      </c>
      <c r="F238">
        <f>HYPERLINK("https://www.amazon.jobs/jobs/3035686/sr-applied-scientist-amazon-advertising?cmpid=DA_INAD200785B", "https://www.amazon.jobs/jobs/3035686/sr-applied-scientist-amazon-advertising?cmpid=DA_INAD200785B")</f>
        <v/>
      </c>
      <c r="G238" t="inlineStr">
        <is>
          <t>Seattle, WA, US</t>
        </is>
      </c>
      <c r="H238" s="2" t="n">
        <v>45851</v>
      </c>
      <c r="I2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in-035dd001ce701453</t>
        </is>
      </c>
      <c r="B239" t="inlineStr">
        <is>
          <t>Sr. Applied Scientist, Amazon Advertising</t>
        </is>
      </c>
      <c r="C239" t="inlineStr">
        <is>
          <t>Amazon.com</t>
        </is>
      </c>
      <c r="D239" t="inlineStr">
        <is>
          <t>indeed</t>
        </is>
      </c>
      <c r="E239">
        <f>HYPERLINK("https://www.indeed.com/viewjob?jk=035dd001ce701453", "https://www.indeed.com/viewjob?jk=035dd001ce701453")</f>
        <v/>
      </c>
      <c r="F239">
        <f>HYPERLINK("https://www.amazon.jobs/jobs/3035686/sr-applied-scientist-amazon-advertising?cmpid=DA_INAD200785B", "https://www.amazon.jobs/jobs/3035686/sr-applied-scientist-amazon-advertising?cmpid=DA_INAD200785B")</f>
        <v/>
      </c>
      <c r="G239" t="inlineStr">
        <is>
          <t>Arlington, VA, US</t>
        </is>
      </c>
      <c r="H239" s="2" t="n">
        <v>45851</v>
      </c>
      <c r="I23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in-8abe57a6b096567e</t>
        </is>
      </c>
      <c r="B240" t="inlineStr">
        <is>
          <t>Sr. Applied Scientist, Sales AI</t>
        </is>
      </c>
      <c r="C240" t="inlineStr">
        <is>
          <t>Amazon.com</t>
        </is>
      </c>
      <c r="D240" t="inlineStr">
        <is>
          <t>indeed</t>
        </is>
      </c>
      <c r="E240">
        <f>HYPERLINK("https://www.indeed.com/viewjob?jk=8abe57a6b096567e", "https://www.indeed.com/viewjob?jk=8abe57a6b096567e")</f>
        <v/>
      </c>
      <c r="F240">
        <f>HYPERLINK("https://www.amazon.jobs/jobs/3020528/sr-applied-scientist-sales-ai?cmpid=DA_INAD200785B", "https://www.amazon.jobs/jobs/3020528/sr-applied-scientist-sales-ai?cmpid=DA_INAD200785B")</f>
        <v/>
      </c>
      <c r="G240" t="inlineStr">
        <is>
          <t>New York, NY, US</t>
        </is>
      </c>
      <c r="H240" s="2" t="n">
        <v>45830</v>
      </c>
      <c r="I24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in-039061a68d11a300</t>
        </is>
      </c>
      <c r="B241" t="inlineStr">
        <is>
          <t>Sr. Applied Scientist, Sales AI</t>
        </is>
      </c>
      <c r="C241" t="inlineStr">
        <is>
          <t>Amazon.com</t>
        </is>
      </c>
      <c r="D241" t="inlineStr">
        <is>
          <t>indeed</t>
        </is>
      </c>
      <c r="E241">
        <f>HYPERLINK("https://www.indeed.com/viewjob?jk=039061a68d11a300", "https://www.indeed.com/viewjob?jk=039061a68d11a300")</f>
        <v/>
      </c>
      <c r="F241">
        <f>HYPERLINK("https://www.amazon.jobs/jobs/3020528/sr-applied-scientist-sales-ai?cmpid=DA_INAD200785B", "https://www.amazon.jobs/jobs/3020528/sr-applied-scientist-sales-ai?cmpid=DA_INAD200785B")</f>
        <v/>
      </c>
      <c r="G241" t="inlineStr">
        <is>
          <t>Seattle, WA, US</t>
        </is>
      </c>
      <c r="H241" s="2" t="n">
        <v>45830</v>
      </c>
      <c r="I24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in-28a2a987470636f1</t>
        </is>
      </c>
      <c r="B242" t="inlineStr">
        <is>
          <t>Sr. Applied Scientist, Sales AI</t>
        </is>
      </c>
      <c r="C242" t="inlineStr">
        <is>
          <t>Amazon.com</t>
        </is>
      </c>
      <c r="D242" t="inlineStr">
        <is>
          <t>indeed</t>
        </is>
      </c>
      <c r="E242">
        <f>HYPERLINK("https://www.indeed.com/viewjob?jk=28a2a987470636f1", "https://www.indeed.com/viewjob?jk=28a2a987470636f1")</f>
        <v/>
      </c>
      <c r="F242">
        <f>HYPERLINK("https://www.amazon.jobs/jobs/3020528/sr-applied-scientist-sales-ai?cmpid=DA_INAD200785B", "https://www.amazon.jobs/jobs/3020528/sr-applied-scientist-sales-ai?cmpid=DA_INAD200785B")</f>
        <v/>
      </c>
      <c r="G242" t="inlineStr">
        <is>
          <t>Sunnyvale, CA, US</t>
        </is>
      </c>
      <c r="H242" s="2" t="n">
        <v>45830</v>
      </c>
      <c r="I24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in-6b3ce0aa88182710</t>
        </is>
      </c>
      <c r="B243" t="inlineStr">
        <is>
          <t>Senior Applied Scientist, Delivery Foundation Model</t>
        </is>
      </c>
      <c r="C243" t="inlineStr">
        <is>
          <t>Amazon.com</t>
        </is>
      </c>
      <c r="D243" t="inlineStr">
        <is>
          <t>indeed</t>
        </is>
      </c>
      <c r="E243">
        <f>HYPERLINK("https://www.indeed.com/viewjob?jk=6b3ce0aa88182710", "https://www.indeed.com/viewjob?jk=6b3ce0aa88182710")</f>
        <v/>
      </c>
      <c r="F243">
        <f>HYPERLINK("https://www.amazon.jobs/jobs/2998435/senior-applied-scientist-delivery-foundation-model-?cmpid=DA_INAD200785B", "https://www.amazon.jobs/jobs/2998435/senior-applied-scientist-delivery-foundation-model-?cmpid=DA_INAD200785B")</f>
        <v/>
      </c>
      <c r="G243" t="inlineStr">
        <is>
          <t>Santa Clara, CA, US</t>
        </is>
      </c>
      <c r="H243" s="2" t="n">
        <v>45806</v>
      </c>
      <c r="I24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in-d68a96edbe942770</t>
        </is>
      </c>
      <c r="B244" t="inlineStr">
        <is>
          <t>Senior Applied Scientist, Delivery Foundation Model</t>
        </is>
      </c>
      <c r="C244" t="inlineStr">
        <is>
          <t>Amazon.com</t>
        </is>
      </c>
      <c r="D244" t="inlineStr">
        <is>
          <t>indeed</t>
        </is>
      </c>
      <c r="E244">
        <f>HYPERLINK("https://www.indeed.com/viewjob?jk=d68a96edbe942770", "https://www.indeed.com/viewjob?jk=d68a96edbe942770")</f>
        <v/>
      </c>
      <c r="F244">
        <f>HYPERLINK("https://www.amazon.jobs/jobs/2998435/senior-applied-scientist-delivery-foundation-model-?cmpid=DA_INAD200785B", "https://www.amazon.jobs/jobs/2998435/senior-applied-scientist-delivery-foundation-model-?cmpid=DA_INAD200785B")</f>
        <v/>
      </c>
      <c r="G244" t="inlineStr">
        <is>
          <t>New York, NY, US</t>
        </is>
      </c>
      <c r="H244" s="2" t="n">
        <v>45806</v>
      </c>
      <c r="I24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in-e742355e89fb9c42</t>
        </is>
      </c>
      <c r="B245" t="inlineStr">
        <is>
          <t>Senior Applied Scientist, Delivery Foundation Model</t>
        </is>
      </c>
      <c r="C245" t="inlineStr">
        <is>
          <t>Amazon.com</t>
        </is>
      </c>
      <c r="D245" t="inlineStr">
        <is>
          <t>indeed</t>
        </is>
      </c>
      <c r="E245">
        <f>HYPERLINK("https://www.indeed.com/viewjob?jk=e742355e89fb9c42", "https://www.indeed.com/viewjob?jk=e742355e89fb9c42")</f>
        <v/>
      </c>
      <c r="F245">
        <f>HYPERLINK("https://www.amazon.jobs/jobs/2998435/senior-applied-scientist-delivery-foundation-model-?cmpid=DA_INAD200785B", "https://www.amazon.jobs/jobs/2998435/senior-applied-scientist-delivery-foundation-model-?cmpid=DA_INAD200785B")</f>
        <v/>
      </c>
      <c r="G245" t="inlineStr">
        <is>
          <t>Bellevue, WA, US</t>
        </is>
      </c>
      <c r="H245" s="2" t="n">
        <v>45806</v>
      </c>
      <c r="I24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in-febb7247c4a1831d</t>
        </is>
      </c>
      <c r="B246" t="inlineStr">
        <is>
          <t>Sr. Applied Scientist - Privacy, Privacy Engineering</t>
        </is>
      </c>
      <c r="C246" t="inlineStr">
        <is>
          <t>Amazon.com</t>
        </is>
      </c>
      <c r="D246" t="inlineStr">
        <is>
          <t>indeed</t>
        </is>
      </c>
      <c r="E246">
        <f>HYPERLINK("https://www.indeed.com/viewjob?jk=febb7247c4a1831d", "https://www.indeed.com/viewjob?jk=febb7247c4a1831d")</f>
        <v/>
      </c>
      <c r="F246">
        <f>HYPERLINK("https://www.amazon.jobs/jobs/2997657/sr-applied-scientist--privacy-privacy-engineering?cmpid=DA_INAD200785B", "https://www.amazon.jobs/jobs/2997657/sr-applied-scientist--privacy-privacy-engineering?cmpid=DA_INAD200785B")</f>
        <v/>
      </c>
      <c r="G246" t="inlineStr">
        <is>
          <t>Sunnyvale, CA, US</t>
        </is>
      </c>
      <c r="H246" s="2" t="n">
        <v>45787</v>
      </c>
      <c r="I24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in-22cc0f4efa7fc82a</t>
        </is>
      </c>
      <c r="B247" t="inlineStr">
        <is>
          <t>Sr. Applied Scientist - Privacy, Privacy Engineering</t>
        </is>
      </c>
      <c r="C247" t="inlineStr">
        <is>
          <t>Amazon.com</t>
        </is>
      </c>
      <c r="D247" t="inlineStr">
        <is>
          <t>indeed</t>
        </is>
      </c>
      <c r="E247">
        <f>HYPERLINK("https://www.indeed.com/viewjob?jk=22cc0f4efa7fc82a", "https://www.indeed.com/viewjob?jk=22cc0f4efa7fc82a")</f>
        <v/>
      </c>
      <c r="F247">
        <f>HYPERLINK("https://www.amazon.jobs/jobs/2997657/sr-applied-scientist--privacy-privacy-engineering?cmpid=DA_INAD200785B", "https://www.amazon.jobs/jobs/2997657/sr-applied-scientist--privacy-privacy-engineering?cmpid=DA_INAD200785B")</f>
        <v/>
      </c>
      <c r="G247" t="inlineStr">
        <is>
          <t>San Francisco, CA, US</t>
        </is>
      </c>
      <c r="H247" s="2" t="n">
        <v>45787</v>
      </c>
      <c r="I24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in-7120fcfe71078b54</t>
        </is>
      </c>
      <c r="B248" t="inlineStr">
        <is>
          <t>Sr. Applied Scientist - Privacy, Privacy Engineering</t>
        </is>
      </c>
      <c r="C248" t="inlineStr">
        <is>
          <t>Amazon.com</t>
        </is>
      </c>
      <c r="D248" t="inlineStr">
        <is>
          <t>indeed</t>
        </is>
      </c>
      <c r="E248">
        <f>HYPERLINK("https://www.indeed.com/viewjob?jk=7120fcfe71078b54", "https://www.indeed.com/viewjob?jk=7120fcfe71078b54")</f>
        <v/>
      </c>
      <c r="F248">
        <f>HYPERLINK("https://www.amazon.jobs/jobs/2997657/sr-applied-scientist--privacy-privacy-engineering?cmpid=DA_INAD200785B", "https://www.amazon.jobs/jobs/2997657/sr-applied-scientist--privacy-privacy-engineering?cmpid=DA_INAD200785B")</f>
        <v/>
      </c>
      <c r="G248" t="inlineStr">
        <is>
          <t>Santa Clara, CA, US</t>
        </is>
      </c>
      <c r="H248" s="2" t="n">
        <v>45787</v>
      </c>
      <c r="I24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in-96b9b496d857e525</t>
        </is>
      </c>
      <c r="B249" t="inlineStr">
        <is>
          <t>Sr. Applied Scientist - Privacy, Privacy Engineering</t>
        </is>
      </c>
      <c r="C249" t="inlineStr">
        <is>
          <t>Amazon.com</t>
        </is>
      </c>
      <c r="D249" t="inlineStr">
        <is>
          <t>indeed</t>
        </is>
      </c>
      <c r="E249">
        <f>HYPERLINK("https://www.indeed.com/viewjob?jk=96b9b496d857e525", "https://www.indeed.com/viewjob?jk=96b9b496d857e525")</f>
        <v/>
      </c>
      <c r="F249">
        <f>HYPERLINK("https://www.amazon.jobs/jobs/2997657/sr-applied-scientist--privacy-privacy-engineering?cmpid=DA_INAD200785B", "https://www.amazon.jobs/jobs/2997657/sr-applied-scientist--privacy-privacy-engineering?cmpid=DA_INAD200785B")</f>
        <v/>
      </c>
      <c r="G249" t="inlineStr">
        <is>
          <t>Seattle, WA, US</t>
        </is>
      </c>
      <c r="H249" s="2" t="n">
        <v>45787</v>
      </c>
      <c r="I24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in-5b01f52e8910dd01</t>
        </is>
      </c>
      <c r="B250" t="inlineStr">
        <is>
          <t>Sr. ML Engineer</t>
        </is>
      </c>
      <c r="C250" t="inlineStr">
        <is>
          <t>Visa</t>
        </is>
      </c>
      <c r="D250" t="inlineStr">
        <is>
          <t>indeed</t>
        </is>
      </c>
      <c r="E250">
        <f>HYPERLINK("https://www.indeed.com/viewjob?jk=5b01f52e8910dd01", "https://www.indeed.com/viewjob?jk=5b01f52e8910dd01")</f>
        <v/>
      </c>
      <c r="F250">
        <f>HYPERLINK("https://jobs.smartrecruiters.com/Visa/744000109729414-sr-ml-engineer", "https://jobs.smartrecruiters.com/Visa/744000109729414-sr-ml-engineer")</f>
        <v/>
      </c>
      <c r="G250" t="inlineStr">
        <is>
          <t>Austin, TX, US</t>
        </is>
      </c>
      <c r="H250" s="2" t="n">
        <v>46070</v>
      </c>
      <c r="I250"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Technology \&amp; Operations LLC, a Visa Inc. company, needs a Sr. ML Engineer (multiple openings) in Austin, TX To:
* Architect, design, build, develop, test, and/or implement software systems and/or applications.
* Conduct business and technical analysis, code reviews and unit testing, and implement and produce technical documentation of solutions for new development, system enhancements, and production support.
* Design, develop and implement modifications and corrections to existing software, including the development of debugging routines.
* Serve as an integral part of the Data Science product development team, investigate new requirements, and design and refactor existing functionality for performance and maintainability.
* Collaborate with project team members (Product Managers, Architects, Analysts, Developers, Project Managers, etc.) to ensure development and implementation of new data driven business solutions.
* Contribute in delivery of high\-quality solutions that conform to requirements and the architectural vision and comply with all applicable standards.
* Engage in requirements definition and clarification in collaboration with Business to ensure completeness and common understanding; deep understanding of the business needs is important.
* Facilitate design reviews to provide input on functional requirements, product designs, schedules, or potential problems.
* Facilitate code reviews with team members and third\-party vendors. Review and assess impact of proposed scope changes on assigned deliverables. Work with other engineering teams to facilitate a common approach to continuous integration that includes build automation, test automation, and deployment automation.
* Collaborate with senior technical staff and PM to identify, document, plan contingency, and track and manage risks and issues until all are resolved.
* Present technical solutions, capabilities, considerations, and features in business terms. Effectively communicate status, issues, and risks in a precise and timely manner.
* Position reports to the Austin, Texas office and may allow for partial telecommuting.
**Qualifications**  
Basic Qualifications:
Employer will accept a Master's degree in Computer Science, Computer Engineering, Information systems or related field and 2 years of experience in the job offered or in a Sr. ML Engineer\-related occupation.
Position requires experience in the following:
* Knowledge of Creational, Structural, Behavioral and Concurrency and understanding of ML algorithms (XGBoost, KNN, SVM, LSTM, Transformers, PCA and other deep learning models)
* Statistical computer programs for Machine Learning, Deep learning and natural language processing – Python, Tensorflow, SkLearn, SOLAR, SAS, MatLab, CUDA and GPU Acceleration
* Development of generic fraud detection systems using GANs, GNNs, DBSCAN clustering
* Pandas, NumPy, and SQL, as well as Matplotlib and Seaborn
* Bigdata technology stack: Hadoop and MapReduce, Spark, Pig, Impala, Kafka
* ML cloud services using AWS, Azure or GCP
* OWASP, static/dynamic analysis, and common security tools
* Oracle, MySQL, HBase, Cassandra, Hive, MongoDB
* Development utilizing Java/J2EE/JavaScripts and in using Java Web Application framework including Spring, Hibernate and Data JPA
* Web services standards and related technologies (XML, JSON, Rest, and SOAP)
**Additional Information** **Worksite:**Austin, TX
**Travel Requirements:** This position does not require travel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**U.S. APPLICANTS ONLY: The estimated salary range for this position is $130,700\.00 USD to $202,300\.00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51">
      <c r="A251" t="inlineStr">
        <is>
          <t>in-fcc436f0ef98ed15</t>
        </is>
      </c>
      <c r="B251" t="inlineStr">
        <is>
          <t>AI/ML Engineer - 6161179</t>
        </is>
      </c>
      <c r="C251" t="inlineStr">
        <is>
          <t>Accenture</t>
        </is>
      </c>
      <c r="D251" t="inlineStr">
        <is>
          <t>indeed</t>
        </is>
      </c>
      <c r="E251">
        <f>HYPERLINK("https://www.indeed.com/viewjob?jk=fcc436f0ef98ed15", "https://www.indeed.com/viewjob?jk=fcc436f0ef98ed15")</f>
        <v/>
      </c>
      <c r="F251">
        <f>HYPERLINK("https://accenture.com/us-en/careers/jobdetails?id=14105893_en", "https://accenture.com/us-en/careers/jobdetails?id=14105893_en")</f>
        <v/>
      </c>
      <c r="G251" t="inlineStr">
        <is>
          <t>Dallas, TX, US</t>
        </is>
      </c>
      <c r="H251" s="2" t="n">
        <v>46069</v>
      </c>
      <c r="I25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an AI/ML Engineer, you will be responsible for developing applications and systems that utilize AI tools and Cloud AI services, ensuring they meet production\-ready quality standards.
* You will apply Generative AI models as part of the solution, which may include deep learning, neural networks, chatbots, and image processing.
* You are expected to be a subject matter expert, collaborate and manage the team to perform effectively, and be responsible for team decisions.
* Engaging with multiple teams, you will contribute to key decisions and provide solutions to problems for your immediate team and across various teams.
* Design and implement innovative AI solutions that address complex business challenges.
* Continuously evaluate and improve existing AI models and systems for enhanced performance.
* Collaborate with cross\-functional teams to integrate AI capabilities into various applications.
* Mentor junior team members and share knowledge on best practices in AI development.
* Stay updated on the latest trends and advancements in AI technology to drive innovation.
* Advanced proficiency in AI Agents is required.
* Advanced proficiency in Large Language Model (LLM) Fine\-Tuning is recommended.
**\*\*\*Role required onsite client work 60% (3 days per week) in Charlotte, NC or Dallas/Plano, TX**
Basic Qualifications:
* 7\+ years of total IT experience
* 2\-3 years of relevant skill experience in developing AI Agents and LLE modules
* Strong proficiency in Python and associated libraries (e.g., pandas, scikit\-learn)
* Experience working with large datasets, data modeling, and SQL
* Bachelor’s or master’s degree in computer science, Data Science, Artificial Intelligence, or a related field
Preferred Qualifications:
* Experience in Natural Language Processing (NLP) or Computer Vision
* Knowledge of big data technologies (Spark, Hadoop)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02/16**/2026* *and open for at least 3 days.*
*Accenture Flex offers a market competitive suite of benefits including medical, dental, vision, and long\-term disability coverage, a 401(k) plan, and paid time off. See more information on our benefits here:*
*Accenture Flex Jobs*
Role Location
*California – $47\.00 \- $57\.00/hour*
*Cleveland – $47\.00 \- $57\.00/hour*
*Colorado – $47\.00 \- $57\.00/hour*
*District of Columbia – $47\.00 \- $57\.00/hour*
*Illinois \- $47\.00 \- $57\.00/hour*
*Maryland – $47\.00 \- $57\.00/hour*
*Massachusetts – $47\.00 \- $57\.00/hour*
*Minnesota \- $47\.00 \- $57\.00/hour*
*New Jersey/New York – $47\.00 \- $57\.00/hour*
*Washington – $47\.00 \- $57\.00/hour*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52">
      <c r="A252" t="inlineStr">
        <is>
          <t>in-d968e262ec2ecd67</t>
        </is>
      </c>
      <c r="B252" t="inlineStr">
        <is>
          <t>AI/ML Engineer - 6161179</t>
        </is>
      </c>
      <c r="C252" t="inlineStr">
        <is>
          <t>Accenture</t>
        </is>
      </c>
      <c r="D252" t="inlineStr">
        <is>
          <t>indeed</t>
        </is>
      </c>
      <c r="E252">
        <f>HYPERLINK("https://www.indeed.com/viewjob?jk=d968e262ec2ecd67", "https://www.indeed.com/viewjob?jk=d968e262ec2ecd67")</f>
        <v/>
      </c>
      <c r="F252">
        <f>HYPERLINK("https://accenture.com/us-en/careers/jobdetails?id=14105893_en", "https://accenture.com/us-en/careers/jobdetails?id=14105893_en")</f>
        <v/>
      </c>
      <c r="G252" t="inlineStr">
        <is>
          <t>Charlotte, NC, US</t>
        </is>
      </c>
      <c r="H252" s="2" t="n">
        <v>46069</v>
      </c>
      <c r="I25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an AI/ML Engineer, you will be responsible for developing applications and systems that utilize AI tools and Cloud AI services, ensuring they meet production\-ready quality standards.
* You will apply Generative AI models as part of the solution, which may include deep learning, neural networks, chatbots, and image processing.
* You are expected to be a subject matter expert, collaborate and manage the team to perform effectively, and be responsible for team decisions.
* Engaging with multiple teams, you will contribute to key decisions and provide solutions to problems for your immediate team and across various teams.
* Design and implement innovative AI solutions that address complex business challenges.
* Continuously evaluate and improve existing AI models and systems for enhanced performance.
* Collaborate with cross\-functional teams to integrate AI capabilities into various applications.
* Mentor junior team members and share knowledge on best practices in AI development.
* Stay updated on the latest trends and advancements in AI technology to drive innovation.
* Advanced proficiency in AI Agents is required.
* Advanced proficiency in Large Language Model (LLM) Fine\-Tuning is recommended.
**\*\*\*Role required onsite client work 60% (3 days per week) in Charlotte, NC or Dallas/Plano, TX**
Basic Qualifications:
* 7\+ years of total IT experience
* 2\-3 years of relevant skill experience in developing AI Agents and LLE modules
* Strong proficiency in Python and associated libraries (e.g., pandas, scikit\-learn)
* Experience working with large datasets, data modeling, and SQL
* Bachelor’s or master’s degree in computer science, Data Science, Artificial Intelligence, or a related field
Preferred Qualifications:
* Experience in Natural Language Processing (NLP) or Computer Vision
* Knowledge of big data technologies (Spark, Hadoop)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02/16**/2026* *and open for at least 3 days.*
*Accenture Flex offers a market competitive suite of benefits including medical, dental, vision, and long\-term disability coverage, a 401(k) plan, and paid time off. See more information on our benefits here:*
*Accenture Flex Jobs*
Role Location
*California – $47\.00 \- $57\.00/hour*
*Cleveland – $47\.00 \- $57\.00/hour*
*Colorado – $47\.00 \- $57\.00/hour*
*District of Columbia – $47\.00 \- $57\.00/hour*
*Illinois \- $47\.00 \- $57\.00/hour*
*Maryland – $47\.00 \- $57\.00/hour*
*Massachusetts – $47\.00 \- $57\.00/hour*
*Minnesota \- $47\.00 \- $57\.00/hour*
*New Jersey/New York – $47\.00 \- $57\.00/hour*
*Washington – $47\.00 \- $57\.00/hour*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53">
      <c r="A253" t="inlineStr">
        <is>
          <t>in-f20630f7cb4db98d</t>
        </is>
      </c>
      <c r="B253" t="inlineStr">
        <is>
          <t>Sr. Machine Learning Engineer, WWPS ProServe Data and Machine Learning</t>
        </is>
      </c>
      <c r="C253" t="inlineStr">
        <is>
          <t>Amazon Web Services</t>
        </is>
      </c>
      <c r="D253" t="inlineStr">
        <is>
          <t>indeed</t>
        </is>
      </c>
      <c r="E253">
        <f>HYPERLINK("https://www.indeed.com/viewjob?jk=f20630f7cb4db98d", "https://www.indeed.com/viewjob?jk=f20630f7cb4db98d")</f>
        <v/>
      </c>
      <c r="F253">
        <f>HYPERLINK("https://www.amazon.jobs/jobs/3181063/sr-machine-learning-engineer-wwps-proserve-data-and-machine-learning?cmpid=DA_INAD200785B", "https://www.amazon.jobs/jobs/3181063/sr-machine-learning-engineer-wwps-proserve-data-and-machine-learning?cmpid=DA_INAD200785B")</f>
        <v/>
      </c>
      <c r="G253" t="inlineStr">
        <is>
          <t>Arlington, VA, US</t>
        </is>
      </c>
      <c r="H253" s="2" t="n">
        <v>46062</v>
      </c>
      <c r="I253" t="inlineStr">
        <is>
          <t>**DESCRIPTION**
---------------
This position requires that the candidate selected be a US Citizen and must currently possess and maintain an active TS/SCI security clearance with polygraph.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a quantitative field such as statistics, mathematics, data science, business analytics, economics, finance, engineering, or computer science
* 5\+ years of data querying languages (e.g. SQL), scripting languages (e.g. Python) or statistical/mathematical software (e.g. R, SAS, Matlab, etc.) experience
* Experience in data applications using large scale distributed systems (e.g., EMR, Spark, Elasticsearch, Hadoop, Pig, and Hive)
* Knowledge of professional software engineering \&amp; best practices for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in a quantitative field such as statistics, mathematics, data science, business analytics, economics, finance, engineering, or computer science
* 2\+ years of data visualization using AWS QuickSight, Tableau, R Shiny, etc. experience
* Experience managing data pipelines
* Knowledge of machine learning approaches and algorithms
* Experience working on multi\-team, cross\-disciplinary projects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254">
      <c r="A254" t="inlineStr">
        <is>
          <t>in-fcf2c5472c829c10</t>
        </is>
      </c>
      <c r="B254" t="inlineStr">
        <is>
          <t>Sr. Machine Learning Engineer, WWPS ProServe Data and Machine Learning</t>
        </is>
      </c>
      <c r="C254" t="inlineStr">
        <is>
          <t>Amazon Web Services</t>
        </is>
      </c>
      <c r="D254" t="inlineStr">
        <is>
          <t>indeed</t>
        </is>
      </c>
      <c r="E254">
        <f>HYPERLINK("https://www.indeed.com/viewjob?jk=fcf2c5472c829c10", "https://www.indeed.com/viewjob?jk=fcf2c5472c829c10")</f>
        <v/>
      </c>
      <c r="F254">
        <f>HYPERLINK("https://www.amazon.jobs/jobs/3181063/sr-machine-learning-engineer-wwps-proserve-data-and-machine-learning?cmpid=DA_INAD200785B", "https://www.amazon.jobs/jobs/3181063/sr-machine-learning-engineer-wwps-proserve-data-and-machine-learning?cmpid=DA_INAD200785B")</f>
        <v/>
      </c>
      <c r="G254" t="inlineStr">
        <is>
          <t>Herndon, VA, US</t>
        </is>
      </c>
      <c r="H254" s="2" t="n">
        <v>46062</v>
      </c>
      <c r="I254" t="inlineStr">
        <is>
          <t>**DESCRIPTION**
---------------
This position requires that the candidate selected be a US Citizen and must currently possess and maintain an active TS/SCI security clearance with polygraph.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a quantitative field such as statistics, mathematics, data science, business analytics, economics, finance, engineering, or computer science
* 5\+ years of data querying languages (e.g. SQL), scripting languages (e.g. Python) or statistical/mathematical software (e.g. R, SAS, Matlab, etc.) experience
* Experience in data applications using large scale distributed systems (e.g., EMR, Spark, Elasticsearch, Hadoop, Pig, and Hive)
* Knowledge of professional software engineering \&amp; best practices for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in a quantitative field such as statistics, mathematics, data science, business analytics, economics, finance, engineering, or computer science
* 2\+ years of data visualization using AWS QuickSight, Tableau, R Shiny, etc. experience
* Experience managing data pipelines
* Knowledge of machine learning approaches and algorithms
* Experience working on multi\-team, cross\-disciplinary projects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255">
      <c r="A255" t="inlineStr">
        <is>
          <t>in-89d0e652bc496e54</t>
        </is>
      </c>
      <c r="B255" t="inlineStr">
        <is>
          <t>Staff Machine Learning Engineer</t>
        </is>
      </c>
      <c r="C255" t="inlineStr">
        <is>
          <t>Qualcomm</t>
        </is>
      </c>
      <c r="D255" t="inlineStr">
        <is>
          <t>indeed</t>
        </is>
      </c>
      <c r="E255">
        <f>HYPERLINK("https://www.indeed.com/viewjob?jk=89d0e652bc496e54", "https://www.indeed.com/viewjob?jk=89d0e652bc496e54")</f>
        <v/>
      </c>
      <c r="F255">
        <f>HYPERLINK("https://careers.qualcomm.com/careers/job/446716907350?utm_source=indeed&amp;domain=qualcomm.com", "https://careers.qualcomm.com/careers/job/446716907350?utm_source=indeed&amp;domain=qualcomm.com")</f>
        <v/>
      </c>
      <c r="G255" t="inlineStr">
        <is>
          <t>San Diego, CA, US</t>
        </is>
      </c>
      <c r="H255" s="2" t="n">
        <v>46056</v>
      </c>
      <c r="I255" t="inlineStr">
        <is>
          <t>**Company:**
------------
Qualcomm Technologies, Inc.**Job Area:**
-------------
Engineering Group, Engineering Group \&gt; Machine Learning Engineering**General Summary:**
As a leading technology innovator, Qualcomm pushes the boundaries of what's possible to enable next\-generation experiences and drives digital transformation to help create a smarter, connected future for all. As a Qualcomm Machine Learning Engineer, you will create and implement machine learning techniques, frameworks, and tools that enable the efficient discovery and utilization of state\-of\-the\-art machine learning solutions over a broad set of technology verticals or designs. Qualcomm Engineers collaborate with cross\-functional teams to enhance the world of mobile, edge, auto, and IOT products through machine learning hardware and software.
**Minimum Qualifications:**
*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experience.**Preferred Qualifications:**
* Master's degree in Computer Science, Engineering, Information Systems, or related field.
* 5\+ years of experience with Machine Learning frameworks (e.g., Tensor Flow, Caffe, Caffe 2, Pytorch, Keras).
* 5\+ years of experience in embedded system development and optimization with application to a specific problem domain in ML (e.g., NLP, multi\-media).
* 5\+ years of experience with one or more programming language suitable for machine learning (e.g., Python, R, C, C\+\+)
* 5\+ years of experience using statistics and probability (e.g., conditional probability, Bayes rule).
* 3\+ years experience working in a large matrixed organization.
* 2\+ years of experience with low level interactions between operating systems (e.g., Linux, Android, QNX) and Hardware.
* 1\+ year in a technical leadership role with or without direct reports (only applies to positions with direct reports).
* 1\+ year of work experience in a role requiring interaction with senior leadership (e.g., Director and above).
**Principal Duties and Responsibilities:**
* Leverages advanced Machine Learning knowledge to extend training or runtime frameworks or model efficiency software tools with new features and optimizations.
* Models, architects, and develops advanced machine learning hardware (co\-designed with machine learning software) for inference or training solutions.
* Develops optimized software to enable AI models deployed on hardware (e.g., machine learning kernels, compiler tools, or model efficiency tools, etc.) to allow specific hardware features; collaborates with hardware teams for joint design and development.
* Develops and applies machine learning techniques into products and/or AI solutions to enable customers to do the same.
* Develops, adapts, or prototypes novel machine learning solutions aligned with and motivated by proposals or roadmaps for complex products and working features.
* Oversees and conducts experiments to train and evaluate machine learning models and/or software.
**Level of Responsibility:**  
* Works independently with minimal supervision.
* Provides supervision/guidance to other team members.
* Decision\-making is significant in nature and affects work beyond immediate work group.
* Requires verbal and written communication skills to convey complex information. May require negotiation, influence, tact, etc.
* Has a moderate amount of influence over key organizational decisions (e.g., is consulted by senior leadership to make key decisions).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$158,400\.00 \- $237,600\.00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56">
      <c r="A256" t="inlineStr">
        <is>
          <t>in-104bddf757ac26fd</t>
        </is>
      </c>
      <c r="B256" t="inlineStr">
        <is>
          <t>Data and Machine Learning Engineer - Vision Language Models, Data &amp; Machine Learning (DML)</t>
        </is>
      </c>
      <c r="C256" t="inlineStr">
        <is>
          <t>Amazon Web Services</t>
        </is>
      </c>
      <c r="D256" t="inlineStr">
        <is>
          <t>indeed</t>
        </is>
      </c>
      <c r="E256">
        <f>HYPERLINK("https://www.indeed.com/viewjob?jk=104bddf757ac26fd", "https://www.indeed.com/viewjob?jk=104bddf757ac26fd")</f>
        <v/>
      </c>
      <c r="F256">
        <f>HYPERLINK("https://www.amazon.jobs/jobs/3173014/data-and-machine-learning-engineer--vision-language-models-data--machine-learning-dml?cmpid=DA_INAD200785B", "https://www.amazon.jobs/jobs/3173014/data-and-machine-learning-engineer--vision-language-models-data--machine-learning-dml?cmpid=DA_INAD200785B")</f>
        <v/>
      </c>
      <c r="G256" t="inlineStr">
        <is>
          <t>Arlington, VA, US</t>
        </is>
      </c>
      <c r="H256" s="2" t="n">
        <v>46051</v>
      </c>
      <c r="I256"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57">
      <c r="A257" t="inlineStr">
        <is>
          <t>in-086eb943f905ad2e</t>
        </is>
      </c>
      <c r="B257" t="inlineStr">
        <is>
          <t>Data and Machine Learning Engineer - Vision Language Models, Data &amp; Machine Learning (DML)</t>
        </is>
      </c>
      <c r="C257" t="inlineStr">
        <is>
          <t>Amazon Web Services</t>
        </is>
      </c>
      <c r="D257" t="inlineStr">
        <is>
          <t>indeed</t>
        </is>
      </c>
      <c r="E257">
        <f>HYPERLINK("https://www.indeed.com/viewjob?jk=086eb943f905ad2e", "https://www.indeed.com/viewjob?jk=086eb943f905ad2e")</f>
        <v/>
      </c>
      <c r="F257">
        <f>HYPERLINK("https://www.amazon.jobs/jobs/3173014/data-and-machine-learning-engineer--vision-language-models-data--machine-learning-dml?cmpid=DA_INAD200785B", "https://www.amazon.jobs/jobs/3173014/data-and-machine-learning-engineer--vision-language-models-data--machine-learning-dml?cmpid=DA_INAD200785B")</f>
        <v/>
      </c>
      <c r="G257" t="inlineStr">
        <is>
          <t>Herndon, VA, US</t>
        </is>
      </c>
      <c r="H257" s="2" t="n">
        <v>46051</v>
      </c>
      <c r="I257"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58">
      <c r="A258" t="inlineStr">
        <is>
          <t>in-067a1be573095de8</t>
        </is>
      </c>
      <c r="B258" t="inlineStr">
        <is>
          <t>Machine Learning Engineer, WWPS ProServe Data and Machine Learning</t>
        </is>
      </c>
      <c r="C258" t="inlineStr">
        <is>
          <t>Amazon Web Services</t>
        </is>
      </c>
      <c r="D258" t="inlineStr">
        <is>
          <t>indeed</t>
        </is>
      </c>
      <c r="E258">
        <f>HYPERLINK("https://www.indeed.com/viewjob?jk=067a1be573095de8", "https://www.indeed.com/viewjob?jk=067a1be573095de8")</f>
        <v/>
      </c>
      <c r="F258">
        <f>HYPERLINK("https://www.amazon.jobs/jobs/3168182/machine-learning-engineer-wwps-proserve-data-and-machine-learning?cmpid=DA_INAD200785B", "https://www.amazon.jobs/jobs/3168182/machine-learning-engineer-wwps-proserve-data-and-machine-learning?cmpid=DA_INAD200785B")</f>
        <v/>
      </c>
      <c r="G258" t="inlineStr">
        <is>
          <t>Herndon, VA, US</t>
        </is>
      </c>
      <c r="H258" s="2" t="n">
        <v>46044</v>
      </c>
      <c r="I25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59">
      <c r="A259" t="inlineStr">
        <is>
          <t>in-8426d0c2dfb02e5b</t>
        </is>
      </c>
      <c r="B259" t="inlineStr">
        <is>
          <t>Machine Learning Engineer, WWPS ProServe Data and Machine Learning</t>
        </is>
      </c>
      <c r="C259" t="inlineStr">
        <is>
          <t>Amazon Web Services</t>
        </is>
      </c>
      <c r="D259" t="inlineStr">
        <is>
          <t>indeed</t>
        </is>
      </c>
      <c r="E259">
        <f>HYPERLINK("https://www.indeed.com/viewjob?jk=8426d0c2dfb02e5b", "https://www.indeed.com/viewjob?jk=8426d0c2dfb02e5b")</f>
        <v/>
      </c>
      <c r="F259">
        <f>HYPERLINK("https://www.amazon.jobs/jobs/3168182/machine-learning-engineer-wwps-proserve-data-and-machine-learning?cmpid=DA_INAD200785B", "https://www.amazon.jobs/jobs/3168182/machine-learning-engineer-wwps-proserve-data-and-machine-learning?cmpid=DA_INAD200785B")</f>
        <v/>
      </c>
      <c r="G259" t="inlineStr">
        <is>
          <t>Arlington, VA, US</t>
        </is>
      </c>
      <c r="H259" s="2" t="n">
        <v>46044</v>
      </c>
      <c r="I25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60">
      <c r="A260" t="inlineStr">
        <is>
          <t>in-4ec6f00404a6d969</t>
        </is>
      </c>
      <c r="B260" t="inlineStr">
        <is>
          <t>Applied Scientist, Alexa Smart Home</t>
        </is>
      </c>
      <c r="C260" t="inlineStr">
        <is>
          <t>Amazon.com</t>
        </is>
      </c>
      <c r="D260" t="inlineStr">
        <is>
          <t>indeed</t>
        </is>
      </c>
      <c r="E260">
        <f>HYPERLINK("https://www.indeed.com/viewjob?jk=4ec6f00404a6d969", "https://www.indeed.com/viewjob?jk=4ec6f00404a6d969")</f>
        <v/>
      </c>
      <c r="F260">
        <f>HYPERLINK("https://www.amazon.jobs/jobs/3169205/applied-scientist-alexa-smart-home?cmpid=DA_INAD200785B", "https://www.amazon.jobs/jobs/3169205/applied-scientist-alexa-smart-home?cmpid=DA_INAD200785B")</f>
        <v/>
      </c>
      <c r="G260" t="inlineStr">
        <is>
          <t>Sunnyvale, CA, US</t>
        </is>
      </c>
      <c r="H260" s="2" t="n">
        <v>46033</v>
      </c>
      <c r="I26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1">
      <c r="A261" t="inlineStr">
        <is>
          <t>in-d6ea86ca099bdd77</t>
        </is>
      </c>
      <c r="B261" t="inlineStr">
        <is>
          <t>Applied Scientist, Alexa Smart Home</t>
        </is>
      </c>
      <c r="C261" t="inlineStr">
        <is>
          <t>Amazon.com</t>
        </is>
      </c>
      <c r="D261" t="inlineStr">
        <is>
          <t>indeed</t>
        </is>
      </c>
      <c r="E261">
        <f>HYPERLINK("https://www.indeed.com/viewjob?jk=d6ea86ca099bdd77", "https://www.indeed.com/viewjob?jk=d6ea86ca099bdd77")</f>
        <v/>
      </c>
      <c r="F261">
        <f>HYPERLINK("https://www.amazon.jobs/jobs/3169205/applied-scientist-alexa-smart-home?cmpid=DA_INAD200785B", "https://www.amazon.jobs/jobs/3169205/applied-scientist-alexa-smart-home?cmpid=DA_INAD200785B")</f>
        <v/>
      </c>
      <c r="G261" t="inlineStr">
        <is>
          <t>Seattle, WA, US</t>
        </is>
      </c>
      <c r="H261" s="2" t="n">
        <v>46033</v>
      </c>
      <c r="I26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2">
      <c r="A262" t="inlineStr">
        <is>
          <t>in-a83b437b545f1181</t>
        </is>
      </c>
      <c r="B262" t="inlineStr">
        <is>
          <t>ML Engineer, GO-AI Technology &amp; Development Team</t>
        </is>
      </c>
      <c r="C262" t="inlineStr">
        <is>
          <t>Amazon.com</t>
        </is>
      </c>
      <c r="D262" t="inlineStr">
        <is>
          <t>indeed</t>
        </is>
      </c>
      <c r="E262">
        <f>HYPERLINK("https://www.indeed.com/viewjob?jk=a83b437b545f1181", "https://www.indeed.com/viewjob?jk=a83b437b545f1181")</f>
        <v/>
      </c>
      <c r="F262">
        <f>HYPERLINK("https://www.amazon.jobs/jobs/3173298/ml-engineer-goai-technology--development-team?cmpid=DA_INAD200785B", "https://www.amazon.jobs/jobs/3173298/ml-engineer-goai-technology--development-team?cmpid=DA_INAD200785B")</f>
        <v/>
      </c>
      <c r="G262" t="inlineStr">
        <is>
          <t>Westborough, MA, US</t>
        </is>
      </c>
      <c r="H262" s="2" t="n">
        <v>45998</v>
      </c>
      <c r="I26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63">
      <c r="A263" t="inlineStr">
        <is>
          <t>in-f0fa05fe686e77ab</t>
        </is>
      </c>
      <c r="B263" t="inlineStr">
        <is>
          <t>ML Engineer, GO-AI Technology &amp; Development Team</t>
        </is>
      </c>
      <c r="C263" t="inlineStr">
        <is>
          <t>Amazon.com</t>
        </is>
      </c>
      <c r="D263" t="inlineStr">
        <is>
          <t>indeed</t>
        </is>
      </c>
      <c r="E263">
        <f>HYPERLINK("https://www.indeed.com/viewjob?jk=f0fa05fe686e77ab", "https://www.indeed.com/viewjob?jk=f0fa05fe686e77ab")</f>
        <v/>
      </c>
      <c r="F263">
        <f>HYPERLINK("https://www.amazon.jobs/jobs/3173298/ml-engineer-goai-technology--development-team?cmpid=DA_INAD200785B", "https://www.amazon.jobs/jobs/3173298/ml-engineer-goai-technology--development-team?cmpid=DA_INAD200785B")</f>
        <v/>
      </c>
      <c r="G263" t="inlineStr">
        <is>
          <t>Boston, MA, US</t>
        </is>
      </c>
      <c r="H263" s="2" t="n">
        <v>45998</v>
      </c>
      <c r="I26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64">
      <c r="A264" t="inlineStr">
        <is>
          <t>in-e658834ee5d69089</t>
        </is>
      </c>
      <c r="B264" t="inlineStr">
        <is>
          <t>ML Engineer, GO-AI Technology &amp; Development Team</t>
        </is>
      </c>
      <c r="C264" t="inlineStr">
        <is>
          <t>Amazon.com</t>
        </is>
      </c>
      <c r="D264" t="inlineStr">
        <is>
          <t>indeed</t>
        </is>
      </c>
      <c r="E264">
        <f>HYPERLINK("https://www.indeed.com/viewjob?jk=e658834ee5d69089", "https://www.indeed.com/viewjob?jk=e658834ee5d69089")</f>
        <v/>
      </c>
      <c r="F264">
        <f>HYPERLINK("https://www.amazon.jobs/jobs/3173298/ml-engineer-goai-technology--development-team?cmpid=DA_INAD200785B", "https://www.amazon.jobs/jobs/3173298/ml-engineer-goai-technology--development-team?cmpid=DA_INAD200785B")</f>
        <v/>
      </c>
      <c r="G264" t="inlineStr">
        <is>
          <t>Seattle, WA, US</t>
        </is>
      </c>
      <c r="H264" s="2" t="n">
        <v>45998</v>
      </c>
      <c r="I26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65">
      <c r="A265" t="inlineStr">
        <is>
          <t>in-716c7f90c4e2fcae</t>
        </is>
      </c>
      <c r="B265" t="inlineStr">
        <is>
          <t>ML Engineer, GO-AI Technology &amp; Development Team</t>
        </is>
      </c>
      <c r="C265" t="inlineStr">
        <is>
          <t>Amazon.com</t>
        </is>
      </c>
      <c r="D265" t="inlineStr">
        <is>
          <t>indeed</t>
        </is>
      </c>
      <c r="E265">
        <f>HYPERLINK("https://www.indeed.com/viewjob?jk=716c7f90c4e2fcae", "https://www.indeed.com/viewjob?jk=716c7f90c4e2fcae")</f>
        <v/>
      </c>
      <c r="F265">
        <f>HYPERLINK("https://www.amazon.jobs/jobs/3173298/ml-engineer-goai-technology--development-team?cmpid=DA_INAD200785B", "https://www.amazon.jobs/jobs/3173298/ml-engineer-goai-technology--development-team?cmpid=DA_INAD200785B")</f>
        <v/>
      </c>
      <c r="G265" t="inlineStr">
        <is>
          <t>Reading, MA, US</t>
        </is>
      </c>
      <c r="H265" s="2" t="n">
        <v>45998</v>
      </c>
      <c r="I26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li-4302840618</t>
        </is>
      </c>
      <c r="B2" t="inlineStr">
        <is>
          <t>Applied Scientist II</t>
        </is>
      </c>
      <c r="C2" t="inlineStr">
        <is>
          <t>Uber</t>
        </is>
      </c>
      <c r="D2" t="inlineStr">
        <is>
          <t>linkedin</t>
        </is>
      </c>
      <c r="E2" t="inlineStr"/>
      <c r="F2" t="inlineStr"/>
      <c r="G2" t="inlineStr">
        <is>
          <t>New York, NY</t>
        </is>
      </c>
      <c r="H2" t="inlineStr"/>
      <c r="I2" t="inlineStr">
        <is>
          <t>**About The Role**
 We're looking for an Applied Scientist to join our Brand Science team to provide strategic, actionable insights around how to measure and optimize a large brand marketing budget. In the role, you'll be part of and collaborate with a cross\-functional team consisting of marketing/media stakeholders, our in\-house research and insights team, as well as other scientists across the broader organization.
**Problems We're Working On Include**
* How do we measure the impact of advertising on television and billboards?
* Can we find a better way to allocate our brand budget across a diverse set of advertising platforms, marketing initiatives, and audiences?
* How can we improve our existing measurement tools to improve sensitivity and reduce bias?
 The ideal candidate is both technically deep and intellectually humble. You enjoy out\-of\-the\-box thinking, and are not afraid to roll up your sleeves to get things done. You prioritize practical solutions over novelty but stay curious about new methods and their tradeoffs. You focus on tangible progress and results, but also have a generous spirit, giving others the benefit of the doubt and actively seeking to understand their perspectives.
**What You'll Do**
* Apply statistical/econometric methods to estimate the incremental impact of changes in marketing and product strategy on brand\-relevant KPIs like sentiment, awareness, and purchase intent \- as well as on business outcomes like trips/orders and gross bookings.
* Build and improve technical tools for marketing problems. Examples include media mix models, statistical estimators to gauge the impact of various interventions (experimental or otherwise), optimization engines that determine how to best distribute resources, etc.
* Interface closely with external partners (media agencies, advertising platforms, measurement vendors) to deeply understand the existing capabilities and limitations of their platforms and solutions, and to push the envelope on what is possible.
* Collaborate with our in\-house media, research, product, and operations teams to develop actionable customer insights and recommendations to guide high level business and marketing strategy.
**Basic Qualifications**
* Ph.D., M.S., or B.S. degree in Statistics, Computer Science, Applied Mathematics, Electrical Engineering, Economics, or other quantitative fields is preferred. (If M.S. degree, a minimum of 2\+ years of industry experience required, if B.S. degree a minimum of 3\+ years of industry experience required)
* Advanced skills in SQL, Python, and BI tools for data analysis/visualization
* In\-depth understanding of and experience with experimental design
**Preferred Qualifications**
* Experience with solving quantitative problems in the marketing/AdTech space
* PhD in a quantitative field such as statistics, economics, or operations research
 For New York, NY\-based roles: The base salary range for this role is USD$161,000 per year \- USD$179,000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
      <c r="A3" t="inlineStr">
        <is>
          <t>li-4372877984</t>
        </is>
      </c>
      <c r="B3" t="inlineStr">
        <is>
          <t>AI/ML Engineer – Data Scientist</t>
        </is>
      </c>
      <c r="C3" t="inlineStr">
        <is>
          <t>Smart IT Frame LLC</t>
        </is>
      </c>
      <c r="D3" t="inlineStr">
        <is>
          <t>linkedin</t>
        </is>
      </c>
      <c r="E3" t="inlineStr"/>
      <c r="F3" t="inlineStr"/>
      <c r="G3" t="inlineStr">
        <is>
          <t>Reston, VA</t>
        </is>
      </c>
      <c r="H3" t="inlineStr"/>
      <c r="I3" t="inlineStr">
        <is>
          <t>**Title: AI/ML Engineer – Data Scientist**
**Location: Reston, VA**
**Type \- Full time**
**Job Description** 
 We are seeking a skilled
 **AI/ML Engineer – Data Scientist** 
 to design, develop, and deploy advanced machine learning solutions. The ideal candidate will have strong programming expertise, hands\-on experience in AI frameworks, and the ability to build scalable AI pipelines on cloud platforms.
**Key Responsibilities** 
* Develop, train, and optimize machine learning and deep learning models using frameworks such as
 **TensorFlow** 
 and
 **PyTorch** 
 .
* Build and maintain end\-to\-end AI pipelines, including data processing, model training, deployment, and monitoring.
* Analyze complex datasets to extract insights and improve model accuracy and performance.
* Design AI\-driven solutions to solve complex business problems.
* Deploy and manage AI solutions on cloud platforms, particularly
 **AWS** 
 .
* Collaborate with technical teams and business stakeholders to identify AI opportunities and deliver impactful solutions.
* Implement and manage AI deployments within CI/CD environments.
**Required Qualifications** 
* Strong programming skills in
 **Python, R, or Java** 
 .
* Hands\-on experience with machine learning algorithms and frameworks.
* Familiarity with cloud platforms for AI deployment.
* Strong analytical, problem\-solving, and data interpretation skills.
* Solid foundation in mathematics and statistics.
**Preferred Qualifications** 
* Experience with MLOps tools such as
 **MLflow** 
 and
 **Kubeflow** 
 .
* Knowledge of big data technologies like
 **Spark, Hadoop, and Databricks** 
 .
* Background in advanced AI areas such as
 **NLP** 
 or
 **Computer Vision** 
 .
* Relevant certifications (AWS, Azure, Google Cloud, Coursera, edX).</t>
        </is>
      </c>
    </row>
    <row r="4">
      <c r="A4" t="inlineStr">
        <is>
          <t>li-4366314178</t>
        </is>
      </c>
      <c r="B4" t="inlineStr">
        <is>
          <t>Applied Scientist, AWS Applied AI Solutions</t>
        </is>
      </c>
      <c r="C4" t="inlineStr">
        <is>
          <t>Amazon Web Services (AWS)</t>
        </is>
      </c>
      <c r="D4" t="inlineStr">
        <is>
          <t>linkedin</t>
        </is>
      </c>
      <c r="E4" t="inlineStr"/>
      <c r="F4" t="inlineStr"/>
      <c r="G4" t="inlineStr">
        <is>
          <t>Seattle, WA</t>
        </is>
      </c>
      <c r="H4" t="inlineStr"/>
      <c r="I4" t="inlineStr">
        <is>
          <t>**Description**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
**Company** 
 \- Amazon Web Services, Inc.
 Job ID: A3166907</t>
        </is>
      </c>
    </row>
    <row r="5">
      <c r="A5" t="inlineStr">
        <is>
          <t>li-4366306924</t>
        </is>
      </c>
      <c r="B5" t="inlineStr">
        <is>
          <t>Sr. Applied Scientist, Measurement, AdTech and Data Science , Performance Measurement</t>
        </is>
      </c>
      <c r="C5" t="inlineStr">
        <is>
          <t>Amazon</t>
        </is>
      </c>
      <c r="D5" t="inlineStr">
        <is>
          <t>linkedin</t>
        </is>
      </c>
      <c r="E5" t="inlineStr"/>
      <c r="F5" t="inlineStr"/>
      <c r="G5" t="inlineStr">
        <is>
          <t>Palo Alto, CA</t>
        </is>
      </c>
      <c r="H5" t="inlineStr"/>
      <c r="I5" t="inlineStr">
        <is>
          <t>**Description**
 The Ads Measurement Science team within Amazon Ads' Measurement, AdTech, and Data Science (MADS) organization
 serves a centralized role developing solutions for a multitude of performance measurement products to measure the full impact of advertiser spend, including both online and offline sales impacts across all timeframes. It delivers actionable insights for advertisers to optimize media portfolios. We also build science solutions for AI and AI\-powered tools that unlock new insights and automate high\-effort customer workflows for ad measurement, such as custom query and report generation based on natural language user requests. We leverage new technologies including Generative AI, machine learning, causal inference, natural Language Processing (NLP), and Computer Vision (CV) to drive these innovations.
 A key focus of this role is Modeled Attribution, Amazon's privacy\-compliant measurement system serving millions of advertisers and processing billions of events monthly across global marketplaces. We apply state\-of\-the\-art machine learning and GenAI techniques to generate accurate measurement when user identity is unavailable, representing Amazon's technical response to industry\-transforming privacy regulations and platform changes.
 As a Senior Applied Scientist (Applied Scientist III) on the team, you will lead the development of measurement solutions end\-to\-end from inception to production. You will define the technical vision for complex measurement initiatives that span multiple teams. You will drive scientific innovation at scale while influencing business and engineering strategies. You will propose, design, analyze, and productionize models to provide novel measurement insights to our customers.
 Key job responsibilities
* Innovate on state\-of\-the\-art ads measurement solutions leveraging artificial intelligence, causal inference, natural language processing, computer vision, and large language models
* Directly contribute to the end\-to\-end delivery of production solutions through careful designs and owning implementation of significant portions of critical\-path code
* Lead the decomposition of problems and development of roadmaps to execute on it
* Set an example for others with exemplary analyses; maintainable, extensible code; and simple, effective solutions
* Influence team business and engineering strategies
* Communicate clearly and effectively with stakeholders to drive alignment and build consensus on key initiatives
* Foster collaborations among scientists and engineers to move fast and broaden impact
* Actively engage in the development of others, both within and outside of the team
* Regularly engage with the broader science community with presentations, publications, and patents
**About The Team**
 We are a team of scientists across Applied, Research, Data Science and Economist disciplines. You will work with colleagues with deep expertise in ML, NLP, CV, Gen AI, and Causal Inference with a diverse range of backgrounds. We partner closely with top\-notch engineers, product managers, sales leaders, and other scientists with expertise in the ads industry and on building scalable modeling and software solutions.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
**Company** 
 \- Amazon.com Services LLC
 Job ID: A3167249</t>
        </is>
      </c>
    </row>
    <row r="6">
      <c r="A6" t="inlineStr">
        <is>
          <t>li-4351297034</t>
        </is>
      </c>
      <c r="B6" t="inlineStr">
        <is>
          <t>Principal Applied Scientist</t>
        </is>
      </c>
      <c r="C6" t="inlineStr">
        <is>
          <t>UiPath</t>
        </is>
      </c>
      <c r="D6" t="inlineStr">
        <is>
          <t>linkedin</t>
        </is>
      </c>
      <c r="E6" t="inlineStr"/>
      <c r="F6" t="inlineStr"/>
      <c r="G6" t="inlineStr">
        <is>
          <t>Bellevue, WA</t>
        </is>
      </c>
      <c r="H6" t="inlineStr"/>
      <c r="I6" t="inlineStr">
        <is>
          <t>**Life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As a Principal Applied Scientist, you will lead the architecture, research, and productization of these next\-generation ML systems, bridging deep research with deployment at scale and shaping the future of enterprise automation.
**What You Will Do**
* Define and drive technical strategy for agent\-based automation, including how autonomous agents use LLMs, reinforcement learning, simulation environments, tool use, and multi\-step reasoning to integrate with the UiPath platform.
* Architect, prototype, and deploy advanced ML and AI systems, covering LLM fine\-tuning, multimodal pipelines, computer\-use modeling, agent orchestration frameworks, and decision\-making systems.
* Lead the design and implementation of ML infrastructure and services for model training, fine\-tuning, large\-scale inference, model serving, monitoring, drift detection, continuous learning loops, and ML operations for agentic systems.
* Partner closely with product, engineering, design, and go\-to\-market teams to translate research advances into customer\-facing capabilities.
* Research state\-of\-the\-art techniques in prompting, retrieval\-augmented generation, chain\-of\-thought, tool use, long\-term memory, and RL or imitation learning for agent behavior, and apply them to automation workflows.
* Establish best practices, frameworks, and metrics for evaluating agentic systems, including offline evaluation, simulation environments, human\-in\-the\-loop feedback, A/B testing, and cost, latency, and quality analysis.
* Serve as a technical leader and mentor across ML engineering, data science, and software engineering, fostering a culture of experimentation, reproducibility, versioning, and rigorous evaluation.
* Represent UiPath in the broader community through publications, open\-source contributions, conference participation, and collaboration with academia or ecosystem partners.
**What We Are Looking For**
* Advanced degree (MS or PhD preferred) in Computer Science, Machine Learning, AI, or a related field, or equivalent experience.
* 10\+ years of industry experience in machine learning, including substantial experience building and operating ML systems in production.
* Deep expertise in modern ML frameworks and libraries, strong proficiency in Python, and experience integrating ML models into large\-scale software systems.
* Proven experience with large language models or foundation models, including fine\-tuning, data preparation, inference optimization, or model evaluation.
* Experience with large datasets, distributed training or inference, scalable architecture design, and optimization for latency, throughput, and cost.
* Excellent communication skills with the ability to translate complex ML concepts to product and business audiences.
* Demonstrated technical leadership in mentoring, influencing strategy, balancing research with delivery, and driving high\-impact outcomes.
 Maybe you don’t tick all the boxes above—but still think you’d be great for the job? Go ahead, apply anyway. Please.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
 Compensation Range: $200K \- $250K</t>
        </is>
      </c>
    </row>
    <row r="7">
      <c r="A7" t="inlineStr">
        <is>
          <t>li-4366322119</t>
        </is>
      </c>
      <c r="B7" t="inlineStr">
        <is>
          <t>Applied Scientist II, Measurement, AdTech and Data Science (NYC/Seattle/Palo Alto), Performance Measurement</t>
        </is>
      </c>
      <c r="C7" t="inlineStr">
        <is>
          <t>Amazon</t>
        </is>
      </c>
      <c r="D7" t="inlineStr">
        <is>
          <t>linkedin</t>
        </is>
      </c>
      <c r="E7" t="inlineStr"/>
      <c r="F7" t="inlineStr"/>
      <c r="G7" t="inlineStr">
        <is>
          <t>Palo Alto, CA</t>
        </is>
      </c>
      <c r="H7" t="inlineStr"/>
      <c r="I7" t="inlineStr">
        <is>
          <t>**Description**
 The Ads Measurement Science team within Amazon Ads' Measurement, AdTech, and Data Science (MADS) organization
 serves a centralized role developing solutions for a multitude of performance measurement products to measure the full impact of advertiser spend, including both online and offline sales impacts across all timeframes. It delivers actionable insights for advertisers to optimize media portfolios. We also build science solutions for AI and AI\-powered tools that unlock new insights and automate high\-effort customer workflows for ad measurement, such as custom query and report generation based on natural language user requests. We leverage new technologies including Generative AI, machine learning, causal inference, natural Language Processing (NLP), and Computer Vision (CV) to drive these innovations.
 A key focus of this role is Modeled Attribution, Amazon's privacy\-compliant measurement system serving millions of advertisers and processing billions of events monthly across global marketplaces. We apply state\-of\-the\-art machine learning and GenAI techniques to generate accurate measurement when user identity is unavailable, representing Amazon's technical response to industry\-transforming privacy regulations and platform changes.
 As an Applied Scientist II on the team, you will develop modeled measurement solutions end\-to\-end from inception to production. You will propose, design, analyze, and productionize models to provide novel measurement insights to our customers. Your work will directly enable advertisers to continue optimizing their campaigns effectively as the digital ecosystem undergoes significant privacy\-driven changes, and provide event\-level attribution signals that empower ad optimization teams to enhance campaign performance and monetization on traffic without identity.
 Key job responsibilities
* Leverage deep expertise in one or more scientific disciplines to invent solutions to ambiguous ads measurement problems
* Disambiguate problems to propose clear evaluation frameworks and success criteria
* Develop modeled attribution solutions using deep learning, transformers, and large language models to fill measurement gaps in privacy\-constrained environments
* Work autonomously, write high\-quality technical documentation and present findings to both technical and business stakeholders
* Implement a significant portion of critical\-path code, and partner with engineers to directly carry solutions into production
* Partner closely with other scientists to deliver large, multi\-faceted technical projects
* Share and publish works with the broader scientific community through meetings and conferences
* Communicate clearly to both technical and non\-technical audiences
* Partner with engineers to optimize model performance, reduce latency, and ensure operational excellence for systems serving millions of customers
* Contribute to the team's scientific direction by proposing novel approaches to measurement challenges
* Mentor junior scientists and participate in the hiring process to raise the team's technical bar
**About The Team**
 We are a team of scientists across Applied, Research, Data Science and Economist disciplines. You will work with colleagues with deep expertise in ML, NLP, CV, Gen AI, and Causal Inference with a diverse range of backgrounds. Our work combines rigorous scientific experimentation with practical engineering. We publish at top\-tier conferences while building production systems that process trillions of events annually. We partner closely with top\-notch engineers, product managers, sales leaders, and other scientists with expertise in the ads industry and on building scalable modeling and software solutions.
**Basic Qualifications**
* 2\+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with popular deep learning frameworks such as MxNet and Tensor Flow
* Have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\- 171,600\.00 \- 222,200\.00 USD annually
 USA, NY, New York \- 172,400\.00 \- 223,400\.00 USD annually
 USA, WA, Seattle \- 142,800\.00 \- 193,200\.00 USD annually
**Company** 
 \- Amazon.com Services LLC
 Job ID: A3167252</t>
        </is>
      </c>
    </row>
    <row r="8">
      <c r="A8" t="inlineStr">
        <is>
          <t>li-4366281506</t>
        </is>
      </c>
      <c r="B8" t="inlineStr">
        <is>
          <t>Applied Scientist (Contract), Artificial General Intelligence</t>
        </is>
      </c>
      <c r="C8" t="inlineStr">
        <is>
          <t>Amazon</t>
        </is>
      </c>
      <c r="D8" t="inlineStr">
        <is>
          <t>linkedin</t>
        </is>
      </c>
      <c r="E8" t="inlineStr"/>
      <c r="F8" t="inlineStr"/>
      <c r="G8" t="inlineStr">
        <is>
          <t>Boston, MA</t>
        </is>
      </c>
      <c r="H8" t="inlineStr"/>
      <c r="I8"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A3166633</t>
        </is>
      </c>
    </row>
    <row r="9">
      <c r="A9" t="inlineStr">
        <is>
          <t>li-4366269700</t>
        </is>
      </c>
      <c r="B9" t="inlineStr">
        <is>
          <t>Applied Scientist (Contract), Artificial General Intelligence</t>
        </is>
      </c>
      <c r="C9" t="inlineStr">
        <is>
          <t>Amazon</t>
        </is>
      </c>
      <c r="D9" t="inlineStr">
        <is>
          <t>linkedin</t>
        </is>
      </c>
      <c r="E9" t="inlineStr"/>
      <c r="F9" t="inlineStr"/>
      <c r="G9" t="inlineStr">
        <is>
          <t>Boston, MA</t>
        </is>
      </c>
      <c r="H9" t="inlineStr"/>
      <c r="I9"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A3166634</t>
        </is>
      </c>
    </row>
    <row r="10">
      <c r="A10" t="inlineStr">
        <is>
          <t>li-4366214408</t>
        </is>
      </c>
      <c r="B10" t="inlineStr">
        <is>
          <t>Applied Scientist (Contract), Artificial General Intelligence</t>
        </is>
      </c>
      <c r="C10" t="inlineStr">
        <is>
          <t>Amazon</t>
        </is>
      </c>
      <c r="D10" t="inlineStr">
        <is>
          <t>linkedin</t>
        </is>
      </c>
      <c r="E10" t="inlineStr"/>
      <c r="F10" t="inlineStr"/>
      <c r="G10" t="inlineStr">
        <is>
          <t>Boston, MA</t>
        </is>
      </c>
      <c r="H10" t="inlineStr"/>
      <c r="I10"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A3166403</t>
        </is>
      </c>
    </row>
    <row r="11">
      <c r="A11" t="inlineStr">
        <is>
          <t>li-4366329000</t>
        </is>
      </c>
      <c r="B11" t="inlineStr">
        <is>
          <t>Applied Scientist , TSI Science</t>
        </is>
      </c>
      <c r="C11" t="inlineStr">
        <is>
          <t>Amazon</t>
        </is>
      </c>
      <c r="D11" t="inlineStr">
        <is>
          <t>linkedin</t>
        </is>
      </c>
      <c r="E11" t="inlineStr"/>
      <c r="F11" t="inlineStr"/>
      <c r="G11" t="inlineStr">
        <is>
          <t>Seattle, WA</t>
        </is>
      </c>
      <c r="H11" t="inlineStr"/>
      <c r="I11" t="inlineStr">
        <is>
          <t>**Description**
 Do you want to join an innovative team of scientists who use machine learning and statistical techniques to help Amazon provide the best customer experience by preventing eCommerce fraud? Are you excited by the prospect of analyzing and modeling terabytes of data and creating state\-of\-the\-art algorithms to solve real world problems? Do you like to own end\-to\-end business problems/metrics and directly impact the profitability of the company? Do you enjoy collaborating in a diverse team environment?
 If yes, then you may be a great fit to join the Amazon Selling Partner Trust \&amp; Store Integrity Science Team. We are looking for a talented scientist who is passionate to build advanced machine learning systems that help manage the safety of millions of transactions every day and scale up our operation with automation.
 Key job responsibilities
 Innovate with the latest GenAI/LLM/VLM technology to build highly automated solutions for efficient risk evaluation and automated operations
 Design, develop and deploy end\-to\-end machine learning solutions in the Amazon production environment to create impactful business value
 Learn, explore and experiment with the latest machine learning advancements to create the best customer experience
 A day in the life
 You will be working within a dynamic, diverse, and supportive group of scientists who share your passion for innovation and excellence.
 You'll be working closely with business partners and engineering teams to create end\-to\-end scalable machine learning solutions that address real\-world problems. You will build scalable, efficient, and automated processes for large\-scale data analyses, model development, model validation, and model implementation.
 You will also be providing clear and compelling reports for your solutions and contributing to the ongoing innovation and knowledge\-sharing that are central to the team's success.
**Basic Qualifications**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Track record of leading large\-scale AI transformation projects, and strong publication record in top\-tier conferences/journals such as CVPR, NeuIPS, ICML, ACL, EMNLP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A3166928</t>
        </is>
      </c>
    </row>
    <row r="12">
      <c r="A12" t="inlineStr">
        <is>
          <t>li-4373956243</t>
        </is>
      </c>
      <c r="B12" t="inlineStr">
        <is>
          <t>AI Engineering &amp; Architecture Manager</t>
        </is>
      </c>
      <c r="C12" t="inlineStr">
        <is>
          <t>Mogi I/O : OTT/Podcast/Short Video Apps for you</t>
        </is>
      </c>
      <c r="D12" t="inlineStr">
        <is>
          <t>linkedin</t>
        </is>
      </c>
      <c r="E12" t="inlineStr"/>
      <c r="F12" t="inlineStr"/>
      <c r="G12" t="inlineStr"/>
      <c r="H12" t="inlineStr"/>
      <c r="I12" t="inlineStr">
        <is>
          <t>**Role Location ; Texas, USA
 Work Model: Hybrid (In\-office / Remote)
 Employment Type: Full\-Time**
**Compensation Range: USD 130000 \- 180000**
**Job Overview**
**Experience 7 to 9 Years**
**We are seeking an experienced and innovative AI/ML Architect to design, lead, and deliver scalable artificial intelligence and machine learning solutions aligned with business objectives. This role will be responsible for defining end\-to\-end AI/ML architectures, selecting the right technologies, and guiding cross\-functional teams to build high\-impact, AI\-driven products.**
**The ideal candidate brings deep technical expertise, strong architectural vision, and the ability to translate complex business requirements into robust AI/ML solutions.**
**Key Responsibilities**
* Design and define end\-to\-end AI/ML system architectures, including data ingestion, pipelines, model development, deployment, and performance monitoring.
* Collaborate closely with business stakeholders to understand objectives and convert them into scalable technical AI/ML solutions.
* Evaluate, recommend, and standardize AI/ML frameworks, tools, and platforms based on business and technical needs.
* Establish best practices, governance standards, and architectural guidelines for AI/ML model development, testing, deployment, and lifecycle management.
* Lead, mentor, and provide technical guidance to data scientists, ML engineers, and software developers throughout solution implementation.
* Ensure AI/ML solutions are scalable, secure, reliable, and maintainable across environments.
* Oversee seamless integration of AI/ML models with existing enterprise systems, applications, and IT infrastructure.
* Monitor solution performance and drive continuous improvements in model efficiency, accuracy, and operational stability.
**Qualifications \&amp; Experience**
**Required Qualifications**
* Bachelor’s or Master’s degree in Computer Science, Data Science, Artificial Intelligence, or a related field.
* Proven experience working as an AI/ML Architect, Machine Learning Engineer, or Senior Data Scientist.
* Strong hands\-on expertise in machine learning algorithms, deep learning, natural language processing (NLP), and computer vision.
**Technical Skills**
* Proficiency in AI/ML frameworks and libraries such as TensorFlow, PyTorch, Scikit\-learn, or equivalent.
* Experience with cloud\-based AI/ML platforms including AWS SageMaker, Google AI Platform, or Azure Machine Learning.
* Strong understanding of data engineering concepts, big data technologies, and data pipeline architecture.
* Advanced programming skills in Python, R, or Java.
* Practical experience with containerization and orchestration tools such as Docker and Kubernetes.
* Familiarity with CI/CD pipelines and MLOps practices for model deployment and lifecycle management.
**Soft Skills \&amp; Competencies**
* Strong analytical thinking and problem\-solving capabilities.
* Excellent communication skills with the ability to explain complex technical concepts to non\-technical stakeholders.
* Proven leadership and mentoring abilities in cross\-functional technical teams.
* Ability to manage multiple priorities and deliver solutions in a fast\-paced environment.
* High standards of professionalism, accountability, and technical integrity.
**Benefits \&amp; Rewards**
**Full\-time employees are eligible for a comprehensive benefits package, including:**
* Paid vacation, sick leave, and company\-recognized holidays
* 401(k) retirement plan with employer matching
* Medical, dental, and vision insurance coverage
* Life insurance, disability coverage, and voluntary benefit options
* Health Savings Account (HSA) and Flexible Spending Accounts (FSA)
**Benefits may vary based on employment type and location.**</t>
        </is>
      </c>
    </row>
    <row r="13">
      <c r="A13" t="inlineStr">
        <is>
          <t>li-4366319140</t>
        </is>
      </c>
      <c r="B13" t="inlineStr">
        <is>
          <t>Senior Applied Scientist, Amazon Industrial Robotics</t>
        </is>
      </c>
      <c r="C13" t="inlineStr">
        <is>
          <t>Amazon</t>
        </is>
      </c>
      <c r="D13" t="inlineStr">
        <is>
          <t>linkedin</t>
        </is>
      </c>
      <c r="E13" t="inlineStr"/>
      <c r="F13" t="inlineStr"/>
      <c r="G13" t="inlineStr">
        <is>
          <t>Middlesex County, MA</t>
        </is>
      </c>
      <c r="H13" t="inlineStr"/>
      <c r="I13"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A day in the life
* Lead design and implementation of methods for Visual SLAM, navigation and spatial reasoning
* Leverage simulation and real\-world data collection to create large datasets for model development
* Develop a hierarchical system that combines low\-level control with high\-level planning
* Collaborate effectively with multi\-disciplinary teams to co\-design hardware and algorithms for dexterous manipulation
**Basic Qualifications**
* PhD, or Master's degree and 6\+ years of applied research experience
* Experience programming in Java, C\+\+, Python or related language
* High expertise and experience with state\-of\-the\-art in SLAM techniques
* Experience with data generation in simulation and real world
**Preferred Qualifications**
* Experience working effectively across cross\-functional teams and partnering well with people at all levels within an organization
* PhD in Robotics, with focus on SLAM
* Experience in robotic manipulation, LLM, VLA, MPC and RL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A3167164</t>
        </is>
      </c>
    </row>
    <row r="14">
      <c r="A14" t="inlineStr">
        <is>
          <t>li-4366311384</t>
        </is>
      </c>
      <c r="B14" t="inlineStr">
        <is>
          <t>Senior Applied Scientist, Amazon Industrial Robotics</t>
        </is>
      </c>
      <c r="C14" t="inlineStr">
        <is>
          <t>Amazon</t>
        </is>
      </c>
      <c r="D14" t="inlineStr">
        <is>
          <t>linkedin</t>
        </is>
      </c>
      <c r="E14" t="inlineStr"/>
      <c r="F14" t="inlineStr"/>
      <c r="G14" t="inlineStr">
        <is>
          <t>Middlesex County, MA</t>
        </is>
      </c>
      <c r="H14" t="inlineStr"/>
      <c r="I14"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A day in the life
* Lead design and implementation of methods for Visual SLAM, navigation and spatial reasoning
* Leverage simulation and real\-world data collection to create large datasets for model development
* Develop a hierarchical system that combines low\-level control with high\-level planning
* Collaborate effectively with multi\-disciplinary teams to co\-design hardware and algorithms for dexterous manipulation
**Basic Qualifications**
* PhD, or Master's degree and 6\+ years of applied research experience
* Experience programming in Java, C\+\+, Python or related language
* High expertise and experience with state\-of\-the\-art in SLAM techniques
* Experience with data generation in simulation and real world
**Preferred Qualifications**
* Experience working effectively across cross\-functional teams and partnering well with people at all levels within an organization
* PhD in Robotics, with focus on SLAM
* Experience in robotic manipulation, LLM, VLA, MPC and RL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A3167164</t>
        </is>
      </c>
    </row>
    <row r="15">
      <c r="A15" t="inlineStr">
        <is>
          <t>li-4366319138</t>
        </is>
      </c>
      <c r="B15" t="inlineStr">
        <is>
          <t>Sr. Applied Scientist, Measurement, AdTech and Data Science , Performance Measurement</t>
        </is>
      </c>
      <c r="C15" t="inlineStr">
        <is>
          <t>Amazon</t>
        </is>
      </c>
      <c r="D15" t="inlineStr">
        <is>
          <t>linkedin</t>
        </is>
      </c>
      <c r="E15" t="inlineStr"/>
      <c r="F15" t="inlineStr"/>
      <c r="G15" t="inlineStr">
        <is>
          <t>Seattle, WA</t>
        </is>
      </c>
      <c r="H15" t="inlineStr"/>
      <c r="I15" t="inlineStr">
        <is>
          <t>**Description**
 The Ads Measurement Science team within Amazon Ads' Measurement, AdTech, and Data Science (MADS) organization
 serves a centralized role developing solutions for a multitude of performance measurement products to measure the full impact of advertiser spend, including both online and offline sales impacts across all timeframes. It delivers actionable insights for advertisers to optimize media portfolios. We also build science solutions for AI and AI\-powered tools that unlock new insights and automate high\-effort customer workflows for ad measurement, such as custom query and report generation based on natural language user requests. We leverage new technologies including Generative AI, machine learning, causal inference, natural Language Processing (NLP), and Computer Vision (CV) to drive these innovations.
 A key focus of this role is Modeled Attribution, Amazon's privacy\-compliant measurement system serving millions of advertisers and processing billions of events monthly across global marketplaces. We apply state\-of\-the\-art machine learning and GenAI techniques to generate accurate measurement when user identity is unavailable, representing Amazon's technical response to industry\-transforming privacy regulations and platform changes.
 As a Senior Applied Scientist (Applied Scientist III) on the team, you will lead the development of measurement solutions end\-to\-end from inception to production. You will define the technical vision for complex measurement initiatives that span multiple teams. You will drive scientific innovation at scale while influencing business and engineering strategies. You will propose, design, analyze, and productionize models to provide novel measurement insights to our customers.
 Key job responsibilities
* Innovate on state\-of\-the\-art ads measurement solutions leveraging artificial intelligence, causal inference, natural language processing, computer vision, and large language models
* Directly contribute to the end\-to\-end delivery of production solutions through careful designs and owning implementation of significant portions of critical\-path code
* Lead the decomposition of problems and development of roadmaps to execute on it
* Set an example for others with exemplary analyses; maintainable, extensible code; and simple, effective solutions
* Influence team business and engineering strategies
* Communicate clearly and effectively with stakeholders to drive alignment and build consensus on key initiatives
* Foster collaborations among scientists and engineers to move fast and broaden impact
* Actively engage in the development of others, both within and outside of the team
* Regularly engage with the broader science community with presentations, publications, and patents
**About The Team**
 We are a team of scientists across Applied, Research, Data Science and Economist disciplines. You will work with colleagues with deep expertise in ML, NLP, CV, Gen AI, and Causal Inference with a diverse range of backgrounds. We partner closely with top\-notch engineers, product managers, sales leaders, and other scientists with expertise in the ads industry and on building scalable modeling and software solutions.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
**Company** 
 \- Amazon.com Services LLC
 Job ID: A3167249</t>
        </is>
      </c>
    </row>
    <row r="16">
      <c r="A16" t="inlineStr">
        <is>
          <t>li-4351226820</t>
        </is>
      </c>
      <c r="B16" t="inlineStr">
        <is>
          <t>AI Engineer</t>
        </is>
      </c>
      <c r="C16" t="inlineStr">
        <is>
          <t>Lazard</t>
        </is>
      </c>
      <c r="D16" t="inlineStr">
        <is>
          <t>linkedin</t>
        </is>
      </c>
      <c r="E16" t="inlineStr"/>
      <c r="F16" t="inlineStr"/>
      <c r="G16" t="inlineStr">
        <is>
          <t>New York, United States</t>
        </is>
      </c>
      <c r="H16" t="inlineStr"/>
      <c r="I16" t="inlineStr">
        <is>
          <t>Americas
 Corporate
 New York
 Lazard is one of the world’s preeminent financial advisory and asset management firms.
 **Our people and culture make the difference** 
 . While global in presence and reach, ours is a close, collaborative community of just over 3,000 professionals. Lazard is a place of continuous knowledge sharing, skill development and relationship building, where professionals grow and succeed together. Our entrepreneurial culture, flat structure and embrace of individual differences, allow creative ideas, original concepts, and unique perspectives to drive our business forward — and for careers to take flight.
 The Lazard Data Analytics Group, composed of data scientists, AI engineers, and software engineers, drives innovation by developing advanced AI and data science solutions that enhance decision\-making across our financial advisory and asset management business lines. This team ensures Lazard stays at the forefront of a data\-driven world, delivering insights that support client engagements and strengthen key partnerships, while keeping the firm competitive and efficient in an evolving financial landscape.
 The AI Engineer at Lazard will work within the AI \&amp; Data Group to design, develop, and deploy advanced AI\-driven applications and solutions to support the Firm’s financial advisory and asset management businesses. The primary responsibility is to build large\-scale AI and machine learning projects that deliver actionable insights and drive innovation. The AI Engineer will collaborate closely with investment bankers, asset managers, data scientists, software engineers, and senior management across the Firm to deliver impactful solutions. Successful candidates will possess advanced technical and domain expertise, along with the ability to effectively communicate complex concepts to non\-technical stakeholders.
**Required Qualifications**
* Bachelor’s or advanced degree in Computer Science, AI, Data Science, Machine Learning, or related fields.
* 1\-3 years of experience developing large scale GenAI applications
* Expertise in Python and frameworks such as TensorFlow, PyTorch, and scikit\-learn.
* Deep knowledge of machine learning algorithms and experience in productionizing AI models.
* Proficiency with frameworks for large language models (LLMs) such as LangChain, LlamaIndex, and VectorDBs.
* Experience developing and deploying AI solutions using cloud platforms like Azure, AWS, or GCP.
* Advanced knowledge of unstructured data processing, including NLP (e.g., sentiment analysis, entity recognition, topic modeling, and retrieval\-augmented generation).
* Proficiency in APIs and microservices frameworks like FastAPI or Flask.
* Demonstrated ability to query and analyze data from relational and NoSQL databases (e.g., PostgreSQL, MongoDB, ElasticSearch).
* Strong communication skills with the ability to translate technical findings into actionable business strategies for bankers, asset managers, and other stakeholders.
* Passion for building innovative, high\-quality AI\-driven products.
* Ability to work both independently and collaboratively.
**It is a bonus to have:**
* Prior experience in the financial industry or a strong interest in finance.
* Familiar with Databricks, Azure AI and Microsoft Copilot ecosystem
* Expertise in building advanced retrieval\-augmented generation (RAG) systems and developing autonomous LLM agent workflows.
* Familiarity with MLOps workflows and tools like MLflow, Kubeflow, or Vertex AI.
* Experience with real\-time AI applications and stream processing frameworks.
* Demonstrated success in delivering AI solutions with measurable business impact.
* Strong knowledge of advanced GenAI and communicating insights to non\-technical audiences.
**What We Offer**
 We strive to enhance the total health and well\-being of our employees through comprehensive, competitive benefits. Our goal is to offer a highly individualized employee experience that enables you to balance your commitments to career, family, and community. When you work for Lazard, you are working for an organization that cares about your unique talents and passions and will continue to invest in the development of your career.
 We expect the base salary range for this role to be approximately $110,000 \- $140,000 USD. Various factors contribute to determining the actual base compensation offered, including but not limited to the applicant’s years of relevant experience, career tenure, qualifications, level of education attained, certifications or other professional licenses held, relevant skills for the role. Base salary is one component of Lazard Asset Management’s compensation package, which also includes comprehensive benefits and may include incentive compensation.
**Does this sound like you?**
 Apply! We’ll get in touch and let you know the next steps.
**Representation at Lazard**
 Lazard is an intellectual capital business committed to delivering the best advice and solutions to clients. To achieve these objectives, we focus on attracting, developing and retaining the best talent. We believe that a workforce comprised of people who represent a wide array of backgrounds, experiences and perspectives creates a rich variety of thought that empowers us to challenge conventional wisdom, solve problems creatively and make better decisions.
 Lazard was built on the premise that a multicultural firm can best serve a global clientele. As a global firm that has grown organically from local roots in different countries, we have a deep tradition of respecting and appreciating individual differences. Doing so has been core to our success for over 175 years. We are committed to sustaining an environment where every colleague is supported in their professional pursuits, can maximize their individual potential and contribute to our collective success.</t>
        </is>
      </c>
    </row>
    <row r="17">
      <c r="A17" t="inlineStr">
        <is>
          <t>li-4355797539</t>
        </is>
      </c>
      <c r="B17" t="inlineStr">
        <is>
          <t>Machine Learning Engineer I</t>
        </is>
      </c>
      <c r="C17" t="inlineStr">
        <is>
          <t>Scowtt</t>
        </is>
      </c>
      <c r="D17" t="inlineStr">
        <is>
          <t>linkedin</t>
        </is>
      </c>
      <c r="E17" t="inlineStr"/>
      <c r="F17" t="inlineStr"/>
      <c r="G17" t="inlineStr">
        <is>
          <t>Seattle, WA</t>
        </is>
      </c>
      <c r="H17" t="inlineStr"/>
      <c r="I17" t="inlineStr">
        <is>
          <t>**About Scowtt**
 Scowtt is an early\-stage startup transforming the way businesses convert leads into customers through AI/ML marketing optimization and fully autonomous sales experiences. By integrating CRM, web signals, and product interaction data into a real\-time conversion model, we help businesses turn interest into action—immediately. We’re growing fast, and onboarding new customers quickly and cleanly is core to our success.
**About The Role**
 We are looking for a motivated, entry\-level Machine Learning Engineer to help build, train, and deploy ML models that power our Marketing AI and AI Sales Agent products. This role is ideal for new graduates or early\-career engineers who want hands\-on experience working on real ML systems in a fast\-paced, collaborative startup environment.
**What You’ll Do**
* Assist in training, evaluating, and deploying ML models
* Work with structured and behavioral data used in marketing and sales systems
* Help automate and maintain data and ML pipelines
* Collaborate with engineers to integrate ML models into AI agents
* Debug, optimize, and improve model and pipeline performance
* Learn how ML systems operate in real production environments (cloud, monitoring, iteration)
**Qualifications**
**Must Have**
* Bachelor’s degree in Computer Science, ML, Data Science, or equivalent
* 1\-3 years of experience in data structures, algorithms
* 1\-3 years of experience with machine learning concepts and workflows
* 1\-3 years of experience in coding using Python with demonstrated strong coding skills
**Should Have**
* Exposure to ML frameworks through coursework, projects, or internships
* Curiosity, ownership mindset, and eagerness to learn
**Nice to Have**
* Hands\-on project or internship experience with real datasets
* Exposure to cloud platforms (GCP or AWS)
* Familiarity with tools like BigQuery, notebooks, or basic data pipelines
**What Success Looks Like**
* You contribute to shipping ML models with guidance
* You learn to debug data and model issues
* You steadily increase independence and ownership
* You build strong foundations in applied ML engineering
**Pay Range And Compensation Package**
 Based on the level hired at, the cash compensation for this role ranges between $100,000 to $150,000\. Selected candidate/s will be eligible for standard benefits and startup equity.
**Equal Opportunity \&amp; E\-Verify Employer**
 Scowtt is an Equal Opportunity Employer. All qualified applicants will receive consideration for employment without regard to race, color, religion, sex, sexual orientation, gender identity, national origin, age, disability, or veteran status. We are committed to providing a workplace free of discrimination and harassment.
 This employer participates in E\-Verify and will provide the federal government with your Form I\-9 information to confirm that you are authorized to work in the U.S. For more information, please visit www.e\-verify.gov.</t>
        </is>
      </c>
    </row>
    <row r="18">
      <c r="A18" t="inlineStr">
        <is>
          <t>li-4195257196</t>
        </is>
      </c>
      <c r="B18" t="inlineStr">
        <is>
          <t>Machine Learning Engineer, Search Quality</t>
        </is>
      </c>
      <c r="C18" t="inlineStr">
        <is>
          <t>Glean</t>
        </is>
      </c>
      <c r="D18" t="inlineStr">
        <is>
          <t>linkedin</t>
        </is>
      </c>
      <c r="E18" t="inlineStr"/>
      <c r="F18" t="inlineStr"/>
      <c r="G18" t="inlineStr"/>
      <c r="H18" t="inlineStr"/>
      <c r="I18"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Glean is looking for engineers to help build the world’s best search and assistant product for work. Our engineers work on a range of systems across the stack, including query understanding, document understanding, domain\-adapted language models, natural language question\-answering, evaluation, and experimentation. We interact regularly with customers, deeply understand their pain points, and use whatever tool is necessary, simple or complex, to solve their problems.
**You Will**
* Invent new signals to improve the personalization of our search engine
* Train a model to capture interactions between signals in our ranking system
* Design smarter ways to domain\-adapt language models to each customer’s corpus
* Discover new ways of combining LLMs with search engines to answer complex questions
* Write robust code that’s easy to read, maintain, and test
* Mentor more junior engineers, or learn from battle\-tested ones
**About You**
* 2\+ years of experience
* BA/BS in computer science, math, sciences, or a related degree
* Experience working with search, recommendation, natural language processing, or other large systems involving machine learning
* Strong analytical skills and ability to work with data
* Proven ability to design, build, and ship production\-ready models
* Proficiency in your ML framework of choice
* Strong coding skills (Python, Go, Java, C\+\+, ...)
* Thrive in a customer\-focused, tight\-knit and cross\-functional environment \- being a team player and willing to take on whatever is most impactful for the company is a must
* A proactive and positive attitude to lead, learn, troubleshoot and take ownership of both small tasks and large features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9">
      <c r="A19" t="inlineStr">
        <is>
          <t>li-4372863954</t>
        </is>
      </c>
      <c r="B19" t="inlineStr">
        <is>
          <t>Machine Learning Engineer</t>
        </is>
      </c>
      <c r="C19" t="inlineStr">
        <is>
          <t>Bright Vision Technologies</t>
        </is>
      </c>
      <c r="D19" t="inlineStr">
        <is>
          <t>linkedin</t>
        </is>
      </c>
      <c r="E19" t="inlineStr"/>
      <c r="F19" t="inlineStr"/>
      <c r="G19" t="inlineStr">
        <is>
          <t>Bridgewater, NJ</t>
        </is>
      </c>
      <c r="H19" t="inlineStr"/>
      <c r="I19" t="inlineStr">
        <is>
          <t>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Machine Learning Engineer
**Job Location:** 
 Bridgewater, New Jersey \- 08807
**Onsite/Hybrid:** 
 Remote
**FULL\-TIME ROLE WITH BRIGHT VISION**
**Environment**
**Job Description:**
 Machine Learning, Python, TensorFlow, PyTorch, Scikit\-learn, Feature Engineering, Model Training \&amp; Evaluation, Model Deployment, RESTful APIs, Data Pipelines, SQL, NoSQL Databases, Cloud Platforms (AWS / Azure / GCP), Docker, Kubernetes, Linux, CI/CD pipelines, Git,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
 **Machine Learning Engineer** 
 with the above skills and are looking for an
 **H\-1 B sponsorship** 
 this year, please send your resume immediately to
 **Venkat.r@bvteck.com**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t>
        </is>
      </c>
    </row>
    <row r="20">
      <c r="A20" t="inlineStr">
        <is>
          <t>li-4343802199</t>
        </is>
      </c>
      <c r="B20" t="inlineStr">
        <is>
          <t>Machine Learning Engineer, Personalization</t>
        </is>
      </c>
      <c r="C20" t="inlineStr">
        <is>
          <t>Spotify</t>
        </is>
      </c>
      <c r="D20" t="inlineStr">
        <is>
          <t>linkedin</t>
        </is>
      </c>
      <c r="E20" t="inlineStr"/>
      <c r="F20" t="inlineStr"/>
      <c r="G20" t="inlineStr">
        <is>
          <t>New York, NY</t>
        </is>
      </c>
      <c r="H20" t="inlineStr"/>
      <c r="I20" t="inlineStr">
        <is>
          <t>The Personalization team makes deciding what to play next on Spotify easier and more enjoyable for every listener. We seek to understand the world of music, podcasts, and audiobooks better than anyone else so that we can make great recommendations to every individual person and keep the world listening. Every day, hundreds of millions of people all over the world use the products we build which include destinations like “Home” and “Search” as well as original playlists such as “Discover Weekly” and “Daily Mix.”
 Personalization’s Minesweeper squad produces Human Understandable Language Knowledge to enrich music and talk content understanding. We use AI and ML techniques, including Large Language Models, to understand music, podcasts and audiobooks, building reliable, scalable systems to distribute that knowledge to Spotify internal teams, users, and creators. We are looking for a Machine Learning Engineer to join our team and help build the future of music, podcast and audiobook listening experiences for millions of listeners at Spotify. This is a unique opportunity to help develop and shape Spotify content enrichment, and recommendations. You’ll grow your skills in ML engineering at scale, work with a cross\-functional team of Data Engineers, Backend Engineers, and researchers, and join a motivated and supportive team.
 What You'll Do
* Utilize in\-house and 3rd party LLMs to solve language understanding problems
* Employ techniques such as fine\-tuning and RAG to improve models
* Contribute to designing, building, evaluating, shipping, and refining Spotify’s product by hands\-on ML development
* Help drive optimization, testing, and tooling to improve quality of our content enrichment assets
* Collaborate with cross\-functional teams of MLEs, data and backend engineers, and other stakeholders including tech research, data science, and product to develop new features and technologies
* Be a participant in our AI Foundation’s ML community and work collaboratively and efficiently within our existing platforms and systems Perform data analysis to establish baselines and inform product decisions
* Stay up\-to\-date on the latest machine learning algorithms and techniques
 Who You Are
* You have a strong background in machine learning, especially experience with Large Language Models
* You have professional experience in applied machine learning
* Extensive experience working in a product and data\-driven environment (Python, Scala, Java, SQL, with Python experience required) and cloud platforms (GCP or AWS)
* You have some hands\-on experience implementing or prototyping machine learning systems at scale
* You have experience architecting data pipelines and are self\-sufficient in getting the data you need to build and evaluate models, using tools like Dataflow, Apache Beam, or Spark
* You care about agile software processes, data\-driven development, reliability, and disciplined experimentation
* You have experience and passion for fostering collaborative teams
* Experience with PyTorch, TensorFlow, and/or other scalable Machine learning frameworks. Experience with Ray or TFX is a plus
* Bonus if you have experience with architecting near real time pipelines
 Where You'll Be
* We offer you the flexibility to work where you work best! For this role, you can be within the North America region as long as we have a work location.This team operates within the Eastern Standard time zone for collaboration.
 The United States base range for this position is $138,250\- $197,500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21">
      <c r="A21" t="inlineStr">
        <is>
          <t>li-4340290419</t>
        </is>
      </c>
      <c r="B21" t="inlineStr">
        <is>
          <t>Machine Learning Engineer</t>
        </is>
      </c>
      <c r="C21" t="inlineStr">
        <is>
          <t>Parker B Associates</t>
        </is>
      </c>
      <c r="D21" t="inlineStr">
        <is>
          <t>linkedin</t>
        </is>
      </c>
      <c r="E21" t="inlineStr"/>
      <c r="F21" t="inlineStr"/>
      <c r="G21" t="inlineStr"/>
      <c r="H21" t="inlineStr"/>
      <c r="I21" t="inlineStr">
        <is>
          <t>Machine Learning Engineer (Green card holder / US Citizen ONLY)
 New York City
 Permanent
 €130,000 – €250,000 \+ Bens
 Our client is a global Insurance business seeking a Machine Learning Engineer to join the team on a permanent basis.
 Are you interested in working on a brand\-new, greenfield AI project built from the ground up?
 This opportunity involves building advanced insurance capabilities across the enterprise and developing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 Translate complex concepts into actionable business insights
* Research and apply the latest advancements for continuous improvement
 A full job spec will be provided upon request.
 Skills/ Experience:
* Background in data science \&amp; machine learning techniques
* Strong statistical knowledge
* Generative AI/ LLM expertise \- a bonus
* Python \&amp; SQL
* Developed end\-to\-end AI solutions
* Cloud
* Excellent communication skills (ability to present to C\-level)
 If you are interested or would like further information, please apply as soon as possible.
 Keywords – Senior Data Scientist, Senior AI engineer, AI engineer, Senior ML Engineer, ML Engineer, Machine Learning Engineer, Data Scientist</t>
        </is>
      </c>
    </row>
    <row r="22">
      <c r="A22" t="inlineStr">
        <is>
          <t>li-4366277294</t>
        </is>
      </c>
      <c r="B22" t="inlineStr">
        <is>
          <t>Machine Learning Engineer, Detection</t>
        </is>
      </c>
      <c r="C22" t="inlineStr">
        <is>
          <t>Doppel</t>
        </is>
      </c>
      <c r="D22" t="inlineStr">
        <is>
          <t>linkedin</t>
        </is>
      </c>
      <c r="E22" t="inlineStr"/>
      <c r="F22" t="inlineStr"/>
      <c r="G22" t="inlineStr">
        <is>
          <t>New York, United States</t>
        </is>
      </c>
      <c r="H22" t="inlineStr"/>
      <c r="I22" t="inlineStr">
        <is>
          <t>**Why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a16z and Bessemer and trusted by some of the world’s most recognized brands (OpenAI, United Airlines, Coinbase, etc.), Doppel is growing fast. If you’re driven to solve real\-world problems with bold technology, we’d love to meet you.
**What We're Building**
 We're building the AI\-native social engineering defense platform.
 This means we're designing scalable systems that monitor billions of domains, social media accounts, apps, dark web forums, etc., and leverage AI agents to identify and neutralize digital threats.
**What We're Looking For**
 We’re looking for a machine learning engineer to help build and scale the models and systems that power Doppel’s detection systems. Check out our blog post on how we set up our ML platform. As an MLE at Doppel, you will
* Design, train, and deploy models for both batch and real\-time inference that identify malicious or infringing content across diverse data sources.
* Partner closely with the Detection and Infrastructure teams to ensure our ML systems scale with the volume of web data we ingest
* Work on problems that range from NLP and embeddings to similarity search, classification, and anomaly detection
* Collaborate directly with customers and internal stakeholders to translate real\-world threats into production ML systems
**You May Be a Fit If You**
* Have experience building and deploying ML systems in production environments
* Are comfortable working with large\-scale datasets and distributed data processing frameworks
* Understand the trade\-offs between research\-quality models and production\-ready systems
* Are excited about solving real\-world problems where the adversary is constantly evolving
**What We Offer**
 🚀 A mission\-driven culture with low ego, high ownership, deep customer obsession, and exceptional talent density
 🍽️ Free lunch and dinner in the office
 🌴 Flexible PTO
 ✈️ Quarterly team offsites
 Join Doppel
 Doppel is the first platform built to dismantle digital deception at scale. We scan over 150 billion entities daily and deploy continuously adaptive AI SOC agents, paired with expert human analysts, to uncover and disrupt the infrastructure behind phishing, impersonation, and online fraud before attacks can spread. Our Threat Grid turns every customer signal into shared intelligence, making each disruption smarter, faster, and more effective.
 We’re not just another cybersecurity company. We’re defining the future of social engineering defense, where trust is protected, and deception becomes unprofitable. Backed by top\-tier investors and trusted by some of the world’s most recognized brands, Doppel is growing fast. If you’re driven to solve real\-world problems with bold technology, we’d love to meet you.</t>
        </is>
      </c>
    </row>
    <row r="23">
      <c r="A23" t="inlineStr">
        <is>
          <t>li-4310779372</t>
        </is>
      </c>
      <c r="B23" t="inlineStr">
        <is>
          <t>Senior Machine Learning Engineer</t>
        </is>
      </c>
      <c r="C23" t="inlineStr">
        <is>
          <t>Samsara</t>
        </is>
      </c>
      <c r="D23" t="inlineStr">
        <is>
          <t>linkedin</t>
        </is>
      </c>
      <c r="E23" t="inlineStr"/>
      <c r="F23" t="inlineStr"/>
      <c r="G23" t="inlineStr"/>
      <c r="H23" t="inlineStr"/>
      <c r="I23"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We are looking for a Senior Machine Learning Engineer to lead the architectural evolution of our safety systems. You will move our ML stack from siloed, end\-to\-end models toward a unified
 **Perception Platform Layer** 
 . Your mission is to build the robust infrastructure that translates raw sensor data into real\-time, high\-stakes decisions, ensuring our models perform reliably across both cloud and edge environments.
**This is a remote position for candidates based in the US.**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work on the following:**
* Platform Architecture \&amp; Unification
* Architect a Unified Perception Layer: Lead the transition from fragmented, task\-specific models to a modular perception platform that supports reusable components and downstream safety applications.
* System Design: Design and implement real\-time ML systems—from sensor ingestion and tracking to risk reasoning and actuation—ensuring clear interfaces and predictable system behavior.
* Hybrid Deployment: Orchestrate model integration across edge and cloud environments, managing versioning, rollouts, and mission\-critical fallback mechanisms.
* Performance \&amp; Reliability Engineering
* Latency Ownership: Own end\-to\-end latency and reliability for safety\-critical pipelines. You will profile, schedule, and optimize messaging and backpressure across the entire stack.
* Observability \&amp; Feedback Loops: Build sophisticated monitoring for deployed models to detect drift, false positives/negatives, and latency regressions. You will "close the loop" to ensure production data informs the next iteration of training.
* Rigorous Evaluation \&amp; Safety
* Safety Cases: Develop evaluation frameworks specifically for rare "long\-tail" safety events. You will define metrics and build targeted test sets that form the basis for principled ship/no\-ship decisions.
* Explainability: Partner with Applied Scientists to ensure research outputs are translated into production code that is not only performant but also debuggable and explainable.
* Technical Leadership
* Strategic Influence: Shape the system abstractions early in the platform transition to minimize technical debt and maximize future scalability.
* Mentorship: Set the engineering standard for correctness and performance. You will mentor junior and mid\-level engineers, fostering a culture of rigorous ML engineering.
**Minimum requirements for the role:**
* Experience: 6\+ years of experience in ML Engineering, with a proven track record of shipping models in production (ideally in safety\-critical domains like robotics, automotive, or industrial AI).
* Systems Mastery: Deep understanding of distributed systems, performance profiling, and computer vision.
* Infrastructure Fluency: Experience with Cloud ML workflows (AWS/GCP/Azure) and containerization, paired with an understanding of the constraints of edge hardware.
* Architectural Mindset: You don't just write code; you design systems. You understand the trade\-offs between model complexity and operational reliability.
**An ideal candidate also has:**
* Ph.D. in Computer Science or quantitative discipline (e.g., Applied Math, Physics, Statistics)
* Experience with containerization technologies (e.g., Docker, Kubernetes), continuous integration/continuous deployment (CI/CD) pipelines, and infrastructure\-as\-code (IaC) frameworks
* Familiar with deploying and managing ML applications in cloud environments, as well as leveraging cloud\-based services for data storage, processing, and inference
* Experience building end\-to\-end ML applications from scratch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$243,100—$286,000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24">
      <c r="A24" t="inlineStr">
        <is>
          <t>li-4356031325</t>
        </is>
      </c>
      <c r="B24" t="inlineStr">
        <is>
          <t>Machine Learning Engineer (Remote)</t>
        </is>
      </c>
      <c r="C24" t="inlineStr">
        <is>
          <t>Triumph</t>
        </is>
      </c>
      <c r="D24" t="inlineStr">
        <is>
          <t>linkedin</t>
        </is>
      </c>
      <c r="E24" t="inlineStr"/>
      <c r="F24" t="inlineStr"/>
      <c r="G24" t="inlineStr"/>
      <c r="H24" t="inlineStr"/>
      <c r="I24" t="inlineStr">
        <is>
          <t>**Join Triumph!**
 At Triumph, our vision is a world where freight transactions are accurate and seamless on the most modern and secure freight transaction network. That’s why we’re looking for passionate, innovative, solutions\-oriented people to join our team. We thrive on providing exceptional customer service and we look for team members with an entrepreneurial spirit and a passion to build successful partnerships with our clients. Because at the end of the day our goal is to help our partners businesses run better.
 At Triumph, our vision is a world where freight transactions are accurate and seamless on the most modern and secure freight transaction network. That’s why we’re looking for passionate, innovative, solutions\-oriented people to join our team. We thrive on providing exceptional customer service and we look for team members with an entrepreneurial spirit and a passion to build successful partnerships with our clients. Because at the end of the day our goal is to help our partners businesses run better.
 At TriumphPay we are building the transportation payments network for the future. Our software touches a combined $37\.1B in annualized freight volume, representing over 20% of the brokered freight market in the U.S. TriumphPay’s customers are using our products to solve real world problems. This is both exciting and also an incredible responsibility.
 We are looking for experienced ML engineers to join our team of 35\+ engineers. If you join TriumphPay, you will work closely in a small, cross\-functional team of 3\-4 people focused on our AI/ML systems. Our teams operate with a high degree of autonomy, allowing you to take ownership of projects from ideation to deployment. You’ll collaborate closely with product managers and other stakeholders to understand customer pain points and deliver impactful solutions that support critical features.
 Our engineering team is fully remote and believes strongly in work\-life balance.
**A Day In The Life:**
 There’s no defined template that teams at TriumphPay follow, allowing each team to build the day that lets them perform at their best.
 Typically, a team has a morning standup allowing them to catchup on what happened yesterday, and ensure there’s a plan in place for the day ahead. You’ll work with our product group and members of the sales team to ensure we’re building the tools our customers need to succeed.
**The Tech:**
 The AI/ML team works primarily in a mixture of Python and Clojure for ML experimentation, data processing, and deployments, with Ruby and other languages used for integrating models into customer\-facing applications. Python and Ruby make up the majority of our work, with Clojure being third.
 Occasionally, the AI/ML team handles integration work in Ruby or other languages directly when it enables faster delivery of value, though this work may also be handed off to feature development teams. We use PySpark for most of our data processing, AWS SageMaker Studio for model development and validation, and PyTorch \+ HuggingFace for deep learning work. Model inference runs on a mix of FastAPI and Clojure applications, depending on the model type.
 Our ML systems process more than 1 million documents per day through hundreds of models requiring robust pipelines to handle noisy, unstructured data with high precision at scale. You'll work on building, deploying, and integrating models that can generalize across diverse document formats and adapt to evolving customer needs. Our models must operate within strict latency requirements to ensure seamless customer experiences, while maintaining high performance in extracting and classifying data from complex, unstructured documents. We are constantly exploring new techniques in deep learning, transfer learning, and model optimization to improve the accuracy and efficiency of our systems.
 We know that good engineers can pick up new tools and languages on the job and we don't expect candidates to be familiar with all of these technologies. We love curious individuals who believe they can always improve, and we know that good developers are capable of picking up new languages and tools.
 Engineers are provided a top of the line MacBook to do their work, and you’ll have access to all the necessary tooling to do the non\-coding parts of your job (Zoom, Slack, etc.).
**To succeed in this role, you should be:**
* Curious. You aren't content with the status quo and know that we can always improve.
* Data Driven. You seek evidence to support hypotheses and identify optimal solutions within problem constraints accounting for sources of error and uncertainty.
* Collaborative. You can work with others to improve a solution iteratively factoring in new information from outside perspectives.
* Empathetic. Your designs are influenced by a deep understanding of the customers' needs.
* A strong communicator. You will proactively communicate issues and trade\-offs with team members to support alignment and fast decision making.
* Be an outstanding developer. Your peers should recognize you as one of the best and the brightest developers they have worked with.
**Bonus points for:**
* Leading an engineering team or running a consulting company.
* Experience with end\-to\-end model development, validation, deployment, and integration
* Previous Logistics experience.
**Compensation Range**
 Annual Salary: $151,038\.00 \- $234,109\.00
* Location: Dallas, TX or Remote U.S. excluding the following states: AK, DE, ID, ND, RI, VT, WY \*\*\*
**We offer Medical, Dental, Vision, Paid Time Off, 401k and much more.**
 Go on. Do it. Apply Today!</t>
        </is>
      </c>
    </row>
    <row r="25">
      <c r="A25" t="inlineStr">
        <is>
          <t>li-4358251538</t>
        </is>
      </c>
      <c r="B25" t="inlineStr">
        <is>
          <t>Machine Learning Engineer, Level 5</t>
        </is>
      </c>
      <c r="C25" t="inlineStr">
        <is>
          <t>Snap Inc.</t>
        </is>
      </c>
      <c r="D25" t="inlineStr">
        <is>
          <t>linkedin</t>
        </is>
      </c>
      <c r="E25" t="inlineStr"/>
      <c r="F25" t="inlineStr"/>
      <c r="G25" t="inlineStr">
        <is>
          <t>New York, United States</t>
        </is>
      </c>
      <c r="H25" t="inlineStr"/>
      <c r="I25"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5\+ years of post\-Bachelor’s machine learning experience; or Master’s degree in a technical field \+ 4\+ year of post\-grad machine learning experience; or PhD in a relevant technical field \+ 1 years of post\-grad machine learning experience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26">
      <c r="A26" t="inlineStr">
        <is>
          <t>li-4354608399</t>
        </is>
      </c>
      <c r="B26" t="inlineStr">
        <is>
          <t>Machine Learning Engineer</t>
        </is>
      </c>
      <c r="C26" t="inlineStr">
        <is>
          <t>Reyes Coca-Cola Bottling</t>
        </is>
      </c>
      <c r="D26" t="inlineStr">
        <is>
          <t>linkedin</t>
        </is>
      </c>
      <c r="E26" t="inlineStr"/>
      <c r="F26" t="inlineStr"/>
      <c r="G26" t="inlineStr">
        <is>
          <t>Irvine, CA</t>
        </is>
      </c>
      <c r="H26" t="inlineStr"/>
      <c r="I26" t="inlineStr">
        <is>
          <t>**Position Responsibilities**
* Design, build, and maintain Continuous Integration/Continuous Development (CI/CD) pipelines for machine learning models
* Deploy and manage ML models in production environments using containerization and orchestration technologies
* Implement monitoring, logging, and alerting solutions to track model performance, system health, and data drift
* Collaborate with data scientists to understand model requirements and optimize the process of transforming models from development to a production\-ready state
* Create and maintain technical documentation for ML Operations (Ops) processes, infrastructure, and deployments
* Define ML/Artificial Intelligence (AI) governance to ensure data security and ethical standards are met for all modeling processes
* Travel up to 5% of the time
* Other duties as assigned
**Required Education And Experience**
* Bachelor’s degree in computer science, Data Science, Mathematics, or related quantitative discipline and 3 to 5 plus years of experience in ML Engineering, Software Engineering, or a related field or High School Diploma/General Education Diploma and 7 plus years of the above stated experience
**Preferred Education And Experience**
* Master’s Degree in computer science, Data Science, or other graduate education in related quantitative fields
* Hands\-on experience with CI/CD pipelines, automation tools, and version control systems like Azure DevOps, Github, or similar and strong understanding of machine learning concepts and the ML development lifecycle
* Experience building ML Ops infrastructure and serving models via cloud platforms such as Azure, Amazon Web Services (AWS), or Google Cloud Platform (GCP)
* Strong proficiency in Python and working knowledge of Bash/shell scripting for automation and system operations
* Strong understanding of Structured Query Language (SQL) and experience with big data platforms, i.e., Snowflake, Databricks, or similar
* Experience with Infrastructure\-as\-Code tools, i.e., Terraform, Azure Resource Manager, or similar
**Benefits**
 At the Reyes Family of Businesses, our Total Rewards Strategy prioritizes the holistic well\-being of our employees. This position offers a comprehensive benefits package that includes Medical, Dental, Vision coverage, Paid Time Off, Retirement Benefits, and complimentary Health Screenings.
**Equal Opportunity Employee \&amp; Physical Demands**
 Reyes Holdings and its businesses are equal opportunity employers. Company policy prohibits discrimination and harassment against any applicant or employee based on race, color, religion, sex, pregnancy or pregnancy\-related medical conditions, marital status, sexual orientation, gender identity or expression, age, national origin, citizenship, disability, genetic information, military or veteran status, or any other basis protected by applicable law. In addition, the Company is committed to providing reasonable accommodation to applicants and employees in accordance with applicable law. Requests for accommodation should be directed to your point of contact in the Talent Acquisition or Human Resources departments.
**Background Check and Drug Screening**
 Offers of employment are contingent upon successful completion of a background check and drug screening.
**Pay Transparency**
 Our compensation philosophy embraces diverse factors for fair pay decisions, valuing skills, experience, and the needs of our business. Moreover, this role may have the opportunity to participate in a discretionary incentive program, subject to program rules.</t>
        </is>
      </c>
    </row>
    <row r="27">
      <c r="A27" t="inlineStr">
        <is>
          <t>li-4366221610</t>
        </is>
      </c>
      <c r="B27" t="inlineStr">
        <is>
          <t>AI Engineer - Agentic Automation</t>
        </is>
      </c>
      <c r="C27" t="inlineStr">
        <is>
          <t>Freshworks</t>
        </is>
      </c>
      <c r="D27" t="inlineStr">
        <is>
          <t>linkedin</t>
        </is>
      </c>
      <c r="E27" t="inlineStr"/>
      <c r="F27" t="inlineStr"/>
      <c r="G27" t="inlineStr">
        <is>
          <t>San Mateo, CA</t>
        </is>
      </c>
      <c r="H27" t="inlineStr"/>
      <c r="I27"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As an
 AI Engineer \- Agentic Automation, you will partner with cross\-functional teams to build, implement, and scale agentic AI processes that improve Sales and Marketing functions. You will evaluate emerging AI tools, design solutions using Model Context Protocol, write production\-grade code, and measure impact via meaningful business metrics. This role blends hands\-on technical execution with strategic insight, empowering you to shape how AI is adopted and scaled across the organization.
**Please note: This is a hybrid role that will be based in San Mateo, CA and requires an in\-office presence three days per week (Tuesday \- Thursday).**
* Collaborate with Sales, Marketing, RevOps, Product, and Data teams to understand workflows, inefficiencies, and requirements.
* Design, build, and deploy agentic AI processes that automate tasks, orchestrate multi\-step workflows, and augment human work.
* Evaluate and select AI frameworks, tools, and platforms for specific use cases, running proofs\-of\-concept and recommending optimal solutions.
* Implement MCP servers and agent orchestration systems; write clean, maintainable code (e.g., Python, JavaScript) to productionize AI integrations.
* Integrate AI systems with CRM, marketing automation, analytics, external publicly available data sources, communities such as Reddit and operational platforms through APIs and pipelines.
* Define success metrics, monitor performance, and deliver impact reporting that ties AI initiatives to business outcomes (e.g., time savings, conversion improvement, revenue impact).
* Create documentation, best practices, and reusable templates to scale AI adoption within the company.
* Stay current with AI trends, emerging agent frameworks, and market\-leading tools that can accelerate capability.
**Qualifications**
* 3\+ years of professional experience in AI/ML engineering, analytics engineering, automation engineering, software development, or related technical roles.
* Understanding and having experience with business process automation
* Strong coding skills (Python, JavaScript) and experience building or integrating software systems.
* Strong command of AI software engineering tools such as Cursor, Google Antigravity, or Claude Code.
* Deep understanding of modern context engineering, ability to write, debug, and improve LLM prompts.
* Familiarity with agentic AI systems, orchestration frameworks, Model Context Protocol, and RAG techniques. Also familiarity with the latest LLMs and their differences; a strong intuition for LLM limitations.
* Demonstrated experience evaluating, selecting, and deploying AI/automation tools and frameworks in business environments.
* Ability to work independently on technical problems and translate business needs into technical designs.
* Excellent communication skills; able to present complex technical solutions clearly to both technical and business audiences.
* Passion for AI and a strong desire to build solutions that deliver real business impact.
**Preferred Qualifications**
* Experience integrating AI/automation with CRM systems (e.g., Salesforce), marketing automation platforms (e.g. Marketo), and other operational tools.
* Background in analytics, data pipelines, or data engineering.
* Demonstrated track record of defining and measuring business impact from AI or automation initiatives.
**Additional Information**
**Please note: This is a hybrid role that will be based in San Mateo, CA and requires an in\-office presence three days per week (Tuesday \- Thursday).**
 This role is based in the San Francisco Bay Area, and the expected base salary range for this position is as shown below. The actual base pay is dependent upon a variety of job\-related factors such as professional background, training, work experience, business needs and market demand. Therefore, in some circumstances, the actual salary could fall outside of this expected range. This pay range is subject to change and may be modified in the future. This role is also eligible for a target bonus.
 Compensation Package
 $90,900\-$119,280 USD Base Salary \+ Bonus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28">
      <c r="A28" t="inlineStr">
        <is>
          <t>li-4373953678</t>
        </is>
      </c>
      <c r="B28" t="inlineStr">
        <is>
          <t>Machine Learning Engineer</t>
        </is>
      </c>
      <c r="C28" t="inlineStr">
        <is>
          <t>Best Job Tool</t>
        </is>
      </c>
      <c r="D28" t="inlineStr">
        <is>
          <t>linkedin</t>
        </is>
      </c>
      <c r="E28" t="inlineStr"/>
      <c r="F28" t="inlineStr"/>
      <c r="G28" t="inlineStr"/>
      <c r="H28" t="inlineStr"/>
      <c r="I28" t="inlineStr">
        <is>
          <t>**About The Company**
 DataAnnotation is a leading technology company specializing in providing innovative data labeling and annotation solutions for machine learning and artificial intelligence applications. With a commitment to accuracy, efficiency, and scalability, DataAnnotation serves a diverse range of industries including healthcare, automotive, retail, and finance. Our team of experts leverages cutting\-edge tools and methodologies to deliver high\-quality annotated data that accelerates the development of intelligent systems. We pride ourselves on fostering a collaborative and inclusive work environment that encourages continuous learning and professional growth.
**About The Role**
 We are seeking a detail\-oriented and motivated Data Annotation Specialist to join our dynamic team. In this role, you will be responsible for accurately labeling and annotating data sets to support the training of machine learning models. The ideal candidate will have a keen eye for detail, strong organizational skills, and the ability to work efficiently under deadlines. As part of our team, you will collaborate closely with data scientists and engineers to ensure that the annotated data meets quality standards and project specifications. This position offers an excellent opportunity to gain hands\-on experience in the AI and data science industry while contributing to impactful projects that shape the future of technology.
**Qualifications**
 To be successful in this role, candidates should possess a minimum of a high school diploma or equivalent; a bachelor’s degree in a related field such as computer science, data science, or engineering is preferred. Prior experience in data annotation, labeling, or related tasks is advantageous but not mandatory, as training will be provided. Strong attention to detail, excellent organizational skills, and the ability to follow detailed instructions are essential. Candidates should also have good communication skills, the ability to work independently, and a basic understanding of data formats and annotation tools. Familiarity with AI and machine learning concepts is a plus.
**Responsibilities**
 The primary responsibilities of the Data Annotation Specialist include:
* Accurately labeling and annotating various types of data, including images, videos, text, and audio, according to project guidelines.
* Reviewing and verifying the quality of annotated data to ensure consistency and accuracy.
* Collaborating with team members and project managers to clarify annotation requirements and resolve any ambiguities.
* Maintaining detailed records of annotation progress and adhering to project timelines.
* Continuously improving annotation processes by providing feedback and suggestions for tool enhancements.
* Staying updated on industry best practices and emerging trends in data annotation and machine learning.
**Benefits**
 DataAnnotation offers a comprehensive benefits package designed to support our employees' well\-being and professional development. Employees enjoy competitive compensation, flexible work hours, and opportunities for remote work. We provide health insurance plans, including medical, dental, and vision coverage, along with paid time off and holiday leave. Our company also invests in ongoing training and development programs to help employees expand their skills and advance their careers. Additionally, we foster a positive and inclusive work environment that values diversity, collaboration, and innovation.
 Equal Opportunity
 DataAnnotation is an equal opportunity employer. We are committed to creating an inclusive environment for all employees and applicants regardless of race, color, religion, gender, gender identity or expression, sexual orientation, national origin, genetics, disability, age, or veteran status. We believe that diversity enhances our creativity and drives our success, and we welcome applicants from all backgrounds to join our team and contribute to our mission of transforming data into actionable insights.</t>
        </is>
      </c>
    </row>
    <row r="29">
      <c r="A29" t="inlineStr">
        <is>
          <t>li-4373947345</t>
        </is>
      </c>
      <c r="B29" t="inlineStr">
        <is>
          <t>MACHINE LEARNING ENGINEER</t>
        </is>
      </c>
      <c r="C29" t="inlineStr">
        <is>
          <t>Moffitt Cancer Center</t>
        </is>
      </c>
      <c r="D29" t="inlineStr">
        <is>
          <t>linkedin</t>
        </is>
      </c>
      <c r="E29" t="inlineStr"/>
      <c r="F29" t="inlineStr"/>
      <c r="G29" t="inlineStr">
        <is>
          <t>Tampa, FL</t>
        </is>
      </c>
      <c r="H29" t="inlineStr"/>
      <c r="I29" t="inlineStr">
        <is>
          <t>**Summary**
 Join the Rasool Lab within Moffitt Cancer Center \&amp; Research Institute to build trustworthy, clinically grounded AI that improves cancer research and care. The Machine Learning Engineer will develop end\-to\-end machine learning systems, especially domain\-adapted speech and language pipelines, to support oncology workflows and research studies. Projects include robust ASR in noisy clinical settings, speaker diarization and long\-form transcription, privacy\-aware modeling (including federated learning), and NLP/LLM\-based information extraction from unstructured clinical text, which is often in multimodal settings spanning radiology, pathology, molecular data, EHRs, and cancer registry data.
**Position Highlights**
* Opportunity to work in a world\-class research environment focused on applied machine learning and AI for healthcare and biomedical domains, with an emphasis on trustworthy multimodal AI.
* Strong collaboration with interdisciplinary teams (researchers, clinicians, and data scientists), leveraging state\-of\-the\-art computational infrastructure, and opportunities to contribute to impactful publications and open research software.
* Exposure to cutting\-edge themes, including multimodal learning, federated learning, and LLM\-enabled radiology/pathology informatics.
**The Ideal Candidate**
* Expertise in Automated Speech Recognition (ASR): Proven experience building, adapting, or optimizing ASR systems in domain\-specific, noisy, or medical/clinical environments, with comfort with evaluation and error analysis for real\-world audio.
* Strong ML \&amp; Deep Learning background: Hands\-on experience with modern ML frameworks (e.g., PyTorch/TensorFlow) and practical experience with Transformer models, LLMs, or generative AI in applied settings.
* Solid foundation in NLP: Skilled in text representation, sequence modeling, and applying NLP to unstructured, domain\-specific datasets (clinical notes, reports, transcripts).
* Federated / privacy\-preserving learning exposure: Understanding of distributed ML systems and privacy\-aware approaches for sensitive or regulated data.
* Healthcare/medical data familiarity: Experience with speech, text, EHR\-derived data, and/or multimodal biomedical datasets, comfort working with clinical stakeholders and study constraints.
* Software engineering rigor (highly valued): Writes maintainable, tested, well\-documented code, with experience in version control, reproducible pipelines, and collaborative development.
**Responsibilities**
* Support principal investigators through the development of machine learning and deep learning software for cancer research, from prototyping to robust, reusable pipelines.
* Collaborate with investigators and multi\-institutional consortia on research software planning and implementation, including privacy\-aware and cross\-site workflows when needed.
* Design, develop, and maintain machine and deep learning software for oncology research applications, with a focus on ASR/NLP systems and multimodal AI projects.
* Build evaluation and monitoring approaches (data quality checks, performance metrics, failure\-mode analysis) to keep models reliable in clinical\-like conditions.
**Credentials And Qualifications** 
* Minimum of a Bachelor’s degree in Computer Science, Engineering, Data Science, or a related field and at least two (2\) years of software development/machine learning engineering experience.
+ A Master’s degree in Electrical Engineering, Computer Science, or a closely related field is preferred.
* Demonstrated experience implementing ML systems in Python (and/or similar languages) with strong software engineering practices (testing, documentation, reproducibility).
 Interested applicants should attach a cover letter summarizing their research training and accomplishments, along with a current CV listing recent publications, to Dr. Rasool at ghulam.rasool@moffitt.org.
 Moffitt Cancer Center is an NCI\-designated comprehensive Cancer Center in Tampa, Florida. Tampa is an ideal choice for those seeking opportunities in a rapidly growing metropolitan city. With its vibrant economy and diverse culture, Tampa Bay offers a unique blend of urban sophistication and natural beauty. Join the many who have already discovered what makes Tampa one of the fastest\-growing metropolitan cities in the US.
**Moffitt Team Members**
* Eligible for an annual Team Member Incentive
* Eligible for an annual Team Member Merit Increase
* Have an Inclusive Benefits package \- Health, Financial, \&amp; Lifestyle coverage
**If you're driven to build rigorous, trustworthy AI that advances cancer research, we welcome your expertise. Bring your machine learning skills, engineering discipline, and passion for impactful innovation—there’s a place for you in our mission.**</t>
        </is>
      </c>
    </row>
    <row r="30">
      <c r="A30" t="inlineStr">
        <is>
          <t>li-4374105012</t>
        </is>
      </c>
      <c r="B30" t="inlineStr">
        <is>
          <t>AI/ML Engineer</t>
        </is>
      </c>
      <c r="C30" t="inlineStr">
        <is>
          <t>NeerInfo Solutions</t>
        </is>
      </c>
      <c r="D30" t="inlineStr">
        <is>
          <t>linkedin</t>
        </is>
      </c>
      <c r="E30" t="inlineStr"/>
      <c r="F30" t="inlineStr"/>
      <c r="G30" t="inlineStr">
        <is>
          <t>Austin, TX</t>
        </is>
      </c>
      <c r="H30" t="inlineStr"/>
      <c r="I30" t="inlineStr">
        <is>
          <t>* Design and develop high\-performance applications using Java (Spring Boot, Microservices).
* Integrate AI models via REST APIs, Python services, or cloud AI platforms.
* Collaborate with data scientists to deploy and optimize ML models in production.
* Build APIs and microservices that enable intelligent, data\-driven features.
* Implement data pipelines for AI workloads, ensuring scalability and reliability.
* Evaluate and experiment with GenAI, LLMs, and AI APIs (OpenAI, AWS Bedrock, Vertex AI, OpenAI).
* Maintain coding standards, CI/CD pipelines, and cloud deployment best practices (AWS, GCP).
* Troubleshoot performance issues and ensure application reliability.
**Required Qualifications:** 
* Bachelor’s degree or foreign equivalent required from an accredited institution. Will also consider three years of progressive experience in the specialty in lieu of every year of education.
* At least 4 years of experience in Information Technology.
* Experience in Java/J2EE development
* Location for this position is
 **Austin, TX.** 
 This position requires travel and/or relocation to project/client location.
**Preferred Qualifications:** 
* At least 3 years of experience in Java/J2EE development
* At least 3 years of experience in DB SQL/NoSQL.
* Strong knowledge of Spring Boot, Microservices, Spring Security, Spring MVC, Spring Data, JPA, Hibernate.
* Hands\-on experience with AI/ML frameworks (TensorFlow, PyTorch, scikit\-learn).
* Experience integrating AI APIs (OpenAI, Hugging Face, Google Vertex AI).
* Hands\-on experience designing and integrating microservices using REST APIs and asynchronous messaging (Kafka).
* High\-level knowledge of CI/CD.
* Familiarity with Generative AI technologies (LLM integration, prompt engineering, AI model APIs).
* Solid understanding of data structures, algorithms, and software design patterns.
* Familiarity with Python for ML model interaction or API wrapping.
* Experience with Docker, Kubernetes, and cloud environments (AWS/GCP/Azure).
* Exposure to LangChain, LangGraph, RAG architecture, or vector databases (Pinecone, FAISS).
* Understanding of the machine learning lifecycle (training, testing, deployment).
* Experience with event\-driven systems (Kafka, RabbitMQ).
* Contribution to AI\-based open\-source projects or hackathons.
* Strong analytical and troubleshooting skills.
* Excellent oral and written communication skills.
* Ability to independently learn new technologies.
* Passionate, team player, and fast learner.</t>
        </is>
      </c>
    </row>
    <row r="31">
      <c r="A31" t="inlineStr">
        <is>
          <t>li-4354673802</t>
        </is>
      </c>
      <c r="B31" t="inlineStr">
        <is>
          <t>Machine Learning Engineer, Level 4</t>
        </is>
      </c>
      <c r="C31" t="inlineStr">
        <is>
          <t>Snap Inc.</t>
        </is>
      </c>
      <c r="D31" t="inlineStr">
        <is>
          <t>linkedin</t>
        </is>
      </c>
      <c r="E31" t="inlineStr"/>
      <c r="F31" t="inlineStr"/>
      <c r="G31" t="inlineStr">
        <is>
          <t>San Francisco, CA</t>
        </is>
      </c>
      <c r="H31" t="inlineStr"/>
      <c r="I3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3\+ years of post\-Bachelor’s machine learning experience; or Master’s degree in a technical field \+ 2\+ year of post\-grad machine learning experience; or PhD in a relevant technical field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32">
      <c r="A32" t="inlineStr">
        <is>
          <t>li-4373989436</t>
        </is>
      </c>
      <c r="B32" t="inlineStr">
        <is>
          <t>Senior Machine Learning Engineer</t>
        </is>
      </c>
      <c r="C32" t="inlineStr">
        <is>
          <t>People In AI</t>
        </is>
      </c>
      <c r="D32" t="inlineStr">
        <is>
          <t>linkedin</t>
        </is>
      </c>
      <c r="E32" t="inlineStr"/>
      <c r="F32" t="inlineStr"/>
      <c r="G32" t="inlineStr">
        <is>
          <t>New York, NY</t>
        </is>
      </c>
      <c r="H32" t="inlineStr"/>
      <c r="I32" t="inlineStr">
        <is>
          <t>**Senior Machine Learning Engineer (Evals)** 
**$300k–$330k base \+ equity** 
**New York City (Onsite)** 
**Company Overview:** 
 This Series A startup is pioneering a new category in AI\-native infrastructure automation. Their platform doesn’t just surface dashboards, it actively investigates, reasons over, and automates responses across production systems, giving engineers time back to build rather than firefight. With $3M\+ in ARR and major pilots underway at enterprise customers, they’re entering a critical phase of scale, intelligence, and product depth.
**The Role:** 
 As the first dedicated Evaluations Engineer, you’ll own and operationalize how quality is defined for the AI agent at the heart of the product. This is a zero to one opportunity to build the evaluation stack: pipelines, metrics, tooling, and infrastructure from scratch, and shape how teams across platform, product, and research iterate confidently.
 You’ll sit within Platform Engineering and partner closely with backend, ML, and research teams. This is a high\-impact, high\-autonomy role with strong executive buy\-in and close collaboration with the CTO.
**What You’ll Do:** 
* Build and own online and offline evaluation pipelines for agent behavior across MELT data, code, and unstructured inputs
* Define and refine quality metrics that capture reasoning trajectories, not just outputs
* Design evaluations in messy, real\-world, high\-volume, hard\-to\-label systems
* Extend core agent infrastructure (e.g., middleware, sub\-agents, orchestration) to support evaluation and iteration
* Productionize the stack with strong observability, uptime, and performance guarantees
* Develop internal tools (e.g., CLIs, validation harnesses) to accelerate iteration for platform, research, and product
* Collaborate with research engineers to bring new agent architectures (e.g., multi\-path reasoning) into production
**What You’ll Bring:** 
* Experience in ML platform, data, or backend engineering, ideally in zero to one or ambiguous domains
* Experience designing evaluation systems in noisy, context\-rich environments (e.g., CV, research, infra ML)
* Strong systems thinking: can reason across distributed systems, data modeling, and product surface areas
* Clean, scalable coding in Python and TypeScript
* Ability to define ground truth in approximate domains and defend your metrics with rigor
* Track record of platformizing work to unlock others
**Tech Stack:** 
* Python, TypeScript
* MELT data pipelines
* Distributed systems
* Internal agent frameworks and orchestration
**Why Join?** 
* Own a foundational product surface with direct executive support
* Work with top\-tier engineers from companies like Datadog and build tooling for real enterprise complexity
* Define what “quality” means in one of the most interesting ML applications today
* Shape the evaluation discipline from the ground up in a fast\-moving, high\-conviction environment
* Competitive salary, generous equity, and thoughtful perks: full coverage, retirement, fitness stipend, unlimited PTO, and more
**About People In AI:** 
 People In AI is a specialized recruiting partner for cutting\-edge AI startups. We help top engineers find high\-impact roles in applied AI, infrastructure, and research. All roles we share are with well\-funded companies building category\-defining products.
 Ready to build a zero to one evaluations system with real production impact? Let’s talk.</t>
        </is>
      </c>
    </row>
    <row r="33">
      <c r="A33" t="inlineStr">
        <is>
          <t>li-4372848842</t>
        </is>
      </c>
      <c r="B33" t="inlineStr">
        <is>
          <t>AI Engineer</t>
        </is>
      </c>
      <c r="C33" t="inlineStr">
        <is>
          <t>Hirenza</t>
        </is>
      </c>
      <c r="D33" t="inlineStr">
        <is>
          <t>linkedin</t>
        </is>
      </c>
      <c r="E33" t="inlineStr"/>
      <c r="F33" t="inlineStr"/>
      <c r="G33" t="inlineStr"/>
      <c r="H33" t="inlineStr"/>
      <c r="I33" t="inlineStr">
        <is>
          <t>**About The Company**
 Texas Sports Academy is at the forefront of revolutionizing education for athletes by seamlessly integrating elite athletic training with rigorous academic programs. As a rapidly expanding organization, we are committed to fostering an environment where young athletes can excel both physically and intellectually. Our innovative approach combines cutting\-edge technology with personalized coaching to deliver a comprehensive developmental experience. With a focus on growth and excellence, Texas Sports Academy continuously strives to enhance our offerings and reach a broader community of learners and athletes. Our dedication to innovation is exemplified through the deployment of advanced AI systems that support our mission, including a live parent\-facing AI SMS chatbot that exemplifies our commitment to leveraging technology for impactful results.
**About The Role**
 We are seeking a highly skilled and experienced Senior AI Engineer specializing in Large Language Model (LLM) Systems and Retrieval\-Augmented Generation (RAG) Optimization. In this pivotal role, you will be responsible for elevating our existing AI chatbot to a world\-class standard, ensuring it is robust, scalable, and capable of delivering accurate and relevant responses to thousands of families. This is a unique opportunity to operate as the AI systems architect, designing and implementing complex systems that enhance user experience and operational efficiency. Your expertise will directly influence the effectiveness of our AI\-driven communication platform, making it more reliable, cost\-efficient, and capable of handling real\-world scenarios with minimal hallucinations and maximum relevance.
**Qualifications**
 The ideal candidate must possess extensive hands\-on experience in building and scaling AI systems in production environments. Candidates should have a minimum of three years in applied machine learning or natural language processing, with demonstrated proficiency in Python programming. Deep understanding and practical experience with RAG architectures, vector databases such as Pinecone, Weaviate, or FAISS, and strategies for embedding and chunking data are essential. Familiarity with LLM observability tools like LangSmith, Helicone, or PromptLayer is required. You should also have a proven track record of deploying scalable AI solutions, diagnosing retrieval issues, and optimizing system performance for cost and latency. Bonus points are awarded for experience with SMS\-based AI applications, multi\-model routing, context compression, startup environments, and advanced system design skills.
**Responsibilities**
 As a Senior AI Engineer, your core responsibilities will include:
* Designing, developing, and optimizing the RAG architecture to enhance retrieval accuracy and reduce hallucinations.
* Implementing strategies to improve latency, token efficiency, and conversation memory management.
* Building and maintaining robust evaluation pipelines to monitor system performance and identify areas for improvement.
* Developing and deploying observability tools and dashboards to track system health, retrieval success rates, and user engagement metrics.
* Creating cost\-effective scaling infrastructure to support an increasing volume of user interactions.
* Diagnosing retrieval failures and implementing solutions to mitigate errors and irrelevant responses.
* Establishing guardrails and safety protocols to ensure responsible and secure real\-world application of AI systems.
* Collaborating with cross\-functional teams to develop a comprehensive roadmap for system enhancements and scalability.
* Delivering structured improvement plans based on audits of existing systems, including architecture critique, scaling strategies, and evaluation frameworks.
**Benefits**
 Texas Sports Academy offers a competitive compensation package ranging from $250,000 to $300,000 annually, reflecting the high level of expertise required for this role. The position is fully remote, providing flexibility to work from anywhere globally. We support a healthy work\-life balance and foster a collaborative, innovative work environment. Opportunities for professional growth include working on cutting\-edge AI projects, contributing to scalable system design, and influencing the future of AI\-driven educational tools. We also provide access to continuous learning resources and the chance to be part of a forward\-thinking organization committed to technological excellence and impactful education.
 Equal Opportunity
 Texas Sports Academy is an equal opportunity employer. We celebrate diversity and are committed to creating an inclusive environment for all employees. We do not discriminate based on race, ethnicity, gender identity, sexual orientation, age, disability, or any other protected status. We believe that diverse perspectives foster innovation and excellence, and we are dedicated to providing equitable opportunities for all qualified candidates.</t>
        </is>
      </c>
    </row>
    <row r="34">
      <c r="A34" t="inlineStr">
        <is>
          <t>li-4355788698</t>
        </is>
      </c>
      <c r="B34" t="inlineStr">
        <is>
          <t>Sr AI Engineer</t>
        </is>
      </c>
      <c r="C34" t="inlineStr">
        <is>
          <t>Paycom</t>
        </is>
      </c>
      <c r="D34" t="inlineStr">
        <is>
          <t>linkedin</t>
        </is>
      </c>
      <c r="E34" t="inlineStr"/>
      <c r="F34" t="inlineStr"/>
      <c r="G34" t="inlineStr">
        <is>
          <t>Oklahoma City, OK</t>
        </is>
      </c>
      <c r="H34" t="inlineStr"/>
      <c r="I34" t="inlineStr">
        <is>
          <t>Paycom is seeking a motivated AI Engineer with a passion for building practical, innovative solutions. In this role, you will work closely with software engineers to design and implement AI features that enhance our products and improve client experience. You will contribute to the development of AI applications, collaborate with a team of skilled technologists, and gain hands\-on experience in applying AI strategies to real\-world challenges.
**Responsibilities**
* Develop, maintain, and improve AI/ML codebases, services and APIs with a focus on reliability and scalability.
* Collaborate with cross\-functional teams including engineers, data scientists, and domain experts to deliver impactful AI solutions.
* Implement and support AI/ML pipelines for deployment, monitoring and lifecycle management.
* Automate batch inference workflows and integrate AI features into both internal tools and customer\-facing products.
* Collaborate with engineers, data scientists, and domain experts to deliver impactful AI solutions.
* Write, clean, testable, and well\-documented code to help the team build AI\-integrated solutions with confidence.
* Define architectural changes that can be implemented incrementally, while minimizing risk.
* Define and evolve model governance, monitoring, drift detection and re\-training workflows.
* Advocate for security and ethical AI practices in compliance with OWASP ML Top 10 and relevant standards.</t>
        </is>
      </c>
    </row>
    <row r="35">
      <c r="A35" t="inlineStr">
        <is>
          <t>li-4373981015</t>
        </is>
      </c>
      <c r="B35" t="inlineStr">
        <is>
          <t>Sr AI/ML Engineer Remote - Eastern Time Zone</t>
        </is>
      </c>
      <c r="C35" t="inlineStr">
        <is>
          <t>Lensa</t>
        </is>
      </c>
      <c r="D35" t="inlineStr">
        <is>
          <t>linkedin</t>
        </is>
      </c>
      <c r="E35" t="inlineStr"/>
      <c r="F35" t="inlineStr"/>
      <c r="G35" t="inlineStr">
        <is>
          <t>Eden Prairie, MN</t>
        </is>
      </c>
      <c r="H35" t="inlineStr"/>
      <c r="I3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UnitedHealth Group. Clicking "Apply Now" or "Read more" on Lensa redirects you to the job board/employer site. Any information collected there is subject to their terms and privacy notice.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
 We are seeking a highly skilled and innovative AI/ML Engineer with deep expertise in Generative AI technologies to develop and deploy cutting\-edge solutions within the Pharmacy domain. The ideal candidate will have hands\-on experience with Large Language Models (LLMs), Retrieval\-Augmented Generation (RAG), Agentic AI, and frameworks such as LangGraph and LangChain. Solid proficiency in Python and experience with deep learning frameworks like TensorFlow, PyTorch, or Keras are essential.
 This role will involve close collaboration with Pharmacy Operations and Capability teams. On the Operations side, you'll engage directly with Pharmacists to understand and solve real\-world challenges. On the Capability side, you'll work with Capability leaders to identify problem areas and co\-design AI/ML solutions. You'll also contribute to broader initiatives in Pharmacy Modernization, aligning with organizational goals to leverage emerging AI technologies for reducing manual work, accelerating delivery, and improving Net Promoter Score (NPS).
 You'll enjoy the flexibility to work remotely \* from anywhere within the U.S. as you take on some tough challenges. For all hires in the Minneapolis or Washington, D.C. area, you will be required to work in the office a minimum of four days per week.
**Primary Responsibilities**
* Design, develop, and deploy AI/ML models using GenAI technologies (LLMs, RAG, Agentic AI)
* Utilize frameworks such as LangGraph, LangChain, TensorFlow, PyTorch, or Keras for model development
* Build models that generate new data samples, patterns, or content based on existing inputs
* Deploy AI/ML solutions in production environments, preferably on cloud platforms like Azure
* Conduct rigorous model testing, validation, and performance optimization
* Containerize AI/ML projects and implement CI/CD pipelines using tools like GitHub Actions
* Collaborate with stakeholders to preprocess, analyze, and interpret large\-scale datasets
* Stay current with emerging trends and advancements in generative AI and ML technologies
* Ensure code quality and security by identifying and resolving vulnerabilities
* Maintain solid programming practices with a focus on Python
* Work Eastern Time Zone hours to support collaboration across a global team
* Participate in on\-call rotations as scheduled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or equivalent experience in Computer Science, Data Science, or related field
* 7\+ years of industry or academic experience in AI/ML or Data Science
* 4\+ years of hands\-on experience with Python and version control tools like GitHub
* 4\+ years of experience with deep learning frameworks (e.g., PyTorch, TensorFlow)
* 3\+ years of experience deploying AI/ML solutions in production environments
* Experience with Git management and CI/CD best practices
* Experience in designing high\-level cloud architecture and solution designs for AI/ML solutions
* Experience of AI/ML projects deployed in Production
* Not a research focused role, but more of a AI/ML product development role.
**Preferred Qualifications**
* Certifications in AI/ML or related technologies
* Familiarity with cloud platforms (Azure, AWS, Google Cloud)
* Knowledge of UAIS and MLRB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
 If you have questions about this posting, please contact support@lensa.com</t>
        </is>
      </c>
    </row>
    <row r="36">
      <c r="A36" t="inlineStr">
        <is>
          <t>li-4343990648</t>
        </is>
      </c>
      <c r="B36" t="inlineStr">
        <is>
          <t>Staff AI/ML Engineer - CI Platform</t>
        </is>
      </c>
      <c r="C36" t="inlineStr">
        <is>
          <t>General Motors</t>
        </is>
      </c>
      <c r="D36" t="inlineStr">
        <is>
          <t>linkedin</t>
        </is>
      </c>
      <c r="E36" t="inlineStr"/>
      <c r="F36" t="inlineStr"/>
      <c r="G36" t="inlineStr">
        <is>
          <t>Warren, MI</t>
        </is>
      </c>
      <c r="H36" t="inlineStr"/>
      <c r="I36"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Staff Engineer with an extensive engineering background, experience using a variety of developer tools and technologies, and who is passionate about developer productivity. As a leader on this team, we are looking for someone who cares deeply about the technical development of other engineers on the team and can effectively balance the needs and priorities of the business, our users, and the growth of our engineers.
 The way this engineer will deliver impact may vary depending on the situation, but they will be expected to be able to identify how they can best have impact with minimal guidance.
**The Team**
 The Continuous Integration (CI) Platform team owns our CI infrastructure along with the tools that improve the CI customer experience. We are part of the AI and Cloud Developer Productivity Organization and own the building blocks to produce high quality CI experiences and workflows. This includes services such as the Remote Build Execution (RBE) service which allows GM AI to reliably test at scale and the build artifact storage which is a FUSE based network file system used in conjunction with RBE. Our goal is to accelerate AV development by supporting developer workflows for building, testing, and releasing software.
**What You’ll Do (Responsibilities)**
* Identify engineering pain points and propose/design/implement solutions that are reliable, scalable, and maintainable
*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**Minimum Qualifications (Must\-Have)**
* 7\+ years of experience designing, building and operating production systems at scale in the cloud
* Bachelors Degree in Computer Science or related field or equivalent work experience
* Experience designing highly scalable, reliable, and maintainable services
* Experience writing in Go, Python, or other languages at production scale
* Understanding of Unix/Linux, SSH, and networking fundamentals
* Attention to detail, and a desire to improve processes and systems around you
* Ability to lead and influence others, both internal and external to the team
*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self\-driving technology and its potential impact on the world
**Preferred Qualifications (Nice\-to\-Have)**
* Experience working with GCP
* Experience working with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7">
      <c r="A37" t="inlineStr">
        <is>
          <t>li-4343980607</t>
        </is>
      </c>
      <c r="B37" t="inlineStr">
        <is>
          <t>Staff AI/ML Engineer - CI Platform</t>
        </is>
      </c>
      <c r="C37" t="inlineStr">
        <is>
          <t>General Motors</t>
        </is>
      </c>
      <c r="D37" t="inlineStr">
        <is>
          <t>linkedin</t>
        </is>
      </c>
      <c r="E37" t="inlineStr"/>
      <c r="F37" t="inlineStr"/>
      <c r="G37" t="inlineStr">
        <is>
          <t>Austin, TX</t>
        </is>
      </c>
      <c r="H37" t="inlineStr"/>
      <c r="I37"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Staff Engineer with an extensive engineering background, experience using a variety of developer tools and technologies, and who is passionate about developer productivity. As a leader on this team, we are looking for someone who cares deeply about the technical development of other engineers on the team and can effectively balance the needs and priorities of the business, our users, and the growth of our engineers.
 The way this engineer will deliver impact may vary depending on the situation, but they will be expected to be able to identify how they can best have impact with minimal guidance.
**The Team**
 The Continuous Integration (CI) Platform team owns our CI infrastructure along with the tools that improve the CI customer experience. We are part of the AI and Cloud Developer Productivity Organization and own the building blocks to produce high quality CI experiences and workflows. This includes services such as the Remote Build Execution (RBE) service which allows GM AI to reliably test at scale and the build artifact storage which is a FUSE based network file system used in conjunction with RBE. Our goal is to accelerate AV development by supporting developer workflows for building, testing, and releasing software.
**What You’ll Do (Responsibilities)**
* Identify engineering pain points and propose/design/implement solutions that are reliable, scalable, and maintainable
*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**Minimum Qualifications (Must\-Have)**
* 7\+ years of experience designing, building and operating production systems at scale in the cloud
* Bachelors Degree in Computer Science or related field or equivalent work experience
* Experience designing highly scalable, reliable, and maintainable services
* Experience writing in Go, Python, or other languages at production scale
* Understanding of Unix/Linux, SSH, and networking fundamentals
* Attention to detail, and a desire to improve processes and systems around you
* Ability to lead and influence others, both internal and external to the team
*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self\-driving technology and its potential impact on the world
**Preferred Qualifications (Nice\-to\-Have)**
* Experience working with GCP
* Experience working with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8">
      <c r="A38" t="inlineStr">
        <is>
          <t>li-4373979666</t>
        </is>
      </c>
      <c r="B38" t="inlineStr">
        <is>
          <t>Lead AI Engineer</t>
        </is>
      </c>
      <c r="C38" t="inlineStr">
        <is>
          <t>People In AI</t>
        </is>
      </c>
      <c r="D38" t="inlineStr">
        <is>
          <t>linkedin</t>
        </is>
      </c>
      <c r="E38" t="inlineStr"/>
      <c r="F38" t="inlineStr"/>
      <c r="G38" t="inlineStr"/>
      <c r="H38" t="inlineStr"/>
      <c r="I38" t="inlineStr">
        <is>
          <t>**Lead AI Engineer** 
**$180,000 \- $220,000 base salary \+ bonus and equity** 
**Pittsburgh, PA (Onsite)** 
 A fast\-scaling AI company applying LLMs and secure data systems to high\-stakes national security problems.
 We’re hiring with a mission\-driven AI company building advanced tooling for defense and security. Their platform brings structured and unstructured data together and layers in cutting\-edge AI to help government teams make faster, smarter decisions. With a focus on security, reliability, and scale, they’re expanding their AI engineering team to tackle challenges in applied LLMs, retrieval systems, and autonomous agents.
**Role Summary:** 
 As Lead AI Engineer, you’ll build and deploy generative AI solutions with a focus on safety, system orchestration, and secure deployment. You’ll own key initiatives using Claude, OpenAI, and multi\-agent frameworks, bringing them into production on AWS to support mission\-critical workflows.
**What You’ll Do:** 
* Design and deploy LLM\-based systems for retrieval, reasoning, and secure decision support
* Build agent pipelines that automate complex tasks across data and workflows
* Work with Claude, OpenAI, and other foundation models via API and SDK
* Optimize performance, security, and reliability of deployed AI services
* Collaborate across teams and provide technical leadership
**What You’ll Bring:** 
* Strong Python skills and hands\-on experience with LLMs
* Familiarity with Claude and OpenAI SDKs and API integration
* Knowledge of RAG pipelines, vector search, and agent frameworks
* Experience deploying secure, scalable systems in AWS
* Comfort working in applied AI, defense, or secure environments
**Tech Stack:** 
* Python, Claude/OpenAI SDKs
* LangChain, RAG pipelines, vector DBs
* AWS (EKS, Lambda, S3, IAM)
* Agent frameworks and orchestration tools
**Why Join?** 
* High\-impact AI work in a secure, mission\-driven space
* Hands\-on role with real deployment and autonomy
* Strong team and focus on cutting\-edge AI applications
* Up to $200K base salary, 30% bonus, and equity
**About People In AI:** 
 People In AI partners with top organizations to attract, assess, and hire exceptional AI talent. We connect experts with opportunities that make a difference.</t>
        </is>
      </c>
    </row>
    <row r="39">
      <c r="A39" t="inlineStr">
        <is>
          <t>li-4359826559</t>
        </is>
      </c>
      <c r="B39" t="inlineStr">
        <is>
          <t>AI/ML Engineer / Defence / $500k+ / NYC</t>
        </is>
      </c>
      <c r="C39" t="inlineStr">
        <is>
          <t>Open Talent</t>
        </is>
      </c>
      <c r="D39" t="inlineStr">
        <is>
          <t>linkedin</t>
        </is>
      </c>
      <c r="E39" t="inlineStr"/>
      <c r="F39" t="inlineStr"/>
      <c r="G39" t="inlineStr">
        <is>
          <t>New York, United States</t>
        </is>
      </c>
      <c r="H39" t="inlineStr"/>
      <c r="I39"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40">
      <c r="A40" t="inlineStr">
        <is>
          <t>li-4372866276</t>
        </is>
      </c>
      <c r="B40" t="inlineStr">
        <is>
          <t>Staff Machine Learning Engineer</t>
        </is>
      </c>
      <c r="C40" t="inlineStr">
        <is>
          <t>Qualcomm</t>
        </is>
      </c>
      <c r="D40" t="inlineStr">
        <is>
          <t>linkedin</t>
        </is>
      </c>
      <c r="E40" t="inlineStr"/>
      <c r="F40" t="inlineStr"/>
      <c r="G40" t="inlineStr">
        <is>
          <t>San Diego, CA</t>
        </is>
      </c>
      <c r="H40" t="inlineStr"/>
      <c r="I40" t="inlineStr">
        <is>
          <t>**Company**
 Qualcomm Technologies, Inc.
**Job Area**
 Engineering Group, Engineering Group \&gt; Machine Learning Engineering
**General Summary**
 As a leading technology innovator, Qualcomm pushes the boundaries of what's possible to enable next\-generation experiences and drives digital transformation to help create a smarter, connected future for all. As a Qualcomm Machine Learning Engineer, you will create and implement machine learning techniques, frameworks, and tools that enable the efficient discovery and utilization of state\-of\-the\-art machine learning solutions over a broad set of technology verticals or designs. Qualcomm Engineers collaborate with cross\-functional teams to enhance the world of mobile, edge, auto, and IOT products through machine learning hardware and software.
**Minimum Qualifications**
*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**Preferred Qualifications**
* Master's degree in Computer Science, Engineering, Information Systems, or related field.
* 5\+ years of experience with Machine Learning frameworks (e.g., Tensor Flow, Caffe, Caffe 2, Pytorch, Keras).
* 5\+ years of experience in embedded system development and optimization with application to a specific problem domain in ML (e.g., NLP, multi\-media).
* 5\+ years of experience with one or more programming language suitable for machine learning (e.g., Python, R, C, C\+\+)
* 5\+ years of experience using statistics and probability (e.g., conditional probability, Bayes rule).
* 3\+ years experience working in a large matrixed organization.
* 2\+ years of experience with low level interactions between operating systems (e.g., Linux, Android, QNX) and Hardware.
* 1\+ year in a technical leadership role with or without direct reports (only applies to positions with direct reports).
* 1\+ year of work experience in a role requiring interaction with senior leadership (e.g., Director and above).
**Principal Duties And Responsibilities**
* Leverages advanced Machine Learning knowledge to extend training or runtime frameworks or model efficiency software tools with new features and optimizations.
* Models, architects, and develops advanced machine learning hardware (co\-designed with machine learning software) for inference or training solutions.
* Develops optimized software to enable AI models deployed on hardware (e.g., machine learning kernels, compiler tools, or model efficiency tools, etc.) to allow specific hardware features; collaborates with hardware teams for joint design and development.
* Develops and applies machine learning techniques into products and/or AI solutions to enable customers to do the same.
* Develops, adapts, or prototypes novel machine learning solutions aligned with and motivated by proposals or roadmaps for complex products and working features.
* Oversees and conducts experiments to train and evaluate machine learning models and/or software.
**Level Of Responsibility**
* Works independently with minimal supervision.
* Provides supervision/guidance to other team members.
* Decision\-making is significant in nature and affects work beyond immediate work group.
* Requires verbal and written communication skills to convey complex information. May require negotiation, influence, tact, etc.
* Has a moderate amount of influence over key organizational decisions (e.g., is consulted by senior leadership to make key decisions).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$158,400\.00 \- $237,600\.00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41">
      <c r="A41" t="inlineStr">
        <is>
          <t>li-4373977312</t>
        </is>
      </c>
      <c r="B41" t="inlineStr">
        <is>
          <t>AI Engineer</t>
        </is>
      </c>
      <c r="C41" t="inlineStr">
        <is>
          <t>Experior Financial Group</t>
        </is>
      </c>
      <c r="D41" t="inlineStr">
        <is>
          <t>linkedin</t>
        </is>
      </c>
      <c r="E41" t="inlineStr"/>
      <c r="F41" t="inlineStr"/>
      <c r="G41" t="inlineStr"/>
      <c r="H41" t="inlineStr"/>
      <c r="I41" t="inlineStr">
        <is>
          <t>**AI Engineer** 
*"Building financial foundations for families to empower them today and leave a legacy for tomorrow".* 
 Experior Financial Group Inc. is looking for a driven AI Engineer to join a small, high\-impact AI development team focused on building intelligent systems, automation, and data\-driven insights across our technology ecosystem. The ideal candidate is a strong hands\-on developer with a deep curiosity for emerging AI technologies and a desire to contribute to the design and development of scalable AI solutions.
 As a member of our team, you will enjoy a positive work environment and be part of a dynamic group that values dedication and enthusiasm. We offer excellent opportunities for career development to those who are committed and strive for excellence.
**Responsibilities** 
* Collaborate with the CTO, AI consultant, and development team to design and deploy robust, scalable AI/ML architectures
* Develop, train, and maintain AI models, data pipelines, and integrations with APIs, databases, and SaaS platforms
* Experiment with new LLMs, embeddings, vector databases, and orchestration frameworks (e.g., LangChain, Semantic Kernel, or similar)
* Lead hands\-on development/ prototyping of LLM\-based applications, intelligent agents, and automation workflows
* Define AI architecture standards, establish model governance, and contribute to the long\-term AI strategy in collaboration with the CTO
* Partner with business and technical leaders to translate strategic AI goals into actionable engineering initiatives
* Design systems for high availability, scalability, and efficient deployment in cloud environments (Azure, AWS, or GCP)
* Create technical documentation, architecture diagrams, and playbooks for deployment and scaling of AI solutions
* Participate in code reviews, mentor junior developers, and foster a culture of innovation and excellence in AI engineering
* Stay at the forefront of emerging AI frameworks, APIs, and tools, bringing forward practical innovations to enhance our products and systems
**Qualifications** 
* **5\+ years of professional software development experience required**
* **3\+ years of building or designing AI/ML systems is required**
* Proficiency in Python, C\#, or similar programming languages
* Hands\-on experience with LLMs, vector databases, embeddings, and prompt orchestration
* Familiarity with AI/ML frameworks (OpenAI, Hugging Face, LangChain, Semantic Kernel, etc.) and cloud ecosystems (Azure AI, AWS SageMaker, GCP Vertex AI).
* Experience developing and integrating data pipelines, APIs, and AI inference service
* Strong analytical thinking, communication, and collaboration skills
* Ability to balance hands\-on technical work with high\-level system design and strategic planning
* Curiosity and drive to stay ahead of emerging AI tools, frameworks, and trends
* Must reside and be authorized to work in the USA
**What Experior Financial Group Inc. can offer you:** 
* Work\-life balance with paid vacation and sick days
* Competitive compensation
* Comprehensive medical, dental, and vision benefits
* Flexible work options
* Career growth and development opportunities
* Diverse team environment
* Straight day shifts with no weekends
* Company events and celebrations
* Tuition reimbursement
* Company\-provided equipment
**Salary Range \- $120,000 \- $150,000 USD annually** 
 The compensation range reflects a data\-driven estimate of starting base pay for full\-time (40 hours per week) employment. Individual pay may vary based on geographic location, job related skills, knowledge, experience, education etc.
**Experior Financial Group Inc. has been certified a Great Place to Work 2025\-2026!**</t>
        </is>
      </c>
    </row>
    <row r="42">
      <c r="A42" t="inlineStr">
        <is>
          <t>li-4358410293</t>
        </is>
      </c>
      <c r="B42" t="inlineStr">
        <is>
          <t>Sr. Machine Learning Engineer, GAI Search Platform</t>
        </is>
      </c>
      <c r="C42" t="inlineStr">
        <is>
          <t>Moveworks</t>
        </is>
      </c>
      <c r="D42" t="inlineStr">
        <is>
          <t>linkedin</t>
        </is>
      </c>
      <c r="E42" t="inlineStr"/>
      <c r="F42" t="inlineStr"/>
      <c r="G42" t="inlineStr">
        <is>
          <t>Mountain View, CA</t>
        </is>
      </c>
      <c r="H42" t="inlineStr"/>
      <c r="I42" t="inlineStr">
        <is>
          <t>What You Will Do
 We are looking for senior/staff engineers to join our
 *GenAI Search Platform* 
 team to improve our search\-based question answering systems, utilizing both traditional machine learning and cutting\-edge generative AI technologies. At Moveworks, we build conversational search systems to provide instant answers to enterprise users’ questions. We deliver business intelligence support by combining modern information retrieval with the latest advancement in natural language understanding, including LLMs (large language models). By accurately retrieving, matching, ranking, and summarizing text snippets grounded in heterogeneous knowledge sources, our search products are reshaping the enterprise search experience for millions of our customers’ employees.
 For the
 *Search Platform* 
 , we are looking for passionate leaders who can provide technical direction and thoughtful coaching to our team of search and machine\-learning engineers. The search platform team works closely with the ranking, product, design, infrastructure and data science teams to drive our agentic search products to the next generation of capabilities focusing on performance and enterprise readiness.
 We’re building a team that thrives on moving fast, solving challenging product and engineering problems, and providing value to our customers. To be successful, you'll be partnering with product, user experience, customer success and other engineering teams to identify, define and build elegant solutions.
* Architect powerful, elegant abstractions to enable ranking and product teams to contribute safely and easily to the codebase.
* Develop algorithm frameworks to support diverse conversational search applications such as multi\-turn multi\-hop question answering systems.
* Drive the development of our search platform with new LLM\-enabled generative AI features in a fast\-paced environment. This platform would enable product teams to build new applications and features quickly, ship new prototypes to customers at scale, evaluate and iterate on ranking improvements in a systematic manner, and enforce guarantees on quality, security, privacy and scalability.
* Develop systematic evaluation metrics and methodology for our search models, leveraging LLMs to address unique challenges in the enterprise such as security and privacy.
* As a technical leader, you will help build a high\-performing team with an inclusive and positive team culture.
* As a technical leader, you will iterate on our interview processes, and close candidates to help grow the team. You will also coach and mentor engineers at different levels to achieve their career goals.
 What You Bring To The Table
* 5\+ years of engineering with 2\+ years of experience as a senior engineer (technical lead) leading a team of software engineers.
* Passionate about helping product and ranking teams move faster and scale their solutions better in an environment where everyone cares deeply about customer impact and success.
* First\-hand experience relevant to search platforms such as traditional information retrieval, search ranking and relevance, recommendation systems, or question answering systems.
* Background in text processing, information retrieval, natural language understanding, or machine learning.
 Nice to Have
* Experience with (or desire to learn) large language models, retrieval augmented generation (RAG), and agents.
* Experience in Python. Contributing to mature python libraries or platform code, including open\-source repositories is a nice to have.
* Experience in Golang (not required).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43">
      <c r="A43" t="inlineStr">
        <is>
          <t>li-4343759269</t>
        </is>
      </c>
      <c r="B43" t="inlineStr">
        <is>
          <t>Senior AI Engineer - AI Product</t>
        </is>
      </c>
      <c r="C43" t="inlineStr">
        <is>
          <t>ClickUp</t>
        </is>
      </c>
      <c r="D43" t="inlineStr">
        <is>
          <t>linkedin</t>
        </is>
      </c>
      <c r="E43" t="inlineStr"/>
      <c r="F43" t="inlineStr"/>
      <c r="G43" t="inlineStr"/>
      <c r="H43" t="inlineStr"/>
      <c r="I43"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**Role Overview:**
 We are seeking a highly skilled and innovative
 **Senior AI Engineer – AI Product** 
 to join our ClickUp Engineering team. In this role, you will drive the development of intelligent, user\-facing features that leverage the latest advancements in AI and large language models (LLMs). You will work closely with product, design, and engineering teams to deliver seamless, impactful AI\-powered experiences that delight our users and differentiate ClickUp in the productivity space. This is a product\-focused engineering role requiring deep expertise in AI, LLMs, and building scalable, production\-ready applications.
**Key Responsibilities:**
* Lead the design, development, and deployment of AI\-powered features and products that directly impact ClickUp users.
* Collaborate with product managers, designers, and engineers to identify opportunities for AI\-driven innovation and translate user needs into technical solutions.
* Integrate and orchestrate multiple LLMs and AI models to deliver robust, context\-aware, and personalized user experiences.
* Prototype, test, and iterate on new AI features, leveraging user feedback and data to drive continuous improvement.
* Ensure the reliability, scalability, and performance of AI\-powered features in production environments.
* Stay at the forefront of AI research and product trends, incorporating the latest advancements into ClickUp’s product roadmap.
* Address AI privacy, security, and compliance challenges, ensuring responsible and ethical use of AI in user\-facing applications.
* Mentor and guide other engineers in best practices for building AI\-powered products.
**Qualifications:**
* Proven experience building and shipping AI\-powered features or products in a production environment.
* Deep understanding of LLMs and AI models, including their strengths, limitations, and integration strategies.
* Experience working with orchestration frameworks and integrating multiple AI models to deliver cohesive user experiences.
* Experience developing evaluation frameworks and metrics for AI features, with a focus on user impact and business value.
* Familiarity with AI privacy, security, and compliance best practices.
* 5\+ years of backend and/or full\-stack engineering experience, with proficiency in Python, JavaScript/TypeScript, or similar languages.
* 5\+ years of experience with PostgresDB, MySQL, or other related DBs.
* 5\+ years of experience with Elasticsearch or other related technologies.
* Experience setting up production\-ready observability and logging.
* Demonstrated ability to collaborate cross\-functionally and translate product requirements into technical solutions.
* Passion for staying updated with the latest AI research and applying it to solve real\-world user problems.
* Excellent communication and mentorship skills, with a track record of influencing product direction and engineering best practices.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
 Compensation Range: $200K \- $250K</t>
        </is>
      </c>
    </row>
    <row r="44">
      <c r="A44" t="inlineStr">
        <is>
          <t>li-4371969474</t>
        </is>
      </c>
      <c r="B44" t="inlineStr">
        <is>
          <t>AI Engineer (GenAI / LLM / Agentic AI / RAG)</t>
        </is>
      </c>
      <c r="C44" t="inlineStr">
        <is>
          <t>ChabezTech LLC</t>
        </is>
      </c>
      <c r="D44" t="inlineStr">
        <is>
          <t>linkedin</t>
        </is>
      </c>
      <c r="E44" t="inlineStr"/>
      <c r="F44" t="inlineStr"/>
      <c r="G44" t="inlineStr">
        <is>
          <t>New York, United States</t>
        </is>
      </c>
      <c r="H44" t="inlineStr"/>
      <c r="I44" t="inlineStr">
        <is>
          <t>**Job Title:** 
 AI Engineer (GenAI / LLM / Agentic AI / RAG)
**Location:** 
 New York, NY (Onsite)
**Employment Type:** 
 Full\-Time / Contract (as applicable)
**About Chabez Tech** 
**Delivering data engineering and AI products to help you achieve operational and customer excellence.** 
 Chabez Tech is a
 **Data Engineering \&amp; AI Products company** 
 headquartered in Pennsylvania, committed to digitally transforming businesses and helping them navigate complex operational challenges.
**What We Do** 
**Offering Solutions Integration \&amp; Implementation Support** 
 We help organizations augment their solutions with short\-term integration or long\-term implementation support. Our mission is to provide the right talent, at the right time, to help our clients achieve their business objectives.
**Why Choose Chabez Tech** 
* **Upskilling \&amp; Adapting to Deliver Best Results**
* Our customizable platform solutions support multiple use\-cases, helping clients eliminate the need for multiple vendors while continuously evolving to meet changing business needs.
* **Focus on Operational Excellence**
* We build data solutions that accelerate product initiatives through no\-code capabilities and improve operational efficiency.
* **Multi\-Domain Expertise**
* Deep experience across data and AI domains including MLOps, data governance, security, compliance, and systems integration.
* **Flexible Solution Offerings**
* Delivering tailored, customizable solutions to support unique business use\-cases across industries.
**Job Summary** 
 We are seeking a highly skilled
 **AI Engineer** 
 to design, build, and deploy production\-grade AI solutions focused on
 **Generative AI, Large Language Models (LLMs), Agentic AI, and RAG architectures** 
 . The ideal candidate will have strong hands\-on experience building scalable AI systems and integrating them into real\-world, enterprise\-grade applications.
 You will work closely with cross\-functional teams to deliver secure, high\-performance AI\-driven systems that drive measurable business impact.
**Key Responsibilities** 
* Design, develop, and deploy
 **GenAI and LLM\-based applications** 
 in production environments
* Build and optimize
 **RAG (Retrieval\-Augmented Generation)** 
 pipelines using embeddings and vector databases
* Develop
 **agentic AI workflows** 
 with tool usage, memory, and orchestration frameworks (e.g., LangChain or similar)
* Implement end\-to\-end
 **ML/LLM pipelines** 
 including data ingestion, model integration, evaluation, and monitoring
* Develop backend services and APIs using
 **Python, Java, Go, or C\+\+**
* Integrate AI solutions with
 **cloud platforms** 
 (AWS, Azure, or GCP)
* Ensure solutions meet
 **performance, security, and reliability** 
 standards
* Collaborate with product, data, and engineering teams to translate business requirements into scalable AI solutions
* Participate in code reviews, architecture discussions, and production support
**Required Skills \&amp; Qualifications** 
* Proven experience as an
 **AI Engineer / ML Engineer**
* Hands\-on experience with
 **Generative AI and LLMs** 
 (e.g., OpenAI, Bedrock, Hugging Face, etc.)
* Experience building
 **RAG systems** 
 and working with
 **vector databases** 
 (e.g., Pinecone, Weaviate, Milvus, etc.)
* Experience with
 **agentic AI frameworks** 
 (e.g., LangChain or similar orchestration frameworks)
* Strong programming skills in
 **Python** 
 and at least one of
 **Java, Go, or C\+\+**
* Experience with
 **cloud platforms** 
 (AWS, Azure, or GCP)
* Experience building
 **APIs and microservices**
* Familiarity with
 **MLOps, CI/CD, Docker, and Kubernetes** 
 is a strong plus
* Strong problem\-solving and communication skills
**Nice to Have** 
* Experience with
 **model evaluation, monitoring, and governance**
* Experience building
 **distributed, high\-availability systems**
* Exposure to
 **security, compliance, and data governance** 
 in enterprise environments
***Thanks \&amp; Regards***
***Utsav Burman***
***Head North America Ops***
***ChabezTech LLC***
***4 Lemoyne Dr \#102, Lemoyne, PA 17043, USA***
***Phone: \+1\-717\-441\-5440 (US) \| \+91\-8097 164 089 ( India )***
***Email: utsav@chabeztech.com \| www.chabeztech.com***
***GSA Multiple Award Schedule (MAS) \| E\-Verify Company***</t>
        </is>
      </c>
    </row>
    <row r="45">
      <c r="A45" t="inlineStr">
        <is>
          <t>li-4372869646</t>
        </is>
      </c>
      <c r="B45" t="inlineStr">
        <is>
          <t>Sr Data AI Engineer (Analytics Data science)</t>
        </is>
      </c>
      <c r="C45" t="inlineStr">
        <is>
          <t>Smart IT Frame LLC</t>
        </is>
      </c>
      <c r="D45" t="inlineStr">
        <is>
          <t>linkedin</t>
        </is>
      </c>
      <c r="E45" t="inlineStr"/>
      <c r="F45" t="inlineStr"/>
      <c r="G45" t="inlineStr"/>
      <c r="H45" t="inlineStr"/>
      <c r="I45" t="inlineStr">
        <is>
          <t>**Role: Sr Data AI Engineer (Analytics Data science)** 
**Location: Remote** 
**Full Time** 
**About Smart IT Frame:** 
 At Smart IT Frame, we connect top talent with leading organizations across the USA. With over a decade of staffing excellence, we specialize in IT, healthcare, and professional roles, empowering both clients and candidates to grow together.
**Your key responsibilities** 
* Design, build, and maintain efficient, reusable, and scalable ETL/ELT pipelines for structured and unstructured data.
* Develop and optimize data workflows to support advanced analytics, machine learning models, and reporting tools.
* Collaborate with data scientists, analysts, and business stakeholders to gather requirements and ensure data quality and availability
* Work with cloud and on\-prem data platforms (e.g., AWS, Azure, GCP, Hadoop, or on\-prem SQL/NoSQL systems).
* Develop and maintain LLM\- and RAG\-based AI agents using Azure OpenAI, LangChain/Semantic Kernel, and Azure ML.
* Design, build, and maintain data and AI pipelines in production.
* Ensure data integrity, governance, and security best practices across pipelines and data lakes/warehouses.
* Troubleshoot and resolve data issues and performance bottlenecks in real\-time and batch pipelines.
* Monitor job performance and implement automation and alerting for data operations.
* Contribute to documentation, code reviews, and development best practices.
**Skills and attributes for success** 
* 8\+ years of experience in data engineering or related roles.
* Advanced programming skills in Python and experience with frameworks such as TensorFlow/PyTorch/Scikit\-learn.
* Solid understanding of data modelling, data warehousing, and cloud platforms (AWS/Azure/GCP).
* Hands\-on experience with data warehouses such as Databricks
* Experience with LLMs and generative AI especially Open AI.
* Good understanding of the different data architecture patterns (e.g., Data Lake, Data Mesh, Data Warehouse, Data Lakehouse)
* Experience with data visualization and BI tools such as PowerBI and/or Tableau.
* Familiarity with structured output tooling (e.g., Pydantic, LangChain) and integrating with LLM pipelines.
* Exposure to CI/CD, version control (Git), and agile development practices.
* Experience with machine learning workflows and AI\-driven analytics.
**To qualify for the role, you must have** 
* Bachelor’s or master’s degree in computer science, Engineering, or related field.
* Familiarity with at least one of the following: Data Warehouse, Data Lake, Lakehouse, Delta etc.
* Knowledge of streaming data frameworks (Kafka, Spark Streaming, Flink) is a plus.
* Certifications in AWS/Azure/GCP or specific data tools.
 📩 Apply today or share profiles at ajayjoshuva.p@smartitframe.com</t>
        </is>
      </c>
    </row>
    <row r="46">
      <c r="A46" t="inlineStr">
        <is>
          <t>li-4365971217</t>
        </is>
      </c>
      <c r="B46" t="inlineStr">
        <is>
          <t>Lead Machine Learning Engineer</t>
        </is>
      </c>
      <c r="C46" t="inlineStr">
        <is>
          <t>The Walt Disney Company</t>
        </is>
      </c>
      <c r="D46" t="inlineStr">
        <is>
          <t>linkedin</t>
        </is>
      </c>
      <c r="E46" t="inlineStr"/>
      <c r="F46" t="inlineStr"/>
      <c r="G46" t="inlineStr">
        <is>
          <t>Glendale, CA</t>
        </is>
      </c>
      <c r="H46" t="inlineStr"/>
      <c r="I46"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The Ad Platform Engineering organization within Disney Entertainment and ESPN Product \&amp; Technology is responsible for building, enhancing, and operating a high\-performance, distributed, microservice\-based digital advertising platform. This platform powers billions of real\-time ad decisions daily across Disney’s video\-on\-demand and live TV properties, including Hulu, Disney\+, ESPN, and more.
 Within Ad Platform Engineering, the Programmatic teams build and maintain Disney’s programmatic advertising suite of products and services that comprise Disney's Real\-time Ad Exchange (DRAX). DRAX is an award\-winning, proprietary supply\-side platform (SSP) that enables programmatic deal configuration and integrates demand from multiple third\-party sources into Disney’s ad server in real time.
 As a Lead Machine Learning Engineer, you will serve as a hands\-on technical leader responsible for delivering high\-impact machine learning systems while guiding technical direction within your domain. You will design, build, and operate production ML systems at scale, mentor engineers, and partner closely with product and engineering leaders to ensure machine learning solutions are reliable, performant, and aligned with business goals.
 This is a production\-focused leadership role, blending deep technical execution with domain\-level technical ownership and mentorship.
**Daily, You Should Bring**
* Strong technical ownership of ML systems and accountability for outcomes
* The ability to lead by example through hands\-on design, implementation, and operational excellence
* Clear and effective communication across engineering, product, and data partners
* Comfort translating ambiguous business problems into well\-scoped technical solutions
* A focus on system performance, reliability, scalability, and cost efficiency
* A collaborative, pragmatic, and optimistic approach to leading complex initiatives
* A passion for mentoring, learning, and adapting to a very dynamic and fast\-paced environment
**Responsibilities**
* Lead the design and delivery of machine learning solutions across advertising use cases such as inventory forecasting, pricing, targeting, and efficient ad delivery
* Apply modern machine learning techniques to solve complex, real\-time advertising problems
* Provide technical leadership for ML system architecture, modeling approaches, and production readiness within your domain
* Design, build, and scale ML architectures that balance model quality, latency, throughput, reliability, and cost
* Oversee the full ML lifecycle for owned systems, from experimentation through production deployment and iteration
* Design and maintain feature pipelines and feature stores supporting both real\-time inference and offline training
* Partner with product and engineering stakeholders to translate requirements into clear technical plans and measurable outcomes
* Interpret experimental results and guide data\-informed decision\-making
* Ensure ML systems are observable, debuggable, and explainable in production
* Establish and maintain monitoring for model performance, drift, bias, and system health
* Champion engineering excellence through best practices in code quality, system design, testing, and operational reliability
* Mentor and support engineers through code reviews, design discussions, and ongoing technical guidance
**Basic Qualifications**
* Bachelor's in Computer Science or equivalent practical experience
* 7\+ years of software engineering experience
* 5\+ years of hands\-on experience developing and deploying machine learning systems in production
* Strong knowledge of machine learning fundamentals, mathematics, and statistics
* Experience operating ML systems in low\-latency, high\-throughput environments
* Strong communication and collaboration skills with both technical and non\-technical partners
* Solid foundations in algorithms, data structures, and numerical optimization
* Proficiency in Python (primary), with experience in Java and SQL
* Experience with ML frameworks and tooling such as TensorFlow, PyTorch, and Hugging Face
* Experience with one or more of the following:
+ Deep learning methodologies (e.g., sequence\-based or representation learning models)
+ Transformer architectures (e.g., BERT, GPT, ViT) for NLP and/or vision
+ Multimodal embedding techniques across text, image, audio, or structured data
+ Large language models and related evaluation methodologies
+ Retrieval\-augmented generation (RAG) architectures
* Experience building systems on cloud\-native infrastructure and distributed platforms
* Proven ability to thrive in a fast\-paced, data\-driven, and collaborative environment
**Preferred Qualifications**
* MS or PhD (preferred) in Computer Science or equivalent practical experience
* Experience in digital video advertising or the digital marketing domain
* Experience with programmatic advertising or real\-time bidding platforms
 The hiring range for this position in Glendale, California is $171,600 to $230,100 per year, Santa Monica, California is $171,600 to $230,100 per year, and Seattle, WA is $179,700 to $241,000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7">
      <c r="A47" t="inlineStr">
        <is>
          <t>li-4366307799</t>
        </is>
      </c>
      <c r="B47" t="inlineStr">
        <is>
          <t>Senior Machine Learning Engineer</t>
        </is>
      </c>
      <c r="C47" t="inlineStr">
        <is>
          <t>Warner Bros. Discovery</t>
        </is>
      </c>
      <c r="D47" t="inlineStr">
        <is>
          <t>linkedin</t>
        </is>
      </c>
      <c r="E47" t="inlineStr"/>
      <c r="F47" t="inlineStr"/>
      <c r="G47" t="inlineStr">
        <is>
          <t>Bellevue, WA</t>
        </is>
      </c>
      <c r="H47" t="inlineStr"/>
      <c r="I47"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**Senior Machine Learning Engineer –  Audience Intelligence** 
**About the Role** 
 We are seeking a Senior Machine Learning Engineer to lead the development and deployment of scalable machine learning solutions for the Audience Intelligence team. You will work on projects such as building scalable lookalike and predictive audiences, user behavior modeling, ML forecasting systems, ML\-based ID resolutions, and developing ML solutions to better understand HBO Max user bases. This role blends deep technical expertise, research rigor, and production\-grade engineering practices. You will mentor junior engineers and scientists, collaborate cross\-functionally, and advance our ML capabilities through innovation and thought leadership.
**Key Responsibilities** 
* **Model Development:** 
 Design and implement machine learning models for audience intelligence applications, including lookalike and predictive audience generation, user behavior modeling, ML forecasting, ML\-based ID resolution, and ML\-based user base characterization for HBO Max. Stay current with ML research, explore new methodologies, and contribute to the company’s research agenda through publications and open\-source contributions when possible.
* **End\-to\-End Model Delivery:** 
 Architect, build, and maintain complete ML pipelines from data ingestion and processing to model deployment and monitoring in production environments, ensuring robust delivery and operational excellence.
* **Infrastructure \&amp; Automation:** 
 Develop robust, scalable infrastructure and automated workflows for ML training, evaluation, and deployment, using best practices in MLOps.
* **Cross\-Functional Collaboration:** 
 Work closely with product, engineering, and business stakeholders to translate requirements into effective ML solutions.
* **Mentorship:** 
 Guide and mentor junior engineers and scientists, fostering a culture of knowledge sharing and technical excellence.
* **Production Operations:** 
 Ensure robust model deployment, monitoring, and optimization to meet business requirements for latency, concurrency, and reliability.
* **MLOps Governance \&amp; Compliance:** 
 Promote best practices around MLOps among broader data science groups to ensure consistent model quality and faster deployment cycles. Ensure end\-to\-end governance and compliance for ML systems by enabling model traceability (e.g., audit trails for model changes), enforcing data privacy standards and meeting regulatory requirements relevant to our industry.
**Required Qualifications** 
* **Education:** 
 PhD or MSc in Machine Learning, Computer Science, Data Science, or a closely related field.
* **Experience:** 
 3\+ years of hands\-on experience in machine learning engineering, including model development and production deployment.
* **Technical Skills:** 
	+ Proficient in Python and ML frameworks such as PyTorch, TensorFlow, MLflow, and SageMaker.
	+ Expert on SQL and large\-scale data processing languages.
	+ Proven track record of deploying ML models to production.
	+ Familiarity with distributed computing systems (Spark, EMR).
	+ Experience with cloud platforms (AWS, Databricks, Snowflake).
	+ Strong computer science fundamentals, including data structures, algorithms, and system design.
* **Mindset:** 
 Strong desire to learn new techniques and adapt to evolving business needs.
* **Communication:** 
 Ability to clearly articulate ML concepts to diverse stakeholders.
**Preferred Qualifications** 
* Experience in AI/ML advertising solutions, marketing sciences, recommendations, search, ranking and personalization systems.
* Publications in top tier ML conferences or contributions to open\-source projects.
* Experience with CI/CD, DevOps, and MLOps principles for building and deploying ML systems.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$132,300\.00 \- $245,700\.00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48">
      <c r="A48" t="inlineStr">
        <is>
          <t>li-4366286227</t>
        </is>
      </c>
      <c r="B48" t="inlineStr">
        <is>
          <t>Staff AI Engineer, Insights</t>
        </is>
      </c>
      <c r="C48" t="inlineStr">
        <is>
          <t>Productboard</t>
        </is>
      </c>
      <c r="D48" t="inlineStr">
        <is>
          <t>linkedin</t>
        </is>
      </c>
      <c r="E48" t="inlineStr"/>
      <c r="F48" t="inlineStr"/>
      <c r="G48" t="inlineStr">
        <is>
          <t>San Francisco, CA</t>
        </is>
      </c>
      <c r="H48" t="inlineStr"/>
      <c r="I48" t="inlineStr">
        <is>
          <t>**About The Role**
 You'll design and deliver the agentic AI systems that will define the next generation of product intelligence. You'll create net\-new agentic capabilities where AI systems operate independently, analyzing customer signals and competitive movements to generate the insights that product teams base their roadmaps on. You'll work at the intersection of large language models, agentic reasoning, and real\-world product decisions, shipping AI capabilities that customers measure their success by.
**Location and Work Arrangement**
 This role is based in our downtown San Francisco office, where you'll collaborate in person with the Insights team on Mondays, Tuesdays, and Thursdays. You will have the option to work from home on Wednesdays and Fridays.
**About The Team**
 Insights exists to unlock the next evolution of product intelligence. We're building AI systems that don't just process customer feedback. They understand context, discover market signals, and autonomously orchestrate insights that shape product strategy.
 The team is chartered with moving fast on net\-new capabilities. You'll be designing and implementing workflows where AI agents listen to customer voices, synthesize market intelligence from across the internet, and deliver understanding that helps product teams see further and decide faster.
 We're a team that spans San Francisco and Europe, anchored by strong in\-person collaboration in SF. We move between research\-oriented thinking and shipping production systems, building both the science and the product.
**What You'll Do**
**Build agentic workflows that move autonomously.** 
 You'll design and implement AI agents that don't wait for prompts. They observe patterns in customer feedback, detect emerging market trends, and initiate analysis that product managers didn't know to ask for. Think: systems that recognize a competitor launch, synthesize customer sentiment about similar features, and surface strategic recommendations before the weekly review.
**Push the technical boundaries of what LLMs can do.** 
 You'll experiment with cutting\-edge techniques in context engineering, RAG architectures, and multi\-agent orchestration. When you identify a breakthrough in agentic reasoning or context management, you'll prototype it against real customer data, measure the gains, and ship it to production.
**Own the intelligence layer from data to insight.** 
 You'll work across the full stack, from ingesting messy, real\-world customer feedback and web data, through semantic understanding and entity resolution, to generating insights that directly influence product roadmaps. You'll build evals to measure whether your AI systems actually make product teams smarter.
**Shape the product and AI strategy.** 
 You'll have a voice in what we build and why. When you see an opportunity to use agentic workflows for competitive intelligence, or identify a research paper that could transform our approach to customer sentiment, you'll have the autonomy to explore it and the platform to ship it.
**Collaborate at the edge of possibility.** 
 You'll work alongside engineers and product managers who care deeply about the impact. You'll share what you're learning, whether that's a novel approach to context engineering or lessons from a production incident, because we get better faster together.
**What You Bring**
**Hands\-on agentic AI experience.** 
 You've built AI agents that make decisions and take actions. You're familiar with frameworks like LangGraph, AutoGen, or CrewAI, and you understand the challenges of agentic control flow: error handling, state management, when to give agents autonomy versus guardrails. You know that building reliable agents requires rigorous evaluation strategies.
**Strong GenAI and NLP foundations.** 
 You have deep experience with generative AI and natural language processing. You've worked extensively with large language models, not just calling APIs, but understanding their capabilities, limitations, and how to extract reliable behavior through context engineering. You know how to apply these technologies to real problems that matter.
**Practical engineering skills.** 
 You're fluent in Python and the AI/ML ecosystem, including libraries like Anthropic's SDK, OpenAI, Hugging Face, vector databases, and embedding models. You understand how to design scalable backend systems, work with APIs, build event\-driven architectures, and deploy AI capabilities that handle production load. You write code that others can build on.
**Product intuition.** 
 You think in terms of outcomes, not just implementations. When you build a feature that analyzes customer feedback, you're asking: "Does this actually help product managers make better decisions?" You can talk to users, understand their workflows, and translate that into technical architecture.
**Collaborative technical leadership.** 
 You communicate complex ideas clearly, whether you're explaining why a particular RAG architecture will solve a latency problem or helping a teammate debug a stubborn prompt. You thrive in cross\-functional environments where you're bridging AI research, product strategy, and user needs.
**Nice to Have**
* Background in information retrieval, knowledge graphs, or competitive intelligence systems.
* Experience building multimodal AI systems that synthesize understanding from text, voice, and image data for product intelligence.
* Contributions to open\-source AI/ML projects or publications in ML conferences.
* Experience building evaluation frameworks and measuring AI system quality.
* Familiarity with web scraping, data synthesis, or multi\-source intelligence gathering.
* Previous work in product management tools, B2B SaaS, or developer platforms.
**Why Productboard**
 You'll be joining a company where AI isn't a buzzword. It's the strategic bet. Productboard is a $1\.7B Unicorn trusted by companies like Microsoft, Zoom, and UiPath to power their product decisions. Our platform is already where product teams live; now we're building the AI layer that transforms how they work.
 We're revolutionizing product management with AI\-powered capabilities that understand customer needs and accelerate decision\-making. Productboard Pulse provides executive\-level visibility into the voice of the customer, surfacing valuable insights at scale from feedback across every source. Productboard Spark is our specialized product management agent that helps teams move from rough ideas to comprehensive, delivery\-ready specifications by tapping into context about products, customers, and business goals. You'll be working on the cutting edge of these capabilities, pushing what's possible with agentic AI.
 This role offers something rare: the chance to build genuinely novel AI capabilities with real users who will measure their impact. This is core AI systems work with direct product impact. You're building systems that help product teams understand markets, synthesize customer needs, and make decisions that shape products used by millions.
 You'll have access to real\-world customer feedback at scale, internet\-discoverable market data, and the freedom to explore how agentic AI can transform it into strategic intelligence. The technical problems are hard, the product surface area is unconstrained, and the impact is measurable.
 We're global, spanning San Francisco to Prague, but locally rooted. In SF, you'll have the in\-person collaboration that makes ambitious technical work move faster, with the flexibility to focus when you need it. You'll work with people who care about craft, who push each other to think bigger, and who ship.
**Ready to build the future of product intelligence?** 
 If you're excited about pushing the boundaries of what agentic AI can do and seeing product teams transformed by what you build, let's talk.
**The Offer**
* Competitive compensation, stock options, company 401k
* A budget for your professional development and ongoing learning
* Flexible PTO and paid sick days
* Life insurance and disability coverage
* Carrot Fertility Benefits
* 1 Volunteer Day per year for you to help causes close to your heart
* 8 weeks of Paternity leave and 12 weeks of Maternity leave
* Mental Wellness Program to support your well\-being and self\-care
* Company contribution to gym and wellness memberships
* Commuter benefits
* Company contribution and access to best\-in\-class health benefits and your own Soulmio membership
* Hone – Live, interactive learning programs for managers, leaders, and teams
*The expected base pay range for this position in the San Francisco area is $173,520 \- $278,400\. In addition to the base pay, this role is eligible for competitive equity awards and benefits. Productboard's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**About Productboard**
 At Productboard, we’re on a mission to help product teams build exceptional products with clarity and confidence. As the leading intelligent product management platform, we empower over 4,000 companies, including Salesforce, SAP, Autodesk, and Kroger, to understand what customers need, prioritize what to build next, and align everyone around a shared roadmap.
 Headquartered in San Francisco with offices in Prague and Brno, Czechia, we’re backed by some of the world’s most respected investors, including Index Ventures, Kleiner Perkins, Sequoia Capital, Bessemer Venture Partners, Tiger Global, and Dragoneer.
 We’re proud to be consistently recognized as one of the best places to work by BuiltIn and Comparably, and to count ourselves among the world’s leading unicorn companies. Well\-funded and financially disciplined, we have the stability and runway to build boldly for the long term.
 Over the past few years, we’ve rearchitected our platform from the ground up to serve enterprise scale and set the foundation for the next era of product management. Now we’re entering an exciting new phase with Productboard Spark, our AI\-first, agentic experience that transforms how product teams work. Spark is a true collaborator that deeply understands your product context, company strategy, and customer needs, helping teams move faster and make smarter, more confident decisions.
 Join us as we build the future of product management.
**About Our Culture**
 Imagine working in a place where everything matters — most importantly, you. At Productboard, values aren’t just something we like to talk about, they’re something we live and breathe. We believe in creating a work environment where:
* People feel empowered, supported, and included
* Trust and transparency are built into the way we work
* Creativity, curiosity, and continuous improvement are encouraged and nurtured every day
 Forming our company values was a group effort, with every employee allowed to contribute. From profit\-sharing initiatives, like stock options, to open calendars and communication, we don’t waste time on politics or ego. We champion openness by sharing our goals, successes, and failures.
 Join colleagues who are passionate about what they do. Team members who are invested in their work environment, and the future of Productboard. Help shape our company, culture, and product!
 Check out our LinkedIn Life page, or listen to our People of Productboard podcast for a real feel of what life is like at Productboard.
**Equal Opportunity Employer Statement**
 We are an equal opportunity employer and champion equity. We aim to help people from all backgrounds, cultures, and groups realize their full potential at Productboard. We do not tolerate any discrimination or harassment based on gender identity, race, color, religion, age, sexual orientation, non\-disqualifying physical or mental disability, national origin, veteran status, or any other bias covered by appropriate law. All aspects of employment, including hiring, training, promotion, and terminations, are based on merit, competence, performance, and business needs. We are committed to an inclusive hiring process and provide all candidates with equal opportunity to demonstrate their abilities. Togetherness is one of our core values, and our Diversity Council helps to ensure that we uphold the values of authenticity, humanity, and diversity to create an environment where every person matters. We are committed to leading by example to drive societal change.</t>
        </is>
      </c>
    </row>
    <row r="49">
      <c r="A49" t="inlineStr">
        <is>
          <t>li-4361034424</t>
        </is>
      </c>
      <c r="B49" t="inlineStr">
        <is>
          <t>Azure AI Engineer</t>
        </is>
      </c>
      <c r="C49" t="inlineStr">
        <is>
          <t>Rockefeller Capital Management</t>
        </is>
      </c>
      <c r="D49" t="inlineStr">
        <is>
          <t>linkedin</t>
        </is>
      </c>
      <c r="E49" t="inlineStr"/>
      <c r="F49" t="inlineStr"/>
      <c r="G49" t="inlineStr">
        <is>
          <t>Trenton, NJ</t>
        </is>
      </c>
      <c r="H49" t="inlineStr"/>
      <c r="I49" t="inlineStr">
        <is>
          <t>**About Rockefeller Capital Management**
 Rockefeller Capital Management was established in 2018 as a leading independent financial advisory services firm. Originally founded in 1882 as the family office of John D. Rockefeller, the Firm has evolved to offer strategic advice to ultra\- and high\-net\-worth individuals and families, institutions, and corporations from offices in 32 markets throughout the United States, as well as an office in London. The Firm oversees $198 billion in client assets as of December 31, 2025\.
**Position**
 Rockefeller Capital Management is seeking a talented and experienced Azure Engineer. The ideal candidate will have experience in managing and optimizing the Azure Cloud Platform. This position offers an exciting opportunity to work on cutting\-edge cloud solutions, helping RCM to enhance its operational efficiency and drive innovation.
**Responsibilities**
* Azure Platform Engineering: Design, develop, and maintain the Azure cloud infrastructure to support RCM’s applications and services.
* Azure AI foundry: Very good understanding of Azure AI foundry and engineering
* Identity and Access Management: Develop and enforce identity and access protocols to protect sensitive data and resources on Azure.
* Azure Networking: Configure and manage Azure networking services, including virtual networks, load balancers, and VPNs, to ensure robust and scalable connectivity.
* Azure Services Management: Oversee the deployment and management of various Azure resources, such as compute, key vaults, storage, and databases, to optimize performance and cost\-efficiency.
* Good knowledge of Azure Entra (formerly Azure Active Directory) for identity and access management.
* Solution Design and Implementation: Collaborate with cross\-functional teams to design and implement cloud solutions that meet business requirements and adhere to industry best practices.
* Infrastructure as Code (IaC): Utilize IaC tools (e.g., Terraform, ARM templates) to automate the provisioning and management of cloud infrastructure.
* Cloud Infrastructure Operations: Monitor, maintain, and troubleshoot the Azure cloud infrastructure to ensure high availability, security, and performance.
**Qualifications**
* Bachelor’s degree in computer science, Information Technology, or a related field.
* 3\-5 years of experience in software development and cloud platform management, with a strong focus on Azure services.
* Proficiency in Azure services, including Azure Platform Engineering, Landing Zone Implementation, Azure AI Foundry, Identity and Access Management, Azure Networking, and Azure Services Management.
* Experience with Solution Design and Implementation in a cloud environment.
* Knowledge of Infrastructure as Code (IaC) tools such as Terraform or ARM templates.
* Strong problem\-solving skills and the ability to troubleshoot complex cloud infrastructure issues.
* Excellent communication and collaboration skills, with the ability to work effectively in a team\-oriented environment.
**Compensation Range**
 The anticipated base salary range for this role is $95,000 to $115,000\. Base salary for the role will depend on several factors, including a candidate’s qualifications, skills, competencies, and experience, and may fall outside of the range shown. In addition, this role may be eligible for a discretionary bonus. Rockefeller Capital Management offers a comprehensive benefit package including health coverage, vacation time, paid leave, retirement plan, and more. Visit careers.rockco.com to learn more about additional opportunities and benefits offerings.
**Disclosure**
 Rockefeller \&amp; Co. LLC, Rockefeller Financial LLC, Rockefeller Trust Company, N.A., The Rockefeller Trust Company (Delaware), Rockefeller Financial Services, Inc. and all other subsidiaries of Rockefeller Capital Management L.P. (individually and collectively, “Rockefeller”) is an equal opportunity employer and does not discriminate on the basis of race, religion, sex, gender, sexual orientation, gender identity or expression, national origin, citizenship, age, military or veteran status, marital or partnership status, caregiver status, legally recognized disability, or any other basis protected by applicable federal, state or local law (“protected characteristics”).
 Rockefeller Capital Management participates in the E\-Verify program in certain locations, as required by law.</t>
        </is>
      </c>
    </row>
    <row r="50">
      <c r="A50" t="inlineStr">
        <is>
          <t>li-4355916875</t>
        </is>
      </c>
      <c r="B50" t="inlineStr">
        <is>
          <t>Staff Machine Learning Engineer</t>
        </is>
      </c>
      <c r="C50" t="inlineStr">
        <is>
          <t>Scowtt</t>
        </is>
      </c>
      <c r="D50" t="inlineStr">
        <is>
          <t>linkedin</t>
        </is>
      </c>
      <c r="E50" t="inlineStr"/>
      <c r="F50" t="inlineStr"/>
      <c r="G50" t="inlineStr">
        <is>
          <t>Seattle, WA</t>
        </is>
      </c>
      <c r="H50" t="inlineStr"/>
      <c r="I50" t="inlineStr">
        <is>
          <t>**About Scowtt**
 Scowtt is an early\-stage startup transforming the way businesses convert leads into customers through AI/ML marketing optimization and fully autonomous sales experiences. By integrating CRM, web signals, and product interaction data into a real\-time conversion model, we help businesses turn interest into action—immediately. We’re growing fast, and onboarding new customers quickly and cleanly is core to our success.
**About The Role**
 We are looking for a
 **Staff\+ Machine Learning Engineer** 
 to lead and evolve the ML systems that power our
 **Marketing AI and AI Sales Agents** 
 .
 This is a
 **hands\-on technical leadership role** 
 owning ML end\-to\-end \- from model architecture and experimentation to production, scale, and long\-term system health. You will build
 **core IP** 
 : models that directly influence conversion rates, ROAS, and customer value across major ad networks.
**What You’ll Do**
* End\-to\-end ownership of ML systems, from research and modeling to deployment and scale
* Design and evolve next\-generation conversion and value prediction models using behavioral, CRM, and engagement data
* Fine\-tune and specialize LLMs (e.g., SFT, LoRA, PEFT) to power AI Sales Agents focused on reasoning, persona alignment, and long\-term conversion outcomes
* Drive high\-speed feedback loops between ML systems and ad platforms
* Design systems for continuous training, monitoring, and rapid experimentation
* Solve systemic ML problems around data quality, drift, reliability, and velocity
* Mentor senior ML engineers and raise the organization’s ML bar
**Qualifications**
**Must Have**
* Bachelor’s degree in Computer Science, ML, Data Science, or equivalent
* 6\-10 years of experience in applied machine learning and production ML systems
* 6\-10 years of experience in deploying and operating ML models at scale
* 6\-10 years of experience and strong hands\-on skills with Python and modern ML frameworks (PyTorch, TensorFlow)
**Should Have**
* Experience designing models for prediction, ranking, recommendation, or personalization
* Strong understanding of LLM fine\-tuning techniques and production usage
* Ability to operate across research, experimentation, and high\-scale production systems
* Proven ability to influence technical direction through architecture and execution
**Nice to Have**
* Experience with transformer\-based sequence models or multimodal architectures
* Familiarity with ad\-tech, mar\-tech, sales\-tech, or CRM ecosystems
* Experience building ML platforms, experimentation systems, or MLOps tooling
* Experience leading multi\-quarter ML initiatives
**What Success Looks Like**
* ML systems materially improve customer ROI and conversion outcomes
* Teams move faster because of your systems and decisions
* Technical architecture scales cleanly with product ambition
* You create durable ML leverage across the company
**Pay Range And Compensation Package**
 Based on the level hired at and location, the cash compensation for this role ranges between $190,000 to $250,000\. Selected candidate/s will be eligible for standard benefits and attractive startup equity.
**Equal Opportunity \&amp; E\-Verify Employer**
 Scowtt is an Equal Opportunity Employer. All qualified applicants will receive consideration for employment without regard to race, color, religion, sex, sexual orientation, gender identity, national origin, age, disability, or veteran status. We are committed to providing a workplace free of discrimination and harassment.
 This employer participates in E\-Verify and will provide the federal government with your Form I\-9 information to confirm that you are authorized to work in the U.S. For more information, please visit www.e\-verify.gov.</t>
        </is>
      </c>
    </row>
    <row r="51">
      <c r="A51" t="inlineStr">
        <is>
          <t>li-4358240565</t>
        </is>
      </c>
      <c r="B51" t="inlineStr">
        <is>
          <t>Lead AI Engineer HYBRID</t>
        </is>
      </c>
      <c r="C51" t="inlineStr">
        <is>
          <t>RealPage, Inc.</t>
        </is>
      </c>
      <c r="D51" t="inlineStr">
        <is>
          <t>linkedin</t>
        </is>
      </c>
      <c r="E51" t="inlineStr"/>
      <c r="F51" t="inlineStr"/>
      <c r="G51" t="inlineStr">
        <is>
          <t>Richardson, TX</t>
        </is>
      </c>
      <c r="H51" t="inlineStr"/>
      <c r="I51" t="inlineStr">
        <is>
          <t>**Overview**
 RealPage is at the forefront of the Generative AI revolution, dedicated to shaping the future of artificial intelligence within the Property Tech domain. Our Agentic AI team is focused on driving innovation by building next generation AI applications and enhancing existing systems with Generative AI capabilities.
 We are seeking a Lead AI Engineer who is a senior technical leader responsible for driving the strategy, architecture, and delivery of Agentic and Generative AI solutions across our PropTech portfolio. You will define and implement the technical roadmap for AI systems, mentor the AI engineering team, and collaborate with executives and product leaders to identify high\-impact AI opportunities.
 You will design robust, scalable AI platforms that leverage foundation models, RAG, multi\-agent systems, and emerging technologies to create differentiated experiences for our customers.
**We are looking for teammates that are willing to come into the office 2 times a week in Richardson, TX.**
**Responsibilities**
 Primary Responsibilities
* Technical Strategy \&amp; Architecture
* Own the end\-to\-end architecture for AI products and platforms:
* Model selection strategy (Google vs. OpenAI, small vs. large models)
* Multi\-agent and workflow orchestration patterns (responder/thinker pattern, tool calling, agentic frameworks)
* Data and retrieval architecture (RAG, hybrid search, knowledge graphs, semantic caching)
* Evaluate and introduce emerging technologies such as:
* Next\-generation LLMs and multimodal models
* Real\-time streaming infrastructures
* Advanced agent frameworks, workflow engines (e.g., Agents SDK, Google ADK, LangGraph, etc.)
* Platformization \&amp; Reusable Capabilities
* Design and lead the implementation of shared AI services and SDKs:
* Reusable RAG pipelines and ingestion frameworks
* Common UI components and design patterns for AI copilots and agents
* Modular reusable coding practices for agentic back\-end processes
* Establish standards and best practices for:
* Prompt design and versioning
* Model and retrieval evaluation
* Observability, logging, and incident response for AI systems.
* Leadership \&amp; Mentoring
* Provide hands\-on technical leadership to AI Engineers, ML Engineers, and Data Scientists:
* Guide architectural decisions and code quality
* Conduct thorough design and code reviews
* Mentor team members in LLMs, RAG, agentic design, and production AI practices
* Help define and grow the AI engineering culture, focusing on innovation, quality, and responsible AI.
* Delivery \&amp; Stakeholder Management
* Partner closely with Product, Design, and Business stakeholders to:
* Identify high\-value AI use cases aligned with company strategy and PropTech domain needs
* Shape product roadmaps and define measurable success criteria for AI initiatives
* Lead complex, cross\-functional AI projects from concept to production, ensuring:
* Clear requirement definitions and project plans
* On\-time delivery with high quality and reliability
* Ongoing iteration based on user feedback and metrics.
* Evaluation, Governance \&amp; Responsible AI
* Define robust evaluation frameworks:
* Offline and online metrics for relevance, safety, user satisfaction, and business impact
* Human evaluation workflows for complex or sensitive tasks
* Drive AI governance and responsible AI practices:
* Content safety, bias and fairness considerations, PII handling
* Compliance with internal policies and external regulations (e.g., GDPR\-like requirements, data residency)
* Collaborate with security, privacy, and legal teams to ensure compliant AI solutions.
* Performance, Reliability \&amp; Cost Management
* Lead performance and cost optimization for AI systems:
* Model routing, distillation, and caching strategies
* Right\-sizing infrastructure and making build\-vs\-buy decisions
* SLAs/SLOs for key AI services, including latency, uptime, and error budgets.
* Proactively identify and mitigate technical risks related to scalability, data quality, or vendor lock\-in.
**Qualifications**
 Required Knowledge / Skills / Abilities
* Typically  8\+ years  of experience in Software Engineering, ML Engineering, or Data Science, with 3 \+ years  hands\-on in Applied AI/LLMs and at least  2\+ years  in a senior/lead role.
* Deep expertise in:
* Python and TypeScript/JavaScript in production environments
* Designing and operating distributed, cloud\-native systems (GCP, Azure, or AWS)
* Containerization and orchestration (Docker, Kubernetes) and modern CI/CD.
* Working with coding assistants like Windsurf, Cursor, Codex, etc.
* Proven track record of:
* Architecting and shipping complex AI systems to production at scale
* Leading multi\-engineer initiatives and mentoring others
* Making data\-driven tradeoffs between speed, quality, and cost.
* Advanced experience with:
* LLM\-based application design (prompting, tool use, function calling, multi\-agent workflows)
* RAG architectures, vector databases, and retrieval optimization techniques
* AI observability, monitoring, and evaluation frameworks.
* Excellent communication and stakeholder management skills:
* Ability to communicate complex AI concepts to executives and non\-technical partners
* Comfortable representing AI strategy and progress to leadership and cross\-functional teams.
**Nice\-to\-Have Skills / Abilities**
* Experience with:
* Working with coding assistants like Windsurf, Cursor, Codex, etc.
* Multimodal and real\-time agents (voice \+ text \+ UI control, streaming interactions).
* Background in:
* AI experiment tracking and evaluation frameworks (e.g., OpenAI Evals, Langsmith Evals, etc.)
* Data platforms (data lakes/warehouses, feature stores, event streams like Kafka)
* Browser automation software such as PlayWright
* Designing AI products in domains with strong regulatory or privacy constraints.
* Experience building organizational AI strategies, setting standards, and helping define AI hiring and capability roadmaps.
**We are looking for teammates that are willing to come into the office 2 times a week in Richardson, TX.**
**Pay Range**
 USD $125,700\.00 \- USD $213,900\.00 /Yr.</t>
        </is>
      </c>
    </row>
    <row r="52">
      <c r="A52" t="inlineStr">
        <is>
          <t>li-4365916910</t>
        </is>
      </c>
      <c r="B52" t="inlineStr">
        <is>
          <t>Principal Machine Learning Engineer, Alt Defense</t>
        </is>
      </c>
      <c r="C52" t="inlineStr">
        <is>
          <t>Roblox</t>
        </is>
      </c>
      <c r="D52" t="inlineStr">
        <is>
          <t>linkedin</t>
        </is>
      </c>
      <c r="E52" t="inlineStr"/>
      <c r="F52" t="inlineStr"/>
      <c r="G52" t="inlineStr">
        <is>
          <t>San Mateo, CA</t>
        </is>
      </c>
      <c r="H52" t="inlineStr"/>
      <c r="I52"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SAFETY?**
 At Roblox, we strive to connect a billion people with optimism and civility, and the Safety organization’s mission is to become the leader in civil immersive online communities. We systematically detect, remove, and prevent problematic accounts, content and behavior, and we make Roblox accounts secure and free from compromise. We cover a broad area of the tech spectrum, including machine learning, classifiers for 3D models, experimentation, automation, detection workflows, and AI\-powered text filters. Aligned and partnering with product teams, we use this toolbelt to discover new opportunities, influence and shape the product roadmap and prioritization, build safety products, and measure the impact on our community of users and developers. In doing so, we keep Roblox safe, civil, and inclusive, and we foster positive relationships between people around the world.
**WHY ALT DEFENSE?**
 Safety and Civility is Roblox’s \#1 priority. The Alt Defense pod is at the front lines of this mission, tasked with solving one of the most difficult adversarial problems on the platform: Alternate Account Detection and Prevention. When bad actors are removed from Roblox, they often attempt to return immediately with new identities. Our goal is to stop them in their tracks. As the Technical Lead for this pod, you will architect and build an industry\-leading detection system that operates at a massive scale—processing billions of accounts and identifying recidivism within minutes. You will also be supporting additional use cases for alt detection across the company. You will report to the Senior Engineering Manager of the Account Identity Team.
**You Will**
* Lead the technical vision for alternate account detection platform, moving from reactive measures to proactive, near real\-time prevention.
* Architect high\-scale ML systems using Graph Neural Networks (GNNs) and advanced clustering techniques to map relationships across billions of entities.
* Solve complex ground truth and training data challenges for adversarial usecases
* Build for latency and scale, ensuring that detection happens within minutes of a bad actor’s attempt to rejoin the platform.
* Develop innovative adversarial approaches to stay ahead of sophisticated actors who use evolving techniques to mask their identity.
* Drive the ML roadmap, identifying opportunities to leverage big data and behavioral signals to improve precision and recall in a high\-stakes environment.
* Mentor and up\-level a pod of high\-performing ML and software engineers, fostering a culture of technical excellence and rapid iteration.
**You Have**
* MS or PhD degree in Computer Science, Machine Learning, or a related field.
* 10\+ years of industry experience in Applied ML, with a significant focus on anti\-abuse, fraud, integrity, or identity.
* Expertise in Graph Learning: Deep experience with Large\-scale GNNs (GraphSAGE, PGB, etc.) and unsupervised/semi\-supervised clustering at the scale of billions of nodes.
* Proven track record of leading complex technical projects from conception to production\-level deployment.
* Experience with high\-throughput systems: You understand the nuances of deploying ML models in low\-latency environments where "time\-to\-detect" is a critical KPI.
* Adversarial mindset: You can think like a bad actor to anticipate how they will circumvent detection and build robust defenses against it.
**You Are**
* Resourceful: You're adaptable in any situation and can always find a path forward in the face of evolving threats.
* Analytical: Excited to investigate large, ambiguous datasets to find the "signal in the noise" of billions of accounts.
* User Oriented: You understand that safety measures must be balanced with a seamless experience for our legitimate community members.
* Team Oriented: You are a sought\-after mentor who lifts up your peers and builds a collaborative, high\-performance environment.
* Mission Oriented: You are laser\-focused on keeping Roblox safe and are willing to take bold, strategic risks to achieve a billion\-user scale safely.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$295,250—$345,040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53">
      <c r="A53" t="inlineStr">
        <is>
          <t>li-4355976176</t>
        </is>
      </c>
      <c r="B53" t="inlineStr">
        <is>
          <t>Sr Principal Machine Learning Engineer (Prisma AIRS)</t>
        </is>
      </c>
      <c r="C53" t="inlineStr">
        <is>
          <t>Palo Alto Networks</t>
        </is>
      </c>
      <c r="D53" t="inlineStr">
        <is>
          <t>linkedin</t>
        </is>
      </c>
      <c r="E53" t="inlineStr"/>
      <c r="F53" t="inlineStr"/>
      <c r="G53" t="inlineStr">
        <is>
          <t>Santa Clara, CA</t>
        </is>
      </c>
      <c r="H53" t="inlineStr"/>
      <c r="I53"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With Prisma AIRS, Palo Alto Networks is building the world's most comprehensive AI security platform. Organizations are increasingly building complex ecosystems of AI models, applications, and agents, creating dynamic new attack surfaces with risks that traditional security approaches cannot address. In response,Prisma AIRS delivers model security, posture management, AI red teaming, and runtime protection. Our customers can confidently deploy AI\-driven innovation while ensuring a formidable security posture from development through runtime. As a Senior Principal Machine Learning Engineer, you will drive research on cutting\-edge areas, including AI\-Native Security (LLM, AI Agent, Model Supply\-Chain, Runtime AI) and the broader LLM ecosystem security. You will leverage this research to identify and bring up new product opportunities. You will collaborate closely with engineering teams to deploy models, ensuring maximum product impact. Furthermore, you will foster cross\-functional collaboration and serve as an AI thought leader both within the company and in the security/LLM community. Beyond individual contribution, you will lead complex technical projects, mentor senior engineers, and set the standard for performance, scalability, and engineering excellence across the organization. Your decisions will have a profound and lasting impact on our ability to deliver cutting\-edge AI security solutions at a massive scale. Your Impact Lead the architectural design of a highly scalable, low\-latency, and resilient ML inference platform capable of serving a diverse range of models for real\-time security applications. Define technical approaches to less\-defined product requirements, ensuring the best fit between product features and technical implementation. Explore new product opportunities by maintaining a deep understanding of LLM and Generative AI research trends. Technical Leadership: Provide technical leadership and mentorship to the team, driving best practices in MLOps, software engineering, and system design. Strategic Optimization: Drive the strategy for model and system performance, guiding research and implementation of advanced optimization techniques like custom kernels, hardware acceleration, and novel serving frameworks. Set The Standard: Establish and enforce engineering standards for automated model deployment, robust monitoring, and operational excellence for all production ML systems. Cross\-Functional Vision: Act as a key technical liaison to other principal engineers, architects, and product leaders to shape the future of the Prisma AIRS platform and ensure end\-to\-end system cohesion. Solve the Hardest Problems: Tackle the most ambiguous and challenging technical problems in large\-scale inference, from mitigating novel security threats to achieving unprecedented performance goals.
**Qualifications**
 Your Experience BS/MS or Ph.D. in Computer Science, a related technical field, or equivalent practical experience. Extensive professional experience in software engineering with a deep focus on MLOps, ML systems, or productionizing machine learning models at scale. Expert\-level programming skills in Python are required; experience in a systems language like Go, Java, or C\+\+ is nice to have. Deep, hands\-on experience designing and building large\-scale distributed systems on a major cloud platform (GCP, AWS, Azure, or OCI). Proven track record of leading the architecture of complex ML systems and MLOps pipelines using technologies like Kubernetes and Docker. Mastery of ML frameworks (TensorFlow, PyTorch) and extensive experience with advanced inference optimization tools (ONNX, TensorRT). A strong understanding of popular model architectures (e.g., Transformers, CNNs, GNNs) is a must. A deeper understanding of attention mechanisms and related knowledge is a plus. Demonstrated expertise with modern LLM inference engines (e.g., vLLM, SGLang, TensorRT\-LLM) is required. Open\-source contributions in these areas are a significant plus. Experience with low\-level performance optimization, such as custom CUDA kernel development or using Triton Language, is a plus. Experience with data infrastructure technologies (e.g., Kafka, Spark, Flink) is great to have. Familiarity with CI/CD pipelines and automation tools (e.g., Jenkins, GitLab CI, Tekton) is a plus.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$185,200\.00 \- $299,475\.00/yr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54">
      <c r="A54" t="inlineStr">
        <is>
          <t>li-4355935647</t>
        </is>
      </c>
      <c r="B54" t="inlineStr">
        <is>
          <t>Senior Full Stack AI Engineer</t>
        </is>
      </c>
      <c r="C54" t="inlineStr">
        <is>
          <t>Internet Brands</t>
        </is>
      </c>
      <c r="D54" t="inlineStr">
        <is>
          <t>linkedin</t>
        </is>
      </c>
      <c r="E54" t="inlineStr"/>
      <c r="F54" t="inlineStr"/>
      <c r="G54" t="inlineStr">
        <is>
          <t>Newark, NJ</t>
        </is>
      </c>
      <c r="H54" t="inlineStr"/>
      <c r="I54" t="inlineStr">
        <is>
          <t>**Description**
 Senior Fullstack Engineer Agentic Infrastructure
 About the Role: We are looking for a skilled Senior Software Engineer with a strong background in Generative AI, Agentic AI, and applied software engineering. You will play a key role in building agentic AI systems, designing prompt\-driven workflows, integrating tools with LLMs, and mentoring the team on the latest advancements in AI technologies.
 Roles and Responsibilities:
 Design \&amp; Development
* Architect and build AI\-powered tools using LLMs (e.g., OpenAI, Claude, Mistral, etc.) using best practices in prompt engineering and context engineering.
* Integrate and customize AI agents using frameworks like LangChain, Google ADK, Claude Agent SDK or custom solutions.
* Utilize observability and evaluation tools, such as Langfuse.
* Collaborate with product and research teams to translate requirements into prompt workflows and agent behaviors.
* Design and implement scalable systems and infrastructure to support AI agents and workflows, using suitable tools and technologies.
 Prompt Engineering \&amp; Agentic Workflows
* Design advanced, multi\-agent workflows that incorporate memory, dynamic context injection, and multi\-step reasoning.
* Experiment with and optimize agentic architectures for real\-world tasks (retrieval, generation, summarization, etc.).
 Front\-End Integration
* Collaborate with UI/UX or front\-end teams to integrate AI\-powered features into user\-facing applications as needed.
 Adaptability \&amp; Learning Mindset
* Willingness and ability to quickly learn and adapt to new technologies, frameworks, and tools as needed. Open to working across the stack to support the development of AI\-powered solutions. Comfortable stepping beyond core skill sets to contribute wherever needed in the AI application lifecycle.
 Testing \&amp; DevOps
* Write unit and integration tests to ensure reliability.
* Participate in code reviews, CI/CD pipelines, and deploy models/services using best practices.
 Mentorship \&amp; Collaboration
* Upskill peers in GenAI, prompt engineering, and best practices.
* Contribute to knowledge\-sharing and architectural reviews across teams.
* Stay updated with evolving AI ecosystems, tools, and research.
 Requirements:
 Technical Proficiency
* Strong programming fundamentals (OOP, security, performance).
* Experience building scalable and modular systems using modern frameworks and tools.
* Proficiency with LLMs, OpenAI/Anthropic APIs, LangChain or similar.
 Full Stack Development
* 6\+ years of experience in full stack development.
* Strong experience with:
+ API design and service\-oriented architectures
+ Backend development in one or more modern languages (e.g., Python, Java, PHP, TypeScript or similar)
+ Distributed systems and cloud\-based infrastructure
+ SQL and relational databases
* Proven ability to design systems with performance, reliability, and scalability in mind.
 GenAI \&amp; Agentic AI
* 1\+ years of experience working with GenAI and LLMs.
* 1\+ years of experience in prompt engineering and AI agent architectures.
* Familiarity with agent frameworks like LangChain, Google ADK, and Claude Agent SDK.
* Experience with Agentic IDEs such as Cline, Cursor, and Replit.
* Strong understanding of the Cursor Rule (intent → context → action), a principle for structuring agent behavior, and real\-world experience applying it in workflows.
* Solid understanding of how to construct and pass dynamic context to LLMs, including techniques like session memory and prompt templating.
* Experience adapting or customizing LLMs is a plus.
 Additional Technical Exposure (Good to Have)
* Familiarity with vector databases and graph databases is a plus.
 Testing \&amp; DevOps
* Experience with Git, CI/CD workflows, and test automation.
* Familiarity with DevOps tools, monitoring, and logging in production environments.
 Soft Skills
* Excellent communication and collaboration skills.
* Self\-driven and eager to mentor and share knowledge.
**At Internet Brands, we carefully consider a wide range of factors when determining compensation, including your background and experience. These considerations can cause your compensation to vary. We expect the compensation for this role to have a range that starts at $100k \- $130k and will depend on your skills, qualifications, and experience. We encourage all interested candidates to apply.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
 Notice to California residents: you can find information about our privacy practices, on: https://www.internetbrands.com/work\-with\-us/cpra**</t>
        </is>
      </c>
    </row>
    <row r="55">
      <c r="A55" t="inlineStr">
        <is>
          <t>li-4372870755</t>
        </is>
      </c>
      <c r="B55" t="inlineStr">
        <is>
          <t>Legal AI Engineer</t>
        </is>
      </c>
      <c r="C55" t="inlineStr">
        <is>
          <t>Husch Blackwell</t>
        </is>
      </c>
      <c r="D55" t="inlineStr">
        <is>
          <t>linkedin</t>
        </is>
      </c>
      <c r="E55" t="inlineStr"/>
      <c r="F55" t="inlineStr"/>
      <c r="G55" t="inlineStr">
        <is>
          <t>Tennessee, United States</t>
        </is>
      </c>
      <c r="H55" t="inlineStr"/>
      <c r="I55"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56">
      <c r="A56" t="inlineStr">
        <is>
          <t>li-4372879552</t>
        </is>
      </c>
      <c r="B56" t="inlineStr">
        <is>
          <t>Legal AI Engineer</t>
        </is>
      </c>
      <c r="C56" t="inlineStr">
        <is>
          <t>Husch Blackwell</t>
        </is>
      </c>
      <c r="D56" t="inlineStr">
        <is>
          <t>linkedin</t>
        </is>
      </c>
      <c r="E56" t="inlineStr"/>
      <c r="F56" t="inlineStr"/>
      <c r="G56" t="inlineStr">
        <is>
          <t>Minneapolis, MN</t>
        </is>
      </c>
      <c r="H56" t="inlineStr"/>
      <c r="I56"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57">
      <c r="A57" t="inlineStr">
        <is>
          <t>li-4372883477</t>
        </is>
      </c>
      <c r="B57" t="inlineStr">
        <is>
          <t>Legal AI Engineer</t>
        </is>
      </c>
      <c r="C57" t="inlineStr">
        <is>
          <t>Husch Blackwell</t>
        </is>
      </c>
      <c r="D57" t="inlineStr">
        <is>
          <t>linkedin</t>
        </is>
      </c>
      <c r="E57" t="inlineStr"/>
      <c r="F57" t="inlineStr"/>
      <c r="G57" t="inlineStr">
        <is>
          <t>District of Columbia, United States</t>
        </is>
      </c>
      <c r="H57" t="inlineStr"/>
      <c r="I57"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58">
      <c r="A58" t="inlineStr">
        <is>
          <t>li-4372867753</t>
        </is>
      </c>
      <c r="B58" t="inlineStr">
        <is>
          <t>Legal AI Engineer</t>
        </is>
      </c>
      <c r="C58" t="inlineStr">
        <is>
          <t>Husch Blackwell</t>
        </is>
      </c>
      <c r="D58" t="inlineStr">
        <is>
          <t>linkedin</t>
        </is>
      </c>
      <c r="E58" t="inlineStr"/>
      <c r="F58" t="inlineStr"/>
      <c r="G58" t="inlineStr">
        <is>
          <t>Houston, TX</t>
        </is>
      </c>
      <c r="H58" t="inlineStr"/>
      <c r="I58"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59">
      <c r="A59" t="inlineStr">
        <is>
          <t>li-4372880584</t>
        </is>
      </c>
      <c r="B59" t="inlineStr">
        <is>
          <t>Legal AI Engineer</t>
        </is>
      </c>
      <c r="C59" t="inlineStr">
        <is>
          <t>Husch Blackwell</t>
        </is>
      </c>
      <c r="D59" t="inlineStr">
        <is>
          <t>linkedin</t>
        </is>
      </c>
      <c r="E59" t="inlineStr"/>
      <c r="F59" t="inlineStr"/>
      <c r="G59" t="inlineStr">
        <is>
          <t>Illinois, United States</t>
        </is>
      </c>
      <c r="H59" t="inlineStr"/>
      <c r="I59"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60">
      <c r="A60" t="inlineStr">
        <is>
          <t>li-4372871788</t>
        </is>
      </c>
      <c r="B60" t="inlineStr">
        <is>
          <t>Legal AI Engineer</t>
        </is>
      </c>
      <c r="C60" t="inlineStr">
        <is>
          <t>Husch Blackwell</t>
        </is>
      </c>
      <c r="D60" t="inlineStr">
        <is>
          <t>linkedin</t>
        </is>
      </c>
      <c r="E60" t="inlineStr"/>
      <c r="F60" t="inlineStr"/>
      <c r="G60" t="inlineStr">
        <is>
          <t>Missouri, United States</t>
        </is>
      </c>
      <c r="H60" t="inlineStr"/>
      <c r="I60"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61">
      <c r="A61" t="inlineStr">
        <is>
          <t>li-4372885134</t>
        </is>
      </c>
      <c r="B61" t="inlineStr">
        <is>
          <t>Legal AI Engineer</t>
        </is>
      </c>
      <c r="C61" t="inlineStr">
        <is>
          <t>Husch Blackwell</t>
        </is>
      </c>
      <c r="D61" t="inlineStr">
        <is>
          <t>linkedin</t>
        </is>
      </c>
      <c r="E61" t="inlineStr"/>
      <c r="F61" t="inlineStr"/>
      <c r="G61" t="inlineStr">
        <is>
          <t>Austin, CO</t>
        </is>
      </c>
      <c r="H61" t="inlineStr"/>
      <c r="I61"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62">
      <c r="A62" t="inlineStr">
        <is>
          <t>li-4372863930</t>
        </is>
      </c>
      <c r="B62" t="inlineStr">
        <is>
          <t>Legal AI Engineer</t>
        </is>
      </c>
      <c r="C62" t="inlineStr">
        <is>
          <t>Husch Blackwell</t>
        </is>
      </c>
      <c r="D62" t="inlineStr">
        <is>
          <t>linkedin</t>
        </is>
      </c>
      <c r="E62" t="inlineStr"/>
      <c r="F62" t="inlineStr"/>
      <c r="G62" t="inlineStr">
        <is>
          <t>Minnesota, United States</t>
        </is>
      </c>
      <c r="H62" t="inlineStr"/>
      <c r="I62"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63">
      <c r="A63" t="inlineStr">
        <is>
          <t>li-4372886132</t>
        </is>
      </c>
      <c r="B63" t="inlineStr">
        <is>
          <t>Legal AI Engineer</t>
        </is>
      </c>
      <c r="C63" t="inlineStr">
        <is>
          <t>Husch Blackwell</t>
        </is>
      </c>
      <c r="D63" t="inlineStr">
        <is>
          <t>linkedin</t>
        </is>
      </c>
      <c r="E63" t="inlineStr"/>
      <c r="F63" t="inlineStr"/>
      <c r="G63" t="inlineStr">
        <is>
          <t>Wisconsin, United States</t>
        </is>
      </c>
      <c r="H63" t="inlineStr"/>
      <c r="I63"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64">
      <c r="A64" t="inlineStr">
        <is>
          <t>li-4343851613</t>
        </is>
      </c>
      <c r="B64" t="inlineStr">
        <is>
          <t>AI Engineering &amp; Science - Vice President - Product Management (New York, NY)</t>
        </is>
      </c>
      <c r="C64" t="inlineStr">
        <is>
          <t>Goldman Sachs</t>
        </is>
      </c>
      <c r="D64" t="inlineStr">
        <is>
          <t>linkedin</t>
        </is>
      </c>
      <c r="E64" t="inlineStr"/>
      <c r="F64" t="inlineStr"/>
      <c r="G64" t="inlineStr">
        <is>
          <t>New York, NY</t>
        </is>
      </c>
      <c r="H64" t="inlineStr"/>
      <c r="I64" t="inlineStr">
        <is>
          <t>**Job Description**
**What We Do**
 Our AI Engineering \&amp; Science business unit is at the forefront of innovation, building the foundational platforms and cutting\-edge tools that empower our engineers and data scientists to develop, deploy, and scale advanced Artificial Intelligence and Machine Learning solutions. We are a dynamic, fast\-paced team dedicated to delivering measurable business impact through responsible and state\-of\-the\-art AI.
**Who We Look For**
 We are seeking an experienced Vice President of Product Management to lead the strategy, roadmap, and execution for our core AI Engineering platforms. This critical role will focus on building robust, scalable, and developer\-centric platforms that accelerate AI innovation across the engineering organization. You will be instrumental in shaping our strategy, ensuring our internal developers, strats, and data scientists have the best\-in\-class tools and infrastructure to bring AI products to life. You will bridge the technical and business worlds, designing products and services that serve our internal customers and drive significant business value.
**Key Responsibilities**
* Define and articulate a compelling product vision and strategy for our AI Engineering platforms, aligning with overall business objectives and technological advancements in AI/ML/GenAI.
* Work closely with Engineering teams, Strat teams, Data Science teams, customers, and stakeholders to lay out a comprehensive platform roadmap. Understand and lead analyses of the competitive environment, market, customer needs, and product metrics to determine the right set of features to drive engagement and usage.
* Gather global product requirements, write detailed Product Requirements Documents (PRDs) for new features and enhancements, and work cross\-functionally to bring these features live.
* Act as the primary advocate for our internal developer, strat, and data scientist customers. Deeply understand their needs, pain points, and workflows to translate them into clear, prioritized product requirements and user stories.
* Stay abreast of the latest trends and technologies in Artificial Intelligence, Machine Learning, Generative AI, and Agentic Systems. Incorporate cutting\-edge capabilities into the platform roadmap to maintain a competitive edge.
* Develop and manage the strategy for leveraging various cloud providers (e.g., AWS, Azure, GCP) to build resilient, cost\-effective, and high\-performance AI infrastructure. Ensure seamless integration and portability across different cloud environments.
* Champion and integrate responsible AI principles, including bias mitigation, explainability, and adherence to ethical guidelines, into platform design and development.
**Preferred Qualifications**
* Minimum 8 years of experience in product management, and at least 5 years in a role focused on AI/ML platforms, data platforms, or developer tools.
* Deep understanding of AI/LMM algorithms, MLOps practices, data architectures, and distributed systems. Familiarity with modern AI frameworks and tools.
* Experience with major cloud platforms (AWS, Microsoft Azure, Google Cloud) and a strong understanding of cloud\-native architectures and services.
* Proven track record of successfully building and launching products where developers or data scientists are the primary customers.
* Ability to define long\-term product roadmaps, make data\-driven decisions, and balance strategic vision with tactical execution.
* Exceptional leadership, communication, and interpersonal skills, with the ability to influence stakeholders at all levels and articulate complex technical concepts to diverse audiences.
**Salary Range**
 The expected base salary for this New York, New York, United States\-based position is $150000\-$250000\.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t>
        </is>
      </c>
    </row>
    <row r="65">
      <c r="A65" t="inlineStr">
        <is>
          <t>li-4366225208</t>
        </is>
      </c>
      <c r="B65" t="inlineStr">
        <is>
          <t>Applied Scientist (Contract), Artificial General Intelligence</t>
        </is>
      </c>
      <c r="C65" t="inlineStr">
        <is>
          <t>Amazon</t>
        </is>
      </c>
      <c r="D65" t="inlineStr">
        <is>
          <t>linkedin</t>
        </is>
      </c>
      <c r="E65" t="inlineStr"/>
      <c r="F65" t="inlineStr"/>
      <c r="G65" t="inlineStr">
        <is>
          <t>Boston, MA</t>
        </is>
      </c>
      <c r="H65" t="inlineStr"/>
      <c r="I65"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A3166402</t>
        </is>
      </c>
    </row>
    <row r="66">
      <c r="A66" t="inlineStr">
        <is>
          <t>li-4366213441</t>
        </is>
      </c>
      <c r="B66" t="inlineStr">
        <is>
          <t>Applied Scientist (Contract), Artificial General Intelligence</t>
        </is>
      </c>
      <c r="C66" t="inlineStr">
        <is>
          <t>Amazon</t>
        </is>
      </c>
      <c r="D66" t="inlineStr">
        <is>
          <t>linkedin</t>
        </is>
      </c>
      <c r="E66" t="inlineStr"/>
      <c r="F66" t="inlineStr"/>
      <c r="G66" t="inlineStr">
        <is>
          <t>Bellevue, WA</t>
        </is>
      </c>
      <c r="H66" t="inlineStr"/>
      <c r="I66"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A3166405</t>
        </is>
      </c>
    </row>
    <row r="67">
      <c r="A67" t="inlineStr">
        <is>
          <t>li-4366209986</t>
        </is>
      </c>
      <c r="B67" t="inlineStr">
        <is>
          <t>Applied Scientist (Contract), Artificial General Intelligence</t>
        </is>
      </c>
      <c r="C67" t="inlineStr">
        <is>
          <t>Amazon</t>
        </is>
      </c>
      <c r="D67" t="inlineStr">
        <is>
          <t>linkedin</t>
        </is>
      </c>
      <c r="E67" t="inlineStr"/>
      <c r="F67" t="inlineStr"/>
      <c r="G67" t="inlineStr">
        <is>
          <t>Bellevue, WA</t>
        </is>
      </c>
      <c r="H67" t="inlineStr"/>
      <c r="I67"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A3166403</t>
        </is>
      </c>
    </row>
    <row r="68">
      <c r="A68" t="inlineStr">
        <is>
          <t>li-4366317147</t>
        </is>
      </c>
      <c r="B68" t="inlineStr">
        <is>
          <t>Sr. Applied Scientist, Amazon Leo IDEA</t>
        </is>
      </c>
      <c r="C68" t="inlineStr">
        <is>
          <t>Amazon</t>
        </is>
      </c>
      <c r="D68" t="inlineStr">
        <is>
          <t>linkedin</t>
        </is>
      </c>
      <c r="E68" t="inlineStr"/>
      <c r="F68" t="inlineStr"/>
      <c r="G68" t="inlineStr">
        <is>
          <t>Bellevue, WA</t>
        </is>
      </c>
      <c r="H68" t="inlineStr"/>
      <c r="I68"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The Amazon LEO Infrastructure Data Engineering, Analytics, and Science team owns designing, implementing, and operating systems/models that support the optimal demand/capacity planning function. We are looking for a talented scientist to implement LEO's long\-term vision and strategy for capacity simulations and network bandwidth optimization. This effort will be instrumental in helping LEO execute on its business plans globally. As one of our valued team members, you will be obsessed with matching our standards for operational excellence with a relentless focus on delivering results.
 Key job responsibilities
**In This Role, You Will**
 Work cross\-functionally with product, business development, and various technical teams (engineering, science, R\&amp;D, simulations, etc.) to implement the long\-term vision, strategy, and architecture for capacity simulations and inventory optimization.
 Design and deliver modern, flexible, scalable solutions to complex optimization problems for operating and planning satellite resources.
 Contribute to short and long terms technical roadmap definition efforts to predict future inventory availability and key operational and financial metrics across the network.
 Design and deliver systems that can keep up with the rapid pace of optimization improvements and simulating how they interact with each other.
 Analyze large amounts of satellite and business data to identify simulation and optimization opportunities.
 Synthesize and communicate insights and recommendations to audiences of varying levels of technical sophistication to drive change across LEO.
 Export Control Requirement: Due to applicable export control laws and regulations, candidates must be a U.S. citizen or national, U.S. permanent resident (i.e., current Green Card holder), or lawfully admitted into the U.S. as a refugee or granted asylum.
**Basic Qualifications**
* 3\+ years of building machine learning models for business application experience
* PhD, or Master's degree and 6\+ years of applied research experience
* Experience programming in Java, C\+\+, Python or related language
**Preferred Qualifications**
* Experience with modeling tools such as R, scikit\-learn, Spark MLLib, MxNet, Tensorflow, numpy, scipy etc.
* Experience with large scale distributed systems such as Hadoop, Spark etc.
* Experience with large scale machine learning systems such as profiling and debugging and understanding of system performance and scalability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\- 167,100\.00 \- 226,100\.00 USD annually
**Company** 
 \- Amazon Kuiper Commercial Services LLC
 Job ID: A3167156</t>
        </is>
      </c>
    </row>
    <row r="69">
      <c r="A69" t="inlineStr">
        <is>
          <t>li-4374100255</t>
        </is>
      </c>
      <c r="B69" t="inlineStr">
        <is>
          <t>ML Engineer</t>
        </is>
      </c>
      <c r="C69" t="inlineStr">
        <is>
          <t>Wiraa</t>
        </is>
      </c>
      <c r="D69" t="inlineStr">
        <is>
          <t>linkedin</t>
        </is>
      </c>
      <c r="E69" t="inlineStr"/>
      <c r="F69" t="inlineStr"/>
      <c r="G69" t="inlineStr"/>
      <c r="H69" t="inlineStr"/>
      <c r="I69" t="inlineStr">
        <is>
          <t>**About The Company**
 Waymo is a pioneering autonomous driving technology company committed to transforming mobility through innovation and safety. Originating from the Google Self\-Driving Car Project in 2009, Waymo has dedicated itself to developing the Waymo Driver, recognized as the world's most experienced driver. Our mission is to be the most trusted driver globally, providing accessible, safe, and efficient transportation solutions. With over ten million rider\-only trips completed and more than 100 million miles driven on public roads across multiple states, Waymo continues to lead the industry in autonomous vehicle technology. Our advancements not only aim to revolutionize transportation but also to save thousands of lives by reducing traffic\-related fatalities. We leverage extensive real\-world data, cutting\-edge research, and collaborative innovation to enhance our systems, making mobility safer and more reliable for everyone.
**About The Role**
 As a member of Waymo’s Perception team, you will play a crucial role in advancing the capabilities of our autonomous driving systems. This hybrid position reports to a Technical Lead Manager and involves developing foundational datasets, training methodologies, and evaluation tools to improve the perception and understanding of the environment around autonomous vehicles. Your work will focus on creating scalable data collection and labeling processes, developing models for continuous learning and model updates, and establishing performance metrics that operate without ground\-truth dependencies. You will collaborate with cross\-functional teams to integrate perception models into the Waymo Driver, ensuring real\-world robustness and safety. This role offers a unique opportunity to contribute to groundbreaking research and practical applications in autonomous vehicle perception, leveraging large\-scale data and state\-of\-the\-art machine learning techniques.
**Qualifications**
* Bachelor’s degree in Computer Science, Machine Learning, Robotics, or a related field, or equivalent deep learning experience
* Minimum of 3 years of experience in Machine Learning and/or Computer Vision
* Proficiency in Python programming
* Experience with ML frameworks such as PyTorch or JAX
* Preferred: Experience with data mining, labeling, and production ML systems
* Preferred: Experience in Autonomous Vehicles or related industries
* Advanced degree (MS or PhD) in Machine Learning, Robotics, Computer Science, or related disciplines
* Publication record at top\-tier conferences such as CVPR, ICCV, ECCV, ICLR, ICML, ICRA, IROS, RSS, NeurIPS, AAAI, IJCV, PAMI
* Experience with C\+\+ programming (preferred)
**Responsibilities**
* Create and maintain large\-scale datasets and develop training recipes for perception models
* Design and implement methods for human and machine labeling of extensive datasets
* Develop pipelines for continuous data ingestion, selection, and incremental model updates
* Implement data mining techniques and automate data collection processes to support model training flywheels
* Develop evaluation methods to assess real\-world model performance and detect regressions
* Create and maintain ground\-truth free performance metrics to monitor system robustness
* Collaborate with cross\-functional teams to integrate perception models into the Waymo Driver system
* Conduct research to address real\-world challenges in autonomous perception and contribute to publications and knowledge sharing
**Benefits**
* Competitive salary range of $170,000 to $216,000 USD, commensurate with experience and location
* Participation in Waymo’s discretionary annual bonus program
* Equity incentive plan offering long\-term ownership opportunities
* Comprehensive benefits package including health, dental, and vision insurance
* Paid time off and holidays
* Opportunities for professional development and career growth
* Flexible hybrid work arrangements to support work\-life balance
 Equal Opportunity
 Waymo is an equal opportunity employer committed to fostering an inclusive environment. We welcome applications from candidates of all backgrounds, identities, and experiences. All employment decisions are made based on qualifications, merit, and business needs without regard to race, color, religion, gender, sexual orientation, gender identity or expression, national origin, age, disability, or any other protected status. We strive to create a diverse workforce that reflects the communities we serve and to ensure equitable opportunities for all employees.</t>
        </is>
      </c>
    </row>
    <row r="70">
      <c r="A70" t="inlineStr">
        <is>
          <t>li-4157961565</t>
        </is>
      </c>
      <c r="B70" t="inlineStr">
        <is>
          <t>Principal Machine Learning Engineer</t>
        </is>
      </c>
      <c r="C70" t="inlineStr">
        <is>
          <t>Tubi</t>
        </is>
      </c>
      <c r="D70" t="inlineStr">
        <is>
          <t>linkedin</t>
        </is>
      </c>
      <c r="E70" t="inlineStr"/>
      <c r="F70" t="inlineStr"/>
      <c r="G70" t="inlineStr"/>
      <c r="H70" t="inlineStr"/>
      <c r="I70" t="inlineStr">
        <is>
          <t>**About the Role:**
 The Machine Learning team at Tubi drives the innovation behind personalized user experiences. With the largest inventory in the industry and hundreds of millions of viewers, we tackle problems in the space of recommendations, search, content understanding and ads optimization that shape the future of streaming.
 We are seeking a highly skilled Principal Machine Learning Engineer to contribute to transformative projects in video personalization, with a focus on recommendation foundation modeling. In this role, you will design and implement advanced algorithms and systems to improve our personalization strategy. As a senior technical expert, you will tackle complex problems in machine learning at scale, collaborating closely with cross\-functional teams to develop and optimize machine learning\-driven solutions.
 This is a hybrid role for our San Francisco office.
**What You'll Do:**
* Lead the design, development, and implementation of advanced recommendation systems and algorithms for a global audience.
* Conduct deep dives into algorithmic components and systems, ensuring that models are optimized for both performance and scalability across multiple regions and product areas.
* Build and deploy robust ML pipelines, including data extraction, feature development, model training, testing, and deployment.
* Continuously monitor, evaluate, and optimize the performance of deployed models, ensuring they meet business goals and provide high\-quality user experiences.
* Work closely with Product, Engineering, and Content teams to align on product requirements, set expectations, and deliver machine learning\-driven solutions that improve user engagement.
**Your Background:**
* 10\+ years of industry experience in Machine Learning.
* MSc or Ph.D. in Computer Science, Machine Learning, Statistics, Mathematics, or a related field.
* Expertise in deep learning technologies for recommendation systems, including experience with TensorFlow, PyTorch, or similar frameworks.
* Proficiency in building and deploying full\-stack machine learning pipelines: data extraction, data mining, model training, feature development, testing, and deployment.
* Solid understanding of statistical concepts such as hypothesis testing, regression analysis, and performance evaluation metrics for machine learning.
* Ability to deep dive into individual components and systems, as well as understand the overall architecture of machine learning solutions.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$292,000—$417,200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71">
      <c r="A71" t="inlineStr">
        <is>
          <t>li-4373982541</t>
        </is>
      </c>
      <c r="B71" t="inlineStr">
        <is>
          <t>AI/ML Engineer</t>
        </is>
      </c>
      <c r="C71" t="inlineStr">
        <is>
          <t>micro1</t>
        </is>
      </c>
      <c r="D71" t="inlineStr">
        <is>
          <t>linkedin</t>
        </is>
      </c>
      <c r="E71" t="inlineStr"/>
      <c r="F71" t="inlineStr"/>
      <c r="G71" t="inlineStr"/>
      <c r="H71" t="inlineStr"/>
      <c r="I71" t="inlineStr">
        <is>
          <t>**Job Title:** 
 AI/ML Engineer
**Job Type:** 
 Full\-time, Contractual
**Job Summary:** 
 Join our customer's team as a AI/ML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72">
      <c r="A72" t="inlineStr">
        <is>
          <t>li-4373993598</t>
        </is>
      </c>
      <c r="B72" t="inlineStr">
        <is>
          <t>Machine Learning Engineer</t>
        </is>
      </c>
      <c r="C72" t="inlineStr">
        <is>
          <t>Wiraa</t>
        </is>
      </c>
      <c r="D72" t="inlineStr">
        <is>
          <t>linkedin</t>
        </is>
      </c>
      <c r="E72" t="inlineStr"/>
      <c r="F72" t="inlineStr"/>
      <c r="G72" t="inlineStr"/>
      <c r="H72" t="inlineStr"/>
      <c r="I72" t="inlineStr">
        <is>
          <t>**About The Company**
 Humana Inc. is a leading health and well\-being company dedicated to putting health first for its members, employees, and communities. With a commitment to delivering innovative healthcare solutions, Humana provides a wide range of insurance services and healthcare programs designed to improve quality of life and foster healthier communities. As a Fortune 500 organization, Humana leverages its extensive expertise in healthcare and technology to create impactful solutions that address the evolving needs of diverse populations. The company emphasizes a culture of inclusion, integrity, and continuous improvement, striving to be a trusted partner in health for millions of individuals across the United States.
**About The Role**
 We are seeking a highly skilled Lead Machine Learning Engineer to join our dynamic team. In this pivotal role, you will be responsible for architecting, developing, and managing advanced machine learning systems that facilitate real\-time, personalized decision\-making across various digital and assisted channels. Your expertise will drive the creation of scalable ML pipelines, online inference services, and decision\-time scoring logic, utilizing cutting\-edge AI\-assisted and agentic solutions.
 The role emphasizes production\-level ML engineering, focusing on enhancing development velocity, model quality, operational effectiveness, and system reliability. You will lead efforts to design and implement end\-to\-end ML architectures that meet stringent latency, scalability, and correctness requirements, ensuring that our systems are robust, explainable, and aligned with business objectives. As a technical leader, you will collaborate with cross\-functional teams, mentor engineers, and influence architectural decisions to uphold best practices and drive innovation within the organization.
**Qualifications**
* 8\+ years of experience in machine learning engineering, applied ML, or data\-driven platform development
* 3\+ years in a technical lead or senior ML engineering capacity
* Deep expertise in feature engineering and data pipelines
* Proficiency in model training and evaluation techniques
* Experience with real\-time or near\-real\-time inference systems
* Strong software engineering skills in Python, Java, or similar languages
* Practical experience with AI\-assisted development tools to streamline ML workflows
* Knowledge of distributed systems and event\-driven architectures (preferred)
* Experience deploying models in regulated or high\-reliability environments (preferred)
* Understanding of model explainability and fairness methodologies (preferred)
**Responsibilities**
* Design and manage end\-to\-end machine learning systems, including feature engineering, offline training pipelines, and online inference services
* Develop and operationalize models such as propensity prediction, uplift modeling, and engagement scoring, ensuring they are explainable, robust, and composable
* Implement AI\-assisted and agentic approaches to enhance ML engineering productivity, including automated code generation, feature exploration, and experiment tracking
* Develop and maintain robust MLOps practices, including continuous training and deployment pipelines, model monitoring, and safe rollout strategies
* Ensure model outputs are traceable, reproducible, and auditable, adhering to compliance standards
* Serve as a technical leader, establishing standards and best practices for ML engineering across teams
* Collaborate with software engineers, data engineers, and platform teams to integrate ML systems seamlessly into production environments
* Mentor and guide machine learning engineers, fostering a culture of innovation and continuous learning
* Influence architectural decisions to improve testability, observability, and system resilience
**Benefits**
* Competitive salary within the range of $129,300 \- $177,800 annually, commensurate with experience
* Bonus incentive plan based on individual and company performance
* Comprehensive health benefits including medical, dental, and vision coverage
* Retirement savings plans such as 401(k)
* Paid time off, including holidays, volunteer days, and parental leave
* Short\-term and long\-term disability insurance, life insurance coverage
* Opportunities for professional development and continuous learning
* Flexible work arrangements, including hybrid and remote options
 Equal Opportunity
 Humana is an equal opportunity employer committed to fostering an inclusive environment for all employees and applicants. We do not discriminate based on race, color, religion, sex, sexual orientation, gender identity, national origin, age, marital status, genetic information, disability, or protected veteran status. We uphold affirmative action policies in compliance with Section 503 of the Rehabilitation Act and VEVRAA, ensuring equal employment opportunities and advancement.</t>
        </is>
      </c>
    </row>
    <row r="73">
      <c r="A73" t="inlineStr">
        <is>
          <t>li-4196829894</t>
        </is>
      </c>
      <c r="B73" t="inlineStr">
        <is>
          <t>Senior Staff Machine Learning Engineer, Community Support Engineering</t>
        </is>
      </c>
      <c r="C73" t="inlineStr">
        <is>
          <t>Airbnb</t>
        </is>
      </c>
      <c r="D73" t="inlineStr">
        <is>
          <t>linkedin</t>
        </is>
      </c>
      <c r="E73" t="inlineStr"/>
      <c r="F73" t="inlineStr"/>
      <c r="G73" t="inlineStr"/>
      <c r="H73" t="inlineStr"/>
      <c r="I7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Machine Learning and Artificial Intelligence are at the heart of the Airbnb product. From Trust to Payments, and from Customer Service to Marketing we rely on ML to ensure that guests and hosts have the best possible experience with Airbnb.
 The Core ML team is the core team responsible for driving CSxAI (Customer Support x Artificial Intelligence) initiatives by adopting the Generative AI technologies to enable an intelligent, scalable and exceptional service experience. The team develops and enhances various AI models, ML services and tools including LLM fine\-tuning and optimization, RAG/Search, LLM evaluation and testing automation, feedback\-based learning and guardrail for a wide range of applications in Airbnb.
 The richness of Airbnb's data, the complexity of its marketplace and the variety innate in our product mean that we need to operate at the state of the art of AI practice. We are committed to investing in long term innovation to solve the complex problems we face, and to do that we need the very best experts in ML and AI to join us.
**The Difference You Will Make**
 As a machine learning engineer or scientist, your expertise will be pivotal in developing AI\-powered products to shape the future of the Airbnb customer experience with cutting\-edge AI techniques. You will drive and guide the applied science team to apply agile practice for data science, and partner with product managers, software engineers, and operation teams to brainstorm, design and develop AI products and features from inception to production.
**A Typical Day**
* Work with large scale structured and unstructured data; explore, experiment, build and continuously improve Machine Learning models and pipelines for Airbnb product, business and operational use cases.
* Work collaboratively with cross\-functional partners including product managers, operations and data scientists, to identify opportunities for business impact; understand, refine, and prioritize requirements for machine learning, and drive engineering decisions.
* Hands\-on develop, productionize, and operate Machine Learning models and pipelines at scale, including both batch and real\-time use cases.
* Leverage third\-party and in\-house Machine Learning tools \&amp; infrastructure to develop reusable, highly differentiating and high\-performing Machine Learning systems, enable fast model development, low\-latency serving and ease of model quality upkeep.
**Your Expertise**
* Educational Background: PhD in Computer Science, Mathematics, Statistics, or related technical field.
* Industry Experience: 10\+ years of experience in building, testing and shipping AI models and products from inception to production; including 2\+ years of experience with GenAI.
* Leadership Experience: 5\+ years experience leading and guiding applied science/ machine learning teams that deliver large impact as a senior IC.
* Technical Proficiency: Deep knowledge and hands\-on experience with Machine Learning best practices (eg. training/serving skew minimization, A/B test, feature engineering, feature/model selection), algorithms (eg. neural networks/deep learning, optimization) and domains (eg. NLP, computer vision, personalization, search and recommendation, marketplace optimization, anomaly detection)
* Customer Support Systems: Experience with AI technologies in customer support applications.
* Agile Practice for AI Production: Experience with the entire AI product development lifecycle from incubation to production at scale, following agile practices in the Applied AI/ML domain.
* Infrastructure Acumen: Experience building robust testing frameworks for agent behavior validation and continuous improvement, and driving architectural requirements on ML infrastructures
* Continuous Learner: Ability to absorb new concepts quickly and integrate them effectively into business processes.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$244,000—$305,000 USD</t>
        </is>
      </c>
    </row>
    <row r="74">
      <c r="A74" t="inlineStr">
        <is>
          <t>li-4372866883</t>
        </is>
      </c>
      <c r="B74" t="inlineStr">
        <is>
          <t>visionOS, Machine Learning Engineer/Computer Vision</t>
        </is>
      </c>
      <c r="C74" t="inlineStr">
        <is>
          <t>Apple</t>
        </is>
      </c>
      <c r="D74" t="inlineStr">
        <is>
          <t>linkedin</t>
        </is>
      </c>
      <c r="E74" t="inlineStr"/>
      <c r="F74" t="inlineStr"/>
      <c r="G74" t="inlineStr">
        <is>
          <t>Sunnyvale, CA</t>
        </is>
      </c>
      <c r="H74" t="inlineStr"/>
      <c r="I74" t="inlineStr">
        <is>
          <t>**Summary**
 Join our machine learning team at Apple to develop computer vision and localization technologies that help devices understand their place in the world. We're seeking a talented Machine Learning Engineer who excels at transforming research innovations into production\-ready solutions, tackling the full spectrum from training large\-scale models to optimizing them for real\-time, on\-device performance. If you're passionate about solving hard problems in spatial intelligence—from challenging real\-world environments to privacy\-preserving design—this is your opportunity to create experiences that millions of people use every day.
**Description**
 As a Machine Learning Engineer on our team, you'll design and implement advanced computer vision solutions that run efficiently on\-device, ensuring exceptional performance while respecting user privacy. You'll work across the complete ML lifecycle—from building robust data pipelines and training deep learning models on distributed clusters to optimizing them for Apple's Neural Engine and deploying in production systems. Your work will span critical areas including localization and spatial understanding, where you'll develop systems that enable devices to perceive their position and navigate the world with precision. Your role will bridge cutting\-edge research and practical engineering, requiring you to balance innovation with the real\-world constraints of shipping products at scale—whether that's ensuring localization works reliably in challenging environments, handling edge cases in visual recognition, or optimizing models to run in real\-time on device. Collaborating with world\-class researchers, software engineers, and product teams, you'll tackle challenging problems in visual understanding, from place recognition and scene reconstruction to temporal reasoning and multi\-sensor fusion. This position offers the unique opportunity to push the boundaries of on\-device machine learning, creating spatial intelligence experiences that are not only accurate and responsive but also seamlessly integrated into products that millions of people use every day.
**Responsibilities**
* Design, train, and deploy computer vision models for localization and spatial understanding on Apple devices
* Build robust data pipelines and implement distributed training workflows on multi\-GPU infrastructure
* Optimize deep learning models for Apple's Neural Engine, achieving real\-time performance while maintaining accuracy
* Solve challenging problems in visual perception including place recognition, scene reconstruction, and multi\-sensor fusion
* Collaborate with other teams to adapt cutting\-edge techniques for production constraints and real\-world deployment
* Validate model performance through comprehensive testing across diverse environments and use cases
**Minimum Qualifications**
* M.S. or Ph.D. in Computer Vision, Machine Learning, Robotics, or related field; or equivalent practical experience with a proven track record of shipping products leveraging state\-of\-the\-art Computer Vision and Machine Learning technologies
* 3\+ years of professional software development experience with demonstrated ability to deliver high\-quality, production\-ready code
* Expert\-level proficiency in Python and C/C\+\+
* Strong software design, problem\-solving, and debugging capabilities
* Hands\-on experience with modern ML frameworks (PyTorch, TensorFlow/Keras, PyTorch Lightning)
* Solid background with Computer Vision libraries and frameworks (OpenCV, etc.)
* Experience training and optimizing machine learning models for computer vision applications
* Excellent communication and collaboration skills with ability to work effectively in team environments; self\-motivated and quick to adapt to new technologies
**Preferred Qualifications**
* Experience developing on macOS and iOS platforms
* Familiarity with Apple's internal ML/CV frameworks and tools
* Experience with distributed training on clusters and multi\-GPU systems
* Knowledge of Apple Neural Engine optimization techniques
* Experience with temporal/sequential neural network architectures (RNNs, LSTMs, Transformers for video/time\-series data)
* Proficiency with CMake and Xcode build systems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5">
      <c r="A75" t="inlineStr">
        <is>
          <t>li-4338885358</t>
        </is>
      </c>
      <c r="B75" t="inlineStr">
        <is>
          <t>AI Engineer</t>
        </is>
      </c>
      <c r="C75" t="inlineStr">
        <is>
          <t>Euronet</t>
        </is>
      </c>
      <c r="D75" t="inlineStr">
        <is>
          <t>linkedin</t>
        </is>
      </c>
      <c r="E75" t="inlineStr"/>
      <c r="F75" t="inlineStr"/>
      <c r="G75" t="inlineStr">
        <is>
          <t>Leawood, KS</t>
        </is>
      </c>
      <c r="H75" t="inlineStr"/>
      <c r="I75" t="inlineStr">
        <is>
          <t>**Description**
 Since 1996, epay, a business segment of Euronet, has been at the center of connecting local and global brands to consumers. Our capabilities, platforms, products, and solutions cater to the changing consumer demand for content and payments in categories such as mobile, gaming, and entertainment.
 We are looking for a pure technical builder\-someone who thrives in a fast\-moving environment and wants to get their hands in the latest AI technology. We’re seeking an AI Engineer with a deep, practical understanding of modern AI. You will be writing code, experimenting with new models, and building production\-grade AI agents. This is a hybrid role located in Leawood, KS.
**What You’ll Do**
* Build \&amp; Deploy: Architect and code end\-to\-end AI applications. You will move beyond simple API calls to build robust systems using RAG (Retrieval\-Augmented Generation), vector databases, and agentic workflows.
* Engineer AI Agents: Develop autonomous agents capable of complex reasoning, tool use, and decision\-making to automate varied business workflows.
* Optimize \&amp; Fine\-Tune: Experiment with prompt engineering strategies, context window management, and model fine\-tuning to maximize performance and accuracy.
* Bridge the Gap: Translate "raw AI" capabilities into reliable software features. You will work with APIs (Flask/FastAPI), databases, and backend logic to integrate AI models into real\-world products.
* Foster Expertise: Act as a technical beacon for AI within the company. While this is not a management role, you will help upskill the engineering team by demonstrating best practices and sharing knowledge on the latest AI advancements.
**Requirements**
* Concrete Experience: Experience building production AI applications.
* Complexity Management: Demonstrated ability to manage high levels of complexity.
* Strong Code: Proficiency in Python and AI frameworks. You should be comfortable writing production\-ready code, managing dependencies, building REST APIs (Flask/FastAPI), etc.
* LLM Native: Hands\-on experience with the modern AI stack. You should know your way around tools like LangChain and the OpenAI/Anthropic APIs.
* Applied AI Skills: You possess a full\-spectrum understanding of AI. While versed in LLM architectures (RAG, Agents, Vector Search), you would also be comfortable with feature engineering and building classic machine learning models (regression, classification, clustering) for structured data. You know how LLMs are trained and may have trained or fine\-tuned a language model yourself.
* Development Background:
* Proficiency with git, docker, experience with cloud compute.
* Background in traditional software engineering is a bonus.
* Local Presence: You must be willing to commute to our Leawood, KS office.
**Benefits**
* 401(k) Plan
* Health/Dental/Vision Insurance
* Employee Stock Purchase Plan
* Company\-paid Life Insurance
* Company\-paid disability insurance
* Tuition Reimbursement
* Paid Time Off
* Paid Volunteer Days
* Paid Holidays
* Casual Office Attire
* Plus many more employee perks \&amp; incentives!
 We are an Equal Opportunity Employer, and all qualified applicants will receive consideration for employment without regard to race, color, religion, gender, sexual orientation, gender identity, or national origin, age, disability status, genetic information, protected veteran status, or any other characteristic protected by law.</t>
        </is>
      </c>
    </row>
    <row r="76">
      <c r="A76" t="inlineStr">
        <is>
          <t>li-4365885428</t>
        </is>
      </c>
      <c r="B76" t="inlineStr">
        <is>
          <t>Senior Machine Learning Engineer, Home Modeling</t>
        </is>
      </c>
      <c r="C76" t="inlineStr">
        <is>
          <t>Roblox</t>
        </is>
      </c>
      <c r="D76" t="inlineStr">
        <is>
          <t>linkedin</t>
        </is>
      </c>
      <c r="E76" t="inlineStr"/>
      <c r="F76" t="inlineStr"/>
      <c r="G76" t="inlineStr">
        <is>
          <t>San Mateo, CA</t>
        </is>
      </c>
      <c r="H76" t="inlineStr"/>
      <c r="I76"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With Roblox’s daily active users growing at a record pace, we are seeking experienced machine learning engineers who thrive on solving complex challenges and designing scalable, ground breaking solutions. In this role, you will develop deep learning\-based models for user understanding, content/query analysis, and recommendation systems. Your work will lay the foundation for personalizing user experiences, enhancing engagement and retention, and driving growth within the creator ecosystem.
 In this role, you will contribute to the core systems that enable users to discover and interact with experiences across Roblox. These systems drive exploration and engagement across all surfaces, helping users find relevant and exciting content. Looking ahead, our team aims to innovate further by developing more personalized deep learning\-based recommendation algorithms and developing more comprehensive CV and NLP methods to better understand Roblox experiences.
 Our mission is to connect a billion users with the best content and connections at the right time, tackling diverse challenges at an unprecedented scale. Join us and play a pivotal role in shaping the future of Roblox’s systems.
**You Will**
* Design and implement large scale ML solutions to improve personalization including better user understanding as well as experience understanding using images, videos and text.
* Design and implement large scale recommendation models
* Author specs for new features and improvement
* Collaborate with other teams within Roblox to make sure we are building products with a community first approach.
* Balance researching new technologies with a practical approach to accomplish the research efforts into the Roblox products
* Communicate with the industry and communities where applicable and be ambassador for Roblox.
**You Have**
* 4\+ (for senior) years of experience designing and building scalable machine learning solutions. Experienced with transformer based model training, inference, and product integration. Break down product requirements into iterative deliverable stages.
* A BS in Computer Science or a related discipline, advanced degrees are a definite plus.
* You have initiated and facilitated challenging technical decisions.
* Compassion; you always start with the needs of the user, whether they are Roblox users or internal engineers.
* A creative and strategic approach to solving hard problems. You simplify the complex. You bring in fresh ideas from new places.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$243,290—$295,250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7">
      <c r="A77" t="inlineStr">
        <is>
          <t>li-4355719609</t>
        </is>
      </c>
      <c r="B77" t="inlineStr">
        <is>
          <t>Senior Machine Learning Engineer</t>
        </is>
      </c>
      <c r="C77" t="inlineStr">
        <is>
          <t>Qlik</t>
        </is>
      </c>
      <c r="D77" t="inlineStr">
        <is>
          <t>linkedin</t>
        </is>
      </c>
      <c r="E77" t="inlineStr"/>
      <c r="F77" t="inlineStr"/>
      <c r="G77" t="inlineStr">
        <is>
          <t>Salt Lake City, UT</t>
        </is>
      </c>
      <c r="H77" t="inlineStr"/>
      <c r="I77" t="inlineStr">
        <is>
          <t>Remote
 Duties: Design, develop, and optimize AutoML algorithms and frameworks to automate model selection, hyperparameter tuning, feature engineering, and deployment workflows. Research, prototype, and integrate state\-of\-the\-art machine learning and deep learning techniques into the AutoML framework. Collaborate cross\-functionally with data scientists, software engineers, MLOps engineers, and domain experts to understand user requirements and translate them into scalable solutions. Build, test, and deploy machine learning models in production environments, ensuring robustness, scalability, and efficiency. Contribute to the design of end\-to\-end machine learning pipelines, including data ingestion, preprocessing, model training, evaluation, deployment, and monitoring. Implement model monitoring, drift detection, and retraining strategies to ensure sustained model performance over time. Optimize model performance, resource utilization, and inference speed for production use cases. Ensure adherence to best practices in software engineering, including code reviews, version control, testing, and documentation. Stay up to date with industry trends, academic research, and emerging technologies in machine learning, AutoML, and AI infrastructure. Mentor and provide technical guidance to junior team members. May work remotely from anywhere in the U.S. Salary $90\-160K/year.
 Requirements: Master’s degree in Electrical Engineering, Computer Science, Machine Learning, Data Science, or a related field. 2 years of experience (before/during/after degree) as Test Engineer, Machine Learning Engineer, Software Engineer or related. 6 months (may be before/during/after degree and concurrent with 2 years) in the following: Python and one additional language, such as Java, C\+\+, Go, or comparable; Machine learning frameworks such as TensorFlow, PyTorch, scikit\-learn, XGBoost or comparable; Fine\-tuning large language models (GPT\-3, Jurassic\-Jumbo, GPT\-J) on GCP and Google Colab and deploying them into production for tasks such as text completion and summarization; Building production\-quality machine learning software using BERT or comparable LLM; Statistical and mathematical concepts related to machine learning; Working with cloud platforms and distributed computing technologies such as AWS and Google Cloud.</t>
        </is>
      </c>
    </row>
    <row r="78">
      <c r="A78" t="inlineStr">
        <is>
          <t>li-4343800652</t>
        </is>
      </c>
      <c r="B78" t="inlineStr">
        <is>
          <t>Staff AI Engineer - AI Platform</t>
        </is>
      </c>
      <c r="C78" t="inlineStr">
        <is>
          <t>ClickUp</t>
        </is>
      </c>
      <c r="D78" t="inlineStr">
        <is>
          <t>linkedin</t>
        </is>
      </c>
      <c r="E78" t="inlineStr"/>
      <c r="F78" t="inlineStr"/>
      <c r="G78" t="inlineStr"/>
      <c r="H78" t="inlineStr"/>
      <c r="I78"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**Role Overview:**
 We are seeking a highly skilled and experienced Staff AI Engineer – AI Platform to join our ClickUp Engineering team. In this role, you will play a critical part in both building the core AI platform and directly applying large language models (LLMs) to deliver intelligent features across ClickUp. You will focus on backend systems that enable scalable, reliable, and secure AI\-powered capabilities, while also working hands\-on with LLMs to solve real user problems and drive product innovation.
**Key Responsibilities:**
* Architect, design, and implement scalable AI platform services that support the deployment, orchestration, and lifecycle management of LLMs and other AI models.
* Apply LLMs and other AI technologies directly to build and enhance ClickUp’s intelligent features, working closely with product and engineering teams to deliver impactful solutions.
* Build and maintain robust APIs and backend systems that enable seamless integration of AI\-powered features into ClickUp’s core platform.
* Develop infrastructure for model serving, monitoring, logging, and automated evaluation to ensure high reliability and performance of AI services in production.
* Integrate with multiple LLM providers (e.g., OpenAI, Anthropic, Google) and manage model selection, routing, and fallback strategies for optimal performance and cost.
* Drive the adoption of best practices in AI privacy, security, and compliance, including data anonymization, secure data handling, and regulatory adherence.
* Optimize platform performance, scalability, and cost\-efficiency, leveraging cloud\-native technologies and distributed systems.
* Stay current with advancements in AI infrastructure, MLOps, and LLM applications, and proactively incorporate relevant innovations into ClickUp’s AI platform.
* Collaborate cross\-functionally with product, frontend, and data teams to deliver seamless, reliable, and user\-centric AI experiences.
**Qualifications:**
* Extensive experience designing and building scalable AI/ML platforms or infrastructure in a production environment.
* Proven track record of applying LLMs and AI models to real\-world product features and user\-facing solutions.
* Deep expertise in backend engineering, distributed systems, and cloud\-native technologies (e.g., Kubernetes, Docker, AWS/GCP/Azure).
* Proven experience integrating and managing multiple LLMs and AI models, with a strong understanding of their operational requirements and limitations.
* Proficiency in orchestration frameworks and workflow engines (e.g., LangGraph, Airflow, Kubeflow, Ray, or similar).
* Strong programming skills in Python, Go, TypeScript or similar languages used for backend and AI platform development.
* Experience with MLOps best practices, including model deployment, monitoring, logging, and automated evaluation.
* Demonstrated ability to address AI privacy and security challenges, including data anonymization and compliance with data protection regulations.
* Familiarity with search technologies and their integration into AI\-driven applications.
* Excellent collaboration and communication skills, with a track record of working effectively in cross\-functional teams.
* Passion for staying at the forefront of AI infrastructure and applying new technologies to solve real\-world problems at scale.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
 Compensation Range: $250K \- $300K</t>
        </is>
      </c>
    </row>
    <row r="79">
      <c r="A79" t="inlineStr">
        <is>
          <t>li-4373986930</t>
        </is>
      </c>
      <c r="B79" t="inlineStr">
        <is>
          <t>Senior Staff Machine Learning Engineer - AV Labs</t>
        </is>
      </c>
      <c r="C79" t="inlineStr">
        <is>
          <t>Uber</t>
        </is>
      </c>
      <c r="D79" t="inlineStr">
        <is>
          <t>linkedin</t>
        </is>
      </c>
      <c r="E79" t="inlineStr"/>
      <c r="F79" t="inlineStr"/>
      <c r="G79" t="inlineStr">
        <is>
          <t>San Francisco, CA</t>
        </is>
      </c>
      <c r="H79" t="inlineStr"/>
      <c r="I79" t="inlineStr">
        <is>
          <t>**About The Role**
 Uber is launching AV Labs to accelerate the autonomous technology ecosystem. We're building out a high\-velocity team of multi\-disciplinary experts to turn real\-world operations into high\-quality data for our autonomous partners. This team will be focused on the hardest problem in AV today: unlocking real\-world, long\-tail driving data. Autonomy is now a data race\-and Uber has an edge: We collect rare, real\-world driving data at a scale and capital efficiency no one else can match (millions of Uber trips every hour across cities, conditions, and edge cases create the data autonomy has been missing). We will build platforms that harness scale and real\-world complexity to reimagine how the world moves.
 You will be an AI/ML engineer in AV Labs and involved in the development and implementation of the latest machine learning techniques for computer vision and perception use cases. The ideal candidate will be able to identify issues, provide solutions and implement the fixes as well as setting a high technical excellence bar in all things we do. You'll be able to collaborate with other engineers across networking, storage, compute, big data and cloud engineering, as well as with partner engineering teams which enables Uber's mission of helping people go anywhere and get anything and earn their way.
**What You Will Do**
* Design and deliver software and tools as part of our state\-of\-the\-art Machine Learning platform.
* Participate in developing the vision and technology roadmap for ML and Computer Vision at Uber.
* Provide technical leadership, influence and partner with fellow engineers to architect, design and build scalable solutions for ML and Computer Vision technology that can stand the test of scale and availability, while reducing operational overhead.
* Systems architecture design, including management of upstream and downstream dependencies.
* Drive datasets to accelerate ML and Computer Vision technologies, sensor data collection, processing, labeling, indexing and building comprehensive driving scenarios.
* Collaborate with platform, product and security engineering teams, and enable successful use of the latest ML techniques.
* Own the craftsmanship, reliability, and scalability of your solutions.
* Mentor and guide the professional and technical development of engineers on your team, and continuously improve software engineering practices.
**Basic Qualifications**
* Minimum 8 years of working experience in the ML/Robotics industry
* Bachelor degree in computer science, computer engineering or related fields
* Proficient in Python and Linux
* Proficient in perception technologies
* Familiar with OpenCV, TensorFlow/PyTorch
* Experience in leading large initiatives
**Preferred Qualifications**
* Master or PhD degree in computer vision or robotics
* Familiar with C\+\+
* Familiar with the Robot Operating System (ROS)
 For San Francisco, CA\-based roles: The base salary range for this role is USD$267,000 per year \- USD$297,000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USD$267,000 per year \- USD$297,000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80">
      <c r="A80" t="inlineStr">
        <is>
          <t>li-4351296491</t>
        </is>
      </c>
      <c r="B80" t="inlineStr">
        <is>
          <t>Principal Machine Learning Engineer - Evisort AI</t>
        </is>
      </c>
      <c r="C80" t="inlineStr">
        <is>
          <t>Workday</t>
        </is>
      </c>
      <c r="D80" t="inlineStr">
        <is>
          <t>linkedin</t>
        </is>
      </c>
      <c r="E80" t="inlineStr"/>
      <c r="F80" t="inlineStr"/>
      <c r="G80" t="inlineStr">
        <is>
          <t>Seattle, WA</t>
        </is>
      </c>
      <c r="H80" t="inlineStr"/>
      <c r="I80"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Join the Evisort AI team at Workday, which powers Document Intelligence AI and Workday’s CLM and Contract Intelligence offerings. Our mission is to change the way business deals get done.
 We build ground breaking AI technology that can read and understand contract language to make every part of the deal\-making process from drafting, negotiating, reviewing, approving, or managing the contracts happen faster, better, with reduced risks. We build AI first products, and automate manual work, freeing up our customers time and accelerating their businesses.
 You will be joining the Evisort AI team, which functions as a startup within Workday. This is your opportunity to build at the pace of innovation of a startup, while backed by the enormous support and impacting Workday’s incredible customer base of 70M\+ users.
**About The Role**
 As a Principal Machine Learning Engineer, you will help develop tailored user experiences using advanced LLMs, Knowledge Graphs, personalization, and predictive analysis. You will collaborate with other engineers to deliver ML solutions across Workday’s product ecosystem and utilize software and data engineering stacks to enable training, deployment, and lifecycle management of various ML models. You will develop and deploy new products at scale and leverage Workday’s vast computing resources on rich datasets to deliver transformative value to our customers.
 In addition to contributing to feature and service development, you must have an approach of continuous improvement, passion for quality, scale, and security. You must be curious and prepared to question or challenge choices and practices where they don't make sense to you or could be improved. You also should have a product approach and strong intuition around how ML can drive a better customer experience. Lastly, a strong sense of ownership and teamwork are essential to succeed in this role.
**About You**
 Basic Qualifications
* 10\+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4\+ years of professional experience in machine learning and deep learning frameworks \&amp; toolkits such as Pytorch, TensorFlow
* 6\+ years of professional experience in building services to host machine learning models in production at scale
* 3\+ years of demonstrated experience working with large language models (LLMs), text generation models, and/or graph neural network models for real\-world use cases
* 6\+ years of proven experience with cloud computing platforms (e.g. AWS, GCP,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****Other Qualifications:****
* Stay up to date with advancements in AI, LLMs, RAG, autonomous agents and orchestration frameworks to drive innovation
* Deep understanding of statistical analysis, unsupervised and supervised machine learning algorithms, and natural language processing for information retrieval and/or recommendation system use cases
* Professional experience in independently solving ambiguous, open\-ended problems and technically leading teams
* Excellent interpersonal and communication skills, with the ability to build strong relationships across teams and stakeholders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USA.WA.Seattle
 Primary Location Base Pay Range: $215,000 USD \- $322,600 USD
 Additional US Location(s) Base Pay Range: $194,600 USD \- $345,600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row>
    <row r="81">
      <c r="A81" t="inlineStr">
        <is>
          <t>li-4372713781</t>
        </is>
      </c>
      <c r="B81" t="inlineStr">
        <is>
          <t>AI Engineer</t>
        </is>
      </c>
      <c r="C81" t="inlineStr">
        <is>
          <t>Underdog.io -Apply to top tech jobs in 60 seconds. A place where companies apply to you</t>
        </is>
      </c>
      <c r="D81" t="inlineStr">
        <is>
          <t>linkedin</t>
        </is>
      </c>
      <c r="E81" t="inlineStr"/>
      <c r="F81" t="inlineStr"/>
      <c r="G81" t="inlineStr"/>
      <c r="H81" t="inlineStr"/>
      <c r="I81" t="inlineStr">
        <is>
          <t>**Senior AI Developer** 
**Location:** 
 New York City, NY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No visa sponsorship.*</t>
        </is>
      </c>
    </row>
    <row r="82">
      <c r="A82" t="inlineStr">
        <is>
          <t>li-4343759270</t>
        </is>
      </c>
      <c r="B82" t="inlineStr">
        <is>
          <t>Staff AI Engineer - Multi-Agent Frameworks</t>
        </is>
      </c>
      <c r="C82" t="inlineStr">
        <is>
          <t>ClickUp</t>
        </is>
      </c>
      <c r="D82" t="inlineStr">
        <is>
          <t>linkedin</t>
        </is>
      </c>
      <c r="E82" t="inlineStr"/>
      <c r="F82" t="inlineStr"/>
      <c r="G82" t="inlineStr"/>
      <c r="H82" t="inlineStr"/>
      <c r="I82"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**Role Overview:**
 We are seeking a highly skilled and experienced Staff AI Engineer \- Multi\-Agent Frameworks to join our AI Platform team. In this role, you will play a pivotal part in building a cutting\-edge platform that empowers our users to create and deploy sophisticated intelligent agents, with a key focus on enabling
 **collaborative and multi\-agentic behaviors** 
 . This is a backend\-focused role that requires deep expertise in AI, large language models (LLMs), and orchestration software.
**Key Responsibilities:**
* Design, develop, and maintain a robust platform to enable users to create and manage AI agents and their interactions.
* Integrate and work with multiple LLMs, ensuring seamless orchestration and scalability for both individual and coordinated agent operations.
* Leverage orchestration frameworks like LangGraph and others to build complex workflows and pipelines that support diverse agent functionalities, including frameworks for multi\-agent coordination.
* Develop and implement evaluation frameworks for testing AI agents in challenging and complex scenarios, focusing on individual performance and system\-level dynamics.
* Stay at the forefront of AI advancements, incorporating the latest research and technologies into our platform to enhance agent capabilities and collaboration.
* Collaborate with cross\-functional teams, including product managers, designers, and frontend engineers, to deliver a seamless user experience for building and deploying intelligent systems.
* Address challenging AI privacy scenarios, ensuring compliance with data protection regulations and best practices within agent\-based applications.
* Contribute to improving search capabilities and integrating them into the AI platform to provide agents with essential information access.
**Qualifications:**
* Proven experience working with multiple LLMs (e.g., OpenAI, Anthropic, Cohere, etc.) and understanding their strengths and limitations.
* Expertise in orchestration software like LangGraph or similar frameworks used for building and managing agent workflows.
* Strong background in developing evaluation frameworks for AI systems, particularly in complex testing environments.
* Deep understanding of AI and machine learning fundamentals, with a focus on backend engineering.
* Passion for staying updated with the latest developments in AI and applying them to real\-world problems, particularly in the realm of agent technologies.
* Experience with challenging AI privacy scenarios, including data anonymization, secure data handling, and compliance.
* Experience with search technologies and their integration into AI systems.
* Experience building or deploying Multi\-Agent Frameworks or Multi\-Agent Systems.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
 Compensation Range: $250K \- $300K</t>
        </is>
      </c>
    </row>
    <row r="83">
      <c r="A83" t="inlineStr">
        <is>
          <t>li-4372866083</t>
        </is>
      </c>
      <c r="B83" t="inlineStr">
        <is>
          <t>Lead ML Engineer (Remote)</t>
        </is>
      </c>
      <c r="C83" t="inlineStr">
        <is>
          <t>Jobs via Dice</t>
        </is>
      </c>
      <c r="D83" t="inlineStr">
        <is>
          <t>linkedin</t>
        </is>
      </c>
      <c r="E83" t="inlineStr"/>
      <c r="F83" t="inlineStr"/>
      <c r="G83" t="inlineStr"/>
      <c r="H83" t="inlineStr"/>
      <c r="I83" t="inlineStr">
        <is>
          <t>Dice is the leading career destination for tech experts at every stage of their careers. Our client, Techaffinity Consulting, is seeking the following. Apply via Dice today!
**Title: Lead ML Engineer**
**Location: Remote**
**Duration: 6 Months \+**
**Job Description**
* We are seeking a highly skilled and communicative Machine Learning Engineer (8\+ years of experience) to join our AI team.
* In this role, you will bridge the gap between cutting\-edge AI research and practical, user\-facing applications.
* You will be responsible for designing, building, and deploying Generative AI models (LLMs, Diffusion Models) to solve complex business problems, while effectively communicating technical advancements to non\-technical stakeholders.
* The ideal candidate is both a hands\-on coder passionate about ML, Gen AI and a proactive collaborator who excels at explaining complex AI concepts to diverse teams.
* Roles \&amp; Responsibilities
**Key Responsibilities**
* GenAI Development: Architect, fine\-tune, and deploy Large Language Models (LLMs) and Generative AI techniques (e.g., RAG, PEFT/SFT) to improve business applications.
* Production Deployment: Build and maintain high\-performance, scalable ML pipelines and GPU\-based inference systems in cloud environments (AWS/Google Cloud Platform/Azure).
* Collaboration \&amp; Communication: Work closely with product managers, data scientists, and engineers to translate business requirements into technical specifications.
* Stakeholder Engagement: Clearly present AI methodologies, performance results, and technical trade\-offs to non\-technical stakeholders and leadership.
* Model Optimization: Implement prompt engineering, adversarial testing, and model optimization strategies to ensure high\-quality, efficient, and safe outputs.
* Stay Updated: Actively keep up with the latest advancements in GenAI research and incorporate them into our production systems.
* Team and project Coordination: Define project scope, timelines, deliverables, success metrics, co\-ordinate with and guide offshore technical team on project deliverables.
**Required Skills \&amp; Qualifications**
* Experience: 10\+ years of experience as an ML Engineer, with at least 1\-2 years dedicated to Generative AI or NLP projects, and good experience on AWS cloud platform.
* Technical Expertise: Strong proficiency in Python, and IDEs such as Cursor/AWS Kiro, deep learning frameworks (PyTorch or TensorFlow or), utilizing GitHub co\-pilot etc.
* GenAI Proficiency: Hands\-on experience with LLMs (e.g., GPT\-4, Llama), RAG architectures, LangChain, Vector Databases, Knowledge graphs, and Agentic AI
* MLOps and LLM Ops: Familiarity with Docker, Kubernetes, and CI/CD tools for ML.
* AWS Skills: S3, Lambda, Glue, AWS Sage maker, and AWS Bedrock platform
* Communication Skills: Excellent verbal and written communication skills; ability to articulate complex technical concepts simply.
* Stakeholder Management: Able to collaborate with key business/client stakeholders and manage their expectations
* Problem\-Solving: Proven ability to work independently in a fast\-paced environment and troubleshoot issues.
**Preferred Qualifications**
* Engineering degree in computer science or equivalent, and relevant certification in Machine learning
* Experience in banking or financial services domain Payments industry.</t>
        </is>
      </c>
    </row>
    <row r="84">
      <c r="A84" t="inlineStr">
        <is>
          <t>li-4372880583</t>
        </is>
      </c>
      <c r="B84" t="inlineStr">
        <is>
          <t>Legal AI Engineer</t>
        </is>
      </c>
      <c r="C84" t="inlineStr">
        <is>
          <t>Husch Blackwell</t>
        </is>
      </c>
      <c r="D84" t="inlineStr">
        <is>
          <t>linkedin</t>
        </is>
      </c>
      <c r="E84" t="inlineStr"/>
      <c r="F84" t="inlineStr"/>
      <c r="G84" t="inlineStr">
        <is>
          <t>Milwaukee, WI</t>
        </is>
      </c>
      <c r="H84" t="inlineStr"/>
      <c r="I84"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85">
      <c r="A85" t="inlineStr">
        <is>
          <t>li-4372871771</t>
        </is>
      </c>
      <c r="B85" t="inlineStr">
        <is>
          <t>Legal AI Engineer</t>
        </is>
      </c>
      <c r="C85" t="inlineStr">
        <is>
          <t>Husch Blackwell</t>
        </is>
      </c>
      <c r="D85" t="inlineStr">
        <is>
          <t>linkedin</t>
        </is>
      </c>
      <c r="E85" t="inlineStr"/>
      <c r="F85" t="inlineStr"/>
      <c r="G85" t="inlineStr">
        <is>
          <t>Chicago, IL</t>
        </is>
      </c>
      <c r="H85" t="inlineStr"/>
      <c r="I85"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86">
      <c r="A86" t="inlineStr">
        <is>
          <t>li-4372868792</t>
        </is>
      </c>
      <c r="B86" t="inlineStr">
        <is>
          <t>Legal AI Engineer</t>
        </is>
      </c>
      <c r="C86" t="inlineStr">
        <is>
          <t>Husch Blackwell</t>
        </is>
      </c>
      <c r="D86" t="inlineStr">
        <is>
          <t>linkedin</t>
        </is>
      </c>
      <c r="E86" t="inlineStr"/>
      <c r="F86" t="inlineStr"/>
      <c r="G86" t="inlineStr">
        <is>
          <t>Kansas City, MO</t>
        </is>
      </c>
      <c r="H86" t="inlineStr"/>
      <c r="I86"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87">
      <c r="A87" t="inlineStr">
        <is>
          <t>li-4372872706</t>
        </is>
      </c>
      <c r="B87" t="inlineStr">
        <is>
          <t>Legal AI Engineer</t>
        </is>
      </c>
      <c r="C87" t="inlineStr">
        <is>
          <t>Husch Blackwell</t>
        </is>
      </c>
      <c r="D87" t="inlineStr">
        <is>
          <t>linkedin</t>
        </is>
      </c>
      <c r="E87" t="inlineStr"/>
      <c r="F87" t="inlineStr"/>
      <c r="G87" t="inlineStr">
        <is>
          <t>Jefferson City, MO</t>
        </is>
      </c>
      <c r="H87" t="inlineStr"/>
      <c r="I87"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88">
      <c r="A88" t="inlineStr">
        <is>
          <t>li-4354692541</t>
        </is>
      </c>
      <c r="B88" t="inlineStr">
        <is>
          <t>Staff Machine Learning Engineer, Compute</t>
        </is>
      </c>
      <c r="C88" t="inlineStr">
        <is>
          <t>General Motors</t>
        </is>
      </c>
      <c r="D88" t="inlineStr">
        <is>
          <t>linkedin</t>
        </is>
      </c>
      <c r="E88" t="inlineStr"/>
      <c r="F88" t="inlineStr"/>
      <c r="G88" t="inlineStr">
        <is>
          <t>Sunnyvale, CA</t>
        </is>
      </c>
      <c r="H88" t="inlineStr"/>
      <c r="I88" t="inlineStr">
        <is>
          <t>**Job Description**
**Staff ML Engineer, ML Compute Platform**
**About the Team:**
 The ML Compute Platform is part of the AI Compute Platform organization within Infrastructure Platforms. Our team owns the cloud\-agnostic, reliable, and cost\-efficient compute backend that powers GM AI. We’re proud to serve as the AI infrastructure platform for teams developing autonomous vehicles (L3/L4/L5\), as well as other groups building AI\-driven products for GM and its customers.
 We enable rapid innovation and feature development by optimizing for high\-priority, ML\-centric use cases. Our platform supports the training and deployment of state\-of\-the\-art (SOTA) machine learning models with a focus on performance, availability, concurrency, and scalability. We’re committed to maximizing GPU utilization across platforms while maintaining reliability and cost efficiency.
**About the Role:**
 We are looking for a Staff Software Engineer to join our team and help us scale our platform for performance, reliability, and usability. You’ll be responsible for building critical backend services, integrating with GPU hardware and orchestration systems, and driving improvements to both system architecture and user experience.
 This is a hands\-on engineering role that requires a strong background in distributed systems, infrastructure, and a product mindset with a keen eye for user experience.
**What you’ll be doing:**
* Design core platform backend software components
* Experience cloud platforms like GCP, Azure
* Thrive in a dynamic, multi\-tasking environment with ever\-evolving priorities. Interface with other teams to incorporate their innovations and vice versa
* Analyze and improve efficiency, scalability, and stability of various system resources
* Proactively identify, drive and design large initiatives across GM ML ecosystem
**At a Minimum We'd Like You To Have**
* 7\+ years of industry experience
* Expertise in either Go, C\+\+, Python or other relevant coding languages
* Strong background with kubernetes at scale
* Relevant experience building large\-scale with distributed systems
* Experience leading and driving large scale initiatives
* Experience working with Google Cloud Platform, Microsoft Azure, or Amazon Web Services
**It's Preferred If You Have**
* Hands\-on experience in ML platforms
* Experience with GPU/TPU optimizations
* Experience with training frameworks like PyTorch, TorchX
* Experience with Ray framework
* Leadership/active participation in the open source community
* Experience infrastructure applications or similar experience
**Why Join Us?**
 If you’re excited to tackle some of today’s most complex engineering challenges, see the impact of your work in real\-world AV applications, and help shape the future of AI infrastructure at GM—this is the team for you.
**Compensation:**
* The expected base CA compensation for this role is: $198,900 \- $304,800\. Actual base compensation within the identified range will vary based on factors relevant to the position.
* You also need to include general information about potential commissions, if applicable.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89">
      <c r="A89" t="inlineStr">
        <is>
          <t>li-4372884803</t>
        </is>
      </c>
      <c r="B89" t="inlineStr">
        <is>
          <t>Applied Scientist - Pricing, Rider Engagement</t>
        </is>
      </c>
      <c r="C89" t="inlineStr">
        <is>
          <t>CHEManager International</t>
        </is>
      </c>
      <c r="D89" t="inlineStr">
        <is>
          <t>linkedin</t>
        </is>
      </c>
      <c r="E89">
        <f>HYPERLINK("https://www.linkedin.com/jobs/view/4372884803", "https://www.linkedin.com/jobs/view/4372884803")</f>
        <v/>
      </c>
      <c r="F89">
        <f>HYPERLINK("https://www.diversityinresearch.careers/job/1949556/applied-scientist-pricing-rider-engagement/&amp;urlHash=me8G", "https://www.diversityinresearch.careers/job/1949556/applied-scientist-pricing-rider-engagement/&amp;urlHash=me8G")</f>
        <v/>
      </c>
      <c r="G89" t="inlineStr">
        <is>
          <t>New York, NY</t>
        </is>
      </c>
      <c r="H89" t="inlineStr"/>
      <c r="I89"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Rider Engagement is a fast\-growing team within Pricing, focused on developing rider\-facing engagement levers and optimizing user pricing experience to drive both short term and long term business outcomes.
 As an Applied Scientist specializing in Machine Learning and Operational Research on this team, you will develop mathematical models and launch algorithms that power core discounting systems and pricing decisions. You will be hands\-on with building ML and optimization models, productionizing pipelines, building and scaling systems that deal with real\-time data processing, large data storage and critical business problems that have a big impact on the marketplace and customer experience. You will get exposure to diverse problems across optimization, prediction, machine learning, and inference; you will collaborate with teammates and stakeholders to build and scale our systems and enhance algorithms.
 We are looking for someone who is excited about working in a fast\-paced, innovative, and impactful environment, and is adept at balancing complexity and efficiency to translate real world business problems into reliable solutions, systems and decisioning frameworks.
**Responsibilities**
* Partner with Data Scientists, Engineers, Product Managers, and Business Partners to frame problems mathematically and within the business context
* Write production quality code. Design, build and deploy production\-grade ML models.
* Perform data analysis and build proof\-of\-concept to explore and propose ML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M.S. or Ph.D. in Machine Learning, Operations Research, Statistics, Computer Science or other quantitative fields
* 2\+ years of machine learning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90">
      <c r="A90" t="inlineStr">
        <is>
          <t>li-4372887519</t>
        </is>
      </c>
      <c r="B90" t="inlineStr">
        <is>
          <t>Applied Scientist - Pricing, Rider Engagement</t>
        </is>
      </c>
      <c r="C90" t="inlineStr">
        <is>
          <t>CHEManager International</t>
        </is>
      </c>
      <c r="D90" t="inlineStr">
        <is>
          <t>linkedin</t>
        </is>
      </c>
      <c r="E90">
        <f>HYPERLINK("https://www.linkedin.com/jobs/view/4372887519", "https://www.linkedin.com/jobs/view/4372887519")</f>
        <v/>
      </c>
      <c r="F90" t="inlineStr"/>
      <c r="G90" t="inlineStr">
        <is>
          <t>San Francisco, CA</t>
        </is>
      </c>
      <c r="H90" t="inlineStr"/>
      <c r="I90"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Rider Engagement is a fast\-growing team within Pricing, focused on developing rider\-facing engagement levers and optimizing user pricing experience to drive both short term and long term business outcomes.
 As an Applied Scientist specializing in Machine Learning and Operational Research on this team, you will develop mathematical models and launch algorithms that power core discounting systems and pricing decisions. You will be hands\-on with building ML and optimization models, productionizing pipelines, building and scaling systems that deal with real\-time data processing, large data storage and critical business problems that have a big impact on the marketplace and customer experience. You will get exposure to diverse problems across optimization, prediction, machine learning, and inference; you will collaborate with teammates and stakeholders to build and scale our systems and enhance algorithms.
 We are looking for someone who is excited about working in a fast\-paced, innovative, and impactful environment, and is adept at balancing complexity and efficiency to translate real world business problems into reliable solutions, systems and decisioning frameworks.
**Responsibilities**
* Partner with Data Scientists, Engineers, Product Managers, and Business Partners to frame problems mathematically and within the business context
* Write production quality code. Design, build and deploy production\-grade ML models.
* Perform data analysis and build proof\-of\-concept to explore and propose ML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M.S. or Ph.D. in Machine Learning, Operations Research, Statistics, Computer Science or other quantitative fields
* 2\+ years of machine learning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91">
      <c r="A91" t="inlineStr">
        <is>
          <t>li-4374119354</t>
        </is>
      </c>
      <c r="B91" t="inlineStr">
        <is>
          <t>Data Scientist + ML Engineer - Gen AI</t>
        </is>
      </c>
      <c r="C91" t="inlineStr">
        <is>
          <t>Russell Tobin</t>
        </is>
      </c>
      <c r="D91" t="inlineStr">
        <is>
          <t>linkedin</t>
        </is>
      </c>
      <c r="E91">
        <f>HYPERLINK("https://www.linkedin.com/jobs/view/4374119354", "https://www.linkedin.com/jobs/view/4374119354")</f>
        <v/>
      </c>
      <c r="F91" t="inlineStr"/>
      <c r="G91" t="inlineStr">
        <is>
          <t>Cupertino, CA</t>
        </is>
      </c>
      <c r="H91" t="inlineStr"/>
      <c r="I91" t="inlineStr">
        <is>
          <t>**Job Title**
 :
 Data Scientist \+ ML Engineer (Gen AI)
**Location**
 :
 Cupertino, CA \- hybrid 
**Duration**
 : 12\+ Months with Possible Extension
**Pay Range**
 : $70 \- $74\.63/hr on W2
**Job Summary**
**Description:**
* We are looking for a highly skilled Data Scientist \+ ML Engineer (Generative AI) to join our team. In this role, you will be responsible for developing, fine\-tuning, and applying advanced generative AI models \&amp;mdash; including diffusion models, large language models (LLMs), and other state\-of\-the\-art architectures. You will collaborate closely with cross\-functional partners in research, data engineering, and operations to deliver high\-quality machine learning solutions and scalable datasets.
* This position requires a balance of technical depth and creative problem\-solving. You should be comfortable working with large, complex datasets and possess a strong grasp of modern ML frameworks, distributed computing environments, and end\-to\-end data pipelines.
**Responsibilities:**
* Design and Implement LLM\-Driven Synthetic Data Pipelines: Design and build workflows using LLMs and Gen AI
* techniques to create high\-volume, high\-quality synthetic data for model training and testing.
* Design, implement, and deploy machine learning models with a focus on generative AI (diffusion models, LLMs, and
* related architectures)
* Fine\-tune, evaluate, and optimize large language models for specific downstream tasks and data needs
* Develop and maintain scalable data pipelines supporting training, evaluation, and inference workflows
* Conduct exploratory data analysis to surface insights and identify opportunities for model or data improvement
* Partner cross\-functionally with researchers, engineers, and data program managers to define requirements and deliver high\-impact ML solutions
* Build and enhance internal tools, libraries, and automation workflows to accelerate experimentation and iteration
**Required Experience and skills:**
* Bachelor’s degree in Computer Science or related field from an accredited U.S. institution
* 2\+ years of experience in Machine Learning or Software Engineering
* Expert\-level proficiency in Python and familiarity with deep learning frameworks such as PyTorch
* Strong foundation in machine learning algorithms, data preprocessing, and evaluation techniques
* Demonstrated experience working with diffusion models, stable diffusion, or large language models (LLMs)
* Excellent analytical, problem\-solving, and debugging skills
* Strong communication and documentation skills with the ability to explain complex concepts clearly
* Ability to work independently in a fast\-paced, iterative development environment
**Benefits Info**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\#CB
 \#RTA</t>
        </is>
      </c>
    </row>
    <row r="92">
      <c r="A92" t="inlineStr">
        <is>
          <t>li-4347449532</t>
        </is>
      </c>
      <c r="B92" t="inlineStr">
        <is>
          <t>Senior Machine Learning Engineer</t>
        </is>
      </c>
      <c r="C92" t="inlineStr">
        <is>
          <t>Parker B Associates</t>
        </is>
      </c>
      <c r="D92" t="inlineStr">
        <is>
          <t>linkedin</t>
        </is>
      </c>
      <c r="E92">
        <f>HYPERLINK("https://www.linkedin.com/jobs/view/4347449532", "https://www.linkedin.com/jobs/view/4347449532")</f>
        <v/>
      </c>
      <c r="F92" t="inlineStr"/>
      <c r="G92" t="inlineStr"/>
      <c r="H92" t="inlineStr"/>
      <c r="I92" t="inlineStr">
        <is>
          <t>Senior Machine Learning Engineer (Green card holder / US Citizen ONLY)
 New York
 Permanent
 €190,000 – €250,000
 Our client, a global financial services firm, is seeking a Senior Machine Learning Engineer to join the team permanently.
 Wouldn’t it be great to work on AI projects that actually have a big impact?
 This opportunity is to build advanced insurance capabilities across the enterprise and develop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across underwriting, claims, and risk management
* Translate complex concepts into actionable business insights
* Research and apply the latest advancements for continuous improvement
 Full job spec will be provided upon request.
 Skills/ Experience:
* Masters degree
* Background in data science \&amp; machine learning techniques
* Generative AI/ LLM \- bonus
* Python \&amp; SQL
* Developed end\-to\-end AI solutions
* Cloud expertise
 If interested or for further information, please apply asap.
 Keywords – Senior Data Scientist, Senior AI engineer, AI engineer, Senior ML Engineer,</t>
        </is>
      </c>
    </row>
    <row r="93">
      <c r="A93" t="inlineStr">
        <is>
          <t>li-4366320152</t>
        </is>
      </c>
      <c r="B93" t="inlineStr">
        <is>
          <t>Applied Scientist, AWS Applied AI Solutions</t>
        </is>
      </c>
      <c r="C93" t="inlineStr">
        <is>
          <t>Amazon Web Services (AWS)</t>
        </is>
      </c>
      <c r="D93" t="inlineStr">
        <is>
          <t>linkedin</t>
        </is>
      </c>
      <c r="E93">
        <f>HYPERLINK("https://www.linkedin.com/jobs/view/4366320152", "https://www.linkedin.com/jobs/view/4366320152")</f>
        <v/>
      </c>
      <c r="F93" t="inlineStr"/>
      <c r="G93" t="inlineStr">
        <is>
          <t>New York, United States</t>
        </is>
      </c>
      <c r="H93" t="inlineStr"/>
      <c r="I93" t="inlineStr">
        <is>
          <t>**Description**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
**Company** 
 \- Amazon Web Services, Inc.
 Job ID: A3166907</t>
        </is>
      </c>
    </row>
    <row r="94">
      <c r="A94" t="inlineStr">
        <is>
          <t>li-4366329000</t>
        </is>
      </c>
      <c r="B94" t="inlineStr">
        <is>
          <t>Applied Scientist , TSI Science</t>
        </is>
      </c>
      <c r="C94" t="inlineStr">
        <is>
          <t>Amazon</t>
        </is>
      </c>
      <c r="D94" t="inlineStr">
        <is>
          <t>linkedin</t>
        </is>
      </c>
      <c r="E94">
        <f>HYPERLINK("https://www.linkedin.com/jobs/view/4366329000", "https://www.linkedin.com/jobs/view/4366329000")</f>
        <v/>
      </c>
      <c r="F94" t="inlineStr"/>
      <c r="G94" t="inlineStr">
        <is>
          <t>Seattle, WA</t>
        </is>
      </c>
      <c r="H94" t="inlineStr"/>
      <c r="I94" t="inlineStr">
        <is>
          <t>**Description**
 Do you want to join an innovative team of scientists who use machine learning and statistical techniques to help Amazon provide the best customer experience by preventing eCommerce fraud? Are you excited by the prospect of analyzing and modeling terabytes of data and creating state\-of\-the\-art algorithms to solve real world problems? Do you like to own end\-to\-end business problems/metrics and directly impact the profitability of the company? Do you enjoy collaborating in a diverse team environment?
 If yes, then you may be a great fit to join the Amazon Selling Partner Trust \&amp; Store Integrity Science Team. We are looking for a talented scientist who is passionate to build advanced machine learning systems that help manage the safety of millions of transactions every day and scale up our operation with automation.
 Key job responsibilities
 Innovate with the latest GenAI/LLM/VLM technology to build highly automated solutions for efficient risk evaluation and automated operations
 Design, develop and deploy end\-to\-end machine learning solutions in the Amazon production environment to create impactful business value
 Learn, explore and experiment with the latest machine learning advancements to create the best customer experience
 A day in the life
 You will be working within a dynamic, diverse, and supportive group of scientists who share your passion for innovation and excellence.
 You'll be working closely with business partners and engineering teams to create end\-to\-end scalable machine learning solutions that address real\-world problems. You will build scalable, efficient, and automated processes for large\-scale data analyses, model development, model validation, and model implementation.
 You will also be providing clear and compelling reports for your solutions and contributing to the ongoing innovation and knowledge\-sharing that are central to the team's success.
**Basic Qualifications**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Track record of leading large\-scale AI transformation projects, and strong publication record in top\-tier conferences/journals such as CVPR, NeuIPS, ICML, ACL, EMNLP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A3166928</t>
        </is>
      </c>
    </row>
    <row r="95">
      <c r="A95" t="inlineStr">
        <is>
          <t>li-4366319140</t>
        </is>
      </c>
      <c r="B95" t="inlineStr">
        <is>
          <t>Senior Applied Scientist, Amazon Industrial Robotics</t>
        </is>
      </c>
      <c r="C95" t="inlineStr">
        <is>
          <t>Amazon</t>
        </is>
      </c>
      <c r="D95" t="inlineStr">
        <is>
          <t>linkedin</t>
        </is>
      </c>
      <c r="E95">
        <f>HYPERLINK("https://www.linkedin.com/jobs/view/4366319140", "https://www.linkedin.com/jobs/view/4366319140")</f>
        <v/>
      </c>
      <c r="F95" t="inlineStr"/>
      <c r="G95" t="inlineStr">
        <is>
          <t>Middlesex County, MA</t>
        </is>
      </c>
      <c r="H95" t="inlineStr"/>
      <c r="I95"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A day in the life
* Lead design and implementation of methods for Visual SLAM, navigation and spatial reasoning
* Leverage simulation and real\-world data collection to create large datasets for model development
* Develop a hierarchical system that combines low\-level control with high\-level planning
* Collaborate effectively with multi\-disciplinary teams to co\-design hardware and algorithms for dexterous manipulation
**Basic Qualifications**
* PhD, or Master's degree and 6\+ years of applied research experience
* Experience programming in Java, C\+\+, Python or related language
* High expertise and experience with state\-of\-the\-art in SLAM techniques
* Experience with data generation in simulation and real world
**Preferred Qualifications**
* Experience working effectively across cross\-functional teams and partnering well with people at all levels within an organization
* PhD in Robotics, with focus on SLAM
* Experience in robotic manipulation, LLM, VLA, MPC and RL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A3167164</t>
        </is>
      </c>
    </row>
    <row r="96">
      <c r="A96" t="inlineStr">
        <is>
          <t>li-4366311384</t>
        </is>
      </c>
      <c r="B96" t="inlineStr">
        <is>
          <t>Senior Applied Scientist, Amazon Industrial Robotics</t>
        </is>
      </c>
      <c r="C96" t="inlineStr">
        <is>
          <t>Amazon</t>
        </is>
      </c>
      <c r="D96" t="inlineStr">
        <is>
          <t>linkedin</t>
        </is>
      </c>
      <c r="E96">
        <f>HYPERLINK("https://www.linkedin.com/jobs/view/4366311384", "https://www.linkedin.com/jobs/view/4366311384")</f>
        <v/>
      </c>
      <c r="F96" t="inlineStr"/>
      <c r="G96" t="inlineStr">
        <is>
          <t>Middlesex County, MA</t>
        </is>
      </c>
      <c r="H96" t="inlineStr"/>
      <c r="I96"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A day in the life
* Lead design and implementation of methods for Visual SLAM, navigation and spatial reasoning
* Leverage simulation and real\-world data collection to create large datasets for model development
* Develop a hierarchical system that combines low\-level control with high\-level planning
* Collaborate effectively with multi\-disciplinary teams to co\-design hardware and algorithms for dexterous manipulation
**Basic Qualifications**
* PhD, or Master's degree and 6\+ years of applied research experience
* Experience programming in Java, C\+\+, Python or related language
* High expertise and experience with state\-of\-the\-art in SLAM techniques
* Experience with data generation in simulation and real world
**Preferred Qualifications**
* Experience working effectively across cross\-functional teams and partnering well with people at all levels within an organization
* PhD in Robotics, with focus on SLAM
* Experience in robotic manipulation, LLM, VLA, MPC and RL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A3167164</t>
        </is>
      </c>
    </row>
    <row r="97">
      <c r="A97" t="inlineStr">
        <is>
          <t>li-4366319138</t>
        </is>
      </c>
      <c r="B97" t="inlineStr">
        <is>
          <t>Sr. Applied Scientist, Measurement, AdTech and Data Science , Performance Measurement</t>
        </is>
      </c>
      <c r="C97" t="inlineStr">
        <is>
          <t>Amazon</t>
        </is>
      </c>
      <c r="D97" t="inlineStr">
        <is>
          <t>linkedin</t>
        </is>
      </c>
      <c r="E97">
        <f>HYPERLINK("https://www.linkedin.com/jobs/view/4366319138", "https://www.linkedin.com/jobs/view/4366319138")</f>
        <v/>
      </c>
      <c r="F97" t="inlineStr"/>
      <c r="G97" t="inlineStr">
        <is>
          <t>Seattle, WA</t>
        </is>
      </c>
      <c r="H97" t="inlineStr"/>
      <c r="I97" t="inlineStr">
        <is>
          <t>**Description**
 The Ads Measurement Science team within Amazon Ads' Measurement, AdTech, and Data Science (MADS) organization
 serves a centralized role developing solutions for a multitude of performance measurement products to measure the full impact of advertiser spend, including both online and offline sales impacts across all timeframes. It delivers actionable insights for advertisers to optimize media portfolios. We also build science solutions for AI and AI\-powered tools that unlock new insights and automate high\-effort customer workflows for ad measurement, such as custom query and report generation based on natural language user requests. We leverage new technologies including Generative AI, machine learning, causal inference, natural Language Processing (NLP), and Computer Vision (CV) to drive these innovations.
 A key focus of this role is Modeled Attribution, Amazon's privacy\-compliant measurement system serving millions of advertisers and processing billions of events monthly across global marketplaces. We apply state\-of\-the\-art machine learning and GenAI techniques to generate accurate measurement when user identity is unavailable, representing Amazon's technical response to industry\-transforming privacy regulations and platform changes.
 As a Senior Applied Scientist (Applied Scientist III) on the team, you will lead the development of measurement solutions end\-to\-end from inception to production. You will define the technical vision for complex measurement initiatives that span multiple teams. You will drive scientific innovation at scale while influencing business and engineering strategies. You will propose, design, analyze, and productionize models to provide novel measurement insights to our customers.
 Key job responsibilities
* Innovate on state\-of\-the\-art ads measurement solutions leveraging artificial intelligence, causal inference, natural language processing, computer vision, and large language models
* Directly contribute to the end\-to\-end delivery of production solutions through careful designs and owning implementation of significant portions of critical\-path code
* Lead the decomposition of problems and development of roadmaps to execute on it
* Set an example for others with exemplary analyses; maintainable, extensible code; and simple, effective solutions
* Influence team business and engineering strategies
* Communicate clearly and effectively with stakeholders to drive alignment and build consensus on key initiatives
* Foster collaborations among scientists and engineers to move fast and broaden impact
* Actively engage in the development of others, both within and outside of the team
* Regularly engage with the broader science community with presentations, publications, and patents
**About The Team**
 We are a team of scientists across Applied, Research, Data Science and Economist disciplines. You will work with colleagues with deep expertise in ML, NLP, CV, Gen AI, and Causal Inference with a diverse range of backgrounds. We partner closely with top\-notch engineers, product managers, sales leaders, and other scientists with expertise in the ads industry and on building scalable modeling and software solutions.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
**Company** 
 \- Amazon.com Services LLC
 Job ID: A3167249</t>
        </is>
      </c>
    </row>
    <row r="98">
      <c r="A98" t="inlineStr">
        <is>
          <t>li-4374128126</t>
        </is>
      </c>
      <c r="B98" t="inlineStr">
        <is>
          <t>Machine Learning Engineer</t>
        </is>
      </c>
      <c r="C98" t="inlineStr">
        <is>
          <t>Tagup</t>
        </is>
      </c>
      <c r="D98" t="inlineStr">
        <is>
          <t>linkedin</t>
        </is>
      </c>
      <c r="E98">
        <f>HYPERLINK("https://www.linkedin.com/jobs/view/4374128126", "https://www.linkedin.com/jobs/view/4374128126")</f>
        <v/>
      </c>
      <c r="F98" t="inlineStr"/>
      <c r="G98" t="inlineStr">
        <is>
          <t>New York, NY</t>
        </is>
      </c>
      <c r="H98" t="inlineStr"/>
      <c r="I98" t="inlineStr">
        <is>
          <t>Tagup is a defense technology company founded at MIT that is redefining logistics superiority with next\-generation AI. We’re growing rapidly and are looking for change\-makers passionate about delivering innovative technologies to solve the most challenging problems in the world’s highest stakes environments. This is an exciting opportunity to engage in meaningful work that strengthens national security and contributes to the success of U.S. and allied forces. Join us in shaping the future of defense logistics for a safer tomorrow.
 We are seeking a Machine Learning Engineer to join our Salt Lake City team and help shape the next generation of AI\-driven defense and aviation systems. In this role, you’ll go beyond building models — you’ll design, deploy, and scale AI solutions that directly support mission\-critical operations.
 This is not a typical ML position. You’ll work at the intersection of cutting\-edge research and real\-world application, creating models and infrastructure that deliver measurable improvements in reliability, efficiency, and performance.
 If you’re motivated by solving complex technical challenges and want your work to make a tangible impact on national security and aviation safety, we want to hear from you.
**What You’ll Do**
* Develop, train, and optimize ML models for large\-scale applications
* Build pipelines for data ingestion and model deployment
* Work with engineers and subject\-matter experts to refine solutions
* Conduct testing and validation to ensure reliability
* Co\-author technical reports on data analysis and model performance
* Continuously improve ML infrastructure and workflows
* Collaborate with customers to identify new data sources and the industrial processes they will support; some customer travel may be required
**What We’re Looking For**
* 4\+ years of machine learning experience, with strong Python skills and proficiency in frameworks such as PyTorch or TensorFlow
* Proven ability to deploy ML models into production and work with large, complex datasets
* Hands\-on experience with MLOps tools and practices, including Kubernetes, MLflow, and CI/CD pipelines
* Experience building and managing cloud infrastructure as code (AWS, Azure, or GCP) with tools such as Terraform or Ansible
* Familiarity with datastores (MySQL, Postgres, or MongoDB) and prior exposure to aviation, defense, or other safety\-critical environments is a plus
 Salary
 The estimated salary range for this position is between $125,000 and $165,000 annually. We strive to provide a competitive salary and benefits package that aligns with our employees’ experience and qualifications. Our primary objective is to attract and retain top talent, and we firmly believe in compensating our employees fairly for their invaluable contributions.
 As a rapidly expanding technology company, we extend part\-ownership to all team members through an Employee Stock Option Plan. Additionally, we offer comprehensive health insurance benefits, access to the company’s 401K plan, and foster a team\-oriented work environment with regular company outings!
 Why Join Us?
 This is your opportunity to move beyond academic experiments and build AI models that make a real difference in defense and industry. At Tagup, you’ll work with a world\-class, agile team in a supportive environment that encourages rapid iteration and continuous learning.
 Tagup is an equal opportunity employer and individuals seeking employment with us are considered without regard to race, color, religion, national origin, age, sex, marital status, physical or mental disability, veteran status, gender identity, sexual orientation, or any other characteristic protected by law.
 Citizenship
 **: Due to the nature of our work with the U.S. Department of Defense, applicants must be authorized to work for any employer in the U.S. We are unable to sponsor visas at this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9">
      <c r="A99" t="inlineStr">
        <is>
          <t>li-4374124209</t>
        </is>
      </c>
      <c r="B99" t="inlineStr">
        <is>
          <t>Machine Learning Engineer</t>
        </is>
      </c>
      <c r="C99" t="inlineStr">
        <is>
          <t>Tagup</t>
        </is>
      </c>
      <c r="D99" t="inlineStr">
        <is>
          <t>linkedin</t>
        </is>
      </c>
      <c r="E99">
        <f>HYPERLINK("https://www.linkedin.com/jobs/view/4374124209", "https://www.linkedin.com/jobs/view/4374124209")</f>
        <v/>
      </c>
      <c r="F99" t="inlineStr"/>
      <c r="G99" t="inlineStr">
        <is>
          <t>Boston, MA</t>
        </is>
      </c>
      <c r="H99" t="inlineStr"/>
      <c r="I99" t="inlineStr">
        <is>
          <t>Tagup is a defense technology company founded at MIT that is redefining logistics superiority with next\-generation AI. We’re growing rapidly and are looking for change\-makers passionate about delivering innovative technologies to solve the most challenging problems in the world’s highest stakes environments. This is an exciting opportunity to engage in meaningful work that strengthens national security and contributes to the success of U.S. and allied forces. Join us in shaping the future of defense logistics for a safer tomorrow.
 We are seeking a Machine Learning Engineer to join our Salt Lake City team and help shape the next generation of AI\-driven defense and aviation systems. In this role, you’ll go beyond building models — you’ll design, deploy, and scale AI solutions that directly support mission\-critical operations.
 This is not a typical ML position. You’ll work at the intersection of cutting\-edge research and real\-world application, creating models and infrastructure that deliver measurable improvements in reliability, efficiency, and performance.
 If you’re motivated by solving complex technical challenges and want your work to make a tangible impact on national security and aviation safety, we want to hear from you.
**What You’ll Do**
* Develop, train, and optimize ML models for large\-scale applications
* Build pipelines for data ingestion and model deployment
* Work with engineers and subject\-matter experts to refine solutions
* Conduct testing and validation to ensure reliability
* Co\-author technical reports on data analysis and model performance
* Continuously improve ML infrastructure and workflows
* Collaborate with customers to identify new data sources and the industrial processes they will support; some customer travel may be required
**What We’re Looking For**
* 4\+ years of machine learning experience, with strong Python skills and proficiency in frameworks such as PyTorch or TensorFlow
* Proven ability to deploy ML models into production and work with large, complex datasets
* Hands\-on experience with MLOps tools and practices, including Kubernetes, MLflow, and CI/CD pipelines
* Experience building and managing cloud infrastructure as code (AWS, Azure, or GCP) with tools such as Terraform or Ansible
* Familiarity with datastores (MySQL, Postgres, or MongoDB) and prior exposure to aviation, defense, or other safety\-critical environments is a plus
 Salary
 The estimated salary range for this position is between $125,000 and $165,000 annually. We strive to provide a competitive salary and benefits package that aligns with our employees’ experience and qualifications. Our primary objective is to attract and retain top talent, and we firmly believe in compensating our employees fairly for their invaluable contributions.
 As a rapidly expanding technology company, we extend part\-ownership to all team members through an Employee Stock Option Plan. Additionally, we offer comprehensive health insurance benefits, access to the company’s 401K plan, and foster a team\-oriented work environment with regular company outings!
 Why Join Us?
 This is your opportunity to move beyond academic experiments and build AI models that make a real difference in defense and industry. At Tagup, you’ll work with a world\-class, agile team in a supportive environment that encourages rapid iteration and continuous learning.
 Tagup is an equal opportunity employer and individuals seeking employment with us are considered without regard to race, color, religion, national origin, age, sex, marital status, physical or mental disability, veteran status, gender identity, sexual orientation, or any other characteristic protected by law.
 Citizenship
 **: Due to the nature of our work with the U.S. Department of Defense, applicants must be authorized to work for any employer in the U.S. We are unable to sponsor visas at this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0">
      <c r="A100" t="inlineStr">
        <is>
          <t>li-4374125183</t>
        </is>
      </c>
      <c r="B100" t="inlineStr">
        <is>
          <t>Machine Learning Engineer</t>
        </is>
      </c>
      <c r="C100" t="inlineStr">
        <is>
          <t>Tagup</t>
        </is>
      </c>
      <c r="D100" t="inlineStr">
        <is>
          <t>linkedin</t>
        </is>
      </c>
      <c r="E100">
        <f>HYPERLINK("https://www.linkedin.com/jobs/view/4374125183", "https://www.linkedin.com/jobs/view/4374125183")</f>
        <v/>
      </c>
      <c r="F100" t="inlineStr"/>
      <c r="G100" t="inlineStr">
        <is>
          <t>Salt Lake City, UT</t>
        </is>
      </c>
      <c r="H100" t="inlineStr"/>
      <c r="I100" t="inlineStr">
        <is>
          <t>Tagup is a defense technology company founded at MIT that is redefining logistics superiority with next\-generation AI. We’re growing rapidly and are looking for change\-makers passionate about delivering innovative technologies to solve the most challenging problems in the world’s highest stakes environments. This is an exciting opportunity to engage in meaningful work that strengthens national security and contributes to the success of U.S. and allied forces. Join us in shaping the future of defense logistics for a safer tomorrow.
 We are seeking a Machine Learning Engineer to join our Salt Lake City team and help shape the next generation of AI\-driven defense and aviation systems. In this role, you’ll go beyond building models — you’ll design, deploy, and scale AI solutions that directly support mission\-critical operations.
 This is not a typical ML position. You’ll work at the intersection of cutting\-edge research and real\-world application, creating models and infrastructure that deliver measurable improvements in reliability, efficiency, and performance.
 If you’re motivated by solving complex technical challenges and want your work to make a tangible impact on national security and aviation safety, we want to hear from you.
**What You’ll Do**
* Develop, train, and optimize ML models for large\-scale applications
* Build pipelines for data ingestion and model deployment
* Work with engineers and subject\-matter experts to refine solutions
* Conduct testing and validation to ensure reliability
* Co\-author technical reports on data analysis and model performance
* Continuously improve ML infrastructure and workflows
* Collaborate with customers to identify new data sources and the industrial processes they will support; some customer travel may be required
**What We’re Looking For**
* 4\+ years of machine learning experience, with strong Python skills and proficiency in frameworks such as PyTorch or TensorFlow
* Proven ability to deploy ML models into production and work with large, complex datasets
* Hands\-on experience with MLOps tools and practices, including Kubernetes, MLflow, and CI/CD pipelines
* Experience building and managing cloud infrastructure as code (AWS, Azure, or GCP) with tools such as Terraform or Ansible
* Familiarity with datastores (MySQL, Postgres, or MongoDB) and prior exposure to aviation, defense, or other safety\-critical environments is a plus
 Salary
 The estimated salary range for this position is between $125,000 and $165,000 annually. We strive to provide a competitive salary and benefits package that aligns with our employees’ experience and qualifications. Our primary objective is to attract and retain top talent, and we firmly believe in compensating our employees fairly for their invaluable contributions.
 As a rapidly expanding technology company, we extend part\-ownership to all team members through an Employee Stock Option Plan. Additionally, we offer comprehensive health insurance benefits, access to the company’s 401K plan, and foster a team\-oriented work environment with regular company outings!
 Why Join Us?
 This is your opportunity to move beyond academic experiments and build AI models that make a real difference in defense and industry. At Tagup, you’ll work with a world\-class, agile team in a supportive environment that encourages rapid iteration and continuous learning.
 Tagup is an equal opportunity employer and individuals seeking employment with us are considered without regard to race, color, religion, national origin, age, sex, marital status, physical or mental disability, veteran status, gender identity, sexual orientation, or any other characteristic protected by law.
 Citizenship
 **: Due to the nature of our work with the U.S. Department of Defense, applicants must be authorized to work for any employer in the U.S. We are unable to sponsor visas at this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1">
      <c r="A101" t="inlineStr">
        <is>
          <t>li-4372899885</t>
        </is>
      </c>
      <c r="B101" t="inlineStr">
        <is>
          <t>Machine Learning Engineer</t>
        </is>
      </c>
      <c r="C101" t="inlineStr">
        <is>
          <t>Capgemini</t>
        </is>
      </c>
      <c r="D101" t="inlineStr">
        <is>
          <t>linkedin</t>
        </is>
      </c>
      <c r="E101">
        <f>HYPERLINK("https://www.linkedin.com/jobs/view/4372899885", "https://www.linkedin.com/jobs/view/4372899885")</f>
        <v/>
      </c>
      <c r="F101" t="inlineStr"/>
      <c r="G101" t="inlineStr">
        <is>
          <t>New York, United States</t>
        </is>
      </c>
      <c r="H101" t="inlineStr"/>
      <c r="I101"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Title: ML Engineering** 
**Location: NYC (Onsite)** 
**Duration: Fulltime** 
**Job Description:** 
 • Analyze large and complex datasets to derive actionable insights and inform business strategies.
 • Develop and implement advanced machine learning models and algorithms.
 • Collaborate with cross\-functional teams to understand business needs and provide data\-driven solutions.
 • Communicate findings and recommendations to stakeholders and executive leadership.
 • Stay updated with the latest trends and technologies in data science and machine learning.
**Basic Qualifications:** 
 • Proficient in Pyspark, Py\-Torch \&amp; GenAI,
 • Experience in Python, Pandas, NumPy, Scikit\-Learn
 • Bachelor’s degree in computer science, Statistics, Applied Mathematics, or a related field.
 • Minimum of 8\+ years of experience in a data science role.
 • Proficiency in programming languages such as Python or R..
 • Strong understanding of machine learning techniques and algorithms.
**Preferred Qualifications:** 
 • Experience with modern ML frameworks such as PyTorch, TensorFlow
 • Experience with big data technologies such as PySpark
 • Experience with ML model training within cloud infra such as Azure, AWS, GCP
 • Proven track record of successfully deploying and optimizing ML models in a production environment.
 • Excellent communication and visualization skills to effectively present data insights to non\-technical stakeholders.
 The base compensation range for this role in the posted location is: $96000 to $110000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02">
      <c r="A102" t="inlineStr">
        <is>
          <t>li-4358196839</t>
        </is>
      </c>
      <c r="B102" t="inlineStr">
        <is>
          <t>AI/ML Engineer</t>
        </is>
      </c>
      <c r="C102" t="inlineStr">
        <is>
          <t>Candid Health</t>
        </is>
      </c>
      <c r="D102" t="inlineStr">
        <is>
          <t>linkedin</t>
        </is>
      </c>
      <c r="E102">
        <f>HYPERLINK("https://www.linkedin.com/jobs/view/4358196839", "https://www.linkedin.com/jobs/view/4358196839")</f>
        <v/>
      </c>
      <c r="F102" t="inlineStr"/>
      <c r="G102" t="inlineStr">
        <is>
          <t>New York, NY</t>
        </is>
      </c>
      <c r="H102" t="inlineStr"/>
      <c r="I102" t="inlineStr">
        <is>
          <t>**About Candid**
 At Candid Health, we're on a mission to revolutionize healthcare by solving one of its most complex and costly problems: the billing and revenue cycle management (RCM) process. The healthcare system has long been burdened by slow, inefficient workflows that waste valuable resources, leaving providers with less time and money to focus on patient care. With our cutting\-edge revenue cycle automation platform, we are transforming this space through an intelligent, data\-driven approach that simplifies billing, enhances claims processing, and eliminates administrative waste.
**The Role**
 As an AI Engineer at Candid health, you’ll be empowered to bring Artificial Intelligence \&amp; Machine Learning to the forefront of healthcare automation. This is an opportunity to get in at the ground floor of designing and building something exciting and new \- generating immense value to both medical providers and their patients. You will be responsible for translating compelling initial prototypes into a foundational set of differentiated, high impact ML/AI use cases throughout our platform and across our customer base.
 We’re looking for a tastemaker and strong hands\-on builder who can effectively navigate the complexities of our problem space – medical billing– and leverage their technical expertise to deliver strategic AI\- \&amp; ML\-based solutions leading to impactful business outcomes.
**What You’ll Do**
* Innovate, Drive Outcomes \&amp; Apply AI to Real Problems: Identify and drive opportunities on when, where and which AI/ML techniques can deliver impactful business outcomes. Apply industry best practices, leverage state\-of\-the\-art technologies and tools to design systems. You are responsible for Candid delivering on outcomes for both internal teams and external customers through, but not limited to, building AI features into Candid’s platform.
* Scale and Unlock New \&amp; Existing Products: Collaborate closely with customers and cross\-functional teams to automate and scale products and workflows with the most technical complexity, such as claim submission, resubmission, and workflow optimization. You will play a role that directly influences product roadmaps to enable Candid’s customers to optimize their RCM operations at scale.
* Build AI Infrastructure: Partner with multiple engineering teams to build and enhance Candid’s infrastructure to better support AI development. Establish rigorous processes for model training, testing, and monitoring—ensuring they are scalable, extensible, and meet our high expectations for security standards.
**Who You Are**
* Bachelors or Masters of Science in Computer Science, Computer Engineering, Math or other similar degree.
* 5\+ years of experience building software of significant scale and complexity.
* 2\+ years of AI engineering experience in a professional setting, preferably applying it to real world solutions.
* You’ve built systems that leverage ML technologies (e.g. built or used specific NLP models), and know what tools, frameworks, and libraries to use.
* You understand the pros, cons, and tradeoffs of leveraging various AI solutions across a wide variety of use cases, and can help us make informed decisions around when to use deterministic (ML) vs. non\-deterministic (LLM) approaches to deliver the best ROI, efficiency improvements, \&amp; cost savings.
* you know the right architecture and patterns to build something of enduring value and scale.
* You have a customer\-first and learner’s mindset, and value teaching others.
* You make the right trade\-offs when considering project scope, which corners are worth cutting, and which are not.
* You’re a clear and concise communicator; you enjoy the challenge of explaining complicated ideas in simple terms, both in\-person and in writing.
* Experience with the technologies we currently use is a plus, but by no means required: Google Cloud Platform, BigQuery, PostgreSQL, Metabase, Terraform, Python.
**Pay Transparency**
 The estimated starting annual salary range for this position is $165,000 to $220,000 USD. The listed range is a guideline from Pave data, and the actual base salary may be modified based on factors including job\-related skills, experience/qualifications, interview performance, market data, etc. Total compensation for this position may also include equity, sales incentives (for sales roles), and employee benefits. Given Candid Health’s funding and size, we heavily value the potential upside from equity in our compensation package. Further note that Candid Health has minimal hierarchy and titles, but has broad ranges of experience represented within roles.</t>
        </is>
      </c>
    </row>
    <row r="103">
      <c r="A103" t="inlineStr">
        <is>
          <t>li-4306615998</t>
        </is>
      </c>
      <c r="B103" t="inlineStr">
        <is>
          <t>AI/Generative AI Engineer</t>
        </is>
      </c>
      <c r="C103" t="inlineStr">
        <is>
          <t>Andiamo</t>
        </is>
      </c>
      <c r="D103" t="inlineStr">
        <is>
          <t>linkedin</t>
        </is>
      </c>
      <c r="E103">
        <f>HYPERLINK("https://www.linkedin.com/jobs/view/4306615998", "https://www.linkedin.com/jobs/view/4306615998")</f>
        <v/>
      </c>
      <c r="F103" t="inlineStr"/>
      <c r="G103" t="inlineStr">
        <is>
          <t>Seattle, WA</t>
        </is>
      </c>
      <c r="H103" t="inlineStr"/>
      <c r="I103" t="inlineStr">
        <is>
          <t>Generative AI Engineer \- Pre\-IPO Tech Company
**About The Role**
 We are seeking a talented
 **Generative AI Engineer** 
 to help design and build the next generation of AI\-powered applications at a high\-growth, pre\-IPO technology company. You will work on applying large language models (LLMs), multimodal AI, and cutting\-edge generative techniques to create products that transform how our customers interact with data, content, and decision\-making systems.
 This is a hands\-on engineering role at the intersection of AI research and scalable product development. You will collaborate with data scientists, ML engineers, and product managers to prototype, deploy, and optimize generative AI systems that deliver measurable customer and business impact.
 What You’ll Do
* Develop Generative Applications: Build production\-ready systems leveraging LLMs and generative models for NLP, code, and multimodal use cases.
* Integrate with Products: Design APIs and services that embed generative AI capabilities into customer\-facing applications.
* Optimize Models: Fine\-tune, distill, and adapt foundation models to specific tasks and domains for efficiency and performance.
* Leverage Retrieval \&amp; Memory: Implement retrieval\-augmented generation (RAG), vector search, and embeddings for context\-aware AI solutions.
* Ensure Reliability: Build monitoring and evaluation pipelines to track model quality, detect drift, and maintain trustworthiness in production.
* Collaborate Cross\-Functionally: Work with researchers and product leaders to translate cutting\-edge AI into practical features.
* Stay Ahead: Keep current with state\-of\-the\-art generative AI research and frameworks, bringing new ideas and approaches into the company.
 What We’re Looking For
* Professional Experience: 3\-7 years in applied ML/AI engineering, with at least 1\-2 years working on generative AI, LLMs, or related areas.
* Technical Skills: Proficiency in Python, strong experience with ML/AI frameworks (PyTorch, TensorFlow, Hugging Face Transformers, LangChain, LlamaIndex).
* LLM Experience: Hands\-on experience fine\-tuning or deploying large language models, and familiarity with APIs such as OpenAI, Anthropic, or similar.
* Infrastructure Knowledge: Experience with cloud ML platforms (AWS Sagemaker, GCP Vertex AI, Azure ML) and vector databases (Pinecone, Weaviate, Milvus, FAISS).
* Systems Thinking: Ability to design scalable pipelines for training, inference, and integration into production systems.
* Collaboration: Strong communication skills and ability to partner across engineering, product, and research teams.
* Education: Bachelor’s or Master’s in Computer Science, Engineering, AI/ML, or a related field; PhD a plus.
 Why Join
 This is a unique opportunity to shape the future of generative AI at a pre\-IPO company with $500M\+ in funding. As a Generative AI Engineer, you’ll work with state\-of\-the\-art models, solve complex problems at scale, and bring transformative AI capabilities directly to customers. You’ll be part of a high\-growth team where innovation is encouraged, impact is immediate, and the future of AI is being built.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04">
      <c r="A104" t="inlineStr">
        <is>
          <t>li-4195257196</t>
        </is>
      </c>
      <c r="B104" t="inlineStr">
        <is>
          <t>Machine Learning Engineer, Search Quality</t>
        </is>
      </c>
      <c r="C104" t="inlineStr">
        <is>
          <t>Glean</t>
        </is>
      </c>
      <c r="D104" t="inlineStr">
        <is>
          <t>linkedin</t>
        </is>
      </c>
      <c r="E104">
        <f>HYPERLINK("https://www.linkedin.com/jobs/view/4195257196", "https://www.linkedin.com/jobs/view/4195257196")</f>
        <v/>
      </c>
      <c r="F104" t="inlineStr"/>
      <c r="G104" t="inlineStr"/>
      <c r="H104" t="inlineStr"/>
      <c r="I104"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Glean is looking for engineers to help build the world’s best search and assistant product for work. Our engineers work on a range of systems across the stack, including query understanding, document understanding, domain\-adapted language models, natural language question\-answering, evaluation, and experimentation. We interact regularly with customers, deeply understand their pain points, and use whatever tool is necessary, simple or complex, to solve their problems.
**You Will**
* Invent new signals to improve the personalization of our search engine
* Train a model to capture interactions between signals in our ranking system
* Design smarter ways to domain\-adapt language models to each customer’s corpus
* Discover new ways of combining LLMs with search engines to answer complex questions
* Write robust code that’s easy to read, maintain, and test
* Mentor more junior engineers, or learn from battle\-tested ones
**About You**
* 2\+ years of experience
* BA/BS in computer science, math, sciences, or a related degree
* Experience working with search, recommendation, natural language processing, or other large systems involving machine learning
* Strong analytical skills and ability to work with data
* Proven ability to design, build, and ship production\-ready models
* Proficiency in your ML framework of choice
* Strong coding skills (Python, Go, Java, C\+\+, ...)
* Thrive in a customer\-focused, tight\-knit and cross\-functional environment \- being a team player and willing to take on whatever is most impactful for the company is a must
* A proactive and positive attitude to lead, learn, troubleshoot and take ownership of both small tasks and large features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05">
      <c r="A105" t="inlineStr">
        <is>
          <t>li-4343802199</t>
        </is>
      </c>
      <c r="B105" t="inlineStr">
        <is>
          <t>Machine Learning Engineer, Personalization</t>
        </is>
      </c>
      <c r="C105" t="inlineStr">
        <is>
          <t>Spotify</t>
        </is>
      </c>
      <c r="D105" t="inlineStr">
        <is>
          <t>linkedin</t>
        </is>
      </c>
      <c r="E105">
        <f>HYPERLINK("https://www.linkedin.com/jobs/view/4343802199", "https://www.linkedin.com/jobs/view/4343802199")</f>
        <v/>
      </c>
      <c r="F105" t="inlineStr"/>
      <c r="G105" t="inlineStr">
        <is>
          <t>New York, NY</t>
        </is>
      </c>
      <c r="H105" t="inlineStr"/>
      <c r="I105" t="inlineStr">
        <is>
          <t>The Personalization team makes deciding what to play next on Spotify easier and more enjoyable for every listener. We seek to understand the world of music, podcasts, and audiobooks better than anyone else so that we can make great recommendations to every individual person and keep the world listening. Every day, hundreds of millions of people all over the world use the products we build which include destinations like “Home” and “Search” as well as original playlists such as “Discover Weekly” and “Daily Mix.”
 Personalization’s Minesweeper squad produces Human Understandable Language Knowledge to enrich music and talk content understanding. We use AI and ML techniques, including Large Language Models, to understand music, podcasts and audiobooks, building reliable, scalable systems to distribute that knowledge to Spotify internal teams, users, and creators. We are looking for a Machine Learning Engineer to join our team and help build the future of music, podcast and audiobook listening experiences for millions of listeners at Spotify. This is a unique opportunity to help develop and shape Spotify content enrichment, and recommendations. You’ll grow your skills in ML engineering at scale, work with a cross\-functional team of Data Engineers, Backend Engineers, and researchers, and join a motivated and supportive team.
 What You'll Do
* Utilize in\-house and 3rd party LLMs to solve language understanding problems
* Employ techniques such as fine\-tuning and RAG to improve models
* Contribute to designing, building, evaluating, shipping, and refining Spotify’s product by hands\-on ML development
* Help drive optimization, testing, and tooling to improve quality of our content enrichment assets
* Collaborate with cross\-functional teams of MLEs, data and backend engineers, and other stakeholders including tech research, data science, and product to develop new features and technologies
* Be a participant in our AI Foundation’s ML community and work collaboratively and efficiently within our existing platforms and systems Perform data analysis to establish baselines and inform product decisions
* Stay up\-to\-date on the latest machine learning algorithms and techniques
 Who You Are
* You have a strong background in machine learning, especially experience with Large Language Models
* You have professional experience in applied machine learning
* Extensive experience working in a product and data\-driven environment (Python, Scala, Java, SQL, with Python experience required) and cloud platforms (GCP or AWS)
* You have some hands\-on experience implementing or prototyping machine learning systems at scale
* You have experience architecting data pipelines and are self\-sufficient in getting the data you need to build and evaluate models, using tools like Dataflow, Apache Beam, or Spark
* You care about agile software processes, data\-driven development, reliability, and disciplined experimentation
* You have experience and passion for fostering collaborative teams
* Experience with PyTorch, TensorFlow, and/or other scalable Machine learning frameworks. Experience with Ray or TFX is a plus
* Bonus if you have experience with architecting near real time pipelines
 Where You'll Be
* We offer you the flexibility to work where you work best! For this role, you can be within the North America region as long as we have a work location.This team operates within the Eastern Standard time zone for collaboration.
 The United States base range for this position is $138,250\- $197,500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06">
      <c r="A106" t="inlineStr">
        <is>
          <t>li-4340290419</t>
        </is>
      </c>
      <c r="B106" t="inlineStr">
        <is>
          <t>Machine Learning Engineer</t>
        </is>
      </c>
      <c r="C106" t="inlineStr">
        <is>
          <t>Parker B Associates</t>
        </is>
      </c>
      <c r="D106" t="inlineStr">
        <is>
          <t>linkedin</t>
        </is>
      </c>
      <c r="E106">
        <f>HYPERLINK("https://www.linkedin.com/jobs/view/4340290419", "https://www.linkedin.com/jobs/view/4340290419")</f>
        <v/>
      </c>
      <c r="F106" t="inlineStr"/>
      <c r="G106" t="inlineStr"/>
      <c r="H106" t="inlineStr"/>
      <c r="I106" t="inlineStr">
        <is>
          <t>Machine Learning Engineer (Green card holder / US Citizen ONLY)
 New York City
 Permanent
 €130,000 – €250,000 \+ Bens
 Our client is a global Insurance business seeking a Machine Learning Engineer to join the team on a permanent basis.
 Are you interested in working on a brand\-new, greenfield AI project built from the ground up?
 This opportunity involves building advanced insurance capabilities across the enterprise and developing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 Translate complex concepts into actionable business insights
* Research and apply the latest advancements for continuous improvement
 A full job spec will be provided upon request.
 Skills/ Experience:
* Background in data science \&amp; machine learning techniques
* Strong statistical knowledge
* Generative AI/ LLM expertise \- a bonus
* Python \&amp; SQL
* Developed end\-to\-end AI solutions
* Cloud
* Excellent communication skills (ability to present to C\-level)
 If you are interested or would like further information, please apply as soon as possible.
 Keywords – Senior Data Scientist, Senior AI engineer, AI engineer, Senior ML Engineer, ML Engineer, Machine Learning Engineer, Data Scientist</t>
        </is>
      </c>
    </row>
    <row r="107">
      <c r="A107" t="inlineStr">
        <is>
          <t>li-4374114424</t>
        </is>
      </c>
      <c r="B107" t="inlineStr">
        <is>
          <t>Machine Learning Engineer</t>
        </is>
      </c>
      <c r="C107" t="inlineStr">
        <is>
          <t>Focus Financial Partners</t>
        </is>
      </c>
      <c r="D107" t="inlineStr">
        <is>
          <t>linkedin</t>
        </is>
      </c>
      <c r="E107">
        <f>HYPERLINK("https://www.linkedin.com/jobs/view/4374114424", "https://www.linkedin.com/jobs/view/4374114424")</f>
        <v/>
      </c>
      <c r="F107" t="inlineStr"/>
      <c r="G107" t="inlineStr"/>
      <c r="H107" t="inlineStr"/>
      <c r="I107" t="inlineStr">
        <is>
          <t>**Position Summary**
 We are seeking a skilled Machine Learning Engineer with approximately three years of hands\-on experience designing, deploying, and maintaining production\-grade machine learning systems. In this role, you will collaborate closely with data scientists, software engineers, and product teams to translate research models into reliable, scalable, and high\-impact applications. You will be deeply involved in the end\-to\-end ML lifecycle—from data ingestion and feature engineering to deployment, monitoring, and continuous improvement—playing a critical part in shaping our machine learning platform and capabilities.
 This role can be located in St. Louis, MO; Boston, MA.
**Primary Responsibilities**
* Develop, deploy, and optimize machine learning models for real\-world business use cases and client\-facing applications.
* Partner with data scientists to operationalize predictive models and ensure scalable, maintainable, and performant production deployments.
* Design and implement data pipelines and workflows that support training, inference, and model lifecycle management.
* Work with large, complex datasets to ensure data quality, reproducibility, and reliable version control across ML workflows.
* Implement model monitoring, logging, and alerting strategies to track performance, detect drift, and support retraining cycles.
* Leverage cloud platforms (AWS, Azure, GCP) to build scalable ML solutions using managed services and infrastructure\-as\-code practices.
* Write clean, modular, and well\-documented code aligned with MLOps and software engineering best practices.
* Stay current on emerging ML tooling, frameworks, and industry best practices to continuously enhance our platform and capabilities.
**Qualifications**
* Bachelor’s or Master’s degree in Computer Science, Data Science, Engineering, or a related technical field.
* 3\+ years of experience in machine learning engineering, applied ML, or related software engineering roles.
* Strong proficiency in Python and experience with modern ML frameworks such as TensorFlow, PyTorch, or scikit\-learn.
* Experience with distributed data processing and compute frameworks (e.g., Pandas, Spark, Dask).
* Hands\-on experience with containerization and orchestration technologies such as Docker and Kubernetes.
* Familiarity with CI/CD pipelines, testing automation, and version control using Git.
* Experience working with cloud\-based ML platforms or services (e.g., SageMaker, Vertex AI, Databricks, or Snowflake ML) is preferred.
* Strong understanding of model evaluation, feature engineering, and performance optimization in production contexts.
* Excellent analytical, communication, and collaboration skills, with the ability to work effectively in cross\-functional teams.
 This is an exempt position. The annualized base pay range for this role is expected to be between $140,000\-$180,000\. Actual base pay could vary based on factors including but not limited to experience, subject matter expertise, geographic location where work will be performed, and the applicant's skill set. The base pay is just one component of the total compensation package for employees. Other rewards may include an annual cash bonus and a comprehensive benefits package, including but not limited to medical, dental, vision, life and 401(k). Please note that the job title is subject to change based on the selected candidate’s experience and education.
**About Focus Financial Partners**
 Focus is a leading financial services firm comprised of integrated wealth management, family office, and business management services. Blending deep expertise and expansive resources with a boutique, client\-first fiduciary philosophy, Focus helps individuals, families, and institutions navigate complex financial situations with highly personalized solutions tailored to their unique needs. To learn more about Focus, visit www.focusfinancialpartners.com or follow the company on LinkedIn.
***The following language is for US based roles only***
**For California Applicants:** 
 Information on your California privacy rights can be found
 **here**
**For Indiana Applicants:** 
 It is unlawful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Maryland Applicants:** 
 I UNDERSTAND THAT UNDER MARYLAND LAW, AN EMPLOYER MAY NOT REQUIRE OR DEMAND, AS A CONDITION OF EMPLOYMENT, PROSPECTIVE EMPLOYMENT OR CONTINUED EMPLOYMENT, THAT ANY INDIVIDUAL SUBMIT TO OR TAKE A POLYGRAP OR SIMILAR TEST. AN EMPLOYER WHO VIOLATES THIS LAW IS GUILTY OF A MISDEMEANOR AND SUBJECT TO A FINE NOT EXCEEDING $100\.
**For Massachusetts Applicants:** 
 It is unlawful in Massachusetts to require or administer a lie detector test as a condition of employment or continued employment. An employer who violates this shall be subject to criminal penalties and civil liability.
**For Montana Applicants:** 
 If hired, the employment relationship is governed by the Wrongful Discharge from Employment Act. Mont. Code Ann. Section 39\-2\-901\.
**For Rhode Island Applicants:** 
 Focus is subject to Chapters 29\-38 of Title 28 of the General Laws of Rhode Island and is therefore covered by the state’s workers’ compensation law. If you willfully provide false information about your ability to perform the essential functions of the job, with or without reasonable accommodations, you may be barred from filing a claim under the provisions of the Workers’ Compensation Act of the State of Rhode Island if the false information is directly related to the personal injury that is the basis for the new claim for compensation. The Company complies fully with the Americans with Disabilities Act.</t>
        </is>
      </c>
    </row>
    <row r="108">
      <c r="A108" t="inlineStr">
        <is>
          <t>li-4358251538</t>
        </is>
      </c>
      <c r="B108" t="inlineStr">
        <is>
          <t>Machine Learning Engineer, Level 5</t>
        </is>
      </c>
      <c r="C108" t="inlineStr">
        <is>
          <t>Snap Inc.</t>
        </is>
      </c>
      <c r="D108" t="inlineStr">
        <is>
          <t>linkedin</t>
        </is>
      </c>
      <c r="E108">
        <f>HYPERLINK("https://www.linkedin.com/jobs/view/4358251538", "https://www.linkedin.com/jobs/view/4358251538")</f>
        <v/>
      </c>
      <c r="F108">
        <f>HYPERLINK("https://wd1.myworkdaysite.com/en-US/recruiting/snapchat/snap/job/Palo-Alto-California/Machine-Learning-Engineer\u002d\u002dLevel-5_Q126SWEML5-1?source=LinkedIn&amp;urlHash=uJwz", "https://wd1.myworkdaysite.com/en-US/recruiting/snapchat/snap/job/Palo-Alto-California/Machine-Learning-Engineer\u002d\u002dLevel-5_Q126SWEML5-1?source=LinkedIn&amp;urlHash=uJwz")</f>
        <v/>
      </c>
      <c r="G108" t="inlineStr">
        <is>
          <t>New York, United States</t>
        </is>
      </c>
      <c r="H108" t="inlineStr"/>
      <c r="I10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5\+ years of post\-Bachelor’s machine learning experience; or Master’s degree in a technical field \+ 4\+ year of post\-grad machine learning experience; or PhD in a relevant technical field \+ 1 years of post\-grad machine learning experience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109">
      <c r="A109" t="inlineStr">
        <is>
          <t>li-4374113963</t>
        </is>
      </c>
      <c r="B109" t="inlineStr">
        <is>
          <t>Machine Learning Engineer</t>
        </is>
      </c>
      <c r="C109" t="inlineStr">
        <is>
          <t>Hirenza</t>
        </is>
      </c>
      <c r="D109" t="inlineStr">
        <is>
          <t>linkedin</t>
        </is>
      </c>
      <c r="E109">
        <f>HYPERLINK("https://www.linkedin.com/jobs/view/4374113963", "https://www.linkedin.com/jobs/view/4374113963")</f>
        <v/>
      </c>
      <c r="F109">
        <f>HYPERLINK("https://www.hirecrap.com/job-description-usj/3173446978174379103\u002d\u002d94931599e37e465dc52df528e8331e6a?source=LinkedIn&amp;urlHash=x-Yl", "https://www.hirecrap.com/job-description-usj/3173446978174379103\u002d\u002d94931599e37e465dc52df528e8331e6a?source=LinkedIn&amp;urlHash=x-Yl")</f>
        <v/>
      </c>
      <c r="G109" t="inlineStr"/>
      <c r="H109" t="inlineStr"/>
      <c r="I109" t="inlineStr">
        <is>
          <t>**About The Company**
 DataAnnotation is a leading provider of data labeling and annotation services, dedicated to empowering organizations with high\-quality, accurate, and efficient data solutions. Our company specializes in delivering comprehensive annotation services across various data types, including images, videos, text, and audio, to support the development of advanced machine learning and artificial intelligence applications. With a commitment to innovation, precision, and customer satisfaction, DataAnnotation partners with clients across diverse industries such as technology, healthcare, automotive, and finance to accelerate their data\-driven initiatives.
**About The Role**
 We are seeking a detail\-oriented and motivated Data Annotation Specialist to join our dynamic team. In this role, you will be responsible for accurately labeling and annotating datasets to facilitate machine learning model training and validation. The ideal candidate will possess strong attention to detail, excellent organizational skills, and the ability to work efficiently in a fast\-paced environment. This position offers an exciting opportunity to contribute to cutting\-edge AI projects, ensuring the quality and integrity of the data used to develop intelligent systems. The role requires collaboration with cross\-functional teams, adherence to project guidelines, and a commitment to maintaining high standards of accuracy and consistency.
**Qualifications**
 To be successful in this role, candidates should possess a relevant educational background, such as a degree in computer science, data science, or a related field. Prior experience in data annotation, labeling, or similar data management roles is preferred but not mandatory. Strong attention to detail, excellent communication skills, and the ability to follow detailed instructions are essential. Familiarity with annotation tools and platforms, along with basic knowledge of machine learning concepts, will be advantageous. Candidates should demonstrate a high level of organization, time management skills, and the ability to work independently or as part of a team.
**Responsibilities**
* Accurately annotate and label various data types including images, videos, text, and audio to meet project specifications.
* Review and validate annotated data to ensure accuracy, consistency, and quality standards are maintained.
* Follow detailed guidelines and instructions provided by project managers to ensure uniformity across datasets.
* Collaborate with data scientists and engineers to understand project requirements and deliver high\-quality data annotations.
* Maintain organized records of annotated datasets and track progress to meet project deadlines.
* Identify and communicate any issues or ambiguities in data or instructions to ensure continuous quality improvement.
* Participate in training sessions to stay updated on annotation tools, best practices, and project requirements.
* Assist in the development and refinement of annotation guidelines to improve efficiency and accuracy.
**Benefits**
 At DataAnnotation, we value our employees and offer a comprehensive benefits package designed to support your professional and personal growth. Employees enjoy competitive salary packages, flexible working hours, and opportunities for remote work. We provide ongoing training and development programs to enhance your skills and knowledge. Our health and wellness benefits include medical, dental, and vision insurance, along with wellness programs aimed at promoting a healthy work\-life balance. Additionally, we foster a collaborative and inclusive work environment that encourages innovation, creativity, and continuous learning. Employees also benefit from performance\-based incentives and career advancement opportunities within the organization.
 Equal Opportunity
 DataAnnotation is an equal opportunity employer committed to fostering an inclusive and diverse workplace. We do not discriminate based on race, color, religion, gender, sexual orientation, gender identity or expression, age, disability, or any other protected status under applicable laws. We believe that a diverse workforce enhances our ability to innovate and serve our clients effectively. All qualified candidates are encouraged to apply and will be considered based on their skills, experience, and alignment with our company values.</t>
        </is>
      </c>
    </row>
    <row r="110">
      <c r="A110" t="inlineStr">
        <is>
          <t>li-4373022219</t>
        </is>
      </c>
      <c r="B110" t="inlineStr">
        <is>
          <t>Machine Learning Engineer</t>
        </is>
      </c>
      <c r="C110" t="inlineStr">
        <is>
          <t>ElastixAI</t>
        </is>
      </c>
      <c r="D110" t="inlineStr">
        <is>
          <t>linkedin</t>
        </is>
      </c>
      <c r="E110">
        <f>HYPERLINK("https://www.linkedin.com/jobs/view/4373022219", "https://www.linkedin.com/jobs/view/4373022219")</f>
        <v/>
      </c>
      <c r="F110" t="inlineStr"/>
      <c r="G110" t="inlineStr">
        <is>
          <t>Seattle, WA</t>
        </is>
      </c>
      <c r="H110" t="inlineStr"/>
      <c r="I110" t="inlineStr">
        <is>
          <t>**Location:** 
  Seattle, WA (Hybrid \- 3 days/week in office)
**About ElastixAI:** 
 ElastixAI is an early\-stage startup poised to revolutionize AI inference infrastructure. We are developing a cutting\-edge AI inference solution that dramatically improves efficiency. Our solution is going to dynamically adapt to any deployment, constantly evolving to power the next generation AI use cases. 
**Role Summary:** 
 We are looking for a talented Machine Learning Engineer to play a key role in building our core AI inference platform. You will be responsible for designing and developing critical components, including ML model deployment, innovative model optimization pipelines, and performance benchmarking and simulation workflows. This is a highly interdisciplinary role where you'll collaborate closely with our multi\-disciplinary team to ensure our entire stack works in harmony to deliver optimal AI inference solutions.
**Key Responsibilities:** 
* Design, develop, and maintain core components of our ML platform, focusing on scalability, reliability, and ease of use.
* Research, prototype, and implement advanced ML techniques to optimize inference performance across diverse hardware targets.
* Collaborate with systems and cloud engineers to ensure efficient utilization of underlying hardware resources.
* Contribute to the design of APIs and tools that enable seamless integration and management of our inference solutions.
**Required Qualifications:** 
* PhD/MS in Computer Science, Computer Engineering, or a related field.
* 3\+ years of machine learning R\&amp;D and deployment experience.
* Strong proficiency in one or more programming languages such as Python, or C\+\+.
* Proficiency in at least one ML framework (e.g., PyTorch, TensorFlow, JAX).
* Solid understanding of software engineering best practices, including data structures, algorithms, and testing.
* Excellent problem\-solving abilities and a knack for tackling complex technical challenges.
* Strong communication skills and a proven ability to collaborate effectively in a cross\-functional team environment.
* Ability to thrive in a fast\-paced, dynamic startup environment.
**Preferred/Bonus Qualifications:** 
* Experience with training generative machine learning models.
* Experience with optimizing the performance of machine learning models.
* Experience leading research initiatives in Machine Learning, Natural Language Processing, and related fields.
* Familiarity with performance analysis, profiling, and optimization techniques.
* Experience with cloud platforms (AWS, GCP, Azure).
* Experience with containerization and orchestration technologies (e.g., Docker, Kubernetes).
**What We Offer:** 
* A chance to be a foundational engineer in an innovative AI startup.
* A dynamic and collaborative work environment and the change to have a significant impact on new technology
* The opportunity to work on challenging problems at the intersection of ML, software, and systems.
* Competitive compensation and startup equity package
* Comprehensive medical, dental, and vision coverage (100% paid by employer)
* Flexible Time Off (FTO)
* Paid parental leave
* Gym or fitness benefit
* Commuter benefit
* Investment in employee learning \&amp; development</t>
        </is>
      </c>
    </row>
    <row r="111">
      <c r="A111" t="inlineStr">
        <is>
          <t>li-4358191579</t>
        </is>
      </c>
      <c r="B111" t="inlineStr">
        <is>
          <t>Machine Learning Engineer, Level 4</t>
        </is>
      </c>
      <c r="C111" t="inlineStr">
        <is>
          <t>Snap Inc.</t>
        </is>
      </c>
      <c r="D111" t="inlineStr">
        <is>
          <t>linkedin</t>
        </is>
      </c>
      <c r="E111">
        <f>HYPERLINK("https://www.linkedin.com/jobs/view/4358191579", "https://www.linkedin.com/jobs/view/4358191579")</f>
        <v/>
      </c>
      <c r="F111" t="inlineStr"/>
      <c r="G111" t="inlineStr">
        <is>
          <t>New York, United States</t>
        </is>
      </c>
      <c r="H111" t="inlineStr"/>
      <c r="I11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3\+ years of post\-Bachelor’s machine learning experience; or Master’s degree in a technical field \+ 2\+ year of post\-grad machine learning experience; or PhD in a relevant technical field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112">
      <c r="A112" t="inlineStr">
        <is>
          <t>li-4373017403</t>
        </is>
      </c>
      <c r="B112" t="inlineStr">
        <is>
          <t>Machine Learning Engineer</t>
        </is>
      </c>
      <c r="C112" t="inlineStr">
        <is>
          <t>Baanyan Software Services, Inc.</t>
        </is>
      </c>
      <c r="D112" t="inlineStr">
        <is>
          <t>linkedin</t>
        </is>
      </c>
      <c r="E112">
        <f>HYPERLINK("https://www.linkedin.com/jobs/view/4373017403", "https://www.linkedin.com/jobs/view/4373017403")</f>
        <v/>
      </c>
      <c r="F112" t="inlineStr"/>
      <c r="G112" t="inlineStr">
        <is>
          <t>Florham Park, NJ</t>
        </is>
      </c>
      <c r="H112" t="inlineStr"/>
      <c r="I112" t="inlineStr">
        <is>
          <t>**Need New Jersey DL Copy** 
**Job Summary
 :** 
 We are seeking a highly skilled Machine Learning Engineer with strong backend and platform engineering experience to design, build, and operate scalable machine learning systems in production. The ideal candidate has deep expertise in Python, API development (FastAPI), and Infrastructure as Code (
 **Terraform** 
 ), and is experienced in deploying, monitoring, and maintaining ML models in cloud\-based environments.
**Required Qualifications
 :** 
* Bachelor's or Master's degree in Computer Science, Engineering, Data Science, or a related field.
* Strong proficiency in Python for backend and machine learning development.
* Experience building and maintaining RESTful APIs, preferably using FastAPI.
* Hands\-on experience with Infrastructure as Code, particularly Terraform.
* Experience deploying and operating machine learning models in production environments.
* Solid understanding of software engineering principles, data structures, and system design.
* Experience with cloud platforms (AWS, Azure, or GCP).</t>
        </is>
      </c>
    </row>
    <row r="113">
      <c r="A113" t="inlineStr">
        <is>
          <t>li-4374105012</t>
        </is>
      </c>
      <c r="B113" t="inlineStr">
        <is>
          <t>AI/ML Engineer</t>
        </is>
      </c>
      <c r="C113" t="inlineStr">
        <is>
          <t>NeerInfo Solutions</t>
        </is>
      </c>
      <c r="D113" t="inlineStr">
        <is>
          <t>linkedin</t>
        </is>
      </c>
      <c r="E113">
        <f>HYPERLINK("https://www.linkedin.com/jobs/view/4374105012", "https://www.linkedin.com/jobs/view/4374105012")</f>
        <v/>
      </c>
      <c r="F113" t="inlineStr"/>
      <c r="G113" t="inlineStr">
        <is>
          <t>Austin, TX</t>
        </is>
      </c>
      <c r="H113" t="inlineStr"/>
      <c r="I113" t="inlineStr">
        <is>
          <t>* Design and develop high\-performance applications using Java (Spring Boot, Microservices).
* Integrate AI models via REST APIs, Python services, or cloud AI platforms.
* Collaborate with data scientists to deploy and optimize ML models in production.
* Build APIs and microservices that enable intelligent, data\-driven features.
* Implement data pipelines for AI workloads, ensuring scalability and reliability.
* Evaluate and experiment with GenAI, LLMs, and AI APIs (OpenAI, AWS Bedrock, Vertex AI, OpenAI).
* Maintain coding standards, CI/CD pipelines, and cloud deployment best practices (AWS, GCP).
* Troubleshoot performance issues and ensure application reliability.
**Required Qualifications:** 
* Bachelor’s degree or foreign equivalent required from an accredited institution. Will also consider three years of progressive experience in the specialty in lieu of every year of education.
* At least 4 years of experience in Information Technology.
* Experience in Java/J2EE development
* Location for this position is
 **Austin, TX.** 
 This position requires travel and/or relocation to project/client location.
**Preferred Qualifications:** 
* At least 3 years of experience in Java/J2EE development
* At least 3 years of experience in DB SQL/NoSQL.
* Strong knowledge of Spring Boot, Microservices, Spring Security, Spring MVC, Spring Data, JPA, Hibernate.
* Hands\-on experience with AI/ML frameworks (TensorFlow, PyTorch, scikit\-learn).
* Experience integrating AI APIs (OpenAI, Hugging Face, Google Vertex AI).
* Hands\-on experience designing and integrating microservices using REST APIs and asynchronous messaging (Kafka).
* High\-level knowledge of CI/CD.
* Familiarity with Generative AI technologies (LLM integration, prompt engineering, AI model APIs).
* Solid understanding of data structures, algorithms, and software design patterns.
* Familiarity with Python for ML model interaction or API wrapping.
* Experience with Docker, Kubernetes, and cloud environments (AWS/GCP/Azure).
* Exposure to LangChain, LangGraph, RAG architecture, or vector databases (Pinecone, FAISS).
* Understanding of the machine learning lifecycle (training, testing, deployment).
* Experience with event\-driven systems (Kafka, RabbitMQ).
* Contribution to AI\-based open\-source projects or hackathons.
* Strong analytical and troubleshooting skills.
* Excellent oral and written communication skills.
* Ability to independently learn new technologies.
* Passionate, team player, and fast learner.</t>
        </is>
      </c>
    </row>
    <row r="114">
      <c r="A114" t="inlineStr">
        <is>
          <t>li-4354664253</t>
        </is>
      </c>
      <c r="B114" t="inlineStr">
        <is>
          <t>Machine Learning Engineer, Level 5</t>
        </is>
      </c>
      <c r="C114" t="inlineStr">
        <is>
          <t>Snap Inc.</t>
        </is>
      </c>
      <c r="D114" t="inlineStr">
        <is>
          <t>linkedin</t>
        </is>
      </c>
      <c r="E114">
        <f>HYPERLINK("https://www.linkedin.com/jobs/view/4354664253", "https://www.linkedin.com/jobs/view/4354664253")</f>
        <v/>
      </c>
      <c r="F114" t="inlineStr"/>
      <c r="G114" t="inlineStr">
        <is>
          <t>Palo Alto, CA</t>
        </is>
      </c>
      <c r="H114" t="inlineStr"/>
      <c r="I11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5\+ years of post\-Bachelor’s machine learning experience; or Master’s degree in a technical field \+ 4\+ year of post\-grad machine learning experience; or PhD in a relevant technical field \+ 1 years of post\-grad machine learning experience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115">
      <c r="A115" t="inlineStr">
        <is>
          <t>li-4358141567</t>
        </is>
      </c>
      <c r="B115" t="inlineStr">
        <is>
          <t>Machine Learning Engineer, Level 5</t>
        </is>
      </c>
      <c r="C115" t="inlineStr">
        <is>
          <t>Snap Inc.</t>
        </is>
      </c>
      <c r="D115" t="inlineStr">
        <is>
          <t>linkedin</t>
        </is>
      </c>
      <c r="E115">
        <f>HYPERLINK("https://www.linkedin.com/jobs/view/4358141567", "https://www.linkedin.com/jobs/view/4358141567")</f>
        <v/>
      </c>
      <c r="F115" t="inlineStr"/>
      <c r="G115" t="inlineStr">
        <is>
          <t>San Francisco, CA</t>
        </is>
      </c>
      <c r="H115" t="inlineStr"/>
      <c r="I115"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5\+ years of post\-Bachelor’s machine learning experience; or Master’s degree in a technical field \+ 4\+ year of post\-grad machine learning experience; or PhD in a relevant technical field \+ 1 years of post\-grad machine learning experience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116">
      <c r="A116" t="inlineStr">
        <is>
          <t>li-4374121708</t>
        </is>
      </c>
      <c r="B116" t="inlineStr">
        <is>
          <t>Machine Learning Engineer</t>
        </is>
      </c>
      <c r="C116" t="inlineStr">
        <is>
          <t>Bright Vision Technologies</t>
        </is>
      </c>
      <c r="D116" t="inlineStr">
        <is>
          <t>linkedin</t>
        </is>
      </c>
      <c r="E116">
        <f>HYPERLINK("https://www.linkedin.com/jobs/view/4374121708", "https://www.linkedin.com/jobs/view/4374121708")</f>
        <v/>
      </c>
      <c r="F116">
        <f>HYPERLINK("https://brightvisiontechnologies.applytojob.com/apply/cipHeRoLZ7/Machine-Learning-Engineer?source=LILI&amp;source=LINKEDIN&amp;urlHash=xVVu", "https://brightvisiontechnologies.applytojob.com/apply/cipHeRoLZ7/Machine-Learning-Engineer?source=LILI&amp;source=LINKEDIN&amp;urlHash=xVVu")</f>
        <v/>
      </c>
      <c r="G116" t="inlineStr">
        <is>
          <t>Bridgewater, NJ</t>
        </is>
      </c>
      <c r="H116" t="inlineStr"/>
      <c r="I116" t="inlineStr">
        <is>
          <t>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Machine Learning Engineer
**Job Location:** 
 Bridgewater, New Jersey \- 08807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
 **Machine Learning Engineer** 
 with the above skills and are looking for an
 **H\-1 B sponsorship** 
 this year, please send your resume immediately to
 **Venkat.r@bvteck.com**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cipHeRoLZ7</t>
        </is>
      </c>
    </row>
    <row r="117">
      <c r="A117" t="inlineStr">
        <is>
          <t>li-4373858826</t>
        </is>
      </c>
      <c r="B117" t="inlineStr">
        <is>
          <t>Principal AI Engineer - AI/ML Engineer</t>
        </is>
      </c>
      <c r="C117" t="inlineStr">
        <is>
          <t>TekVizor</t>
        </is>
      </c>
      <c r="D117" t="inlineStr">
        <is>
          <t>linkedin</t>
        </is>
      </c>
      <c r="E117">
        <f>HYPERLINK("https://www.linkedin.com/jobs/view/4373858826", "https://www.linkedin.com/jobs/view/4373858826")</f>
        <v/>
      </c>
      <c r="F117" t="inlineStr"/>
      <c r="G117" t="inlineStr"/>
      <c r="H117" t="inlineStr"/>
      <c r="I117" t="inlineStr">
        <is>
          <t>**Principal AI Engineer** 
 📍
 **Pittsburgh, PA (On‑site)** 
 🕒
 **Full\-Time** 
 🌍
 **U.S. Citizenship Required** 
 ✈️ Up to 10% Travel
 📈 Pre\-IPO
 💰$180\-220k base salary \+ bonus and equity
 We are seeking an experienced Lead
 **AI Engineer** 
 to join our Agentic AI team as we scale agentic capabilities. Our bespoke platform and suite of AI\-enabled applications accelerate the decision\-making process in real\-time, all in one place.
**What You’ll Do** 
* Design and build
 **multi\-agent systems** 
 , memory, routing, and planning.
* Develop Agent Skills and tools as modular, composable services connected to backend systems, models, and data processing pipelines.
* Contribute to automated evaluation and observability systems for agents, tools, workflows, and prompts across the entire product lifecycle.
* Collaborate cross\-functionally with Product and Engineering to deploy agentic systems.
**Required Skills \&amp; Experience** 
* Bachelor’s, Master’s, or PhD in Computer Science, Computer Engineering, Data Science, or related field.
* **5\+ years** 
 building and deploying ML or LLM\-powered systems in production environments.
* Hands\-on experience designing autonomous multi\-agent workflows that include state/action models for AI\-driven interaction (agent\-controlled UI, tool invocation, deterministic flows).
* Experience integrating and working with
 **LLMs** 
 , with strong understanding of strengths, weaknesses, and operational constraints.
* Experience with agent frameworks such as
 **Claude Agent SDK** 
 or
 **OpenAI Agent SDK** 
 .
* Strong Python engineering skills.
* Experience productionizing ML/LLM systems.
* Experience developing
 **observability and feedback loops** 
 (telemetry, prompt evaluation, regression testing, reliability metrics).
* Ability to operate in highly ambiguous, fast\-moving environments.
* A passion for
 **coding agents** 
 and exploring new technologies.
**Strong Candidates Have** 
* Proven experience designing and deploying
 **complex agentic systems** 
 using LLMs.
* Hands\-on work with
 **multi\-agent coordination** 
 , routing, and tool orchestration.
* Demonstrated portfolio or project showing LLMs interacting with frontend interfaces agentically.
* Passion for building, experimenting with, and optimizing agents.
**Desired Qualifications** 
* Experience in fast\-paced startup environments.
* Comfort with
 **Claude Code** 
**SDK,** 
 and modern GenAI coding best practices.
* Frameworks LangChain, AutoGen, Semantic Kernal.
**About the Role** 
 This is a full\-time, on\-site position based in
 **Pittsburgh, PA** 
 , with occasional travel (up to 10%). You’ll be joining a high\-velocity team building the next generation of agentic AI system. If you thrive in ambiguity, love building real agentic systems, and want to shape how LLMs interact with software interfaces at scale, this role is for you!
**Benefits:** 
* Competitive salaries ($180\-200k base salary), bonus and equity.
* *Equity has value and is actionable \- the company has a goal of moving to an IPO.*
* Employees manage their time off \- unlimited sick days and PTO.
* Professional Development \- Tuition reimbursement towards advanced education and specialized certifications.
* 401k with 4% and immediate vesting.
 \#AIJobs \#AgenticAI \#LLMEngineering \#AIEngineer \#Hiring \#MachineLearning \#GenerativeAI \#TechJobs \#Pittsburgh</t>
        </is>
      </c>
    </row>
    <row r="118">
      <c r="A118" t="inlineStr">
        <is>
          <t>li-4373993598</t>
        </is>
      </c>
      <c r="B118" t="inlineStr">
        <is>
          <t>Machine Learning Engineer</t>
        </is>
      </c>
      <c r="C118" t="inlineStr">
        <is>
          <t>Wiraa</t>
        </is>
      </c>
      <c r="D118" t="inlineStr">
        <is>
          <t>linkedin</t>
        </is>
      </c>
      <c r="E118">
        <f>HYPERLINK("https://www.linkedin.com/jobs/view/4373993598", "https://www.linkedin.com/jobs/view/4373993598")</f>
        <v/>
      </c>
      <c r="F118" t="inlineStr"/>
      <c r="G118" t="inlineStr"/>
      <c r="H118" t="inlineStr"/>
      <c r="I118" t="inlineStr">
        <is>
          <t>**About The Company**
 Humana Inc. is a leading health and well\-being company dedicated to putting health first for its members, employees, and communities. With a commitment to delivering innovative healthcare solutions, Humana provides a wide range of insurance services and healthcare programs designed to improve quality of life and foster healthier communities. As a Fortune 500 organization, Humana leverages its extensive expertise in healthcare and technology to create impactful solutions that address the evolving needs of diverse populations. The company emphasizes a culture of inclusion, integrity, and continuous improvement, striving to be a trusted partner in health for millions of individuals across the United States.
**About The Role**
 We are seeking a highly skilled Lead Machine Learning Engineer to join our dynamic team. In this pivotal role, you will be responsible for architecting, developing, and managing advanced machine learning systems that facilitate real\-time, personalized decision\-making across various digital and assisted channels. Your expertise will drive the creation of scalable ML pipelines, online inference services, and decision\-time scoring logic, utilizing cutting\-edge AI\-assisted and agentic solutions.
 The role emphasizes production\-level ML engineering, focusing on enhancing development velocity, model quality, operational effectiveness, and system reliability. You will lead efforts to design and implement end\-to\-end ML architectures that meet stringent latency, scalability, and correctness requirements, ensuring that our systems are robust, explainable, and aligned with business objectives. As a technical leader, you will collaborate with cross\-functional teams, mentor engineers, and influence architectural decisions to uphold best practices and drive innovation within the organization.
**Qualifications**
* 8\+ years of experience in machine learning engineering, applied ML, or data\-driven platform development
* 3\+ years in a technical lead or senior ML engineering capacity
* Deep expertise in feature engineering and data pipelines
* Proficiency in model training and evaluation techniques
* Experience with real\-time or near\-real\-time inference systems
* Strong software engineering skills in Python, Java, or similar languages
* Practical experience with AI\-assisted development tools to streamline ML workflows
* Knowledge of distributed systems and event\-driven architectures (preferred)
* Experience deploying models in regulated or high\-reliability environments (preferred)
* Understanding of model explainability and fairness methodologies (preferred)
**Responsibilities**
* Design and manage end\-to\-end machine learning systems, including feature engineering, offline training pipelines, and online inference services
* Develop and operationalize models such as propensity prediction, uplift modeling, and engagement scoring, ensuring they are explainable, robust, and composable
* Implement AI\-assisted and agentic approaches to enhance ML engineering productivity, including automated code generation, feature exploration, and experiment tracking
* Develop and maintain robust MLOps practices, including continuous training and deployment pipelines, model monitoring, and safe rollout strategies
* Ensure model outputs are traceable, reproducible, and auditable, adhering to compliance standards
* Serve as a technical leader, establishing standards and best practices for ML engineering across teams
* Collaborate with software engineers, data engineers, and platform teams to integrate ML systems seamlessly into production environments
* Mentor and guide machine learning engineers, fostering a culture of innovation and continuous learning
* Influence architectural decisions to improve testability, observability, and system resilience
**Benefits**
* Competitive salary within the range of $129,300 \- $177,800 annually, commensurate with experience
* Bonus incentive plan based on individual and company performance
* Comprehensive health benefits including medical, dental, and vision coverage
* Retirement savings plans such as 401(k)
* Paid time off, including holidays, volunteer days, and parental leave
* Short\-term and long\-term disability insurance, life insurance coverage
* Opportunities for professional development and continuous learning
* Flexible work arrangements, including hybrid and remote options
 Equal Opportunity
 Humana is an equal opportunity employer committed to fostering an inclusive environment for all employees and applicants. We do not discriminate based on race, color, religion, sex, sexual orientation, gender identity, national origin, age, marital status, genetic information, disability, or protected veteran status. We uphold affirmative action policies in compliance with Section 503 of the Rehabilitation Act and VEVRAA, ensuring equal employment opportunities and advancement.</t>
        </is>
      </c>
    </row>
    <row r="119">
      <c r="A119" t="inlineStr">
        <is>
          <t>li-4367573059</t>
        </is>
      </c>
      <c r="B119" t="inlineStr">
        <is>
          <t>Machine Learning Engineer: Evaluation</t>
        </is>
      </c>
      <c r="C119" t="inlineStr">
        <is>
          <t>Bedrock Robotics</t>
        </is>
      </c>
      <c r="D119" t="inlineStr">
        <is>
          <t>linkedin</t>
        </is>
      </c>
      <c r="E119">
        <f>HYPERLINK("https://www.linkedin.com/jobs/view/4367573059", "https://www.linkedin.com/jobs/view/4367573059")</f>
        <v/>
      </c>
      <c r="F119">
        <f>HYPERLINK("https://jobs.ashbyhq.com/bedrock-robotics/5c2c834d-61f1-4ec9-812b-8665a9f5024d/application?utm_source=2Pv93vNwBD&amp;src=LinkedIn&amp;urlHash=t-9i", "https://jobs.ashbyhq.com/bedrock-robotics/5c2c834d-61f1-4ec9-812b-8665a9f5024d/application?utm_source=2Pv93vNwBD&amp;src=LinkedIn&amp;urlHash=t-9i")</f>
        <v/>
      </c>
      <c r="G119" t="inlineStr">
        <is>
          <t>San Francisco, CA</t>
        </is>
      </c>
      <c r="H119" t="inlineStr"/>
      <c r="I119" t="inlineStr">
        <is>
          <t>Join the team bringing advanced autonomy to the built world
 At Bedrock, we’re moving AI out of the lab and into the real world. Our team is composed of industry veterans who helped launch Waymo, scaled Segment to a $3\.2B acquisition, and grew Uber Freight to $5B in revenue. Today, we’re deploying autonomous systems on heavy construction machinery across the country, accelerating project schedules of billion\-dollar infrastructure projects and improving safety on job sites. Backed by $350M in funding, we’re working quickly to close the gap between America's surging demand for housing, data centers, manufacturing hubs, and the construction industry's growing labor shortage.
 This is where algorithms meet steel\-toed boots. You’ll collaborate with construction veterans and world\-class engineers to solve physical\-world problems that simulations can’t touch. If you're ready to apply cutting\-edge technology to solve meaningful problems alongside a talented team—we'd love to have you join us.
**Machine Learning Engineer: Evaluation**
 Bedrock is bringing autonomy to the construction industry! We’re a group of veterans from the autonomous vehicle industry who are passionate about bringing the benefits of automation to areas in the construction industry currently underserved by the market.
 We’re looking for a highly motivated engineer with experience evaluating complex ML systems deployed in the real world. Your Mission: Translate the infinite nuance of the built world into actionable, AI\-native evaluations that accelerate Bedrock Operator adoption.
 The ideal candidate has hands\-on experience in building evaluation systems and designing and executing statistical tests to gauge performance deltas between system iterations. More importantly, you’ve iterated on complex ML systems run in production environments, and you understand the complexities that come with it.
**What You’ll Do**
**Design and maintain eval systems:**
* Build pipelines for measuring system performance – across open loop and closed loop simulation, hardware in the loop systems, and field data from Bedrock Operator equipped machinery. Excite other teams to gain insights earlier in the development cycle through streamlined workflows.
**Develop Metrics**
* Connect product goals and system behavior \- by bridging real\-world specification to measurable indicators from logged data. Empower confident decision making from parameter tuning to program planning by slicing through the noise and delivering objective insights.
**Classify Data Sources For Training And Testing**
* Implement infrastructure and classifiers \- to self\-annotate data and allow creation of datasets for a variety of training and evaluation use cases. Leverage models to source rich annotations for massive datasets to accelerate model iteration.
**Predict System Performance**
* Model metrics and interpret results \- from various sources ranging from raw sensor data to key leading indicators. Determine whether new construction sites pose hidden challenges and drive business decisions about deployment readiness.
**What We’re Looking For**
* Engineers who are currently Senior or Staff level with 5\+ years of professional software engineering, data science, or research experience
* 2\+ years of professional experience analyzing modern ML or robotics system performance on real\-world problems
* Proficiency in Python and a data warehouse query language and comfort with development on infrastructure within parallelized cloud\-based frameworks
* Strong statistical analysis skills (e.g. classification, model fit bias determination, hypothesis testing, and uncertainty quantification)
* Experience working with large datasets
* Bonus points: We’re especially interested in engineers who have applied statistical backgrounds to ML research or real\-world robotics applications.
 Our roles are often flexible. If you don't fit all the criteria, or are in another location (especially one where we have an office like SF or NY) please apply anyway! We'd love to consider you.
*Our roles are often flexible. If you don't fit all the criteria, or are in another location (especially one where we have an office like SF or NY) please apply anyway! We'd love to consider you.*</t>
        </is>
      </c>
    </row>
    <row r="120">
      <c r="A120" t="inlineStr">
        <is>
          <t>li-4373005670</t>
        </is>
      </c>
      <c r="B120" t="inlineStr">
        <is>
          <t>Senior Machine Learning Engineer</t>
        </is>
      </c>
      <c r="C120" t="inlineStr">
        <is>
          <t>Hologic, Inc.</t>
        </is>
      </c>
      <c r="D120" t="inlineStr">
        <is>
          <t>linkedin</t>
        </is>
      </c>
      <c r="E120">
        <f>HYPERLINK("https://www.linkedin.com/jobs/view/4373005670", "https://www.linkedin.com/jobs/view/4373005670")</f>
        <v/>
      </c>
      <c r="F120" t="inlineStr"/>
      <c r="G120" t="inlineStr">
        <is>
          <t>Newark, DE</t>
        </is>
      </c>
      <c r="H120" t="inlineStr"/>
      <c r="I120" t="inlineStr">
        <is>
          <t>**Role Summary**
 As a
 **Senior Machine Learning Engineer** 
 within Hologic’s Breast \&amp; Skeletal Health division, you will design, develop, and deploy advanced AI algorithms for next‑generation medical imaging devices. A key focus of this role is building and validating AI‑driven solutions for breast cancer detection in breast tomosynthesis (3D mammography). Your work will directly impact patient outcomes by ensuring our AI solutions are accurate, robust, safe, and clinically validated, supporting Hologic’s mission to improve women’s health through innovative, high‑quality technologies.
**Location: Santa Clara, CA \| Newark, DE \| Remote (US)**
**What You’ll Do**
* Design and develop ML/AI models for breast imaging, with a focus on digital breast tomosynthesis (DBT) and related modalities.
* Own the end‑to‑end ML pipeline: data preparation, feature engineering, model training, evaluation, deployment, and monitoring in production environments.
* Work with large‑scale medical imaging datasets, including DICOM images, to build high‑performing and reliable models.
* Implement and optimize deep learning architectures (e.g., CNNs and related vision models) for detection, classification, and related tasks in breast imaging.
* Validate and benchmark models using appropriate metrics, cross‑validation, test sets, and clinically relevant performance measures.
* Collaborate with cross‑functional teams (engineering, clinical, regulatory, and product) to translate clinical needs and business requirements into robust ML solutions.
* Contribute to design and documentation needed for regulatory submissions and clinical validation, following FDA and other relevant guidelines for AI in healthcare.
* Ensure code quality and reliability, applying good software engineering practices (testing, version control, code reviews, documentation).
* Mentor junior engineers and scientists, sharing best practices in ML, deep learning, and software development.
**Required Qualifications**
* Experience:
+ 5\+ years of hands‑on experience in machine learning, applied AI, or ML engineering, ideally with exposure to computer vision or medical imaging.
* Education:
+ Bachelor’s degree in a related field preferred (e.g., Computer Science, Electrical/Computer Engineering, Data Science, Mathematics, Statistics, Biomedical Engineering, or similar).
+ Advanced degree (Master’s or PhD) is a plus but not required.
* Technical Skills:
+ Strong understanding of machine learning and deep learning principles, including supervised learning and, ideally, self‑supervised or semi‑supervised methods.
+ Solid knowledge of neural network architectures and training techniques, particularly for computer vision (e.g., CNNs, modern vision architectures).
+ Foundation in computer vision techniques, data preprocessing, feature engineering, and statistical analysis.
+ Experience with model validation and performance benchmarking, including selecting appropriate metrics and designing experiments.
+ Strong programming skills in Python (required); C\+\+ experience is a strong plus.
+ Proficiency with ML/data science libraries and tools such as NumPy, SciPy, Pandas, OpenCV, scikit‑learn, XGBoost.
+ Hands‑on experience with deep learning frameworks such as PyTorch and/or TensorFlow.
+ Experience designing and implementing scalable ML pipelines, including training, inference, and monitoring.
+ Experience with cloud platforms (e.g., AWS, Azure, or GCP) for training and/or deploying ML models.
+ Familiarity with software engineering best practices, including modular design, testing, debugging, version control (e.g., Git), and CI/CD concepts.
**Preferred / Bonus Qualifications**
* Familiarity with the DICOM format and medical imaging workflows, ideally including digital breast tomosynthesis (DBT).
* Understanding of breast cancer pathology, radiology workflows, and how mammography is used in clinical practice.
* Experience working under FDA regulatory standards or similar frameworks for AI/ML in healthcare, including validation protocols, documentation, and risk management.
* Experience contributing to regulated medical device software or products subject to 510(k)/PMA submissions.
* Exposure to MLOps practices and tools (e.g., MLflow, Kubeflow, SageMaker, model monitoring, experiment tracking).
**Soft Skills \&amp; Behaviors**
* Ability to translate complex technical concepts into clear language for clinical, product, and business stakeholders.
* Strong problem‑solving skills and a practical mindset focused on delivering reliable, real‑world solutions.
* Demonstrated ability to work independently while also collaborating effectively in cross‑functional teams.
* Experience mentoring or guiding junior team members and contributing to team standards and best practices.
* High level of ownership, attention to detail, and commitment to quality, especially given the impact on patient care.
**So why join Hologic?**
 We are committed to making Hologic the company where top talent comes to grow. For you to succeed, we want to enable you with the tools and knowledge required and so we provide comprehensive training when you join as well as continued development and training throughout your career. We offer a competitive salary and annual bonus scheme, one of our talent partners can discuss this in more detail with you.
 If you have the right skills and experience and want to join our team, apply today. We can’t wait to hear from you!
 The annualized base salary range for this role is $110,800 \- $173,300 and is bonus eligible. Final compensation packages will ultimately depend on factors including relevant experience, skillset, knowledge, geography, education, business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As part of our commitment to a fair and accurate evaluation of each candidate's qualifications, we require all applicants to refrain from using AI tools, such as generative AI or automated writing assistance, during any stage of the interview process. Responses influenced by AI may result in disqualification. We appreciate your understanding and cooperation in ensuring a transparent and equitable selection process.
 Hologic, Inc. is proud to be an Equal Opportunity Employer inclusive of disability and veterans.
 \#remote</t>
        </is>
      </c>
    </row>
    <row r="121">
      <c r="A121" t="inlineStr">
        <is>
          <t>li-4373012058</t>
        </is>
      </c>
      <c r="B121" t="inlineStr">
        <is>
          <t>Materials Science AI Engineer</t>
        </is>
      </c>
      <c r="C121" t="inlineStr">
        <is>
          <t>Techions</t>
        </is>
      </c>
      <c r="D121" t="inlineStr">
        <is>
          <t>linkedin</t>
        </is>
      </c>
      <c r="E121">
        <f>HYPERLINK("https://www.linkedin.com/jobs/view/4373012058", "https://www.linkedin.com/jobs/view/4373012058")</f>
        <v/>
      </c>
      <c r="F121" t="inlineStr"/>
      <c r="G121" t="inlineStr">
        <is>
          <t>Santa Clara, CA</t>
        </is>
      </c>
      <c r="H121" t="inlineStr"/>
      <c r="I121" t="inlineStr">
        <is>
          <t>We are seeking an AI Scientist/Engineer to join our team in developing and supporting materials discovery and design. The ideal candidate will have strong experience building AI\-based solutions for building neural network architecture, attention mechanisms, multi\-modal learning, aggregating and structuring training data, statistical theory, and cloud\-based compute for parallelized, scalable, and automated workflows.
**Key Responsibilities** 
* Design, develop and deploy multi\-modal AI, ML, and hybrid physical\-based models to solve ground\-breaking material physics and design problems.
* Aggregate, process, transform and quality\-control experimental and simulation data for modeling and analysis.
* Design, develop, and maintain data workflows to support materials informatics initiatives. Optimize data pipelines and model execution on parallel cloud systems (e.g., Azure, GCP, AWS).
* Collaborate with materials scientists, chemists, and software engineers to integrate analytics and predictive modeling into core R\&amp;D workflows.
* Document code, workflows, and best practices to support reproducible research.
* Apply AI and data analytics to optimize material synthesis and processing parameters in real\-time, minimizing defects, improving consistency.
**Technical Skills:** 
* Strong proficiency in programming languages like Python and C\+\+.
* Experience with machine learning and deep learning frameworks (e.g., PyTorch, TensorFlow).
* Knowledge of generative modeling techniques and architectures (e.g., GANs, VAEs, transformers).
* Knowledge of MLOps, model deployment pipelines, and CI/CD.
* Experience with data cleansing, preprocessing, and feature engineering
**Qualifications** 
* Graduate or undergraduate degree in Computer Science, Engineering, Applied Mathematics, or a related technical field.
* 2\-4 years of work experience (depending on educational degree) in data science, AI, machine learning, or data engineering roles.
* A strong foundation in the principles of materials science is essential to understand the underlying science and set up meaningful problems for AI.
* Expert in Python and data science libraries (e.g., pandas, NumPy, scikit\-learn, TensorFlow or PyTorch).
* Expertise in use of cloud\-based compute environments and tools for parallel or distributed computing.
* Strong problem\-solving and communication skills.</t>
        </is>
      </c>
    </row>
    <row r="122">
      <c r="A122" t="inlineStr">
        <is>
          <t>li-4358221508</t>
        </is>
      </c>
      <c r="B122" t="inlineStr">
        <is>
          <t>Machine Learning Engineer, Level 4</t>
        </is>
      </c>
      <c r="C122" t="inlineStr">
        <is>
          <t>Snap Inc.</t>
        </is>
      </c>
      <c r="D122" t="inlineStr">
        <is>
          <t>linkedin</t>
        </is>
      </c>
      <c r="E122">
        <f>HYPERLINK("https://www.linkedin.com/jobs/view/4358221508", "https://www.linkedin.com/jobs/view/4358221508")</f>
        <v/>
      </c>
      <c r="F122">
        <f>HYPERLINK("https://wd1.myworkdaysite.com/en-US/recruiting/snapchat/snap/job/Palo-Alto-California/Machine-Learning-Engineer\u002d\u002dLevel-4_Q126SWEML3?source=LinkedIn&amp;urlHash=DIch", "https://wd1.myworkdaysite.com/en-US/recruiting/snapchat/snap/job/Palo-Alto-California/Machine-Learning-Engineer\u002d\u002dLevel-4_Q126SWEML3?source=LinkedIn&amp;urlHash=DIch")</f>
        <v/>
      </c>
      <c r="G122" t="inlineStr">
        <is>
          <t>Palo Alto, CA</t>
        </is>
      </c>
      <c r="H122" t="inlineStr"/>
      <c r="I12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3\+ years of post\-Bachelor’s machine learning experience; or Master’s degree in a technical field \+ 2\+ year of post\-grad machine learning experience; or PhD in a relevant technical field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123">
      <c r="A123" t="inlineStr">
        <is>
          <t>li-4358191578</t>
        </is>
      </c>
      <c r="B123" t="inlineStr">
        <is>
          <t>Machine Learning Engineer, Level 5</t>
        </is>
      </c>
      <c r="C123" t="inlineStr">
        <is>
          <t>Snap Inc.</t>
        </is>
      </c>
      <c r="D123" t="inlineStr">
        <is>
          <t>linkedin</t>
        </is>
      </c>
      <c r="E123">
        <f>HYPERLINK("https://www.linkedin.com/jobs/view/4358191578", "https://www.linkedin.com/jobs/view/4358191578")</f>
        <v/>
      </c>
      <c r="F123" t="inlineStr"/>
      <c r="G123" t="inlineStr">
        <is>
          <t>Bellevue, WA</t>
        </is>
      </c>
      <c r="H123" t="inlineStr"/>
      <c r="I12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5\+ years of post\-Bachelor’s machine learning experience; or Master’s degree in a technical field \+ 4\+ year of post\-grad machine learning experience; or PhD in a relevant technical field \+ 1 years of post\-grad machine learning experience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124">
      <c r="A124" t="inlineStr">
        <is>
          <t>li-4358102818</t>
        </is>
      </c>
      <c r="B124" t="inlineStr">
        <is>
          <t>Machine Learning Engineer, Level 5</t>
        </is>
      </c>
      <c r="C124" t="inlineStr">
        <is>
          <t>Snap Inc.</t>
        </is>
      </c>
      <c r="D124" t="inlineStr">
        <is>
          <t>linkedin</t>
        </is>
      </c>
      <c r="E124">
        <f>HYPERLINK("https://www.linkedin.com/jobs/view/4358102818", "https://www.linkedin.com/jobs/view/4358102818")</f>
        <v/>
      </c>
      <c r="F124" t="inlineStr"/>
      <c r="G124" t="inlineStr">
        <is>
          <t>Seattle, WA</t>
        </is>
      </c>
      <c r="H124" t="inlineStr"/>
      <c r="I12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5\+ years of post\-Bachelor’s machine learning experience; or Master’s degree in a technical field \+ 4\+ year of post\-grad machine learning experience; or PhD in a relevant technical field \+ 1 years of post\-grad machine learning experience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125">
      <c r="A125" t="inlineStr">
        <is>
          <t>li-4373982541</t>
        </is>
      </c>
      <c r="B125" t="inlineStr">
        <is>
          <t>AI/ML Engineer</t>
        </is>
      </c>
      <c r="C125" t="inlineStr">
        <is>
          <t>micro1</t>
        </is>
      </c>
      <c r="D125" t="inlineStr">
        <is>
          <t>linkedin</t>
        </is>
      </c>
      <c r="E125">
        <f>HYPERLINK("https://www.linkedin.com/jobs/view/4373982541", "https://www.linkedin.com/jobs/view/4373982541")</f>
        <v/>
      </c>
      <c r="F125">
        <f>HYPERLINK("https://jobs.micro1.ai/post/33ac3e3b-17f1-4a1c-981d-f9397e004c1f?utm_source=linkedin&amp;urlHash=SpvB", "https://jobs.micro1.ai/post/33ac3e3b-17f1-4a1c-981d-f9397e004c1f?utm_source=linkedin&amp;urlHash=SpvB")</f>
        <v/>
      </c>
      <c r="G125" t="inlineStr"/>
      <c r="H125" t="inlineStr"/>
      <c r="I125" t="inlineStr">
        <is>
          <t>**Job Title:** 
 AI/ML Engineer
**Job Type:** 
 Full\-time, Contractual
**Job Summary:** 
 Join our customer's team as a AI/ML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126">
      <c r="A126" t="inlineStr">
        <is>
          <t>li-4372866276</t>
        </is>
      </c>
      <c r="B126" t="inlineStr">
        <is>
          <t>Staff Machine Learning Engineer</t>
        </is>
      </c>
      <c r="C126" t="inlineStr">
        <is>
          <t>Qualcomm</t>
        </is>
      </c>
      <c r="D126" t="inlineStr">
        <is>
          <t>linkedin</t>
        </is>
      </c>
      <c r="E126">
        <f>HYPERLINK("https://www.linkedin.com/jobs/view/4372866276", "https://www.linkedin.com/jobs/view/4372866276")</f>
        <v/>
      </c>
      <c r="F126" t="inlineStr"/>
      <c r="G126" t="inlineStr">
        <is>
          <t>San Diego, CA</t>
        </is>
      </c>
      <c r="H126" t="inlineStr"/>
      <c r="I126" t="inlineStr">
        <is>
          <t>**Company**
 Qualcomm Technologies, Inc.
**Job Area**
 Engineering Group, Engineering Group \&gt; Machine Learning Engineering
**General Summary**
 As a leading technology innovator, Qualcomm pushes the boundaries of what's possible to enable next\-generation experiences and drives digital transformation to help create a smarter, connected future for all. As a Qualcomm Machine Learning Engineer, you will create and implement machine learning techniques, frameworks, and tools that enable the efficient discovery and utilization of state\-of\-the\-art machine learning solutions over a broad set of technology verticals or designs. Qualcomm Engineers collaborate with cross\-functional teams to enhance the world of mobile, edge, auto, and IOT products through machine learning hardware and software.
**Minimum Qualifications**
*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**Preferred Qualifications**
* Master's degree in Computer Science, Engineering, Information Systems, or related field.
* 5\+ years of experience with Machine Learning frameworks (e.g., Tensor Flow, Caffe, Caffe 2, Pytorch, Keras).
* 5\+ years of experience in embedded system development and optimization with application to a specific problem domain in ML (e.g., NLP, multi\-media).
* 5\+ years of experience with one or more programming language suitable for machine learning (e.g., Python, R, C, C\+\+)
* 5\+ years of experience using statistics and probability (e.g., conditional probability, Bayes rule).
* 3\+ years experience working in a large matrixed organization.
* 2\+ years of experience with low level interactions between operating systems (e.g., Linux, Android, QNX) and Hardware.
* 1\+ year in a technical leadership role with or without direct reports (only applies to positions with direct reports).
* 1\+ year of work experience in a role requiring interaction with senior leadership (e.g., Director and above).
**Principal Duties And Responsibilities**
* Leverages advanced Machine Learning knowledge to extend training or runtime frameworks or model efficiency software tools with new features and optimizations.
* Models, architects, and develops advanced machine learning hardware (co\-designed with machine learning software) for inference or training solutions.
* Develops optimized software to enable AI models deployed on hardware (e.g., machine learning kernels, compiler tools, or model efficiency tools, etc.) to allow specific hardware features; collaborates with hardware teams for joint design and development.
* Develops and applies machine learning techniques into products and/or AI solutions to enable customers to do the same.
* Develops, adapts, or prototypes novel machine learning solutions aligned with and motivated by proposals or roadmaps for complex products and working features.
* Oversees and conducts experiments to train and evaluate machine learning models and/or software.
**Level Of Responsibility**
* Works independently with minimal supervision.
* Provides supervision/guidance to other team members.
* Decision\-making is significant in nature and affects work beyond immediate work group.
* Requires verbal and written communication skills to convey complex information. May require negotiation, influence, tact, etc.
* Has a moderate amount of influence over key organizational decisions (e.g., is consulted by senior leadership to make key decisions).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$158,400\.00 \- $237,600\.00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27">
      <c r="A127" t="inlineStr">
        <is>
          <t>li-4338885358</t>
        </is>
      </c>
      <c r="B127" t="inlineStr">
        <is>
          <t>AI Engineer</t>
        </is>
      </c>
      <c r="C127" t="inlineStr">
        <is>
          <t>Euronet</t>
        </is>
      </c>
      <c r="D127" t="inlineStr">
        <is>
          <t>linkedin</t>
        </is>
      </c>
      <c r="E127">
        <f>HYPERLINK("https://www.linkedin.com/jobs/view/4338885358", "https://www.linkedin.com/jobs/view/4338885358")</f>
        <v/>
      </c>
      <c r="F127" t="inlineStr"/>
      <c r="G127" t="inlineStr">
        <is>
          <t>Leawood, KS</t>
        </is>
      </c>
      <c r="H127" t="inlineStr"/>
      <c r="I127" t="inlineStr">
        <is>
          <t>**Description**
 Since 1996, epay, a business segment of Euronet, has been at the center of connecting local and global brands to consumers. Our capabilities, platforms, products, and solutions cater to the changing consumer demand for content and payments in categories such as mobile, gaming, and entertainment.
 We are looking for a pure technical builder\-someone who thrives in a fast\-moving environment and wants to get their hands in the latest AI technology. We’re seeking an AI Engineer with a deep, practical understanding of modern AI. You will be writing code, experimenting with new models, and building production\-grade AI agents. This is a hybrid role located in Leawood, KS.
**What You’ll Do**
* Build \&amp; Deploy: Architect and code end\-to\-end AI applications. You will move beyond simple API calls to build robust systems using RAG (Retrieval\-Augmented Generation), vector databases, and agentic workflows.
* Engineer AI Agents: Develop autonomous agents capable of complex reasoning, tool use, and decision\-making to automate varied business workflows.
* Optimize \&amp; Fine\-Tune: Experiment with prompt engineering strategies, context window management, and model fine\-tuning to maximize performance and accuracy.
* Bridge the Gap: Translate "raw AI" capabilities into reliable software features. You will work with APIs (Flask/FastAPI), databases, and backend logic to integrate AI models into real\-world products.
* Foster Expertise: Act as a technical beacon for AI within the company. While this is not a management role, you will help upskill the engineering team by demonstrating best practices and sharing knowledge on the latest AI advancements.
**Requirements**
* Concrete Experience: Experience building production AI applications.
* Complexity Management: Demonstrated ability to manage high levels of complexity.
* Strong Code: Proficiency in Python and AI frameworks. You should be comfortable writing production\-ready code, managing dependencies, building REST APIs (Flask/FastAPI), etc.
* LLM Native: Hands\-on experience with the modern AI stack. You should know your way around tools like LangChain and the OpenAI/Anthropic APIs.
* Applied AI Skills: You possess a full\-spectrum understanding of AI. While versed in LLM architectures (RAG, Agents, Vector Search), you would also be comfortable with feature engineering and building classic machine learning models (regression, classification, clustering) for structured data. You know how LLMs are trained and may have trained or fine\-tuned a language model yourself.
* Development Background:
* Proficiency with git, docker, experience with cloud compute.
* Background in traditional software engineering is a bonus.
* Local Presence: You must be willing to commute to our Leawood, KS office.
**Benefits**
* 401(k) Plan
* Health/Dental/Vision Insurance
* Employee Stock Purchase Plan
* Company\-paid Life Insurance
* Company\-paid disability insurance
* Tuition Reimbursement
* Paid Time Off
* Paid Volunteer Days
* Paid Holidays
* Casual Office Attire
* Plus many more employee perks \&amp; incentives!
 We are an Equal Opportunity Employer, and all qualified applicants will receive consideration for employment without regard to race, color, religion, gender, sexual orientation, gender identity, or national origin, age, disability status, genetic information, protected veteran status, or any other characteristic protected by law.</t>
        </is>
      </c>
    </row>
    <row r="128">
      <c r="A128" t="inlineStr">
        <is>
          <t>li-4365885428</t>
        </is>
      </c>
      <c r="B128" t="inlineStr">
        <is>
          <t>Senior Machine Learning Engineer, Home Modeling</t>
        </is>
      </c>
      <c r="C128" t="inlineStr">
        <is>
          <t>Roblox</t>
        </is>
      </c>
      <c r="D128" t="inlineStr">
        <is>
          <t>linkedin</t>
        </is>
      </c>
      <c r="E128">
        <f>HYPERLINK("https://www.linkedin.com/jobs/view/4365885428", "https://www.linkedin.com/jobs/view/4365885428")</f>
        <v/>
      </c>
      <c r="F128" t="inlineStr"/>
      <c r="G128" t="inlineStr">
        <is>
          <t>San Mateo, CA</t>
        </is>
      </c>
      <c r="H128" t="inlineStr"/>
      <c r="I128"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With Roblox’s daily active users growing at a record pace, we are seeking experienced machine learning engineers who thrive on solving complex challenges and designing scalable, ground breaking solutions. In this role, you will develop deep learning\-based models for user understanding, content/query analysis, and recommendation systems. Your work will lay the foundation for personalizing user experiences, enhancing engagement and retention, and driving growth within the creator ecosystem.
 In this role, you will contribute to the core systems that enable users to discover and interact with experiences across Roblox. These systems drive exploration and engagement across all surfaces, helping users find relevant and exciting content. Looking ahead, our team aims to innovate further by developing more personalized deep learning\-based recommendation algorithms and developing more comprehensive CV and NLP methods to better understand Roblox experiences.
 Our mission is to connect a billion users with the best content and connections at the right time, tackling diverse challenges at an unprecedented scale. Join us and play a pivotal role in shaping the future of Roblox’s systems.
**You Will**
* Design and implement large scale ML solutions to improve personalization including better user understanding as well as experience understanding using images, videos and text.
* Design and implement large scale recommendation models
* Author specs for new features and improvement
* Collaborate with other teams within Roblox to make sure we are building products with a community first approach.
* Balance researching new technologies with a practical approach to accomplish the research efforts into the Roblox products
* Communicate with the industry and communities where applicable and be ambassador for Roblox.
**You Have**
* 4\+ (for senior) years of experience designing and building scalable machine learning solutions. Experienced with transformer based model training, inference, and product integration. Break down product requirements into iterative deliverable stages.
* A BS in Computer Science or a related discipline, advanced degrees are a definite plus.
* You have initiated and facilitated challenging technical decisions.
* Compassion; you always start with the needs of the user, whether they are Roblox users or internal engineers.
* A creative and strategic approach to solving hard problems. You simplify the complex. You bring in fresh ideas from new places.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$243,290—$295,250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29">
      <c r="A129" t="inlineStr">
        <is>
          <t>li-4343870035</t>
        </is>
      </c>
      <c r="B129" t="inlineStr">
        <is>
          <t>Senior AI Engineer - AI Platform</t>
        </is>
      </c>
      <c r="C129" t="inlineStr">
        <is>
          <t>ClickUp</t>
        </is>
      </c>
      <c r="D129" t="inlineStr">
        <is>
          <t>linkedin</t>
        </is>
      </c>
      <c r="E129">
        <f>HYPERLINK("https://www.linkedin.com/jobs/view/4343870035", "https://www.linkedin.com/jobs/view/4343870035")</f>
        <v/>
      </c>
      <c r="F129" t="inlineStr"/>
      <c r="G129" t="inlineStr"/>
      <c r="H129" t="inlineStr"/>
      <c r="I129"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**Role Overview:**
 We are seeking a highly skilled and experienced Senior AI Engineer – AI Platform to join our ClickUp Engineering team. In this role, you will play a critical part in both building the core AI platform and directly applying large language models (LLMs) to deliver intelligent features across ClickUp. You will focus on backend systems that enable scalable, reliable, and secure AI\-powered capabilities, while also working hands\-on with LLMs to solve real user problems and drive product innovation.
**Key Responsibilities:**
* Architect, design, and implement scalable AI platform services that support the deployment, orchestration, and lifecycle management of LLMs and other AI models.
* Apply LLMs and other AI technologies directly to build and enhance ClickUp’s intelligent features, working closely with product and engineering teams to deliver impactful solutions.
* Build and maintain robust APIs and backend systems that enable seamless integration of AI\-powered features into ClickUp’s core platform.
* Develop infrastructure for model serving, monitoring, logging, and automated evaluation to ensure high reliability and performance of AI services in production.
* Integrate with multiple LLM providers (e.g., OpenAI, Anthropic, Google) and manage model selection, routing, and fallback strategies for optimal performance and cost.
* Drive the adoption of best practices in AI privacy, security, and compliance, including data anonymization, secure data handling, and regulatory adherence.
* Optimize platform performance, scalability, and cost\-efficiency, leveraging cloud\-native technologies and distributed systems.
* Stay current with advancements in AI infrastructure, MLOps, and LLM applications, and proactively incorporate relevant innovations into ClickUp’s AI platform.
* Collaborate cross\-functionally with product, frontend, and data teams to deliver seamless, reliable, and user\-centric AI experiences.
**Qualifications:**
* Extensive experience designing and building scalable AI/ML platforms or infrastructure in a production environment.
* Proven track record of applying LLMs and AI models to real\-world product features and user\-facing solutions.
* Deep expertise in backend engineering, distributed systems, and cloud\-native technologies (e.g., Kubernetes, Docker, AWS/GCP/Azure).
* Proven experience integrating and managing multiple LLMs and AI models, with a strong understanding of their operational requirements and limitations.
* Proficiency in orchestration frameworks and workflow engines (e.g., LangGraph, Airflow, Kubeflow, Ray, or similar).
* Strong programming skills in Python, Go, TypeScript or similar languages used for backend and AI platform development.
* Experience with MLOps best practices, including model deployment, monitoring, logging, and automated evaluation.
* Demonstrated ability to address AI privacy and security challenges, including data anonymization and compliance with data protection regulations.
* Familiarity with search technologies and their integration into AI\-driven applications.
* Excellent collaboration and communication skills, with a track record of working effectively in cross\-functional teams.
* Passion for staying at the forefront of AI infrastructure and applying new technologies to solve real\-world problems at scale.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
 Compensation Range: $200K \- $250K</t>
        </is>
      </c>
    </row>
    <row r="130">
      <c r="A130" t="inlineStr">
        <is>
          <t>li-4373988419</t>
        </is>
      </c>
      <c r="B130" t="inlineStr">
        <is>
          <t>AI Engineer</t>
        </is>
      </c>
      <c r="C130" t="inlineStr">
        <is>
          <t>micro1</t>
        </is>
      </c>
      <c r="D130" t="inlineStr">
        <is>
          <t>linkedin</t>
        </is>
      </c>
      <c r="E130">
        <f>HYPERLINK("https://www.linkedin.com/jobs/view/4373988419", "https://www.linkedin.com/jobs/view/4373988419")</f>
        <v/>
      </c>
      <c r="F130" t="inlineStr"/>
      <c r="G130" t="inlineStr"/>
      <c r="H130" t="inlineStr"/>
      <c r="I130" t="inlineStr">
        <is>
          <t>**Job Title:** 
 AI/ML Engineer
**Job Type:** 
 Full\-time, Contractual
**Job Summary:** 
 Join our customer's team as a AI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131">
      <c r="A131" t="inlineStr">
        <is>
          <t>li-4368443684</t>
        </is>
      </c>
      <c r="B131" t="inlineStr">
        <is>
          <t>Staff Machine Learning Engineer-CAM Robotics</t>
        </is>
      </c>
      <c r="C131" t="inlineStr">
        <is>
          <t>Talently</t>
        </is>
      </c>
      <c r="D131" t="inlineStr">
        <is>
          <t>linkedin</t>
        </is>
      </c>
      <c r="E131">
        <f>HYPERLINK("https://www.linkedin.com/jobs/view/4368443684", "https://www.linkedin.com/jobs/view/4368443684")</f>
        <v/>
      </c>
      <c r="F131" t="inlineStr"/>
      <c r="G131" t="inlineStr">
        <is>
          <t>San Francisco, CA</t>
        </is>
      </c>
      <c r="H131" t="inlineStr"/>
      <c r="I131" t="inlineStr">
        <is>
          <t>**Job Title:** 
 Staff ML Algorithms Engineer
**Location:** 
 Hybrid \- San Francisco, California, United States
**Salary:** 
 $160\-220K\+ Equity
**Skills:** 
 Machine Learning, Reinforcement Learning, Geometry, Production ML Systems, Recommenders, Python, C\+\+
**About the Engineering Company / The Opportunity:** 
 Are you passionate about applying advanced machine learning and optimization techniques to solve real\-world engineering problems? This hybrid role in San Francisco offers the chance to build production systems that intelligently leverage CAD/manufacturing data and user feedback to deliver smarter tools and workflows. If you thrive working with domain\-specific data and creating next\-generation recommendation engines, this is a unique opportunity for you.
**Responsibilities:** 
* Build intelligence systems atop CAD/CAM and manufacturing datasets.
* Develop recommendation engines for tools, process parameters, and operation workflows.
* Design and deploy feedback loops that learn from user edits and human\-in\-the\-loop responses.
* Apply machine learning, reinforcement learning, and numerical optimization to complex engineering challenges.
* Integrate deterministic algorithms with data\-driven models for robust solutions.
* Collaborate closely with front\-end and back\-end engineering teams to deliver production\-ready ML systems.
**Must\-Have Skills:** 
* Hands\-on experience with production machine learning systems.
* Expertise in recommenders, ranking models, or optimization techniques.
* Proficiency working with structured and domain\-specific engineering data.
* Strong foundations in applied machine learning methodologies.
**Nice\-to\-Have Skills:** 
* CAD/CAM robotics or advanced geometry experience.
* Background in offline reinforcement learning, multi\-armed bandits, or preference learning algorithms.
* Development experience using C\+\+ (geometry algorithms) or Python (applied ML).
* Familiarity with multimodal interfaces spanning text, drawing, and action\-based inputs.</t>
        </is>
      </c>
    </row>
    <row r="132">
      <c r="A132" t="inlineStr">
        <is>
          <t>li-4374128025</t>
        </is>
      </c>
      <c r="B132" t="inlineStr">
        <is>
          <t>Staff Machine Learning Engineer</t>
        </is>
      </c>
      <c r="C132" t="inlineStr">
        <is>
          <t>Tubi</t>
        </is>
      </c>
      <c r="D132" t="inlineStr">
        <is>
          <t>linkedin</t>
        </is>
      </c>
      <c r="E132">
        <f>HYPERLINK("https://www.linkedin.com/jobs/view/4374128025", "https://www.linkedin.com/jobs/view/4374128025")</f>
        <v/>
      </c>
      <c r="F132" t="inlineStr"/>
      <c r="G132" t="inlineStr"/>
      <c r="H132" t="inlineStr"/>
      <c r="I132" t="inlineStr">
        <is>
          <t>**About the Role:**
 The Machine Learning team at Tubi drives the innovation behind personalized user experiences. With the largest inventory in the industry and hundreds of millions of viewers, we tackle problems in the space of recommendations, search, content understanding and ads optimization that shape the future of streaming.
 We are seeking a highly skilled
 **Staff Machine Learning Engineer** 
 to contribute to transformative projects in video personalization. In this role, you will design and implement advanced algorithms and systems to improve our personalization strategy. As a senior technical expert, you will tackle complex problems in machine learning at scale, collaborating closely with cross\-functional teams to develop and optimize machine learning\-driven solutions.
**What You'll Do:**
* Lead the design, development, and implementation of advanced recommendation systems and algorithms for a global audience
* Conduct deep dives into algorithmic components and systems, ensuring that models are optimized for both performance and scalability across multiple regions and product areas
* Build and deploy high\-impact robust ML pipelines, including data extraction, feature development, model training, testing, and deployment
* Continuously monitor, evaluate, and optimize the performance of deployed models, ensuring they meet business goals and provide high\-quality user experiences.
* Work closely with Product, Engineering, and Data Science teams to align on product requirements, set expectations, and deliver machine learning\-driven solutions that improve user engagement
**Your Background:**
* 8\+ years of industry experience building production Machine Learning systems
* MSc or Ph.D. in Computer Science, Machine Learning, Statistics, Mathematics, or a related field
* Experience with deep learning technologies for recommendation systems, including TensorFlow, PyTorch, or similar frameworks
* Proficiency in building and deploying full\-stack machine learning pipelines: data extraction, data mining, model training, feature development, testing, and deployment.
* Solid understanding of statistical concepts such as hypothesis testing, regression analysis, and performance evaluation metrics for machine learning.
* Ability to deep dive into individual components and systems, as well as understand the overall architecture of machine learning solutions.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$239,000—$342,000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133">
      <c r="A133" t="inlineStr">
        <is>
          <t>li-4372875626</t>
        </is>
      </c>
      <c r="B133" t="inlineStr">
        <is>
          <t>Sr. ML Engineer</t>
        </is>
      </c>
      <c r="C133" t="inlineStr">
        <is>
          <t>Visa</t>
        </is>
      </c>
      <c r="D133" t="inlineStr">
        <is>
          <t>linkedin</t>
        </is>
      </c>
      <c r="E133">
        <f>HYPERLINK("https://www.linkedin.com/jobs/view/4372875626", "https://www.linkedin.com/jobs/view/4372875626")</f>
        <v/>
      </c>
      <c r="F133">
        <f>HYPERLINK("https://jobs.smartrecruiters.com/Visa/744000109724523-sr-ml-engineer?source=LinkedIn&amp;urlHash=EWFK", "https://jobs.smartrecruiters.com/Visa/744000109724523-sr-ml-engineer?source=LinkedIn&amp;urlHash=EWFK")</f>
        <v/>
      </c>
      <c r="G133" t="inlineStr">
        <is>
          <t>Austin, TX</t>
        </is>
      </c>
      <c r="H133" t="inlineStr"/>
      <c r="I133"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Technology \&amp; Operations LLC, a Visa Inc. company, needs a Sr. ML Engineer (multiple openings) in Austin, TX To:
* Architect, design, build, develop, test, and/or implement software systems and/or applications.
* Conduct business and technical analysis, code reviews and unit testing, and implement and produce technical documentation of solutions for new development, system enhancements, and production support.
* Design, develop and implement modifications and corrections to existing software, including the development of debugging routines.
* Serve as an integral part of the Data Science product development team, investigate new requirements, and design and refactor existing functionality for performance and maintainability.
* Collaborate with project team members (Product Managers, Architects, Analysts, Developers, Project Managers, etc.) to ensure development and implementation of new data driven business solutions.
* Contribute in delivery of high\-quality solutions that conform to requirements and the architectural vision and comply with all applicable standards.
* Engage in requirements definition and clarification in collaboration with Business to ensure completeness and common understanding; deep understanding of the business needs is important.
* Facilitate design reviews to provide input on functional requirements, product designs, schedules, or potential problems.
* Facilitate code reviews with team members and third\-party vendors. Review and assess impact of proposed scope changes on assigned deliverables. Work with other engineering teams to facilitate a common approach to continuous integration that includes build automation, test automation, and deployment automation.
* Collaborate with senior technical staff and PM to identify, document, plan contingency, and track and manage risks and issues until all are resolved.
* Present technical solutions, capabilities, considerations, and features in business terms. Effectively communicate status, issues, and risks in a precise and timely manner.
* Position reports to the Austin, Texas office and may allow for partial telecommuting.
**Qualifications**
 Basic Qualifications:
 Employer will accept a Master's degree in Computer Science, Computer Engineering, Information systems or related field and 2 years of experience in the job offered or in a Sr. ML Engineer\-related occupation.
 Position requires experience in the following:
* Knowledge of Creational, Structural, Behavioral and Concurrency and understanding of ML algorithms (XGBoost, KNN, SVM, LSTM, Transformers, PCA and other deep learning models)
* Statistical computer programs for Machine Learning, Deep learning and natural language processing – Python, Tensorflow, SkLearn, SOLAR, SAS, MatLab, CUDA and GPU Acceleration
* Development of generic fraud detection systems using GANs, GNNs, DBSCAN clustering
* Pandas, NumPy, and SQL, as well as Matplotlib and Seaborn
* Bigdata technology stack: Hadoop and MapReduce, Spark, Pig, Impala, Kafka
* ML cloud services using AWS, Azure or GCP
* OWASP, static/dynamic analysis, and common security tools
* Oracle, MySQL, HBase, Cassandra, Hive, MongoDB
* Development utilizing Java/J2EE/JavaScripts and in using Java Web Application framework including Spring, Hibernate and Data JPA
* Web services standards and related technologies (XML, JSON, Rest, and SOAP)
**Additional Information**
**Worksite:**
 Austin, TX
**Travel Requirements:**
 This position does not require travel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**U.S. APPLICANTS ONLY: The estimated salary range for this position is $130,700\.00 USD to $202,300\.00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34">
      <c r="A134" t="inlineStr">
        <is>
          <t>li-4320193031</t>
        </is>
      </c>
      <c r="B134" t="inlineStr">
        <is>
          <t>Senior AI Engineer - Applied Scientist</t>
        </is>
      </c>
      <c r="C134" t="inlineStr">
        <is>
          <t>Forterra</t>
        </is>
      </c>
      <c r="D134" t="inlineStr">
        <is>
          <t>linkedin</t>
        </is>
      </c>
      <c r="E134">
        <f>HYPERLINK("https://www.linkedin.com/jobs/view/4320193031", "https://www.linkedin.com/jobs/view/4320193031")</f>
        <v/>
      </c>
      <c r="F134" t="inlineStr"/>
      <c r="G134" t="inlineStr">
        <is>
          <t>East Palo Alto, CA</t>
        </is>
      </c>
      <c r="H134" t="inlineStr"/>
      <c r="I134" t="inlineStr">
        <is>
          <t>**About Forterra**
 At Forterra, we are unleashing autonomy at scale to transform the battlefield. Our mission is to build the foundational platforms that enable an intelligent ecosystem to coordinate, adapt, and execute with speed and precision even in the uncertainty and disruption of modern conflict. In an era marked by rapid technological change and evolving threats, we design for flexibility, survivability, and operational dominance.
 Forterra delivers weapons, sensors, and battlefield effects through integrated autonomous networks reaching operational areas faster, safer, and without placing human lives at risk. Our systems operate with distributed control, dynamic routing, and real\-time responsiveness, enabling sustained advantage across complex mission environments.
**About The Role**
 We are seeking a Senior/Staff AI Engineer with deep expertise in generative modeling and multimodal AI systems. In this role, you will design and implement advanced models for understanding complex agent interactions in dynamic environments. You'll work on extending these capabilities toward vision\-language models and action\-aware systems, collaborating closely with research and engineering teams to bridge foundational representation learning with real\-world applications.
**What You'll Do**
* Develop neural network architectures for modeling sequential agent interactions using generative modeling approaches
* Implement Transformer\-based models that encode agent and contextual features with attention mechanisms for capturing interactions
* Research and integrate goal\-conditioned models that leverage structured representations before generating complete sequences
* Prototype and optimize learning models into lightweight modules suitable for real\-time inference
* Collaborate with cross\-functional teams to ensure seamless integration of models into the broader AI stack
* Benchmark and visualize model performance using real\-world and simulated datasets
* Optimize models for low\-latency inference and interpretability of output distributions
**Minimum Qualifications**
* Deep understanding of probabilistic generative models for sequential forecasting tasks
* Strong experience with Transformers and graph\-based modeling for complex relational data
* Familiarity with multimodal sensor processing and representation learning
* Proven ability to work with uncertainty quantification and latent variable inference
* Experience implementing models in PyTorch/TensorFlow and deploying them in production environments
* M.S. or Ph.D. in Computer Science, Machine Learning, Robotics, or related field
* 3\+ years of experience with sequential modeling, generative architectures, or forecasting systems
* Strong foundation in applied deep learning, especially variational inference and attention mechanisms
* Solid software engineering background with emphasis on clean, modular, and optimized implementations
**Preferred Qualifications**
* Publications or project experience in forecasting, agent modeling, or scene understanding
* Familiarity with graph\-based or vectorized representations of structured environments
* Experience with diffusion model optimization or goal\-conditioned decoding
* Contributions to open\-source frameworks related to generative modeling or sequential forecasting
* Interest in bridging high\-fidelity modeling with real\-time applications
 US Salary Range
 $145,000—$185,000
**Benefits**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 Premium Healthcare Benefits: Three plan options, including an HSA\-eligible plan, with Forterra covering 80% of the plan premium for you and your dependents.
* Basic Life/AD\&amp;D, short and long\-term disability insurance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****CLEARANCE ELIGIBILITY \- This position may require eligibility to obtain and maintain a U.S. security clearance.****
 For more information about U.S. Security Clearances: click here.
 Forterra is an equal\-opportunity employer, providing and promoting equal employment opportunity in all personnel practices. Forterrans are unique, talented individuals who are united through a shared passion to deliver autonomous systems that enable national resilience and a robust supply chain.
 All qualified applicants will receive consideration for employment without regard to any factor, including veteran and disability status, and criminal history, in accordance with applicable local, state, and federal laws.
 Forterra is also committed to working with and providing reasonable accommodations to individuals with disabilities. Please let your recruiter know if you need an accommodation at any point during the interview process.
 To see Forterra’s candidate data privacy policy, please visit Forterra Legal \| Job Applicant Privacy Notice.
**The Pay Range For This Role Is**
 145,000 \- 185,000 USD per year (Palo Alto Office)</t>
        </is>
      </c>
    </row>
    <row r="135">
      <c r="A135" t="inlineStr">
        <is>
          <t>li-4374131536</t>
        </is>
      </c>
      <c r="B135" t="inlineStr">
        <is>
          <t>Senior AI Engineer</t>
        </is>
      </c>
      <c r="C135" t="inlineStr">
        <is>
          <t>CHAMP</t>
        </is>
      </c>
      <c r="D135" t="inlineStr">
        <is>
          <t>linkedin</t>
        </is>
      </c>
      <c r="E135">
        <f>HYPERLINK("https://www.linkedin.com/jobs/view/4374131536", "https://www.linkedin.com/jobs/view/4374131536")</f>
        <v/>
      </c>
      <c r="F135" t="inlineStr"/>
      <c r="G135" t="inlineStr">
        <is>
          <t>Cleveland, OH</t>
        </is>
      </c>
      <c r="H135" t="inlineStr"/>
      <c r="I135" t="inlineStr">
        <is>
          <t>About the Role
 As a Senior AI Engineer, you will work in a local and distributed team building the next generation of CHAMP’s CADE (Compliance Automated Decisioning Engine) product. CADE’s goal is to revolutionize the processing of DMV transactions, exceeding industry standards for transaction processing quality and cycle time through the secure and efficient application of cloud\-native AI tools and technologies. This is a highly challenging role working with emergent Agentic platforms and requires a voracious intellectual curiosity, a drive to deliver high\-quality scalable solutions, and the ability to learn and apply new knowledge quickly while meeting delivery goals. Senior Engineers are expected and required to participate in enterprise architectural decisions, implementation architectural decisions, business requirement evaluation, team processes, continuous improvement efforts, and the daily work of building the solution with hands\-on development.
 Responsibilities
 Design complex AI\-driven workflows and functionsTranslate use cases, user stories, and requirements into technical designsDesign, implement, and deliver high\-quality technical solutions that are scalable, observable, extensible, and maintainableDesign and implement effective error handling mechanismsImplement new features while continuously improving code qualityIntegrate and consume internal and external services via MCP, REST, and SOAPCreate and maintain system documentationContribute to code reviewsCoach developers on best practicesMaintain code standards/styleLead a team of engineers on feature projects
 Qualifications
 5\+ years designing, testing, and implementing complex technical solutionsHands\-on and practical experience with AI tools and technologiesDeep understanding of production application operational requirementsExperience mentoring/coaching other software engineersExcellent communication and collaboration skills to work effectively within cross\-functional teams, including Enterprise Architecture, Product Management, QA, and more.
 Required Skills
 Programming languages: Python, Java, Javascript/TypescriptAI/Workflow Frameworks Patterns: Strands Agents, MCP, RAGTooling: AWS Bedrock AgentCore, AWS (additional services), Document AI/OCR, Docker, Git, Terraform, GitHub ActionsCollaboration Tools: Jira, Confluence, GitHub, Slack
 Preferred Skills
 Experience with delivery and operation of AI solutions in productionExperience in government technology, regulated industries, or enterprise SaaS
 Pay range and compensation package
 The expected salary range for this position is $120,000 to $160,000 annually. This is a good faith estimate, and final compensation may vary based on experience and skills.
 We celebrate diversity and are committed to creating an inclusive environment for all employees. We welcome applicants of all backgrounds, including veterans and individuals with disabilities. If you need accommodations during the application or interview process, please let us know. We’re here to help.</t>
        </is>
      </c>
    </row>
    <row r="136">
      <c r="A136" t="inlineStr">
        <is>
          <t>li-4372895064</t>
        </is>
      </c>
      <c r="B136" t="inlineStr">
        <is>
          <t>Senior AI Engineer</t>
        </is>
      </c>
      <c r="C136" t="inlineStr">
        <is>
          <t>C-4 Analytics</t>
        </is>
      </c>
      <c r="D136" t="inlineStr">
        <is>
          <t>linkedin</t>
        </is>
      </c>
      <c r="E136">
        <f>HYPERLINK("https://www.linkedin.com/jobs/view/4372895064", "https://www.linkedin.com/jobs/view/4372895064")</f>
        <v/>
      </c>
      <c r="F136" t="inlineStr"/>
      <c r="G136" t="inlineStr">
        <is>
          <t>Wakefield, MA</t>
        </is>
      </c>
      <c r="H136" t="inlineStr"/>
      <c r="I136" t="inlineStr">
        <is>
          <t>**Senior AI Engineer \- Wakefield, MA C\-4 Analytics** 
**The ideal candidate understands the benefits of in\-person teamwork and is available to work from our office a minimum of three days per week**
 C\-4 Analytics is a fast\-growing, private, full\-service digital marketing company that excels at helping automotive dealerships increase sales, increase market share, and lower cost per acquisition. C\-4 Analytics is committed to developing innovative solutions for every dealer in every market, and to providing the highest levels of accountability and customer service. We are currently hiring for a
 **Senior AI Engineer** 
 as we look to expand our team and support our growing roster of local and national clients.
**If you are unable to complete this application due to a disability, contact C\-4 Analytics to ask for accommodation or an alternative application process.**
**Who We're Looking For: Senior AI Engineer \- Wakefield, MA** 
 We are seeking an AI Wizard who speaks fluent LLM and dreams in Vector Databases. As a Senior AI Engineer, you will be working with the latest in AI technology, including agent libraries, advanced LLMs and NLP tools. You'll have the opportunity and autonomy to lead the development and implementation of AI\-powered solutions. This role will focus on integrating diverse data sources, refining AI interactions through prompt engineering, and collaborating with cross\-functional teams to drive artificial intelligence adoption and innovation. You will be responsible for providing architectural decisions and opinions, gaining consensus within your team, and maintaining discipline to adhere to those practices. We are looking for a process oriented, team player who can shape and mold our AI development effort. Your work will directly impact how automotive dealerships operate and compete in their markets.
**If you've ever wanted to:** 
* Be the person who makes AI actually useful (not just another chatbot that tells jokes)
* Work with cutting\-edge tech without the "we're changing the world with blockchain" nonsense
* Build systems that impact real businesses and real people
* Never have to explain to your family why you're "still playing with computers" (because the results speak for themselves)
**A day in the life of a Senior AI Integration Engineer** 
* Heavily focus on individual autonomy based on Agile rituals.
* You’ll bring a high level of process\-related routines, understanding the scope of the work and taking initiative on execution of tasks.
* Working with NLP that utilizes cutting\-edge AI technologies to integrate AI\-driven insights across company systems, enhancing access to data and supporting decision\-making processes.
* Leverage AI technologies (LLMs) to continue development and implement agents for company\-wide insights.
* Implement test\-driven prompt engineering to design, optimize, and refine prompts for accurate and relevant AI\-driven interactions, ensuring AI responses are thoroughly validated for accuracy, relevance, and consistency before deployment
* Integrate AI with internal and external data sources, ensuring seamless access to business\-critical data.
* Collaborate with engineering, data science, product management, and operations teams.
* Assist in data architecture, preparation, and sanitization for effective use by AI models.
* Develop AI strategies aligned with business goals and objectives.
* Monitor and optimize AI performance for continuous improvement.
* Advise on AI adoption and identify areas for efficiency and innovation.
* Ensure ethical use of AI, maintaining data security, privacy, and compliance.
* Stay current with advancements in AI, ML, and LLM technologies.
* Consistently evaluate and improve the software development lifecycle
**The Tech Toybox includes:** 
 :
* 🛠️ Modern AI Frameworks \| Advanced LLMs \&amp; NLP tools
* 🧠 TensorFlow/PyTorch for those deep learning dreams
* ☁️ Cloud platforms to make it all float
* 🔗 Langchain \&amp; LlamaIndex for connecting the dots
**What you’ll need to succeed:** 
* At least 3 years of proficiency in AI and machine learning technologies, particularly LLMs.
* Familiarity with SOLID principles of software development
* Experience with the Agile methodology of software development
* Strong experience with prompt engineering and NLP tasks.
* Proven experience integrating AI systems with data platforms (databases, data lakes, APIs).
* Familiarity with data wrangling and preparation tools.
* Programming skill Python and experience with AI frameworks (TensorFlow and PyTorch).
* Experience with cloud platforms (AWS, Google Cloud, etc).
* 3\+ years of professional experience working in agile teams and SDLC for AI projects.
* Understanding of AI observability frameworks
* LLMs, Vector Databases (i.e. OpenSearch, ElasticSearch), RAG, ETL
**This role requires a blend of technical expertise, strategic thinking, and collaborative skills to effectively integrate AI solutions and drive business value.** 
**Flexibility:** 
 The
 **Senior AI Engineer** 
 may benefit from the flexibility to work in a way that suits them best. We offer the following working options:
* **Office\-Based:** 
 Our modern and well\-equipped office space provides a collaborative environment where you can work closely with teams, engage in face\-to\-face interactions, and foster a sense of community.
* **Hybrid** 
 : For those who prefer a balance between office and remote work, we offer a hybrid model. This allows you to divide your time between working in the office and remotely, providing the best of both worlds.
**Compensation:** 
 We offer a competitive compensation commensurate with experience and qualifications. The salary range for this position is $130,000 \- $160,000\. The final salary will be determined based on factors such as skills, knowledge, and demonstrated expertise.
 Please note that the stated salary range is flexible and negotiable based on individual qualifications and fit for the role. We encourage candidates to discuss their salary expectations during the interview process.
**Working at C\-4 Analytics** 
 We provide our employees with a range of benefits, including career development programs, unlimited paid time off, and additional perks.
 **All are welcome to visit our
 careers
 and
 culture
 page for more details.** 
**What our Employees Say:** 
 Want to know what makes working at C\-4 Analytics so rewarding? Take it from the true experts: our current teammates. Recent surveys about our workplace and culture suggest that our staff loves:
* The
 **People:** 
 It's not just a cliché; we have the best, hungriest and smartest team in the business.
* The
 **Culture** 
 : Teamwork. Camaraderie. Perseverance. We hire for these traits, and it shows.
* The
 **Growth:** 
 We place a real emphasis on training, development and career planning.
* The
 **Trust:** 
 Our managers empower their people and teams to thrive in their own ways.
* The
 **Challenge:** 
 We work in a competitive industry and a dynamic field. You'll never be bored!
**In\-Office Perks** 
* **Accelerated Growth via Osmosis and Coaching:** 
 Learn sales strategies and industry knowledge naturally by hearing colleagues handle calls and receive
 **instant feedback and hands\-on guidance** 
 from your manager and colleagues during in\-person weekly one\-on\-ones.
* **Boosted Visibility and Networking:** 
 Build strong connections with your team, leaders, and mentors, increasing your
 **visibility** 
 within the organization, which can lead to more opportunities for career advancement.
* **Soft Skills Mastery:** 
 Develop crucial soft skills in a group setting, such as
 **communication, problem\-solving, and teamwork** 
 , which are essential for long\-term professional success.
* **Knowledge Transfer and Expertise:** 
 Benefit from informal knowledge sharing and mentorship, ensuring constant access to the information and guidance needed to become an
 **expert** 
 in the automotive world.
* **Spark Innovation and Collaboration:** 
 Physical proximity facilitates spontaneous discussions and brainstorming sessions that
 **spark innovative and creative solutions** 
 to problems.
* **Enjoy Daily Perks and Wellness:** 
 Fuel your day with
 **cold brew on tap, free beverages, and a stocked snack pantry** 
 . Additionally, enjoy free weekly lunch and monthly wellness events like Yoga and Paint \&amp; Sip.
* **Structured Work\-Life Balance:** 
 Our Monday through Friday, 9:00 am to 5:30 pm schedule helps you
 **separate work from home** 
 , reducing the risk of burnout.
**More About C\-4 Analytics** 
 C\-4 Analytics takes the guesswork out of advertising. We don’t over\-promise: we over\-deliver. We provide real value to our clients because we really value them as partners. We love Google and Facebook, but
 *also* 
 love Instagram and Bing. We innovate, educate and instigate. We are forward\-thinking, but we learn from the past. We are results\-driven and our strategies drive results. We love the practical applications of psychology to marketing, but we aren’t above a good practical joke. We are team players, but we love to crush our competitors. We create an environment of respect and we respect the environment. We are the brains and the good looks. We are very humble. We are nerds, but cool, likable nerds. We are never gonna give you up. Never gonna let you down. We are all work and all play. We calculated that only 15\.8% of visitors who started this paragraph would actually read this far down. We are C\-4 Analytics.</t>
        </is>
      </c>
    </row>
    <row r="137">
      <c r="A137" t="inlineStr">
        <is>
          <t>li-4373007717</t>
        </is>
      </c>
      <c r="B137" t="inlineStr">
        <is>
          <t>AI Engineer, Professional Services Organization, Google Cloud</t>
        </is>
      </c>
      <c r="C137" t="inlineStr">
        <is>
          <t>Google</t>
        </is>
      </c>
      <c r="D137" t="inlineStr">
        <is>
          <t>linkedin</t>
        </is>
      </c>
      <c r="E137">
        <f>HYPERLINK("https://www.linkedin.com/jobs/view/4373007717", "https://www.linkedin.com/jobs/view/4373007717")</f>
        <v/>
      </c>
      <c r="F137" t="inlineStr"/>
      <c r="G137" t="inlineStr">
        <is>
          <t>Atlanta, GA</t>
        </is>
      </c>
      <c r="H137" t="inlineStr"/>
      <c r="I137" t="inlineStr">
        <is>
          <t>The application window will be open until at least February 24, 2026\. This opportunity will remain online based on business needs which may be before or after the specified date.
 Note: By applying to this position you will have an opportunity to share your preferred working location from the following:
 **Austin, TX, USA; Atlanta, GA, USA; Boulder, CO, USA; Chicago, IL, USA** 
 .
 **Minimum qualifications:**
* Bachelor's degree in Computer Science or equivalent practical experience.
* 3 years of experience building machine learning solutions and working with technical customers.
* Experience designing cloud enterprise solutions and supporting customer projects to completion.
* Experience in one or more discipline areas: machine learning, recommendation systems, natural language processing, computer vision, pattern recognition, agentic workflows, genAI, or artificial intelligence.
* Experience coding in one or more general purpose languages (e.g., Python, Java, Go, C or C\+\+) including data structures, algorithms, and software design.
**Preferred qualifications:**
* 5 years of experience building machine learning solutions and working with technical customers.
* Experience working with recommendation engines, data pipelines, or distributed machine learning.
* Experience with deep learning frameworks (e.g. Tensorflow, pyTorch, XGBoost).
* Knowledge of data warehousing concepts, including data warehouse technical architectures, infrastructure components, ETL/ ELT and reporting/analytic tools and environments (e.g. Apache Beam, Hadoop, Spark, Pig, Hive, MapReduce, Flume).
* Understanding of the auxiliary practical concerns in production machine learning systems.
**About The Job**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Cloud AI Engineer, you will design and implement machine learning solutions for customer use cases, leveraging core Google products including TensorFlow, DataFlow, and Vertex AI. You will work with customers to identify opportunities to apply machine learning in their business, and travel to customer sites to deploy solutions and deliver workshops to educate and empower customers. Additionally, you will work closely with Product Management and Product Engineering to build and constantly drive excellence in our products.
 In this role, you are the Google Engineer working with Google's largest and most ambitious Cloud customers. Together with the team you will support customer implementation of Google Cloud products through: architecture guidance, best practices, data migration, capacity planning, implementation, troubleshooting, monitoring, and much more.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$123,000\-$176,000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a trusted technical advisor to customers and solve complex machine learning challenges.
* Coach customers on the practical challenges in machine learning systems: feature extraction and feature definition, data validation, monitoring, and management of features and models.
* Work with customers, partners, and Google Product teams to deliver tailored solutions into production.
* Create and deliver best practice recommendations, tutorials, blog articles, and sample code.
* Travel up to 30% for in\-region for meetings, technical reviews, and onsite delivery activities.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8">
      <c r="A138" t="inlineStr">
        <is>
          <t>li-4362556689</t>
        </is>
      </c>
      <c r="B138" t="inlineStr">
        <is>
          <t>Applied AI Engineer</t>
        </is>
      </c>
      <c r="C138" t="inlineStr">
        <is>
          <t>Recruiting from Scratch</t>
        </is>
      </c>
      <c r="D138" t="inlineStr">
        <is>
          <t>linkedin</t>
        </is>
      </c>
      <c r="E138">
        <f>HYPERLINK("https://www.linkedin.com/jobs/view/4362556689", "https://www.linkedin.com/jobs/view/4362556689")</f>
        <v/>
      </c>
      <c r="F138" t="inlineStr"/>
      <c r="G138" t="inlineStr">
        <is>
          <t>New York, United States</t>
        </is>
      </c>
      <c r="H138" t="inlineStr"/>
      <c r="I138" t="inlineStr">
        <is>
          <t>**Who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**Job Title:** 
 Applied AI Engineer
**Location:** 
 New York City (In\-office)
**Employment Type:** 
 Full\-time
**Salary:** 
 $210,000 – $230,000
**Company Overview** 
 We are an AI\-native health insurance startup rebuilding healthcare from the ground up. Today’s healthcare experience is expensive, confusing, and often so frustrating that people delay care. Our mission is to change that by creating a proactive, technology\-driven health plan that helps people navigate care, understand costs, and avoid financial fear.
 Our platform delivers continuous, personalized support for members—helping with benefits navigation, appointment scheduling, care decisions, and proactive health outreach. Backed by top\-tier investors and led by a deeply technical founding team, we are scaling quickly, covering tens of thousands of members and seeing strong demand across employers, brokers, and partners.
**Role** 
 As an
 **Applied AI Engineer** 
 , you will own the end\-to\-end development of AI\-native product experiences that redefine how people interact with their healthcare. This is a
 **high\-ownership, product\-facing role** 
 where you’ll ship production AI systems used daily by real users.
 You’ll work at the intersection of
 **LLMs, product engineering, and complex healthcare workflows** 
 , building systems that reason, act, and scale in production.
**What You’ll Work On** 
* **AI\-Powered Care Triage:** 
 Build intelligent experiences that help users understand symptoms and navigate to the right level of care (ER, Urgent Care, Primary Care), preventing unnecessary visits and reducing out\-of\-pocket costs.
* **Always\-On Care Partner:** 
 Develop conversational AI that helps users understand lab results, diagnoses, and treatment plans—providing 24/7 support with clarity and empathy.
* **Proactive Health Engine:** 
 Create systems that analyze claims and behavioral data to drive personalized outreach for screenings, medication adherence, and preventive care.
* **Core AI Platform:** 
 Advance internal AI capabilities across prompt orchestration, context engineering, retrieval systems, agent workflows, and evaluation frameworks.
**Qualifications required** 
* Experience shipping
 **production AI\-powered products** 
 end\-to\-end
* Strong product mindset with a track record of owning
 **0→1 features**
* Hands\-on experience building
 **LLM\-powered applications** 
 in production
* Strong backend experience with
 **Python** 
 and relational databases (
 **Postgres** 
 )
* Experience designing
 **LLM agents** 
 , workflows, or autonomous systems
* Pragmatic approach to
 **LLM safety, reliability, and evaluation** 
 (guardrails, red\-teaming, latency/cost tradeoffs)
* Comfortable operating in
 **fast\-paced, early\-stage environments** 
 with high ownership
* Fluency using
 **AI\-assisted engineering tools** 
 (e.g., Cursor, Copilot)
**Nice to Have** 
* Experience with
 **TypeScript and React**
* Familiarity deploying AI workloads on
 **AWS or similar cloud platforms**
* Background in healthcare, fintech, insurance, or other regulated domains
**What We Offer** 
* High ownership and autonomy from day one
* Direct responsibility for core AI product experiences
* A mission\-driven team working on meaningful, real\-world problems
* Close collaboration with product, engineering, and leadership
* Competitive compensation and meaningful equity
* Benefits including:
* 100% paid health insurance
* Free lunches in the office
* Commuter benefits
* Team offsites and retreats
**Compensation** 
* **Base Salary:** 
 $210,000 – $230,000
* **Additional:** 
 Performance bonus \+ equity
* Final compensation determined by experience, skill level, and interview performance
**Why This Role** 
* Build AI systems that materially improve people’s lives
* Work on real, complex problems—not demos or research prototypes
* Join early at a company with strong traction, clear momentum, and long\-term upside
* Apply frontier AI to healthcare instead of ads or engagement metrics
* Be part of a high\-velocity, ambitious, and collaborative in\-office team</t>
        </is>
      </c>
    </row>
    <row r="139">
      <c r="A139" t="inlineStr">
        <is>
          <t>li-4355965955</t>
        </is>
      </c>
      <c r="B139" t="inlineStr">
        <is>
          <t>Principal AI Engineer, Enterprise AI Platform</t>
        </is>
      </c>
      <c r="C139" t="inlineStr">
        <is>
          <t>Palo Alto Networks</t>
        </is>
      </c>
      <c r="D139" t="inlineStr">
        <is>
          <t>linkedin</t>
        </is>
      </c>
      <c r="E139">
        <f>HYPERLINK("https://www.linkedin.com/jobs/view/4355965955", "https://www.linkedin.com/jobs/view/4355965955")</f>
        <v/>
      </c>
      <c r="F139" t="inlineStr"/>
      <c r="G139" t="inlineStr">
        <is>
          <t>Santa Clara, CA</t>
        </is>
      </c>
      <c r="H139" t="inlineStr"/>
      <c r="I139"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Team
 Our Information Technology (IT) team at Palo Alto Networks is at the forefront of the digital transformation that will redefine our industry and the way people work. We are business\-enabling partners to the entire organization, designing and delivering cutting\-edge, data\-driven, and secure technology solutions. The IT team is a diverse group of innovators, and our mission is to enable the company to achieve its goals by providing the technology, services, and insights our employees need to do their best work.
 Your Career
 As a Principal AI Engineer for the Enterprise AI Platform, you will be a pivotal technical leader driving the design and hands\-on implementation of AI\-powered solutions. You will operate where AI innovation, top\-tier engineering, and business outcomes converge, acting as the technical bridge between complex business problems and cutting\-edge AI execution. Leveraging our robust Enterprise AI Platform, you will translate ambiguous problems into concrete AI solution designs and ensure their successful deployment and measurable impact.
 Key Responsibilities
* Lead the applied AI solution design and architecture, breaking down ambiguous business problems into concrete, actionable AI solution designs.
* Drive the hands\-on development and implementation of key AI components, supporting both traditional and Generative AI model development and deployment.
* Contribute significantly to the detailed design of large\-scale, distributed AI/ML systems, ensuring performance, reliability, and security.
* Proactively collaborate with executive leadership, data science, engineering, and product stakeholders to translate business use\-cases into scalable AI solutions.
* Provide technical leadership and mentorship to other AI/ML engineers, fostering a culture of engineering excellence and hands\-on experimentation.
* Lead the implementation and continuous improvement of MLOps pipelines, including automated model training, versioning, deployment, and monitoring.
* Champion and enforce design standards, patterns, and best practices for scalable and secure development of AI applications across various teams.
* Actively research and evaluate cutting\-edge AI/ML techniques, algorithms, and models to identify opportunities for platform enhancement and new solution development.
**Qualifications**
 Required Qualifications
* Bachelor's degree in a related field or equivalent military experience required.
* 12\+ years of related experience, or a Master's degree with 8 years of experience, or a PhD with 5 years of experience.
* Proven expertise in designing and building complex, enterprise\-grade AI/ML platforms and applications.
* Direct hands\-on experience with Generative AI technologies, including Large Language Models (LLMs), Retrieval\-Augmented Generation (RAG), and agentic AI systems.
* Strong programming skills in languages such as Python, Java, or Go and proficiency in modern AI/ML frameworks (e.g., TensorFlow, PyTorch).
* Extensive hands\-on experience with distributed systems architecture, streaming data platforms, and cloud AI/ML platforms (e.g., GCP Vertex AI, AWS SageMaker).
**Preferred Qualifications**
* Master's degree or Ph.D. in Computer Science, Machine Learning, or a related technical field.
* Experience contributing to open\-source AI projects or publications in top\-tier AI conferences.
* Prior experience in a technical consulting or solutions architecture role, bridging technical teams and senior business stakeholders.
* Deep understanding of cybersecurity principles as they apply to AI systems.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$167,000\.00 \- $270,500\.00/yr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140">
      <c r="A140" t="inlineStr">
        <is>
          <t>li-4372897871</t>
        </is>
      </c>
      <c r="B140" t="inlineStr">
        <is>
          <t>AI Engineer, Professional Services Organization, Google Cloud</t>
        </is>
      </c>
      <c r="C140" t="inlineStr">
        <is>
          <t>Google</t>
        </is>
      </c>
      <c r="D140" t="inlineStr">
        <is>
          <t>linkedin</t>
        </is>
      </c>
      <c r="E140">
        <f>HYPERLINK("https://www.linkedin.com/jobs/view/4372897871", "https://www.linkedin.com/jobs/view/4372897871")</f>
        <v/>
      </c>
      <c r="F140" t="inlineStr"/>
      <c r="G140" t="inlineStr">
        <is>
          <t>Boulder, CO</t>
        </is>
      </c>
      <c r="H140" t="inlineStr"/>
      <c r="I140" t="inlineStr">
        <is>
          <t>The application window will be open until at least February 24, 2026\. This opportunity will remain online based on business needs which may be before or after the specified date.
 Note: By applying to this position you will have an opportunity to share your preferred working location from the following:
 **Austin, TX, USA; Atlanta, GA, USA; Boulder, CO, USA; Chicago, IL, USA** 
 .
 **Minimum qualifications:**
* Bachelor's degree in Computer Science or equivalent practical experience.
* 3 years of experience building machine learning solutions and working with technical customers.
* Experience designing cloud enterprise solutions and supporting customer projects to completion.
* Experience in one or more discipline areas: machine learning, recommendation systems, natural language processing, computer vision, pattern recognition, agentic workflows, genAI, or artificial intelligence.
* Experience coding in one or more general purpose languages (e.g., Python, Java, Go, C or C\+\+) including data structures, algorithms, and software design.
**Preferred qualifications:**
* 5 years of experience building machine learning solutions and working with technical customers.
* Experience working with recommendation engines, data pipelines, or distributed machine learning.
* Experience with deep learning frameworks (e.g. Tensorflow, pyTorch, XGBoost).
* Knowledge of data warehousing concepts, including data warehouse technical architectures, infrastructure components, ETL/ ELT and reporting/analytic tools and environments (e.g. Apache Beam, Hadoop, Spark, Pig, Hive, MapReduce, Flume).
* Understanding of the auxiliary practical concerns in production machine learning systems.
**About The Job**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Cloud AI Engineer, you will design and implement machine learning solutions for customer use cases, leveraging core Google products including TensorFlow, DataFlow, and Vertex AI. You will work with customers to identify opportunities to apply machine learning in their business, and travel to customer sites to deploy solutions and deliver workshops to educate and empower customers. Additionally, you will work closely with Product Management and Product Engineering to build and constantly drive excellence in our products.
 In this role, you are the Google Engineer working with Google's largest and most ambitious Cloud customers. Together with the team you will support customer implementation of Google Cloud products through: architecture guidance, best practices, data migration, capacity planning, implementation, troubleshooting, monitoring, and much more.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$123,000\-$176,000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a trusted technical advisor to customers and solve complex machine learning challenges.
* Coach customers on the practical challenges in machine learning systems: feature extraction and feature definition, data validation, monitoring, and management of features and models.
* Work with customers, partners, and Google Product teams to deliver tailored solutions into production.
* Create and deliver best practice recommendations, tutorials, blog articles, and sample code.
* Travel up to 30% for in\-region for meetings, technical reviews, and onsite delivery activities.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1">
      <c r="A141" t="inlineStr">
        <is>
          <t>li-4372883484</t>
        </is>
      </c>
      <c r="B141" t="inlineStr">
        <is>
          <t>Legal AI Engineer</t>
        </is>
      </c>
      <c r="C141" t="inlineStr">
        <is>
          <t>Husch Blackwell</t>
        </is>
      </c>
      <c r="D141" t="inlineStr">
        <is>
          <t>linkedin</t>
        </is>
      </c>
      <c r="E141">
        <f>HYPERLINK("https://www.linkedin.com/jobs/view/4372883484", "https://www.linkedin.com/jobs/view/4372883484")</f>
        <v/>
      </c>
      <c r="F141" t="inlineStr"/>
      <c r="G141" t="inlineStr">
        <is>
          <t>California, United States</t>
        </is>
      </c>
      <c r="H141" t="inlineStr"/>
      <c r="I141"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142">
      <c r="A142" t="inlineStr">
        <is>
          <t>li-4356211517</t>
        </is>
      </c>
      <c r="B142" t="inlineStr">
        <is>
          <t>Staff/Sr Staff AI Engineer Scientist</t>
        </is>
      </c>
      <c r="C142" t="inlineStr">
        <is>
          <t>Palo Alto Networks</t>
        </is>
      </c>
      <c r="D142" t="inlineStr">
        <is>
          <t>linkedin</t>
        </is>
      </c>
      <c r="E142">
        <f>HYPERLINK("https://www.linkedin.com/jobs/view/4356211517", "https://www.linkedin.com/jobs/view/4356211517")</f>
        <v/>
      </c>
      <c r="F142">
        <f>HYPERLINK("https://paloaltonetworks.wd5.myworkdayjobs.com/panwexternalcareers/job/Office\u002d\u002d-USA\u002d\u002d-CA\u002d\u002d-Headquarters/Staff-Sr-Staff-AI-Engineer-Scientist_JR-013374-1/apply?source=Linkedin&amp;urlHash=39l3", "https://paloaltonetworks.wd5.myworkdayjobs.com/panwexternalcareers/job/Office\u002d\u002d-USA\u002d\u002d-CA\u002d\u002d-Headquarters/Staff-Sr-Staff-AI-Engineer-Scientist_JR-013374-1/apply?source=Linkedin&amp;urlHash=39l3")</f>
        <v/>
      </c>
      <c r="G142" t="inlineStr">
        <is>
          <t>Santa Clara, CA</t>
        </is>
      </c>
      <c r="H142" t="inlineStr"/>
      <c r="I142"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As a Staff, Senior Staff AI Engineer/AI Scientist for Enterprise AI Solutions, you will be a critical technical leader responsible for the hands\-on design, development, and implementation of AI\-powered solutions that solve challenging business problems across IT and various enterprise functions (Sales, Marketing, Finance, HR, Legal, etc.). You will work closely with Principal and Distinguished Architects to translate high\-level strategies into concrete AI solution designs and robust, scalable, and ethical implementations. This role demands deep technical expertise, a strong ability to solve complex problems, and a commitment to mentoring other engineers, leveraging our Enterprise AI Platform to deliver measurable business impact Your Impact AI Solution Implementation: Lead the design and implementation of AI solutions, translating business problems into AI designs, and managing model selection, data requirements, and integration for AI applications. Platform Development: Develop and implement core components of the enterprise AI/ML platform, ensuring scalability and security. Contribute to the lifecycle of traditional and Generative AI model deployment and real\-time inference systems. System Optimization: Design and optimize large\-scale AI/ML systems for performance, reliability, and developer\-friendliness, focusing on low latency and high throughput in real\-time AI applications. Technology Adoption: Evaluate and integrate new AI tools, frameworks, and cloud solutions, aligning with architectural guidelines. Lead POCs for emerging AI innovations. Architectural Best Practices: Champion design standards and best practices for AI systems, guiding junior engineers. Technical Leadership: Mentor AI/ML engineers, lead design discussions, and perform code reviews, fostering engineering excellence. Cross\-Functional Collaboration: Partner with Data Scientists, ML Engineers, Product Managers, and IT stakeholders to develop production\-grade AI solutions. Responsible AI \&amp; Quality: Ensure AI systems comply with responsible AI principles and security policies. Implement automated testing and monitoring. Innovation \&amp; Research: Apply cutting\-edge AI/ML techniques to solve problems and improve solutions, staying updated on advancements in Generative AI and LLMs.
**Qualifications**
 Your Experience 8\+ years in software engineering, with 5\+ years in Data science/AI/ML experience. Experience deploying enterprise AI/ML systems. Understanding of the AI lifecycle. Experience with distributed systems and streaming data. Hands\-on experience with Generative AI and LLMs. Proficiency in AI/ML frameworks and cloud platforms. Strong programming skills (Python and C\+\+). Excellent communication skills. Masters/Bachelors degree in Computer Science or related field. Preferred Qualifications: PhD degree in Computer Science , Applied Mathematics , Machine Learning or related computation field. Experience with open\-source AI projects. Prior technical lead role for AI/ML projects. Familiarity with cybersecurity principles for AI. What we are looking for? Deep Technical Expertise: Strong foundation in machine learning (theory and application), deep learning, statistical modeling, and relevant programming languages (Python, R) and libraries (TensorFlow, PyTorch, scikit\-learn). Proven Research \&amp; Innovation: Track record of conceiving and executing novel research, publishing in top\-tier conferences/journals, or delivering innovative AI solutions with significant business impact. System Design \&amp; Scalability: Ability to design, build, and deploy scalable and robust AI systems. Understanding of MLOps and data engineering principles. Problem Solving \&amp; Critical Thinking: Excellent analytical skills to tackle complex, ambiguous problems and break them down into manageable parts. Leadership \&amp; Mentorship: Experience in leading projects, guiding junior team members, and influencing technical direction. Communication \&amp; Collaboration: Ability to clearly communicate complex technical concepts to diverse audiences (technical and non\-technical) and collaborate effectively with cross\-functional teams. Business Acumen \&amp; Impact Focus: Understanding of how AI can drive business value and ability to translate research/technical work into tangible outcomes. Continuous Learning: Passion for staying up\-to\-date with the latest advancements in AI.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$145,000\.00 \- $235,500\.00/yr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143">
      <c r="A143" t="inlineStr">
        <is>
          <t>li-4366247440</t>
        </is>
      </c>
      <c r="B143" t="inlineStr">
        <is>
          <t>Staff Machine Learning Engineer, Ad Ranking, Level 6</t>
        </is>
      </c>
      <c r="C143" t="inlineStr">
        <is>
          <t>Snap Inc.</t>
        </is>
      </c>
      <c r="D143" t="inlineStr">
        <is>
          <t>linkedin</t>
        </is>
      </c>
      <c r="E143">
        <f>HYPERLINK("https://www.linkedin.com/jobs/view/4366247440", "https://www.linkedin.com/jobs/view/4366247440")</f>
        <v/>
      </c>
      <c r="F143">
        <f>HYPERLINK("https://wd1.myworkdaysite.com/en-US/recruiting/snapchat/snap/job/Palo-Alto-California/Staff-Machine-Learning-Engineer\u002d\u002dAd-Ranking\u002d\u002dLevel-6_H126SWEMLAR8-1?source=LinkedIn&amp;urlHash=fDaU", "https://wd1.myworkdaysite.com/en-US/recruiting/snapchat/snap/job/Palo-Alto-California/Staff-Machine-Learning-Engineer\u002d\u002dAd-Ranking\u002d\u002dLevel-6_H126SWEMLAR8-1?source=LinkedIn&amp;urlHash=fDaU")</f>
        <v/>
      </c>
      <c r="G143" t="inlineStr">
        <is>
          <t>Bellevue, WA</t>
        </is>
      </c>
      <c r="H143" t="inlineStr"/>
      <c r="I14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Staff Machine Learning Engineer to join the Ad Ranking team at Snap!
 What you’ll do:
* Set and drive the technical direction for the Ad Ranking team and advance the core ML capabilities of the ad optimization stack
* Design, build, and deploy machine learning solutions to support Snap's monetization strategies
* Own outcomes for large, cross\-team ML initiatives, from problem definition through long\-term iteration and impact
* Establish technical vision and roadmaps, and resolve complex technical tradeoffs across teams
* Influence and mentor engineers across org boundaries through technical leadership and collaboration
 Knowledge, Skills \&amp; Abilities:
* Strong understanding of machine learning and deep learning approaches and algorithms, and their applications to advertising, recommendation, and/or search domain
* Experience working for a team whose primary output is online ranking / recommendation models
* Ability to design, train, and optimize advanced machine learning models
* Ability to proactively learn new concepts and technology and apply them at work
* Skilled at solving open ambiguous problems
* Strong collaboration and mentorship skills
 Minimum Qualifications:
* Bachelor's Degree in a relevant technical field such as computer science or equivalent years of practical work experience
* 8\+ years of post\-Bachelor’s machine learning experience; or Master’s degree in a technical field \+ 7\+ year of post\-grad machine learning experience; or PhD in a relevant technical field \+ 4 years of post\-grad machine learning experience
* Experience developing machine learning models for ranking, recommendations, search, advertising, image generation, or other relevant applications of machine learning
 Preferred Qualifications:
* Experience in online advertising, including ad targeting, ranking, auction, and/or marketplace optimization.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144">
      <c r="A144" t="inlineStr">
        <is>
          <t>li-4372875770</t>
        </is>
      </c>
      <c r="B144" t="inlineStr">
        <is>
          <t>Legal AI Engineer</t>
        </is>
      </c>
      <c r="C144" t="inlineStr">
        <is>
          <t>Husch Blackwell</t>
        </is>
      </c>
      <c r="D144" t="inlineStr">
        <is>
          <t>linkedin</t>
        </is>
      </c>
      <c r="E144">
        <f>HYPERLINK("https://www.linkedin.com/jobs/view/4372875770", "https://www.linkedin.com/jobs/view/4372875770")</f>
        <v/>
      </c>
      <c r="F144">
        <f>HYPERLINK("https://recruiting2.ultipro.com/HUS1001HUSCH/JobBoard/b6637591-8c8d-49b8-b093-5524b203b157/OpportunityDetail?opportunityId=b1c1cca4-cb6b-404e-842f-7258067ee3cf&amp;sourceId=e17d82c8-9359-47ca-8fb5-574a6a2fb8d7&amp;utm_source=LINKEDIN&amp;urlHash=ckHL", "https://recruiting2.ultipro.com/HUS1001HUSCH/JobBoard/b6637591-8c8d-49b8-b093-5524b203b157/OpportunityDetail?opportunityId=b1c1cca4-cb6b-404e-842f-7258067ee3cf&amp;sourceId=e17d82c8-9359-47ca-8fb5-574a6a2fb8d7&amp;utm_source=LINKEDIN&amp;urlHash=ckHL")</f>
        <v/>
      </c>
      <c r="G144" t="inlineStr"/>
      <c r="H144" t="inlineStr"/>
      <c r="I144"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145">
      <c r="A145" t="inlineStr">
        <is>
          <t>li-4373020283</t>
        </is>
      </c>
      <c r="B145" t="inlineStr">
        <is>
          <t>Applied Gen AI Engineer</t>
        </is>
      </c>
      <c r="C145" t="inlineStr">
        <is>
          <t>Jobs via Dice</t>
        </is>
      </c>
      <c r="D145" t="inlineStr">
        <is>
          <t>linkedin</t>
        </is>
      </c>
      <c r="E145">
        <f>HYPERLINK("https://www.linkedin.com/jobs/view/4373020283", "https://www.linkedin.com/jobs/view/4373020283")</f>
        <v/>
      </c>
      <c r="F145" t="inlineStr"/>
      <c r="G145" t="inlineStr">
        <is>
          <t>New York, NY</t>
        </is>
      </c>
      <c r="H145" t="inlineStr"/>
      <c r="I145" t="inlineStr">
        <is>
          <t>Dice is the leading career destination for tech experts at every stage of their careers. Our client, Rapsys Technologies, is seeking the following. Apply via Dice today!
 Job Description \#1: Applied GenAI Engineer
 Role Summary
 We are seeking Applied GenAI Engineers to solve complex business problems using Large Language Models (LLMs), Retrieval\-Augmented Generation (RAG), and agentic AI. This is a hands\-on individual contributor role where you will take problems from use\-case definition to prototype and into production, building secure, governed, and measurable solutions.
 Location / Work Model
 Locations: US (NYC) ,
 Primary Use Cases You Will Support
 Data lineage \&amp; metadata intelligence
 Data controls \&amp; governance
 Risk / compliance analytics
 Tool rationalization \&amp; inventory normalization
 Operations intelligence \&amp; workflow optimization
 Onboarding support \&amp; document intelligence workflows
 Fraud \&amp; anomaly detection augmentation
 Key Responsibilities
 Build and productionize LLM applications: RAG, summarization, extraction, classification, entity resolution, and recommendation.
 Design agentic workflows: tool\-using agents, multi\-step planning, guardrails, and audit logs.
 Implement document \&amp; data intelligence pipelines: parsing, chunking, embeddings, hybrid retrieval, and re\-ranking.
 Create evaluation harnesses and quality gates: golden datasets, regression tests, automated scoring, and human review loops.
 Implement reliability patterns: hallucination mitigation, grounding, prompt\-injection defenses, and safe tool execution.
 Engineer solutions with enterprise constraints: security, privacy, access control, observability, and cost/performance optimization.
 Collaborate with data engineering and governance stakeholders to align with entitlements, lineage, and controls.
**Required Skills \&amp; Experience**
 Strong Python engineering and API development; ability to ship production\-grade services.
 Hands\-on experience with LLMs and common patterns (RAG, tool calling, structured outputs).
 Experience building search/retrieval systems (vector \+ keyword / hybrid) and working with unstructured corpora.
 Solid software engineering fundamentals: testing, CI/CD, logging/monitoring, and containerization.
 Ability to translate ambiguous business problems into clear technical designs and measurable outcomes.
 Nice\-to\-Have
 Knowledge graph exposure (entity linking, semantic search, graph\-based context assembly).
 Experience in regulated environments (controls, audit, model governance, data privacy).
 Familiarity with CyberSecurity , DevSecOps, LLMOps: prompt/version management, evaluation pipelines, monitoring
 Comments for Suppliers:</t>
        </is>
      </c>
    </row>
    <row r="146">
      <c r="A146" t="inlineStr">
        <is>
          <t>li-4372877629</t>
        </is>
      </c>
      <c r="B146" t="inlineStr">
        <is>
          <t>Legal AI Engineer</t>
        </is>
      </c>
      <c r="C146" t="inlineStr">
        <is>
          <t>Husch Blackwell</t>
        </is>
      </c>
      <c r="D146" t="inlineStr">
        <is>
          <t>linkedin</t>
        </is>
      </c>
      <c r="E146">
        <f>HYPERLINK("https://www.linkedin.com/jobs/view/4372877629", "https://www.linkedin.com/jobs/view/4372877629")</f>
        <v/>
      </c>
      <c r="F146" t="inlineStr"/>
      <c r="G146" t="inlineStr"/>
      <c r="H146" t="inlineStr"/>
      <c r="I146"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147">
      <c r="A147" t="inlineStr">
        <is>
          <t>li-4372883481</t>
        </is>
      </c>
      <c r="B147" t="inlineStr">
        <is>
          <t>Legal AI Engineer</t>
        </is>
      </c>
      <c r="C147" t="inlineStr">
        <is>
          <t>Husch Blackwell</t>
        </is>
      </c>
      <c r="D147" t="inlineStr">
        <is>
          <t>linkedin</t>
        </is>
      </c>
      <c r="E147">
        <f>HYPERLINK("https://www.linkedin.com/jobs/view/4372883481", "https://www.linkedin.com/jobs/view/4372883481")</f>
        <v/>
      </c>
      <c r="F147" t="inlineStr"/>
      <c r="G147" t="inlineStr"/>
      <c r="H147" t="inlineStr"/>
      <c r="I147"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148">
      <c r="A148" t="inlineStr">
        <is>
          <t>li-4372871769</t>
        </is>
      </c>
      <c r="B148" t="inlineStr">
        <is>
          <t>Legal AI Engineer</t>
        </is>
      </c>
      <c r="C148" t="inlineStr">
        <is>
          <t>Husch Blackwell</t>
        </is>
      </c>
      <c r="D148" t="inlineStr">
        <is>
          <t>linkedin</t>
        </is>
      </c>
      <c r="E148">
        <f>HYPERLINK("https://www.linkedin.com/jobs/view/4372871769", "https://www.linkedin.com/jobs/view/4372871769")</f>
        <v/>
      </c>
      <c r="F148" t="inlineStr"/>
      <c r="G148" t="inlineStr"/>
      <c r="H148" t="inlineStr"/>
      <c r="I148"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149">
      <c r="A149" t="inlineStr">
        <is>
          <t>li-4372872714</t>
        </is>
      </c>
      <c r="B149" t="inlineStr">
        <is>
          <t>Legal AI Engineer</t>
        </is>
      </c>
      <c r="C149" t="inlineStr">
        <is>
          <t>Husch Blackwell</t>
        </is>
      </c>
      <c r="D149" t="inlineStr">
        <is>
          <t>linkedin</t>
        </is>
      </c>
      <c r="E149">
        <f>HYPERLINK("https://www.linkedin.com/jobs/view/4372872714", "https://www.linkedin.com/jobs/view/4372872714")</f>
        <v/>
      </c>
      <c r="F149">
        <f>HYPERLINK("https://recruiting2.ultipro.com/HUS1001HUSCH/JobBoard/b6637591-8c8d-49b8-b093-5524b203b157/OpportunityDetail?opportunityId=b1c1cca4-cb6b-404e-842f-7258067ee3cf&amp;sourceId=e17d82c8-9359-47ca-8fb5-574a6a2fb8d7&amp;utm_source=LINKEDIN&amp;urlHash=ckHL", "https://recruiting2.ultipro.com/HUS1001HUSCH/JobBoard/b6637591-8c8d-49b8-b093-5524b203b157/OpportunityDetail?opportunityId=b1c1cca4-cb6b-404e-842f-7258067ee3cf&amp;sourceId=e17d82c8-9359-47ca-8fb5-574a6a2fb8d7&amp;utm_source=LINKEDIN&amp;urlHash=ckHL")</f>
        <v/>
      </c>
      <c r="G149" t="inlineStr"/>
      <c r="H149" t="inlineStr"/>
      <c r="I149"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t>
        </is>
      </c>
    </row>
    <row r="150">
      <c r="A150" t="inlineStr">
        <is>
          <t>li-4366298499</t>
        </is>
      </c>
      <c r="B150" t="inlineStr">
        <is>
          <t>Senior Lead AI Engineer (FM Hosting, LLM Inference)</t>
        </is>
      </c>
      <c r="C150" t="inlineStr">
        <is>
          <t>Capital One</t>
        </is>
      </c>
      <c r="D150" t="inlineStr">
        <is>
          <t>linkedin</t>
        </is>
      </c>
      <c r="E150">
        <f>HYPERLINK("https://www.linkedin.com/jobs/view/4366298499", "https://www.linkedin.com/jobs/view/4366298499")</f>
        <v/>
      </c>
      <c r="F150" t="inlineStr"/>
      <c r="G150" t="inlineStr">
        <is>
          <t>McLean, VA</t>
        </is>
      </c>
      <c r="H150" t="inlineStr"/>
      <c r="I15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2026-02-17T19:51:33Z</dcterms:created>
  <dcterms:modified xsi:type="dcterms:W3CDTF">2026-02-17T19:51:33Z</dcterms:modified>
</cp:coreProperties>
</file>