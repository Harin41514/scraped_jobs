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in-98d98f65c11d3a11</t>
        </is>
      </c>
      <c r="B2" t="inlineStr">
        <is>
          <t>Data Engineer</t>
        </is>
      </c>
      <c r="C2" t="inlineStr">
        <is>
          <t>Liberty Mutual Insurance</t>
        </is>
      </c>
      <c r="D2" t="inlineStr">
        <is>
          <t>indeed</t>
        </is>
      </c>
      <c r="E2" t="inlineStr"/>
      <c r="F2" t="inlineStr"/>
      <c r="G2" t="inlineStr">
        <is>
          <t>Indianapolis, IN, US</t>
        </is>
      </c>
      <c r="H2" s="1" t="n">
        <v>46062</v>
      </c>
      <c r="I2" t="inlineStr">
        <is>
          <t>**Description*****You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**Data Engineer**
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US Retail Markets (USRM) **Data and Analytics Engineering** team is actively searching for a highly productive **Data Engineer** for a distributed, dynamic agile team to serve as a technical expert designing, developing, analyzing \&amp; testing innovative data warehouse solutions. This candidatewill join an energetic and engaged Business Data Solutions Engineering team focused on leveraging our customer data to deliver exceptional value to our business partners. You will work collaboratively in an agile squad to design and build data pipelines \&amp; workflows, ingest, curate \&amp; provision data workflows in a Cloud\-based environment as well as own responsibility of thorough end\-to\-end testing.
This is a fast\-paced environment providing rapid delivery for our business partners. You will be working in a highly collaborative environment that values speed and quality, with a strong desire to drive change and foster a positive work environment. You will have the opportunity to help with this change as we grow this culture, mindset, and capability.
 **We encourage you to apply if this interests you:**
* Work as ONE team committed to excellence
* Model and promote a Data First attitude
* Help advance Data Engineering operations into the future
* Work with a modern data tech stack
 **About the job:**
* Collaborate in a fast\-moving Agile environment with Scrum Masters, Product Owners, and cross\-functional teammates to design and deliver data\-driven solutions that advance both business and technical goals.
* Build, maintain, and optimize ingestion pipelines and data integrations to manage the full information lifecycle — from acquisition and curation to provisioning for analytics and reporting.
* Design and implement ETL pipelines, API\-based microservices, physical data models, and transformation logic to make data reliable, accessible, and performant.
* Work on data architectures and applications (warehouses, data vault structures) that enable reporting, analytics, machine learning, and improved data governance and quality.
* Participate in peer code reviews and sprint ceremonies, CI/CD best practices, and automated testing to ensure robust, production\-ready releases.
* Accelerate speed to market while building long\-term, scalable solutions using modern technologies such as AWS, Snowflake, Kafka, Data Vault methodology, and other cloud\-native tools.
* Create tools and programs to automate ingestion, curation, and provisioning of complex enterprise data to support analytics, reporting, and data science use cases.
* Collaborate with senior team members and your manager to improve your skills, code quality, and engineering practices.
* Troubleshoot and resolve technical issues, proactively improvements that increase reliability, reduce latency, and improve data quality.
* Maintain a continuous learning mindset — evaluate modern technologies, share findings with the team, and adopt approaches that improve delivery and business outcomes.
 **Qualifications**  
* Bachelor or Master\`s degree in technical or business discipline or equivalent experience, technical degree preferred. 2\+ years of Data Engineering experience.
* Experience developing back end, data warehouse technology solutions, data modeling, and data vault methodology.
* Knowledge of a variety of data platforms including Snowflake, Teradata, SQL, DB2 (Cloud based DB a plus).
* Experience with AWS (such as S3, Snowflake, Athena), Unix, Informatica (IDMC) and strong SQL skillset.
* Extensive knowledge of IT concepts, strategies, methodologies.
* Experience working with agile methodologies (Scrum, Kanban, XP) and cross\-functional teams (Product Owners, Scrum Masters, Developers, Test Engineers).
* Well versed in diverse technologies and new technical architecture principles and concepts.
* Demonstrates leadership and active pursuit of optimizing CI/CD process and tools, testing frameworks and practices.
* Strong negotiation, facilitation, and consensus building skills.
* Strong oral and written communication skills; presentation skills; Extensive knowledge of the following: IT concepts, strategies, methodologies.
* Extensive consultative skills, including the ability to understand and apply customer requirements, including drawing out unforeseen implications and making recommendations for design, the ability to define design reasoning, understanding potential impacts of design requirements.
* Understanding of backlog tracking, burndown metrics, and incremental delivery
* Strong collaboration, prioritization, and adaptability skills required.
 **Additional Qualifications:**
* Java, Kafka, NoSQL, Python development experience.
* Understanding of Cloud / Hybrid data architecture concepts.
* Understanding of insurance industry and products.
* Excited by trying new technology and learning new tools.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3">
      <c r="A3" t="inlineStr">
        <is>
          <t>in-dfa9b4610e320658</t>
        </is>
      </c>
      <c r="B3" t="inlineStr">
        <is>
          <t>Data Engineer</t>
        </is>
      </c>
      <c r="C3" t="inlineStr">
        <is>
          <t>Liberty Mutual Insurance</t>
        </is>
      </c>
      <c r="D3" t="inlineStr">
        <is>
          <t>indeed</t>
        </is>
      </c>
      <c r="E3" t="inlineStr"/>
      <c r="F3" t="inlineStr"/>
      <c r="G3" t="inlineStr">
        <is>
          <t>Columbus, OH, US</t>
        </is>
      </c>
      <c r="H3" s="1" t="n">
        <v>46062</v>
      </c>
      <c r="I3" t="inlineStr">
        <is>
          <t>**Description*****You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**Data Engineer**
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US Retail Markets (USRM) **Data and Analytics Engineering** team is actively searching for a highly productive **Data Engineer** for a distributed, dynamic agile team to serve as a technical expert designing, developing, analyzing \&amp; testing innovative data warehouse solutions. This candidatewill join an energetic and engaged Business Data Solutions Engineering team focused on leveraging our customer data to deliver exceptional value to our business partners. You will work collaboratively in an agile squad to design and build data pipelines \&amp; workflows, ingest, curate \&amp; provision data workflows in a Cloud\-based environment as well as own responsibility of thorough end\-to\-end testing.
This is a fast\-paced environment providing rapid delivery for our business partners. You will be working in a highly collaborative environment that values speed and quality, with a strong desire to drive change and foster a positive work environment. You will have the opportunity to help with this change as we grow this culture, mindset, and capability.
 **We encourage you to apply if this interests you:**
* Work as ONE team committed to excellence
* Model and promote a Data First attitude
* Help advance Data Engineering operations into the future
* Work with a modern data tech stack
 **About the job:**
* Collaborate in a fast\-moving Agile environment with Scrum Masters, Product Owners, and cross\-functional teammates to design and deliver data\-driven solutions that advance both business and technical goals.
* Build, maintain, and optimize ingestion pipelines and data integrations to manage the full information lifecycle — from acquisition and curation to provisioning for analytics and reporting.
* Design and implement ETL pipelines, API\-based microservices, physical data models, and transformation logic to make data reliable, accessible, and performant.
* Work on data architectures and applications (warehouses, data vault structures) that enable reporting, analytics, machine learning, and improved data governance and quality.
* Participate in peer code reviews and sprint ceremonies, CI/CD best practices, and automated testing to ensure robust, production\-ready releases.
* Accelerate speed to market while building long\-term, scalable solutions using modern technologies such as AWS, Snowflake, Kafka, Data Vault methodology, and other cloud\-native tools.
* Create tools and programs to automate ingestion, curation, and provisioning of complex enterprise data to support analytics, reporting, and data science use cases.
* Collaborate with senior team members and your manager to improve your skills, code quality, and engineering practices.
* Troubleshoot and resolve technical issues, proactively improvements that increase reliability, reduce latency, and improve data quality.
* Maintain a continuous learning mindset — evaluate modern technologies, share findings with the team, and adopt approaches that improve delivery and business outcomes.
 **Qualifications**  
* Bachelor or Master\`s degree in technical or business discipline or equivalent experience, technical degree preferred. 2\+ years of Data Engineering experience.
* Experience developing back end, data warehouse technology solutions, data modeling, and data vault methodology.
* Knowledge of a variety of data platforms including Snowflake, Teradata, SQL, DB2 (Cloud based DB a plus).
* Experience with AWS (such as S3, Snowflake, Athena), Unix, Informatica (IDMC) and strong SQL skillset.
* Extensive knowledge of IT concepts, strategies, methodologies.
* Experience working with agile methodologies (Scrum, Kanban, XP) and cross\-functional teams (Product Owners, Scrum Masters, Developers, Test Engineers).
* Well versed in diverse technologies and new technical architecture principles and concepts.
* Demonstrates leadership and active pursuit of optimizing CI/CD process and tools, testing frameworks and practices.
* Strong negotiation, facilitation, and consensus building skills.
* Strong oral and written communication skills; presentation skills; Extensive knowledge of the following: IT concepts, strategies, methodologies.
* Extensive consultative skills, including the ability to understand and apply customer requirements, including drawing out unforeseen implications and making recommendations for design, the ability to define design reasoning, understanding potential impacts of design requirements.
* Understanding of backlog tracking, burndown metrics, and incremental delivery
* Strong collaboration, prioritization, and adaptability skills required.
 **Additional Qualifications:**
* Java, Kafka, NoSQL, Python development experience.
* Understanding of Cloud / Hybrid data architecture concepts.
* Understanding of insurance industry and products.
* Excited by trying new technology and learning new tools.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4">
      <c r="A4" t="inlineStr">
        <is>
          <t>in-1624913b023f225a</t>
        </is>
      </c>
      <c r="B4" t="inlineStr">
        <is>
          <t>Data Engineer</t>
        </is>
      </c>
      <c r="C4" t="inlineStr">
        <is>
          <t>Liberty Mutual Insurance</t>
        </is>
      </c>
      <c r="D4" t="inlineStr">
        <is>
          <t>indeed</t>
        </is>
      </c>
      <c r="E4" t="inlineStr"/>
      <c r="F4" t="inlineStr"/>
      <c r="G4" t="inlineStr">
        <is>
          <t>Boston, MA, US</t>
        </is>
      </c>
      <c r="H4" s="1" t="n">
        <v>46062</v>
      </c>
      <c r="I4" t="inlineStr">
        <is>
          <t>**Description*****You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**Data Engineer**
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US Retail Markets (USRM) **Data and Analytics Engineering** team is actively searching for a highly productive **Data Engineer** for a distributed, dynamic agile team to serve as a technical expert designing, developing, analyzing \&amp; testing innovative data warehouse solutions. This candidatewill join an energetic and engaged Business Data Solutions Engineering team focused on leveraging our customer data to deliver exceptional value to our business partners. You will work collaboratively in an agile squad to design and build data pipelines \&amp; workflows, ingest, curate \&amp; provision data workflows in a Cloud\-based environment as well as own responsibility of thorough end\-to\-end testing.
This is a fast\-paced environment providing rapid delivery for our business partners. You will be working in a highly collaborative environment that values speed and quality, with a strong desire to drive change and foster a positive work environment. You will have the opportunity to help with this change as we grow this culture, mindset, and capability.
 **We encourage you to apply if this interests you:**
* Work as ONE team committed to excellence
* Model and promote a Data First attitude
* Help advance Data Engineering operations into the future
* Work with a modern data tech stack
 **About the job:**
* Collaborate in a fast\-moving Agile environment with Scrum Masters, Product Owners, and cross\-functional teammates to design and deliver data\-driven solutions that advance both business and technical goals.
* Build, maintain, and optimize ingestion pipelines and data integrations to manage the full information lifecycle — from acquisition and curation to provisioning for analytics and reporting.
* Design and implement ETL pipelines, API\-based microservices, physical data models, and transformation logic to make data reliable, accessible, and performant.
* Work on data architectures and applications (warehouses, data vault structures) that enable reporting, analytics, machine learning, and improved data governance and quality.
* Participate in peer code reviews and sprint ceremonies, CI/CD best practices, and automated testing to ensure robust, production\-ready releases.
* Accelerate speed to market while building long\-term, scalable solutions using modern technologies such as AWS, Snowflake, Kafka, Data Vault methodology, and other cloud\-native tools.
* Create tools and programs to automate ingestion, curation, and provisioning of complex enterprise data to support analytics, reporting, and data science use cases.
* Collaborate with senior team members and your manager to improve your skills, code quality, and engineering practices.
* Troubleshoot and resolve technical issues, proactively improvements that increase reliability, reduce latency, and improve data quality.
* Maintain a continuous learning mindset — evaluate modern technologies, share findings with the team, and adopt approaches that improve delivery and business outcomes.
 **Qualifications**  
* Bachelor or Master\`s degree in technical or business discipline or equivalent experience, technical degree preferred. 2\+ years of Data Engineering experience.
* Experience developing back end, data warehouse technology solutions, data modeling, and data vault methodology.
* Knowledge of a variety of data platforms including Snowflake, Teradata, SQL, DB2 (Cloud based DB a plus).
* Experience with AWS (such as S3, Snowflake, Athena), Unix, Informatica (IDMC) and strong SQL skillset.
* Extensive knowledge of IT concepts, strategies, methodologies.
* Experience working with agile methodologies (Scrum, Kanban, XP) and cross\-functional teams (Product Owners, Scrum Masters, Developers, Test Engineers).
* Well versed in diverse technologies and new technical architecture principles and concepts.
* Demonstrates leadership and active pursuit of optimizing CI/CD process and tools, testing frameworks and practices.
* Strong negotiation, facilitation, and consensus building skills.
* Strong oral and written communication skills; presentation skills; Extensive knowledge of the following: IT concepts, strategies, methodologies.
* Extensive consultative skills, including the ability to understand and apply customer requirements, including drawing out unforeseen implications and making recommendations for design, the ability to define design reasoning, understanding potential impacts of design requirements.
* Understanding of backlog tracking, burndown metrics, and incremental delivery
* Strong collaboration, prioritization, and adaptability skills required.
 **Additional Qualifications:**
* Java, Kafka, NoSQL, Python development experience.
* Understanding of Cloud / Hybrid data architecture concepts.
* Understanding of insurance industry and products.
* Excited by trying new technology and learning new tools.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5">
      <c r="A5" t="inlineStr">
        <is>
          <t>in-c52b01c7649f509e</t>
        </is>
      </c>
      <c r="B5" t="inlineStr">
        <is>
          <t>Data Engineer</t>
        </is>
      </c>
      <c r="C5" t="inlineStr">
        <is>
          <t>Liberty Mutual Insurance</t>
        </is>
      </c>
      <c r="D5" t="inlineStr">
        <is>
          <t>indeed</t>
        </is>
      </c>
      <c r="E5" t="inlineStr"/>
      <c r="F5" t="inlineStr"/>
      <c r="G5" t="inlineStr">
        <is>
          <t>Plano, TX, US</t>
        </is>
      </c>
      <c r="H5" s="1" t="n">
        <v>46062</v>
      </c>
      <c r="I5" t="inlineStr">
        <is>
          <t>**Description*****You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**Data Engineer**
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US Retail Markets (USRM) **Data and Analytics Engineering** team is actively searching for a highly productive **Data Engineer** for a distributed, dynamic agile team to serve as a technical expert designing, developing, analyzing \&amp; testing innovative data warehouse solutions. This candidatewill join an energetic and engaged Business Data Solutions Engineering team focused on leveraging our customer data to deliver exceptional value to our business partners. You will work collaboratively in an agile squad to design and build data pipelines \&amp; workflows, ingest, curate \&amp; provision data workflows in a Cloud\-based environment as well as own responsibility of thorough end\-to\-end testing.
This is a fast\-paced environment providing rapid delivery for our business partners. You will be working in a highly collaborative environment that values speed and quality, with a strong desire to drive change and foster a positive work environment. You will have the opportunity to help with this change as we grow this culture, mindset, and capability.
 **We encourage you to apply if this interests you:**
* Work as ONE team committed to excellence
* Model and promote a Data First attitude
* Help advance Data Engineering operations into the future
* Work with a modern data tech stack
 **About the job:**
* Collaborate in a fast\-moving Agile environment with Scrum Masters, Product Owners, and cross\-functional teammates to design and deliver data\-driven solutions that advance both business and technical goals.
* Build, maintain, and optimize ingestion pipelines and data integrations to manage the full information lifecycle — from acquisition and curation to provisioning for analytics and reporting.
* Design and implement ETL pipelines, API\-based microservices, physical data models, and transformation logic to make data reliable, accessible, and performant.
* Work on data architectures and applications (warehouses, data vault structures) that enable reporting, analytics, machine learning, and improved data governance and quality.
* Participate in peer code reviews and sprint ceremonies, CI/CD best practices, and automated testing to ensure robust, production\-ready releases.
* Accelerate speed to market while building long\-term, scalable solutions using modern technologies such as AWS, Snowflake, Kafka, Data Vault methodology, and other cloud\-native tools.
* Create tools and programs to automate ingestion, curation, and provisioning of complex enterprise data to support analytics, reporting, and data science use cases.
* Collaborate with senior team members and your manager to improve your skills, code quality, and engineering practices.
* Troubleshoot and resolve technical issues, proactively improvements that increase reliability, reduce latency, and improve data quality.
* Maintain a continuous learning mindset — evaluate modern technologies, share findings with the team, and adopt approaches that improve delivery and business outcomes.
 **Qualifications**  
* Bachelor or Master\`s degree in technical or business discipline or equivalent experience, technical degree preferred. 2\+ years of Data Engineering experience.
* Experience developing back end, data warehouse technology solutions, data modeling, and data vault methodology.
* Knowledge of a variety of data platforms including Snowflake, Teradata, SQL, DB2 (Cloud based DB a plus).
* Experience with AWS (such as S3, Snowflake, Athena), Unix, Informatica (IDMC) and strong SQL skillset.
* Extensive knowledge of IT concepts, strategies, methodologies.
* Experience working with agile methodologies (Scrum, Kanban, XP) and cross\-functional teams (Product Owners, Scrum Masters, Developers, Test Engineers).
* Well versed in diverse technologies and new technical architecture principles and concepts.
* Demonstrates leadership and active pursuit of optimizing CI/CD process and tools, testing frameworks and practices.
* Strong negotiation, facilitation, and consensus building skills.
* Strong oral and written communication skills; presentation skills; Extensive knowledge of the following: IT concepts, strategies, methodologies.
* Extensive consultative skills, including the ability to understand and apply customer requirements, including drawing out unforeseen implications and making recommendations for design, the ability to define design reasoning, understanding potential impacts of design requirements.
* Understanding of backlog tracking, burndown metrics, and incremental delivery
* Strong collaboration, prioritization, and adaptability skills required.
 **Additional Qualifications:**
* Java, Kafka, NoSQL, Python development experience.
* Understanding of Cloud / Hybrid data architecture concepts.
* Understanding of insurance industry and products.
* Excited by trying new technology and learning new tools.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6">
      <c r="A6" t="inlineStr">
        <is>
          <t>in-9c4b6bdcfce462ab</t>
        </is>
      </c>
      <c r="B6" t="inlineStr">
        <is>
          <t>Data Engineer</t>
        </is>
      </c>
      <c r="C6" t="inlineStr">
        <is>
          <t>Liberty Mutual Insurance</t>
        </is>
      </c>
      <c r="D6" t="inlineStr">
        <is>
          <t>indeed</t>
        </is>
      </c>
      <c r="E6" t="inlineStr"/>
      <c r="F6" t="inlineStr"/>
      <c r="G6" t="inlineStr">
        <is>
          <t>Portsmouth, NH, US</t>
        </is>
      </c>
      <c r="H6" s="1" t="n">
        <v>46062</v>
      </c>
      <c r="I6" t="inlineStr">
        <is>
          <t>**Description*****You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**Data Engineer**
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US Retail Markets (USRM) **Data and Analytics Engineering** team is actively searching for a highly productive **Data Engineer** for a distributed, dynamic agile team to serve as a technical expert designing, developing, analyzing \&amp; testing innovative data warehouse solutions. This candidatewill join an energetic and engaged Business Data Solutions Engineering team focused on leveraging our customer data to deliver exceptional value to our business partners. You will work collaboratively in an agile squad to design and build data pipelines \&amp; workflows, ingest, curate \&amp; provision data workflows in a Cloud\-based environment as well as own responsibility of thorough end\-to\-end testing.
This is a fast\-paced environment providing rapid delivery for our business partners. You will be working in a highly collaborative environment that values speed and quality, with a strong desire to drive change and foster a positive work environment. You will have the opportunity to help with this change as we grow this culture, mindset, and capability.
 **We encourage you to apply if this interests you:**
* Work as ONE team committed to excellence
* Model and promote a Data First attitude
* Help advance Data Engineering operations into the future
* Work with a modern data tech stack
 **About the job:**
* Collaborate in a fast\-moving Agile environment with Scrum Masters, Product Owners, and cross\-functional teammates to design and deliver data\-driven solutions that advance both business and technical goals.
* Build, maintain, and optimize ingestion pipelines and data integrations to manage the full information lifecycle — from acquisition and curation to provisioning for analytics and reporting.
* Design and implement ETL pipelines, API\-based microservices, physical data models, and transformation logic to make data reliable, accessible, and performant.
* Work on data architectures and applications (warehouses, data vault structures) that enable reporting, analytics, machine learning, and improved data governance and quality.
* Participate in peer code reviews and sprint ceremonies, CI/CD best practices, and automated testing to ensure robust, production\-ready releases.
* Accelerate speed to market while building long\-term, scalable solutions using modern technologies such as AWS, Snowflake, Kafka, Data Vault methodology, and other cloud\-native tools.
* Create tools and programs to automate ingestion, curation, and provisioning of complex enterprise data to support analytics, reporting, and data science use cases.
* Collaborate with senior team members and your manager to improve your skills, code quality, and engineering practices.
* Troubleshoot and resolve technical issues, proactively improvements that increase reliability, reduce latency, and improve data quality.
* Maintain a continuous learning mindset — evaluate modern technologies, share findings with the team, and adopt approaches that improve delivery and business outcomes.
 **Qualifications**  
* Bachelor or Master\`s degree in technical or business discipline or equivalent experience, technical degree preferred. 2\+ years of Data Engineering experience.
* Experience developing back end, data warehouse technology solutions, data modeling, and data vault methodology.
* Knowledge of a variety of data platforms including Snowflake, Teradata, SQL, DB2 (Cloud based DB a plus).
* Experience with AWS (such as S3, Snowflake, Athena), Unix, Informatica (IDMC) and strong SQL skillset.
* Extensive knowledge of IT concepts, strategies, methodologies.
* Experience working with agile methodologies (Scrum, Kanban, XP) and cross\-functional teams (Product Owners, Scrum Masters, Developers, Test Engineers).
* Well versed in diverse technologies and new technical architecture principles and concepts.
* Demonstrates leadership and active pursuit of optimizing CI/CD process and tools, testing frameworks and practices.
* Strong negotiation, facilitation, and consensus building skills.
* Strong oral and written communication skills; presentation skills; Extensive knowledge of the following: IT concepts, strategies, methodologies.
* Extensive consultative skills, including the ability to understand and apply customer requirements, including drawing out unforeseen implications and making recommendations for design, the ability to define design reasoning, understanding potential impacts of design requirements.
* Understanding of backlog tracking, burndown metrics, and incremental delivery
* Strong collaboration, prioritization, and adaptability skills required.
 **Additional Qualifications:**
* Java, Kafka, NoSQL, Python development experience.
* Understanding of Cloud / Hybrid data architecture concepts.
* Understanding of insurance industry and products.
* Excited by trying new technology and learning new tools.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7">
      <c r="A7" t="inlineStr">
        <is>
          <t>in-6b1aa2bf69a92e68</t>
        </is>
      </c>
      <c r="B7" t="inlineStr">
        <is>
          <t>Senior Data Engineer</t>
        </is>
      </c>
      <c r="C7" t="inlineStr">
        <is>
          <t>DataArt</t>
        </is>
      </c>
      <c r="D7" t="inlineStr">
        <is>
          <t>indeed</t>
        </is>
      </c>
      <c r="E7" t="inlineStr"/>
      <c r="F7" t="inlineStr"/>
      <c r="G7" t="inlineStr">
        <is>
          <t>Dallas, TX, US</t>
        </is>
      </c>
      <c r="H7" s="1" t="n">
        <v>46069</v>
      </c>
      <c r="I7" t="inlineStr">
        <is>
          <t>Client: Our client is a leading provider of capital and services to the mortgage and financial services industries. It offers attractive risk\-adjusted returns while also protecting the existing portfolio and generating long\-term value for its investors. The company's investment portfolio includes mortgage servicing\-related assets, non\-agency securities (and associated call rights), residential loans and other related opportunistic investments.
Project overview: Our team is currently developing a new Data Warehouse and maintain a several applications and services that are tightly integrated with each other and ETL processes support.
* Position overview: We are looking for an experienced Senior Data Engineer to design, build, and maintain scalable data solutions in the Azure cloud.
* The role is hybrid and requires the ability to visit the client’s office in Dallas, TX, preferably three times per week.
* The estimated annual salary for this position is up to 124,000 USD.
* Responsibilities: Develop and maintain data solutions on Azure and Databricks platforms
* Contribute to new project development and support and maintenance of existing solutions
* Implement data pipelines, transformations, and business logic in Databricks
* Collaborate with cross\-functional teams to ensure data accuracy, integrity, and optimal performance
* Manage version control, deployments, and CI/CD processes using Git
* Ensure adherence to best practices in data management and governance
* Requirements: Bachelor’s or Master’s degree in Computer Science, Information Technology, or a related field
* Engineering or Mathematics background is preferred
* 5\+ years of experience with SQL and Python
* 3\+ years of experience with Azure cloud services
* Strong hands\-on experience with Azure SQL Server, Azure Data Factory (ADF), Azure Databricks (highlighted expertise), Azure Data Lake Storage (ADLS), Azure Key Vault, Azure Functions, and Logic Apps
* 3\+ years of experience with Git
* Experience deploying code using CI/CD pipelines
* Nice to have: Experience with .NET
* Microsoft Certified: Azure Data Engineer Associate
* Databricks Certified Data Engineer (Associate or Professional)</t>
        </is>
      </c>
    </row>
    <row r="8">
      <c r="A8" t="inlineStr">
        <is>
          <t>in-7342de3892cc79b0</t>
        </is>
      </c>
      <c r="B8" t="inlineStr">
        <is>
          <t>Senior Data Engineer</t>
        </is>
      </c>
      <c r="C8" t="inlineStr">
        <is>
          <t>Fifth Third Bank</t>
        </is>
      </c>
      <c r="D8" t="inlineStr">
        <is>
          <t>indeed</t>
        </is>
      </c>
      <c r="E8" t="inlineStr"/>
      <c r="F8" t="inlineStr"/>
      <c r="G8" t="inlineStr">
        <is>
          <t>Cincinnati, OH, US</t>
        </is>
      </c>
      <c r="H8" s="1" t="n">
        <v>46069</v>
      </c>
      <c r="I8" t="inlineStr">
        <is>
          <t>Make banking a Fifth Third better®  
We connect great people to great opportunities. Are you ready to take the next step? Discover a career in banking at Fifth Third Bank.
GENERAL FUNCTION:
The data engineer designs and builds platforms, tools, and solutions that help the bank manage, secure, and generate value from its data. The person in this role creates scalable and reusable solutions for gathering, collecting, storing, processing, and serving data on both small and very large (i.e. Big Data) scales. These solutions can include on\-premise and cloud\-based data platforms, and solutions in any of the following domains ETL, business intelligence, analytics, persistence (relational, NoSQL, data lakes), search, messaging, data warehousing, stream processing, and machine learning.
Responsible and accountable for risk by openly exchanging ideas and opinions, elevating concerns, and personally following policies and procedures as defined. Accountable for always doing the right thing for customers and colleagues, and ensures that actions and behaviors drive a positive customer experience. While operating within the Bank's risk appetite, achieves results by consistently identifying, assessing, managing, monitoring, and reporting risks of all types.
ESSENTIAL DUTIES \&amp; RESPONSIBILITIES:* Responsible for design, Development, and Support of data solutions, APIs, tools, and processes to enable rapid delivery of business capabilities.
* Work closely with IT application teams, Enterprise architecture, infrastructure, information security, and LOB stakeholders to translate business and technical strategies into data\-driven solutions for the Bank.
* Act as a technical Expert addressing problems related to system and application design, performance, integration, security, etc.
* Conduct research and Development based on current trends and technologies related to the banking industry, data engineering and architecture, data security, and related topics.
* Work with developers to Build CI/CD pipelines, Self\-service Build tools, and automated deployment processes.
* Evaluate software products and Provide documented recommendations as needed.
* Provide Support and troubleshooting for data platforms. Must be willing to Provide escalated on\-call Support for complicated and/or critical incidents.
* Participate in the planning process for hardware and software.
* Plan and work on internal projects as needed, including legacy system replacement, Monitoring and analytics improvements, tool Development, and technical documentation.
* Provide technical guidance and mentoring for other team members.
* Manage and prioritize multiple assignments.
SUPERVISORY RESPONSIBILITIES: None.
MINIMUM KNOWLEDGE, SKILLS AND ABILITIES REQUIRED:* Bachelor's degree in Computer Science/Information Systems or equivalent combination of education and experience.
* Must be able to communicate ideas both verbally and in writing to management, business and IT sponsors, and technical resources in language that is appropriate for each group.
* Four\+ years IT work experience relevant to the position.
* Significant experience with at least one major RDBMS product.
* Experience working with and supporting Unix/Linux and Windows systems.
* Proficient in relational database modeling concepts and techniques.
* Solid conceptual understanding of distributed computing principles.
* Working knowledge of application and data security concepts, best practices, and common vulnerabilities.
* Experience in one or more of the following disciplines preferred: big data technologies and distributions, metadata management products, commercial ETL tools, Bi and reporting tools, messaging systems, data warehousing, Java (language and run time environment), major version control systems, continuous integration/delivery tools, infrastructure automation and virtualization tools, major cloud, or rest API design and development.
* Previous experience working with offshore teams desired.
* Financial industry experience is a plus.
Senior Data Engineer
At Fifth Third, we understand the importance of recognizing our employees for the role they play in improving the lives of our customers, communities and each other. Our Total Rewards include comprehensive benefits and differentiated compensation offerings to give each employee the opportunity to be their best every day.
The base salary for this position is reflective of the range of salary levels for all roles within this pay grade across the U.S. Individual salaries within this range will vary based on factors such as role, relevant skillset, relevant experience, education and geographic location. In addition to the base salary, this role is eligible to participate in an incentive compensation plan, with any such payment based upon company, line of business and/or individual performance.
Our extensive benefits programs are designed to support the individual needs of our employees and their families, encompassing physical, financial, emotional and social well\-being. You can learn more about those programs on our 53\.com Careers page at: https://www.53\.com/content/fifth\-third/en/careers/benefits.html or by consulting with your talent acquisition partner.
LOCATION \- Cincinnati, Ohio 45202
Attention search firms and staffing agencies: do not submit unsolicited resumes for this posting. Fifth Third does not accept resumes from any agency that does not have an active agreement with Fifth Third. Any unsolicited resumes – no matter how they are submitted – will be considered the property of Fifth Third and Fifth Third will not be responsible for any associated fee.
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t>
        </is>
      </c>
    </row>
    <row r="9">
      <c r="A9" t="inlineStr">
        <is>
          <t>in-8fb2cf63013b8a3d</t>
        </is>
      </c>
      <c r="B9" t="inlineStr">
        <is>
          <t>Data Engineer Prin</t>
        </is>
      </c>
      <c r="C9" t="inlineStr">
        <is>
          <t>American Electric Power</t>
        </is>
      </c>
      <c r="D9" t="inlineStr">
        <is>
          <t>indeed</t>
        </is>
      </c>
      <c r="E9" t="inlineStr"/>
      <c r="F9" t="inlineStr"/>
      <c r="G9" t="inlineStr">
        <is>
          <t>Columbus, OH, US</t>
        </is>
      </c>
      <c r="H9" s="1" t="n">
        <v>46069</v>
      </c>
      <c r="I9" t="inlineStr">
        <is>
          <t>**Job Posting End Date**
02\-28\-2026
Please note the job posting will close on the day before the posting end date.
**Job Summary**
At AEP, we’re more than just an energy company!  
We’re a team of dedicated professionals committed to delivering safe, reliable, and innovative energy solutions. Guided by our mission to put the customer first, we strive to exceed expectations by listening, responding, and continuously improving the way we serve our communities. If you're passionate about making a meaningful impact and being part of a forward\-thinking organization, this is the company for you!**Job Description**
Part of a larger team delivering high quality technology solutions to the business. Design, develop and installs advanced software solutions. Build high\-quality, innovative and fully performing software in compliance with internal architecture, development \&amp; design standards \&amp; best practices. Design, modify, develop, write, implement and troubleshoot software programming applications. Support and/or install software applications. Participate in the testing process through test review and analysis, test witnessing and certification of software. Works within a Waterfall or Agile methodology/framework based team. Collaborates heavily with Project Management, Business Analyst and Infrastructure Job Families.
**What You'll Do:**
* Participate in analysis sessions and support data analysts to document data mapping and ETL requirements.
* Lead the Design, Development, and Implementation of data models, ETL solutions to integrate functional data into Process Intelligence and Mining tool, Celonis.
* Ensure connections to source systems via JDBC and Kafka are reliable and secure.
* Maintain and provide operational support to Celonis production platform.
* Govern access rights for the Celonis processes.
* Optimize Celonis data models, ETL processes for performance and scalability.
* Design, Develop, implement audit processes to ensure data integrity from application platforms to Celonis.
* Provide ongoing support to business and technology teams to ensure continuous improvement in the areas of Process Intelligence and Automation.
* Facilitate and lead the establishment of governance and best practices in the Process Intelligence and Automation space.
* Assist management with setting strategic, tactical goals for the team and plans to execute them.
* Experience with Agile Scrum Framework, Kanban.
**What We're Looking For:**
Education: Bachelor's degree in computer science, engineering, or related technical field is required.
Experience: 7 years relevant work experience is required.
An equivalent combination of education and related experience may be considered.
**Qualifications:**
* Bachelor’s degree in engineering, Computer Science, Information Technology, or a related field.
* Strong SQL, PL/SQL skills are a MUST.
* Proven experience with data analysis, modeling, building ETL solutions, Celonis process mining tools.
* Solid analytical skills with an ability to interpret complex data sets.
* Excellent communication and interpersonal skills with a strong collaboration mindset.
**Preferred Skill:**
* Experience with Celonis HIGHLY PERFERRED.
* Celonis certification will be a plus.
* Experience with KAFKA desirable.
* Knowledge of Python and other programming languages for automation.
* Solid understanding of ERP systems (Maximo, PeopleSoft, Oracle) and related databases
**What You'll Get:**
$98,993 \- $128,689
**In addition to a competitive compensation, AEP offers a unique comprehensive benefits package that aims to support and enhance the overall well\-being of our employees.**
**Compensation Data**
**Compensation Grade:**
SP20\-008**Compensation Range:**
$98,993\.00 \- $128,688\.00
The Physical Demand Level for this job is: S – Sedentary Work: Exerting up to 10 pounds of force occasionally (Occasionally: activity or condition exists up to 1/3 of the time) and/or a negligible amount of force frequently. (Frequently: activity or condition exists from 1/3 to 2/3 of the time) to lift, carry, push, pull or otherwise move objects, including the human body. Sedentary work involves sitting most of the time but may involve walking or standing for brief periods of time. Jobs are sedentary if walking and standing are required only occasionally, and all other sedentary criteria are met.
**Hear about it first!** Get job alerts by email. Log in to your Candidate Home Account today! If you don't have an account, you can create one.
It is hereby reaffirmed that it is the policy of American Electric Power (AEP) to provide Equal Employment Opportunity in all respects of the employer\-employee relationship including recruiting, hiring, upgrading and promotion, conditions and privileges of employment, company sponsored training programs, educational assistance, social and recreational programs, compensation, benefits, transfers, discipline, layoffs and termination of employment to all employees and applicants without discrimination because of race, color, religion, sex (including pregnancy, gender identity, and sexual orientation), national origin, age, veteran or military status, disability, genetic information, or any other basis prohibited by applicable law. When required by law, we might record certain information or applicants for employment may be invited to voluntarily disclose protected characteristics.</t>
        </is>
      </c>
    </row>
    <row r="10">
      <c r="A10" t="inlineStr">
        <is>
          <t>in-5432694e48333607</t>
        </is>
      </c>
      <c r="B10" t="inlineStr">
        <is>
          <t>Senior Data Engineer</t>
        </is>
      </c>
      <c r="C10" t="inlineStr"/>
      <c r="D10" t="inlineStr">
        <is>
          <t>indeed</t>
        </is>
      </c>
      <c r="E10" t="inlineStr"/>
      <c r="F10" t="inlineStr"/>
      <c r="G10" t="inlineStr">
        <is>
          <t>Remote, US</t>
        </is>
      </c>
      <c r="H10" s="1" t="n">
        <v>46069</v>
      </c>
      <c r="I10" t="inlineStr">
        <is>
          <t>**About Comfrt:**
Comfrt is one of the fastest\-growing DTC apparel brands in the world, with a social presence that even industry giants envy. Founded just three years ago, we’ve quickly built a reputation for stylish, elevated, and functional clothing designed to deliver unmatched comfort. From subtly weighted hoodies and sweatpants to cozy blankets and even pet hoodies, every Comfrt piece is created to inspire relaxation, support well\-being, and promote a positive mindset.
 **About the Role:**
We are seeking a highly skilled and experienced Senior Data Engineer to join our growing data team. The ideal candidate will be responsible for designing, developing, and optimizing our data pipeline architecture to support our analytics, machine learning, and business intelligence initiatives. This role requires a strong background in big data technologies, cloud infrastructure, and a passion for building robust, scalable, and efficient data solutions.
**Responsibilities:**
Data Architecture and Development
=======================================================
* Design, construct, install, test, and maintain highly scalable data management systems and processing pipelines using cloud\-native services (e.g., AWS, GCP, Azure).
* Develop and optimize ETL/ELT processes to ingest, transform, and load data from various internal and external sources into our data warehouse/data lake.
* Implement data governance, security, and quality controls across all data pipelines.
* Ensure data architecture supports the needs of data scientists, analysts, and other business stakeholders.
Optimization and Performance
----------------------------
* Monitor, tune, and optimize data warehouse performance (e.g., Snowflake, BigQuery, Redshift).
* Troubleshoot and resolve complex data\-related issues and performance bottlenecks in the data platform.
* Drive continuous improvement in data platform reliability, efficiency, and cost management.
Collaboration and Mentorship
----------------------------
* Collaborate closely with data scientists, software engineers, and product managers to understand data requirements and deliver solutions.
* Define and enforce best practices for data engineering, including coding standards, documentation, and operational procedures.
* Mentor and guide junior data engineers, fostering a culture of technical excellence and continuous learning.
**Required Qualifications:**
Experience
=======================================
* Bachelor's or Master's degree in Computer Science, Engineering, or a related quantitative field.
* 5\+ years of professional experience in data engineering, software engineering, or a related role focused on data infrastructure.
* Proven experience designing and building production\-grade, highly reliable, and scalable data pipelines.
Technical Skills
----------------
* Expert proficiency in SQL and at least one high\-level programming language (e.g., Python, Scala, Java).
* Deep expertise with major cloud platforms (AWS, GCP, or Azure), specifically their data and storage services (e.g., S3, Google Cloud Storage, Azure Data Lake Storage).
* Solid experience with modern data warehousing solutions (e.g., Snowflake, Google BigQuery, Amazon Redshift).
* Experience with workflow orchestration tools (e.g., Apache Airflow, Dagster).
* Familiarity with distributed data processing frameworks (e.g., Apache Spark, Dask).
* Experience with version control systems (e.g., Git).
* Experience with AI tools(Claude, Vertex AI, Gemini)
**Preferred Qualifications**
============================
* Experience with stream processing technologies (e.g., Apache Kafka, Kinesis, Pub/Sub).
* Exposure to GenAI Integration with development process
* Knowledge of data modeling techniques (e.g., 3NF, Dimensional Modeling).
* Familiarity with machine learning pipelines (MLOps).
* Experience with infrastructure\-as\-code tools (e.g., Terraform, CloudFormation).
* Experience/Familiarity with D2C/E\-Commerce Domain
**Key Competencies:*** **Problem\-Solving:** Exceptional analytical and problem\-solving skills with a high degree of attention to detail.
* **Communication:** Excellent verbal and written communication skills, with the ability to explain complex technical concepts to non\-technical audiences.
* **Ownership:** A proactive mindset and a strong sense of ownership over the data platform and its integrity.
**Why Join Comfrt?**
* Be part of a purpose\-driven company that’s shaping the future of comfort and mental wellness.
* Work in a supportive, creative environment where your ideas and growth are valued.
* Enjoy Comfrt benefits such as generous paid time off, company\-covered health insurance, 5% 401k match, and discounts on all Comfrt products!
* Join a passionate team making an impact on exciting projects, all while enjoying the flexibility and collaborative support of a fully remote environment.
 *Comfrt is an equal opportunity employer. We are committed to building a team that represents a variety of backgrounds, perspectives, and skills.*
*This role is open to remote candidates in multiple U.S. states. The salary range for this position is $160,000–$180,000 annually. Actual compensation will be determined based on factors such as years of experience, skills, certifications, and geographic location.*
Mvljr8pLRs</t>
        </is>
      </c>
    </row>
    <row r="11">
      <c r="A11" t="inlineStr">
        <is>
          <t>in-006f4b73077fdc3e</t>
        </is>
      </c>
      <c r="B11" t="inlineStr">
        <is>
          <t>Senior Associate, Data Engineer</t>
        </is>
      </c>
      <c r="C11" t="inlineStr">
        <is>
          <t>L3Harris</t>
        </is>
      </c>
      <c r="D11" t="inlineStr">
        <is>
          <t>indeed</t>
        </is>
      </c>
      <c r="E11" t="inlineStr"/>
      <c r="F11" t="inlineStr"/>
      <c r="G11" t="inlineStr">
        <is>
          <t>US</t>
        </is>
      </c>
      <c r="H11" s="1" t="n">
        <v>46069</v>
      </c>
      <c r="I11"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Senior Associate, Data Engineer
**Job Code:** 34236
**Job Location**: Melbourne, FL; Remote
**Job Schedule:** 9/80: Employees work 9 out of every 14 days – totaling 80 hours worked – and have every other Friday off
 **Job Description**:
L3Harris Enterprise Data and AI team is seeking a Data Engineer with experience in managing enterprise\-level data life cycle processes. This role includes overseeing data ETL/ELT pipelines, ensuring adherence to data standards, maintaining data frameworks, conducting data cleansing, orchestrating data pipelines, and ensuring data consolidation. The selected individual will play a pivotal role in maintaining ontologies, building scalable data solutions, and developing dashboards to provide actionable insights for the enterprise within Palantir Foundry. This position will support the company’s modern data platform, Unified Data Layer, focusing on data pipeline development and maintenance, data platform design, documentation, and user training. The goal is to ensure seamless access to data for all levels of the organization, empowering decision\-makers with clean, reliable data.
 **Essential Functions:**
* Design, build, and maintain robust data pipelines to ensure reliable data flow across the enterprise.
* Maintain data pipeline schedules, orchestrate workflows, and monitor the overall health of data pipelines to ensure continuous data availability.
* Create, update, and optimize data connections, datasets, and transformations to align with business needs.
* Troubleshoot and resolve data sync issues, ensuring consistent and correct data flow from source systems.
* Collaborate with cross\-functional teams to uphold data quality standards and ensure accurate data is available for use.
* Utilize Palantir Foundry to establish data connections to source applications, extract and load data, and design complex logical data models that meet functional and technical specifications.
* Develop and manage data cleansing, consolidation, and integration mechanisms to support big data analytics at scale.
* Build visualizations using Palantir Foundry tools and assist business users with testing, troubleshooting, and documentation creation, including data maintenance guides.
 **Qualifications:**
* Bachelor’s Degree and minimum 2 years of prior relevant experience. Graduate Degree and a minimum of 0 to 2 years of prior related experience. In lieu of a degree, minimum of 6 years of prior related experience.
* 2\+ years experience with designing and developing data pipelines in PySpark, Spark SQL, SQL or Code Build.
* 2\+ years experience in building and deploying data synchronization schedules and maintaining data pipelines using Palantir Foundry.
* 2\+ years of experience with Data Pipeline development or ETL tools such as Palantir Foundry, Azure Data Factory, SSIS, or Python.
* 2\+ years of experience in Data Integration.
 **Preferred Additional Skills:**
* Strong understanding of Business Intelligence (BI) and Data Warehouse (DW) development methodologies.
* Hands\-on experience with the Snowflake Cloud Data Platform, including data architecture, query optimization, and performance tuning.
* Proficiency in Python, PySpark, Pandas, Databricks, JavaScript, or other scripting languages for data processing and automation.
* Experience with other ETL tools such as Azure Data Factory (ADF), SSIS, Informatica, or Talend is highly desirable.
* Familiarity with connecting and extracting data from various ERP applications, including Oracle EBS, SAP ECC/S4, Deltek Costpoint, and more.
* Experience with AI tools such as OpenAI, Palantir AIP, Snowflake Cortex or similar.
In compliance with pay transparency requirements, the salary range for this role in California, Massachusetts, New Jersey, Washington, and the Greater D.C, Denver, or NYC areas is $79,000\-$146,500\. The salary range for this role in Colorado state, Hawaii, Illinois, Maryland, Minnesota, New York state, and Vermont is $69,000\-$128,000\.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\#LI\-NR1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12">
      <c r="A12" t="inlineStr">
        <is>
          <t>in-73dbfcea384e09c1</t>
        </is>
      </c>
      <c r="B12" t="inlineStr">
        <is>
          <t>Specialist - Data Engineering</t>
        </is>
      </c>
      <c r="C12" t="inlineStr">
        <is>
          <t>LTIMindtree</t>
        </is>
      </c>
      <c r="D12" t="inlineStr">
        <is>
          <t>indeed</t>
        </is>
      </c>
      <c r="E12" t="inlineStr"/>
      <c r="F12" t="inlineStr"/>
      <c r="G12" t="inlineStr">
        <is>
          <t>Tampa, FL, US</t>
        </is>
      </c>
      <c r="H12" s="1" t="n">
        <v>46069</v>
      </c>
      <c r="I12" t="inlineStr">
        <is>
          <t>**Role description** **Job Title : Specialist data engineering**
**Work Location** **: Tampa, Florida**
**Job Description:**
About the Role We are seeking a highly skilled and experienced Data Engineer to join our growing data team This role will be instrumental in designing building optimizing and maintaining our robust data infrastructure and pipelines Candidate will work with cuttingedge big data technologies to ingest process store and transform large datasets enabling advanced analytics and machine learning initiatives across the organization The ideal candidate will have a deep understanding of data warehousing ETLELT processes and a passion for building scalable and reliable data solutions
**Key Responsibilities**
* Design develop and maintain scalable and efficient data pipelines using Apache SparkJava Spark pySpark and Apache Flink for realtime and batch processing of large datasets
* Implement and manage data storage solutions leveraging Hadoop Distributed File System HDFS and data lake table formats like Apache Iceberg
* Build and optimize data models and schema definitions for various data sources and targets ensuring data quality consistency and accessibility
* Work with stakeholders to understand data requirements translate them into technical specifications and deliver robust data solutions
* Monitor troubleshoot and optimize existing data pipelines and infrastructure for performance reliability and costefficiency
* Develop and implement data governance security and compliance best practices within the data ecosystem
* Collaborate with data scientists analysts and other engineering teams to support their data needs and integrate new data sources
* Evaluate and recommend new technologies and methodologies to enhance our data platform capabilities
* Ensure proper documentation of data architectures pipelines and processes
**Required Skills Experience**
* Bachelors or Masters degree in Computer Science Engineering or a related quantitative field
* Proven experience as a Data Engineer or in a similar role building and optimizing big data data pipelines architectures and data sets
* Strong proficiency in programming languages such as Python with extensive pySpark experience Java or Scala
* Expertise in Apache Spark for data processing including Spark SQL DataFrames and RDDs
* Handson experience with Apache Hadoop ecosystem components particularly HDFS
* Experience with realtime stream processing using Apache Flink
* Familiarity with data lake table formats specifically Apache Iceberg for managing large evolving datasets
* Experience with relational SQL and NoSQL databases
* Solid understanding of ETLELT processes data warehousing concepts and data modeling techniques
* Good to have experience with cloud platforms eg AWS Azure GCP and their data services
* Excellent problemsolving analytical and communication skills
**Skills** **Mandatory Skills :** Apache Spark, Java, SparkSQL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$90,032\.00 to $134,200\.00 per year  
**About LTM**  
LTM is an AI\-centric global technology services company and the Business Creativity partner to the world’s largest and most disruptive enterprises. We bring human insights and intelligent systems together to help clients create greater value at the intersection of technology and domain expertise. Our capabilities span integrated operations, transformation, and business AI — enabling new ways of working, new productivity paradigms, and new roads to value. Together with over 87,000 employees across 40 countries and our global network of partners, LTM — a Larsen \&amp; Toubro company — owns business outcomes for our clients, helping them not just outperform the market, but to Outcreate it. Please also note that neither LTM nor any of its authorized recruitment agencies/partners charge any candidate registration fee or any other fees from talent (candidates) towards appearing for an interview or securing employment/internship. Candidates shall be solely responsible for verifying the credentials of any agency/consultant that claims to be working with LTM for recruitment. Please note that anyone who relies on the representations made by fraudulent employment agencies does so at their own risk, and LTM disclaims any liability in case of loss or damage suffered as a consequence of the same. Recruitment Fraud Alert \- https://www.ltimindtree.com/recruitment\-fraud\-alert/</t>
        </is>
      </c>
    </row>
    <row r="13">
      <c r="A13" t="inlineStr">
        <is>
          <t>in-d0cd83b454188731</t>
        </is>
      </c>
      <c r="B13" t="inlineStr">
        <is>
          <t>Data Engineer, Denied Party Screening, AWS Compliance &amp; Security Assurance</t>
        </is>
      </c>
      <c r="C13" t="inlineStr">
        <is>
          <t>Amazon.com</t>
        </is>
      </c>
      <c r="D13" t="inlineStr">
        <is>
          <t>indeed</t>
        </is>
      </c>
      <c r="E13" t="inlineStr"/>
      <c r="F13" t="inlineStr"/>
      <c r="G13" t="inlineStr">
        <is>
          <t>Dallas, TX, US</t>
        </is>
      </c>
      <c r="H13" s="1" t="n">
        <v>46029</v>
      </c>
      <c r="I13"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4">
      <c r="A14" t="inlineStr">
        <is>
          <t>in-a88e4a5cf08949ce</t>
        </is>
      </c>
      <c r="B14" t="inlineStr">
        <is>
          <t>Data Engineer, Denied Party Screening, AWS Compliance &amp; Security Assurance</t>
        </is>
      </c>
      <c r="C14" t="inlineStr">
        <is>
          <t>Amazon.com</t>
        </is>
      </c>
      <c r="D14" t="inlineStr">
        <is>
          <t>indeed</t>
        </is>
      </c>
      <c r="E14" t="inlineStr"/>
      <c r="F14" t="inlineStr"/>
      <c r="G14" t="inlineStr">
        <is>
          <t>Seattle, WA, US</t>
        </is>
      </c>
      <c r="H14" s="1" t="n">
        <v>46029</v>
      </c>
      <c r="I14"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15">
      <c r="A15" t="inlineStr">
        <is>
          <t>in-8230cb200a6f8241</t>
        </is>
      </c>
      <c r="B15" t="inlineStr">
        <is>
          <t>Data Engineer</t>
        </is>
      </c>
      <c r="C15" t="inlineStr">
        <is>
          <t>Amazon.com</t>
        </is>
      </c>
      <c r="D15" t="inlineStr">
        <is>
          <t>indeed</t>
        </is>
      </c>
      <c r="E15" t="inlineStr"/>
      <c r="F15" t="inlineStr"/>
      <c r="G15" t="inlineStr">
        <is>
          <t>San Francisco, CA, US</t>
        </is>
      </c>
      <c r="H15" s="1" t="n">
        <v>46001</v>
      </c>
      <c r="I1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16">
      <c r="A16" t="inlineStr">
        <is>
          <t>in-f251e86eeadc1947</t>
        </is>
      </c>
      <c r="B16" t="inlineStr">
        <is>
          <t>Data Engineer</t>
        </is>
      </c>
      <c r="C16" t="inlineStr">
        <is>
          <t>Amazon.com</t>
        </is>
      </c>
      <c r="D16" t="inlineStr">
        <is>
          <t>indeed</t>
        </is>
      </c>
      <c r="E16" t="inlineStr"/>
      <c r="F16" t="inlineStr"/>
      <c r="G16" t="inlineStr">
        <is>
          <t>Seattle, WA, US</t>
        </is>
      </c>
      <c r="H16" s="1" t="n">
        <v>46001</v>
      </c>
      <c r="I1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17">
      <c r="A17" t="inlineStr">
        <is>
          <t>in-d4c3d411ec6e5161</t>
        </is>
      </c>
      <c r="B17" t="inlineStr">
        <is>
          <t>Mechanical Data Engineer- (Mechanical Data Exp Required)</t>
        </is>
      </c>
      <c r="C17" t="inlineStr"/>
      <c r="D17" t="inlineStr">
        <is>
          <t>indeed</t>
        </is>
      </c>
      <c r="E17">
        <f>HYPERLINK("https://www.indeed.com/viewjob?jk=d4c3d411ec6e5161", "https://www.indeed.com/viewjob?jk=d4c3d411ec6e5161")</f>
        <v/>
      </c>
      <c r="F17">
        <f>HYPERLINK("https://jobs.lever.co/foundation-llm-technologies/89ad488e-4123-4675-92ea-242e64087357?lever-source=Indeed", "https://jobs.lever.co/foundation-llm-technologies/89ad488e-4123-4675-92ea-242e64087357?lever-source=Indeed")</f>
        <v/>
      </c>
      <c r="G17" t="inlineStr">
        <is>
          <t>Boston, MA, US</t>
        </is>
      </c>
      <c r="H17" s="2" t="n">
        <v>46069</v>
      </c>
      <c r="I17" t="inlineStr">
        <is>
          <t>We are an MIT\-born, venture\-backed Silicon Valley startup building Engineering General Intelligence (EGI)—an AI Copilot for design and manufacturing. Our mission is to fundamentally reinvent how physical products are designed and built, dramatically accelerating the pace of product development.  
As an Individual Contributor on the Data Studio team, you will play a key role in transforming raw customer data into structured, high\-fidelity datasets that power model training, evaluation, and customer delivery. This role is deeply hands\-on and sits at the intersection of product, research, and engineering. You will apply your mechanical engineering and manufacturing expertise to create data pipelines, labeling workflows, reference models, and quality checks that ensure the accuracy and reliability of our AI systems. Mechanical engineering or manufacturing design experience is essential; candidates without this background will not be considered.
### **Key Responsibilities**
* **1\. Data Creation, Processing \&amp; Quality**
* Ingest, clean, transform, and structure customer and internally generated engineering data for AI training and inference.
* Design and build high\-quality mechanical components and assemblies in CAD to serve as authoritative ground truth for evaluating and training AI systems.
* Produce labeled datasets, reference designs, annotations, exploded views, sequences, and other engineering artifacts that encode real\-world reasoning.
* Apply engineering judgment to define and assess output quality across datasets.
* Continuously refine standards for metadata, annotation, and model quality, maintaining a living “definition of quality” for ME datasets.
* **2\. Workflow \&amp; Tooling Contributions**
* Collaborate with Product Managers to shape tooling used for annotation, data correction, model\-output review, and pipeline automation.
* Provide detailed feedback on tool usability, workflow efficiency, and automation opportunities.
* Help develop scalable, repeatable data processes that improve throughput and data consistency.
* **3\. Cross\-Functional Collaboration**
* Partner closely with engineering and research teams to understand model data requirements, failure modes, and areas needing new data.
* Influence model behavior by supplying representative engineering examples and ground\-truth mechanical designs.
* Partner with customer\-facing teams to translate domain requirements, industry standards, and customer data schemas into actionable dataset specifications.
* Serve as a subject matter expert on mechanical engineering formats, CAD standards, manufacturing practices, and design artifacts.
* **4\. Domain Expertise \&amp; Reference Content Creation**
* Generate technical documentation, exploded views, sequences, and annotations that encode engineering reasoning into training data.
* Ensure that datasets reflect real\-world constraints, DFM (Design for Manufacturing) considerations, material behavior, and industry best practices.
* Embed engineering reasoning into training data so that AI systems learn not just geometry or text, but engineering intent.
* **5\. Customer \&amp; Project Support**
* Work with customers to understand their data sources, schemas, formats, and quality expectations.
* Guide customers in preparing high\-quality datasets, defining structured schemas, and improving data pipelines.
* Support delivery timelines by communicating progress clearly and surfacing risks or issues early.
* Review and work with external contractors, ensuring high\-quality output and adherence to SOPs.
### **Required Qualifications**
* Strong domain expertise in mechanical engineering, manufacturing design, or industrial workflows.
* Hands\-on experience with CAD tools such as SolidWorks, CATIA, Siemens NX, or Creo.
* Familiarity with annotation tools and illustration software (e.g., Creo Illustrate, Adobe Illustrator, Arbortext).
* Ability to interpret complex mechanical assemblies, technical drawings, GD\&amp;T, and engineering documentation.
* Experience creating artifacts like exploded views, work\-step sequences, repair manuals, or manufacturing instructions.
* Strong problem\-solving skills and the ability to translate domain workflows into structured data requirements.
* Excellent communication and cross\-functional collaboration skills.
### **Preferred Qualifications**
* Experience with data operations, labeling workflows, ML data pipelines, or AI/ML data lifecycle (collection \-\&gt; labeling \-\&gt; QA \-\&gt; training \-\&gt; evaluation \-\&gt; deployment).
* Experience in fast\-paced startup or high\-growth environments.
* Comfort with customer\-facing discovery or solutioning.
### **What Success Looks Like**
* Deliver high\-quality datasets that measurably improve model performance.
* Drive standardization and reliability across ME datasets, CAD models, workflows, metadata, and annotations.
* Enable faster model training, evaluation, and deployment through strong cross\-functional collaboration.
* Maintain clear documentation, repeatable processes, and continuous quality improvement.
* Be recognized as a trusted ME expert in data quality and domain insight.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
      <c r="A18" t="inlineStr">
        <is>
          <t>in-5bdfe6d6af908c20</t>
        </is>
      </c>
      <c r="B18" t="inlineStr">
        <is>
          <t>Mechanical Data Engineer- (Mechanical Data Exp Required)</t>
        </is>
      </c>
      <c r="C18" t="inlineStr"/>
      <c r="D18" t="inlineStr">
        <is>
          <t>indeed</t>
        </is>
      </c>
      <c r="E18">
        <f>HYPERLINK("https://www.indeed.com/viewjob?jk=5bdfe6d6af908c20", "https://www.indeed.com/viewjob?jk=5bdfe6d6af908c20")</f>
        <v/>
      </c>
      <c r="F18">
        <f>HYPERLINK("https://jobs.lever.co/foundation-llm-technologies/89ad488e-4123-4675-92ea-242e64087357?lever-source=Indeed", "https://jobs.lever.co/foundation-llm-technologies/89ad488e-4123-4675-92ea-242e64087357?lever-source=Indeed")</f>
        <v/>
      </c>
      <c r="G18" t="inlineStr">
        <is>
          <t>Remote, US</t>
        </is>
      </c>
      <c r="H18" s="2" t="n">
        <v>46069</v>
      </c>
      <c r="I18" t="inlineStr">
        <is>
          <t>We are an MIT\-born, venture\-backed Silicon Valley startup building Engineering General Intelligence (EGI)—an AI Copilot for design and manufacturing. Our mission is to fundamentally reinvent how physical products are designed and built, dramatically accelerating the pace of product development.  
As an Individual Contributor on the Data Studio team, you will play a key role in transforming raw customer data into structured, high\-fidelity datasets that power model training, evaluation, and customer delivery. This role is deeply hands\-on and sits at the intersection of product, research, and engineering. You will apply your mechanical engineering and manufacturing expertise to create data pipelines, labeling workflows, reference models, and quality checks that ensure the accuracy and reliability of our AI systems. Mechanical engineering or manufacturing design experience is essential; candidates without this background will not be considered.
### **Key Responsibilities**
* **1\. Data Creation, Processing \&amp; Quality**
* Ingest, clean, transform, and structure customer and internally generated engineering data for AI training and inference.
* Design and build high\-quality mechanical components and assemblies in CAD to serve as authoritative ground truth for evaluating and training AI systems.
* Produce labeled datasets, reference designs, annotations, exploded views, sequences, and other engineering artifacts that encode real\-world reasoning.
* Apply engineering judgment to define and assess output quality across datasets.
* Continuously refine standards for metadata, annotation, and model quality, maintaining a living “definition of quality” for ME datasets.
* **2\. Workflow \&amp; Tooling Contributions**
* Collaborate with Product Managers to shape tooling used for annotation, data correction, model\-output review, and pipeline automation.
* Provide detailed feedback on tool usability, workflow efficiency, and automation opportunities.
* Help develop scalable, repeatable data processes that improve throughput and data consistency.
* **3\. Cross\-Functional Collaboration**
* Partner closely with engineering and research teams to understand model data requirements, failure modes, and areas needing new data.
* Influence model behavior by supplying representative engineering examples and ground\-truth mechanical designs.
* Partner with customer\-facing teams to translate domain requirements, industry standards, and customer data schemas into actionable dataset specifications.
* Serve as a subject matter expert on mechanical engineering formats, CAD standards, manufacturing practices, and design artifacts.
* **4\. Domain Expertise \&amp; Reference Content Creation**
* Generate technical documentation, exploded views, sequences, and annotations that encode engineering reasoning into training data.
* Ensure that datasets reflect real\-world constraints, DFM (Design for Manufacturing) considerations, material behavior, and industry best practices.
* Embed engineering reasoning into training data so that AI systems learn not just geometry or text, but engineering intent.
* **5\. Customer \&amp; Project Support**
* Work with customers to understand their data sources, schemas, formats, and quality expectations.
* Guide customers in preparing high\-quality datasets, defining structured schemas, and improving data pipelines.
* Support delivery timelines by communicating progress clearly and surfacing risks or issues early.
* Review and work with external contractors, ensuring high\-quality output and adherence to SOPs.
### **Required Qualifications**
* Strong domain expertise in mechanical engineering, manufacturing design, or industrial workflows.
* Hands\-on experience with CAD tools such as SolidWorks, CATIA, Siemens NX, or Creo.
* Familiarity with annotation tools and illustration software (e.g., Creo Illustrate, Adobe Illustrator, Arbortext).
* Ability to interpret complex mechanical assemblies, technical drawings, GD\&amp;T, and engineering documentation.
* Experience creating artifacts like exploded views, work\-step sequences, repair manuals, or manufacturing instructions.
* Strong problem\-solving skills and the ability to translate domain workflows into structured data requirements.
* Excellent communication and cross\-functional collaboration skills.
### **Preferred Qualifications**
* Experience with data operations, labeling workflows, ML data pipelines, or AI/ML data lifecycle (collection \-\&gt; labeling \-\&gt; QA \-\&gt; training \-\&gt; evaluation \-\&gt; deployment).
* Experience in fast\-paced startup or high\-growth environments.
* Comfort with customer\-facing discovery or solutioning.
### **What Success Looks Like**
* Deliver high\-quality datasets that measurably improve model performance.
* Drive standardization and reliability across ME datasets, CAD models, workflows, metadata, and annotations.
* Enable faster model training, evaluation, and deployment through strong cross\-functional collaboration.
* Maintain clear documentation, repeatable processes, and continuous quality improvement.
* Be recognized as a trusted ME expert in data quality and domain insight.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9">
      <c r="A19" t="inlineStr">
        <is>
          <t>in-142f666bdf14a300</t>
        </is>
      </c>
      <c r="B19" t="inlineStr">
        <is>
          <t>Senior Data Engineer</t>
        </is>
      </c>
      <c r="C19" t="inlineStr">
        <is>
          <t>SOSi</t>
        </is>
      </c>
      <c r="D19" t="inlineStr">
        <is>
          <t>indeed</t>
        </is>
      </c>
      <c r="E19">
        <f>HYPERLINK("https://www.indeed.com/viewjob?jk=142f666bdf14a300", "https://www.indeed.com/viewjob?jk=142f666bdf14a300")</f>
        <v/>
      </c>
      <c r="F19">
        <f>HYPERLINK("https://jobs.smartrecruiters.com/SOSi1/3743990011714160-senior-data-engineer", "https://jobs.smartrecruiters.com/SOSi1/3743990011714160-senior-data-engineer")</f>
        <v/>
      </c>
      <c r="G19" t="inlineStr">
        <is>
          <t>Chantilly, VA, US</t>
        </is>
      </c>
      <c r="H19" s="2" t="n">
        <v>46070</v>
      </c>
      <c r="I19" t="inlineStr">
        <is>
          <t>**Company Description**  
Founded in 1989, SOSi is among the largest private, founder\-owned technology and services integrators in the defense and government services industry. We deliver tailored solutions, tested leadership, and trusted results to enable national security missions worldwide.
 **Job Description**  
SOSi is seeking a highly skilled Senior Data Engineer to support a US government customer in Chantilly, VA.
This role, requires working with a team of developers, data scientists, SMEs, and cyber analysts to design, develop, build, and analyze data management systems. The data engineer will work with and analyze our client’s challenges and provide solutions by designing and implementing batch and streaming data pipelines.
**Essential Job Duties**
* Develop and perform ETL on large unstructured datasets.
* Building and maintaining CI/CD pipelines for data and platform services.
**Qualifications** **Minimum Requirements**
* Active in\-scope TS/SCI clearance with poly. This security clearance requires U.S. citizenship. Candidates will not be nominated for new clearances.
* 5\-7 years of experience as a Data Engineer (or equivalent), with a STEM degree (field such as computer science, statistics, data analytics, computer engineering, mathematics, etc.).
* Experience with services including Apache Kafka, Apache Spark, and Prefect
* Experience containerizing applications using Docker and deployments on Kubernetes
* ﻿﻿Familiarity with Linux\-based systems
* Solid understanding of DevOps principles (automation, monitoring, reliability)
**Preferred Qualifications**
* Experience in the US Intelligence Community.
**Additional Information** **Work Environment**
* Office setting with a combination of desk work and meetings.
**Working at SOSi**
All interested individuals will receive consideration and will not be discriminated against for any reason.</t>
        </is>
      </c>
    </row>
    <row r="20">
      <c r="A20" t="inlineStr">
        <is>
          <t>in-ff21b81cc9a70f3d</t>
        </is>
      </c>
      <c r="B20" t="inlineStr">
        <is>
          <t>SENIOR SALESFORCE ANALYTICS ENGINEER</t>
        </is>
      </c>
      <c r="C20" t="inlineStr">
        <is>
          <t>Brightgrove</t>
        </is>
      </c>
      <c r="D20" t="inlineStr">
        <is>
          <t>indeed</t>
        </is>
      </c>
      <c r="E20">
        <f>HYPERLINK("https://www.indeed.com/viewjob?jk=ff21b81cc9a70f3d", "https://www.indeed.com/viewjob?jk=ff21b81cc9a70f3d")</f>
        <v/>
      </c>
      <c r="F20">
        <f>HYPERLINK("https://careers.brightgrove.com/vacancies/senior-salesforce-analytics-engineer-18665962", "https://careers.brightgrove.com/vacancies/senior-salesforce-analytics-engineer-18665962")</f>
        <v/>
      </c>
      <c r="G20" t="inlineStr">
        <is>
          <t>Remote, US</t>
        </is>
      </c>
      <c r="H20" s="2" t="n">
        <v>46069</v>
      </c>
      <c r="I20" t="inlineStr">
        <is>
          <t>*ABOUT THE CLIENT*
Founded in 2013, our client is a hugely popular, cutting\-edge online streaming television company from California. This free broadcasting service provides millions of viewers with more than 100 exclusive live and original channels that users won’t find on local TV. The content is full of TV shows of all kinds, premium news, on\-demand movies, cartoons, viral videos, sports, lifestyle and trending digital series. In a nutshell, there is literally everything you’d like to see on your screen – hand\-picked by people who know and love the entertainment industry.
More so, they offer a free app that runs seamlessly on multiple mobile, web and various connected TV streaming devices. Well\-known online giants The Verge, Venture Beat, and Vibe declared our customer as ‘awesome’. So, we can say for sure that our client is redefining the future of television.
*PROJECT DETAILS*
Our client is led by a seasoned team of entrepreneurs, TV and technology executives, and top\-of\-class team members. $43M\+ funding with investors like US Venture Partners, Sky, Chicago Ventures, Universal Music Group, United Talent Agency and Pritzker Group. Top app with millions of users across platforms like web, iOS, Android, Roku, Apple TV, Amazon Fire TV, Android TV, Vizio, Samsung, and more.
One of the hottest startups in Los Angeles and one of the leading video platforms in the industry \-often covered in NY Times, Forbes, Techcrunch, Variety, USA Today, CNN, Mashable and more!
High energy culture. Passionate entrepreneurial team. Massive market. Employing the best of the best in the industry. We’re building the future of television.
*YOUR TEAM*
\#We are on a mission to unleash the power of content… you in?
We’ve got the brands, we’ve got the stars, we’ve got the power to achieve our mission to entertain the planet – now all we’re missing is… YOU! Joining a team of passionate people who not only recognize the power of content but also enjoy a touch of fun and uniqueness. Together, we co\-create moments that matter – both for our audiences and our employees – and aim to leave a positive mark on culture.
We are looking for someone open to **a hybrid setup (3 days/week) from the São Paulo, Brazil office.**
*WHAT'S IN IT FOR YOU*
* Interview process that respects people and their time
* Professional and open IT community
* Internal meet\-ups and resources for knowledge sharing
* Time for recovery and relaxation
* Bright online and offline events
* Opportunity to become part of our internal volunteer community
*RESPONSIBILITIES*
This hybrid role combines advanced Salesforce development expertise with deep analytics capabilities to deliver end\-to\-end solutions for sales operations. The individual will design, build, and optimize Salesforce applications while leveraging CRM Analytics (Tableau CRM) to provide actionable insights for data\-driven decision\-making.  
Key Responsibilities
**Custom Development \&amp; Configuration**  
o Build and maintain custom applications, triggers, classes, and components using Apex, Flows, Visualforce, and Lightning Web Components.  
o Configure and customize Sales Cloud features, including lead and opportunity management, forecasting, and reporting.  
o Design and implement complex data models and relationships.  
o Manage profiles, roles, and permission sets to ensure security and compliance.  
o Create advanced flows and automate business processes without code.
**Analytics \&amp; Insights**  
o Design and develop interactive dashboards and visualizations using Salesforce CRM Analytics (Tableau CRM).  
o Create predictive models and define KPIs to monitor business performance.  
o Translate business requirements into scalable analytics solutions.  
o Integrate Salesforce data with external sources and manage ETL processes.  
o Ensure data integrity, security, and compliance within analytics environments.
**Collaboration \&amp; Documentation**  
o Work closely with stakeholders to gather functional requirements and translate them into technical specifications.  
o Produce technical documentation and maintain best practices.  
o Collaborate in Agile development environments.
*SKILLS*
Required Skill Set
* Expertise in Salesforce CRM Analytics (Tableau CRM), including dataflows, recipes, and SAQL.
* Deep understanding of Salesforce architecture and API frameworks.
* Strong programming skills (Apex, JavaScript, SOQL/SOSL).
* Proficiency in ETL processes and external data integration.
* Knowledge of dynamic forms, Lightning App Builder, validation rules, approval processes, and custom objects.
* Experience with CI/CD pipelines, version control, and DevOps tools.
* Familiarity with Agile methodology.
* Strong analytical, problem\-solving, and communication skills.
Preferred Certifications
* Salesforce CRM Analytics Specialist
* Salesforce Platform Developer I
* Salesforce Platform Developer II (a plus)
* Copado Administrator (a plus)
* Own Backup Administrator (a plus)
Your personal recruiter
###### **Viktoriia Dorosh**</t>
        </is>
      </c>
    </row>
    <row r="21">
      <c r="A21" t="inlineStr">
        <is>
          <t>in-3dcdb44dce5347f2</t>
        </is>
      </c>
      <c r="B21" t="inlineStr">
        <is>
          <t>Data engineer</t>
        </is>
      </c>
      <c r="C21" t="inlineStr">
        <is>
          <t>Stacklogy</t>
        </is>
      </c>
      <c r="D21" t="inlineStr">
        <is>
          <t>indeed</t>
        </is>
      </c>
      <c r="E21">
        <f>HYPERLINK("https://www.indeed.com/viewjob?jk=3dcdb44dce5347f2", "https://www.indeed.com/viewjob?jk=3dcdb44dce5347f2")</f>
        <v/>
      </c>
      <c r="F21">
        <f>HYPERLINK("https://stacklogy.com/career/", "https://stacklogy.com/career/")</f>
        <v/>
      </c>
      <c r="G21" t="inlineStr">
        <is>
          <t>US</t>
        </is>
      </c>
      <c r="H21" s="2" t="n">
        <v>46069</v>
      </c>
      <c r="I21" t="inlineStr">
        <is>
          <t>**Qualification:**  
Master's Degree in Statistical Analytics, Data Science, or Bachelor's Degree in computer science engineering will be considered with at least three \- five years of applicable work experience
**Preferred Proficiency:**  
* Web development experience (AngularJS, D3\).
* Experience in a statistical programming language like R or Python; applied machine learning techniques including dimensionality reduction strategies, supervised/unsupervised classification and natural language processing frameworks.
* Experience in at least one data visualization tools (e.g. Tableau, QlikView) and data warehousing tools (e.g. Informatica) is preferred
**Huge Advantage:**  
* Building and scaling Machine Learning frameworks
* Hadoop (Hive, Spark, UDF's)
**Definite Plus:**  
* Web development experience (AngularJS, D3\).
**Experience:**  
* 5\+ years of relevant experience in one of the following areas: Data engineering, database engineering, business intelligence or business analytics.
* 5\+ years of hands\-on experience in writing complex, highly\-optimized SQL queries across large data sets.
* 2\+ years of experience in scripting languages like Python etc.
If you qualify for this position, please send your resume at hr@stacklogy.com Please bookmark this page to know more about job openings at Stacklogy.</t>
        </is>
      </c>
    </row>
    <row r="22">
      <c r="A22" t="inlineStr">
        <is>
          <t>in-8f8a08110054d197</t>
        </is>
      </c>
      <c r="B22" t="inlineStr">
        <is>
          <t>Data Engineer</t>
        </is>
      </c>
      <c r="C22" t="inlineStr">
        <is>
          <t>Sumitomo Group</t>
        </is>
      </c>
      <c r="D22" t="inlineStr">
        <is>
          <t>indeed</t>
        </is>
      </c>
      <c r="E22">
        <f>HYPERLINK("https://www.indeed.com/viewjob?jk=8f8a08110054d197", "https://www.indeed.com/viewjob?jk=8f8a08110054d197")</f>
        <v/>
      </c>
      <c r="F22">
        <f>HYPERLINK("https://careers.smbcgroup.com/smbc/job/Charlotte-Data-Engineer-NC-28202/1365532800/?feedId=392100&amp;utm_source=Indeed&amp;utm_campaign=SMBC_Indeed", "https://careers.smbcgroup.com/smbc/job/Charlotte-Data-Engineer-NC-28202/1365532800/?feedId=392100&amp;utm_source=Indeed&amp;utm_campaign=SMBC_Indeed")</f>
        <v/>
      </c>
      <c r="G22" t="inlineStr">
        <is>
          <t>Charlotte, NC, US</t>
        </is>
      </c>
      <c r="H22" s="2" t="n">
        <v>46069</v>
      </c>
      <c r="I22"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**SUMMARY**
-----------
The Azure Cloud Engineer strategizes, designs, develops and work with a team of dynamic and passionate data engineers to deliver automated cloud infrastructure and DevOps solutions. The incumbent will play a key role in supporting the growth and scale of our Azure cloud\-based technology infrastructure. This role is also responsible for complex interface process development, troubleshooting issues, supporting weekend maintenance and production support
**PRIMARY RESPONSIBILITIES**
----------------------------
The job responsibilities are described herein:
* Develop notebooks using Python, SQL, R language in Databricks
* Databricks Cluster configuration, repository configuration.
* Experience with AI development
* Seamless integration with On\-prem and cloud databases and Power BI reports
* Build large\-scale batch and real\-time data pipelines with data processing frameworks in Azure cloud platform.
* Partner with architects, engineers, information analysts, business, and technology stakeholders for developing and deploying platforms that enable data\- driven solutions.
* Provide technical guidance on technology implementation and architectural changes.
* Sr. Azure Cloud Engineer coordinating with platform, APIM, Azure DevOps, and Support.
* Analyze and design technical solutions on Azure to address business needs.
* Develop, test, and modify software to improve efficiency of data platforms and applications.
* Ability to own projects from end to end, working with business stakeholders, IT teams, data stewards, and 3rd party companies to ensure accurate outcomes.
* Integrating data from a variety of sources, assuring that they adhere to data quality and accessibility standards.
* Enable streaming data use\-cases and standard design patterns in a big data environment.
* Collaborating with data scientists to integrate algorithms and models into automated processes.
* Review and provide feedback on core code changes and support production deployment.
Core Technologies  
Azure databricks, Azure Data Factory, Azure Functions, Azure Data Lake storage, Azure Event Grid, Azure Log Analytics, Azure Monitor, Azure Service Bus, R, Python, SQL Server, Oracle / PL\-SQL, T\-SQL and SQL stored procedures, Azure DevOps
**QUALIFICATIONS**
------------------
* IT professional experience in Azure Cloud with over 5\+ years of Azure Development
* Ability to recreate existing legacy application logic and functionality into Azure Databricks/Data Lake, SQL Database and SQL Datawarehouse environment.
* Excellent interpersonal and communication skills
* Experience with software configuration management tools such as Git/Gitlab
* Experience with continuous integration and deployment (CI/CD) tools such as Azure DevOps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23">
      <c r="A23" t="inlineStr">
        <is>
          <t>in-187733578c72241b</t>
        </is>
      </c>
      <c r="B23" t="inlineStr">
        <is>
          <t>Senior Analytics Engineer</t>
        </is>
      </c>
      <c r="C23" t="inlineStr">
        <is>
          <t>Bandwidth</t>
        </is>
      </c>
      <c r="D23" t="inlineStr">
        <is>
          <t>indeed</t>
        </is>
      </c>
      <c r="E23">
        <f>HYPERLINK("https://www.indeed.com/viewjob?jk=187733578c72241b", "https://www.indeed.com/viewjob?jk=187733578c72241b")</f>
        <v/>
      </c>
      <c r="F23">
        <f>HYPERLINK("https://grnh.se/9u1ou5gl1us", "https://grnh.se/9u1ou5gl1us")</f>
        <v/>
      </c>
      <c r="G23" t="inlineStr">
        <is>
          <t>Raleigh, NC, US</t>
        </is>
      </c>
      <c r="H23" s="2" t="n">
        <v>46069</v>
      </c>
      <c r="I23" t="inlineStr">
        <is>
          <t>**Who We Are:**
**Bandwidth**, a prior "Best of EC" award winner, is a global software company that helps enterprises deliver exceptional experiences through voice, messaging, and emergency services. Reaching 65\+ countries and over 90 percent of the global economy, we're the only provider offering an owned communications cloud that delivers advanced automation, AI integrations, global reach, and premium human support. Bandwidth is trusted for mission\-critical communications by the Global 2000, hyperscalers, and SaaS builders!
At Bandwidth, your music matters when you are part of the BAND. We celebrate differences and encourage BANDmates to be their authentic selves. \#jointheband
**What We Are Looking For:**
We are seeking a **Senior** **Analytics Engineer** to serve as a senior technical authority for the analytics data layer, driving scalable modeling patterns, governance, and performance across multiple domains. In this role, you will architect core datasets and semantic foundations, lead complex cross\-functional initiatives, mentor engineers and analysts, and establish engineering and governance patterns for AI agent building and lifecycle management. You will also provide analytics\-facing leadership for Sigma Administration and Snowflake Administration consistent with senior expectations.
**What You'll Do:**
* Architect the analytics layer: Design enterprise\-grade dimensional models, conformed dimensions, and shared marts enabling consistent reporting across domains.
* Establish standards and governance: Define/enforce modeling conventions, metric definitions, documentation requirements, and data contracts.
* Lead complex initiatives: Drive cross\-team builds/rebuilds and migrations end\-to\-end with clear impact analysis, sequencing, risk management, and stakeholder alignment.
* Lead semantic modeling: Define semantic modeling strategy and patterns (entities, relationships, governed metrics) for BI and agent consumers.
* Lead agent enablement patterns: Establish data structures and governance to support AI agents (grounding/citations\-ready provenance, versioned prompts/config where applicable, evaluation datasets, exception queues).
* Implement observability patterns: Establish monitoring/alerting strategy (freshness/volume/quality) and basic anomaly detection guardrails; mature incident response playbooks.
* Ensure platform excellence: Create performance and cost guardrails for Snowflake; standardize efficient patterns in dbt and SQL; prevent regressions.
* Lead Snowflake Administration (analytics\-facing): Own analytics\-oriented administration patterns including RBAC conventions for consumption, access workflows, operational guardrails, and cost governance (production administration expectation).
* Operationalize AI/analytics workflows: Define and standardize n8n automation patterns for approvals, escalations, exception queues, and system\-to\-system integrations supporting analytics and agent workflows.
* Represent analytics engineering in architecture reviews and governance councils.
* Participate in tool/vendor evaluations and implementation planning within approved stack and capability categories.
**What You Need:**
* Bachelor's degree required; Master's preferred (or equivalent senior\-level experience).
* 5–8\+ years relevant experience in analytics engineering, analytics\-focused data engineering, or BI platform engineering.
* Expert SQL and deep experience with dimensional modeling and enterprise metric consistency.
* Significant dbt experience including project architecture, macros, test strategy, templates, and deployments; deep understanding of analytics\-engineering workflows (dbt, governance, testing).
* Demonstrated leadership in driving technical initiatives and mentoring other engineers.
* In\-depth knowledge of generative AI / LLM concepts and enterprise application patterns (agent enablement, governance).
* Working leadership knowledge of production Snowflake administration (analytics\-facing).
**Bonus Points:**
**Education:**
* Bachelor's degree in Computer Science, Information Technology, or a related field, or equivalent experience.
**Experience:**
* Strong Python proficiency for automation, validation frameworks, and data tooling.
* Experience implementing semantic/metric layer tooling (category) at scale.
* Familiarity with data cataloging/lineage tooling (category).
* Experience coordinating orchestration patterns with tools such as Prefect.
* Demonstrated success implementing integration frameworks using tools such as n8n (and similar platforms).
* Technical vision with ability to balance innovation and practical implementation.
**Technical Skills:**
* Expert SQL \&amp; architecture: Set modeling direction across domains; design for scalability, maintainability, and cross\-domain consistency; define performance standards and anti\-patterns.
* dbt architecture leadership: Own dbt project structure, macro strategy, testing strategy, documentation standards, and deployment patterns; prevent regressions via CI/CD guardrails.
* Enterprise semantic modeling strategy: Define semantic modeling patterns (entities, relationships, governed metrics) used consistently across BI and agent consumers; reduce duplicated logic.
* Snowflake Administration (analytics\-facing, production): Lead analytics\-oriented admin patterns: RBAC conventions for consumption, access governance workflows, cost/performance guardrails, operational runbooks, and environment promotion hygiene.
* Sigma Administration (lead): Own workspace governance: organization/folder strategy, access governance, content standards, usage\-quality controls, and enablement patterns.
* Agent building enablement (org patterns): Establish standardized structures and governance to support AI agents: provenance/citation\-ready data, versioned configurations where applicable, evaluation datasets, exception handling/review workflows, and lifecycle maintenance patterns.
* Observability engineering: Define monitoring/alerting standards for freshness/volume/quality; implement basic anomaly detection guardrails and incident response playbooks.
* AWS ecosystem awareness: Understand how AWS constraints (security posture, networking, cost governance) affect data access, operations, and analytics/agent enablement.
* Orchestration standards: Define integration patterns with Prefect (dependency design, SLA management, failure handling) and expectations for pipeline reliability.
* n8n platform patterns: Standardize n8n usage for operational workflows (approvals/escalations/exception queues/integrations) supporting analytics and agent operations.
**Soft Skills:**
* Strategic thinker with ability to align technical solutions with business objectives.
* Strong problem\-solving and analytical skills; able to address complex technical challenges effectively.
* Clear communicator; engages effectively with both technical teams and business stakeholders.
* Effective mentor; promotes technical excellence among engineering teams.
* Self\-directed, with ability to manage multiple technical initiatives and priorities.
* Detail\-oriented with commitment to quality in architecture, code, documentation, and solution design.
* Passionate about leveraging emerging AI technologies and automation platforms to improve business operations.
* Experience contributing to the development of technical talent and engineering capabilities.
**The Whole Person Promise:**
At Bandwidth, we're pretty proud of our corporate culture, which is rooted in our "Whole Person Promise." We promise all employees that they can have meaningful work AND a full life, and we provide a work environment geared toward enriching your body, mind, and spirit. How do we do that? Well…
* 100% company\-paid Medical, Vision, \&amp; Dental coverage for you and your family with low deductibles and low out\-of\-pocket expenses.
* All new hires receive four weeks of PTO.
* PTO Embargo. When you take time off (of any kind!) you're embargoed from working. Bandmates and managers are not allowed to interrupt your PTO – not even with email.
* Additional PTO can be earned throughout the year through volunteer hours and Bandwidth challenges.
* "Mahalo moments" program grants additional time off for life's most important moments like graduations, buying a first home, getting married, wedding anniversaries (every five years), and the birth of a grandchild.
* 90\-Minute Workout Lunches and unlimited meetings with our very own nutritionist.
Are you excited about the position and its responsibilities, but not sure if you're 100% qualified? Do you feel you can work to help us crush the mission? If you answered 'yes' to both of these questions, we encourage you to apply! You won't want to miss the opportunity to be a part of the BAND.
Applicant Privacy Notice</t>
        </is>
      </c>
    </row>
    <row r="24">
      <c r="A24" t="inlineStr">
        <is>
          <t>in-37c26e8d8a329937</t>
        </is>
      </c>
      <c r="B24" t="inlineStr">
        <is>
          <t>Data Engineer II (Remote - United States)</t>
        </is>
      </c>
      <c r="C24" t="inlineStr">
        <is>
          <t>Nextech Systems</t>
        </is>
      </c>
      <c r="D24" t="inlineStr">
        <is>
          <t>indeed</t>
        </is>
      </c>
      <c r="E24">
        <f>HYPERLINK("https://www.indeed.com/viewjob?jk=37c26e8d8a329937", "https://www.indeed.com/viewjob?jk=37c26e8d8a329937")</f>
        <v/>
      </c>
      <c r="F24">
        <f>HYPERLINK("https://jobs.lever.co/nextech/04a7a871-9843-446e-a3d0-c485a03f663e", "https://jobs.lever.co/nextech/04a7a871-9843-446e-a3d0-c485a03f663e")</f>
        <v/>
      </c>
      <c r="G24" t="inlineStr">
        <is>
          <t>Remote, US</t>
        </is>
      </c>
      <c r="H24" s="2" t="n">
        <v>46069</v>
      </c>
      <c r="I24" t="inlineStr">
        <is>
          <t>**Why join Nextech?**  
We are a leader in specialty healthcare technology solutions.  
We’re committed to hiring and retaining talent, which is why we invest in our employees through competitive pay, a generous bonus structure, great healthcare, a comprehensive wellness program, and many other benefits.  
If you are a software engineer, finance or accounting professional, customer support specialist, or a business development expert with a passion for healthcare technology (just to name a few), we want to hear from you.  
We are an equal opportunity employer with a commitment to diversity. All individuals, regardless of personal characteristics are encouraged to apply. If you are a candidate in need of assistance or an accommodation in the application process, please contact talent@nextech.com .  
**About the Role**  
We’re looking for a Data Engineer II to help with optimization, support and deployment of our cloud\-based data systems that power mission\-critical healthcare applications. You’ll play a key role in building secure, scalable, and compliant database solutions using Azure SQL Server, and other cloud\-native technologies. Additionally, you will work in supporting the evolution of our analytics lakehouse and all of its data sources. Our platform supports real\-time clinical workflows, patient data analytics, and regulatory reporting—so precision, performance, and privacy are paramount.  
All activities must be in compliance with Equal Employment Opportunity laws, HIPAA, ERISA and other regulations, as appropriate.
### **Essential Skills:**
* + Design, deploy, maintain and support cloud\-based SQL Server environments across VM’s, Azure SQL and Azure SQL Managed Instance platforms
	+ Troubleshoot performance issues using standard tools and monitoring platforms, improving client outcomes within our product data platforms
	+ Applies best practices around the management, governance, and support of our data platforms as prescribed by senior engineers and the general community
	+ Takes ownership of support issues, working with other engineering teams on data platform product solutions
	+ Occasionally mentor junior engineers as well as training the entire team on new processes or practices to improve the work environment
	+ Collaborates with internal teams to ensure solutions align with customer goals
	+ Proactively identifies and resolves issues impacting customer experience building trust through consistent delivery and responsiveness
	+ Executes standardized data protection practices across all data platforms
	+ Develops and executes pre\-defined data pipeline patterns to build out our analytics and reporting Lakehouse
### **Minimum Requirements:**
* + 3\-5 years of experience with S **QL Server and Azure SQL in production environments** , ideally within healthcare or regulated industries
	+ Deep understanding of cloud database architecture, PaaS vs IaaS, and hybrid cloud models
	+ Strong command of **T\-SQL, PowerShell, and optionally Python or C\#** for automation and scripting
	+ Experience with **infrastructure\-as\-code tools like Terraform, Bicep, or ARM templates**
	+ Familiarity with **FHIR, HL7, or other healthcare data** standards is a plus
	+ Proven ability to work cross\-functionally with product, compliance, and clinical teams
	+ Excellent communication and documentation skills, especially around data lineage and auditability
### **Preferred Qualifications:**
* + Experience with Azure Fabric, Databricks or other big data platforms for large\-scale healthcare analytics
	+ Exposure to Python for data engineering, automation, or ML pipeline integration
	+ Basic understanding of streaming data architectures (e.g., Azure Event Hubs, Kafka) and real\-time analytics
	+ Familiarity with Delta Lake, Parquet, or Lakehouse architectures
	+ Understanding of data mesh principles and distributed data ownership models
	+ **Microsoft Certified:** Azure Database Administrator Associate or equivalent
### **Working Environment/Physical Demands:**
* + **100% Remote**
	+ Activities require a significant amount of work in front of a computer monitor
	+ Long\-distance or air travel as needed – not to exceed 10% travel
**Total Rewards**  
Generous **annual bonus** opportunity
**401(k)** with **Employer Match****Flexible Time Off:** take time off when you need it without worrying about available hours
11 paid holidays
Volunteer Time Off
**Insurance:** Choice of **Medical, Dental, and Vision plans**Health Savings Account with employer match
Flexible Spending Account
100% Company\-Paid Parental leave (After 6 months with the company)
100% Company\-Paid Life Insurance and Short/Long Term Disability Insurance
**Nextech Luminary Peer** Recognition Program
Wellness Program including discounts on medical premiums
Employee Assistance Program with free counseling sessions available
Corporate Discounts on Retail, Travel, and Entertainment
Pet Insurance options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5">
      <c r="A25" t="inlineStr">
        <is>
          <t>in-c918a18b7f7d8c9f</t>
        </is>
      </c>
      <c r="B25" t="inlineStr">
        <is>
          <t>Sr. Data Platform Engineer I (6366)</t>
        </is>
      </c>
      <c r="C25" t="inlineStr">
        <is>
          <t>Metrostar Systems</t>
        </is>
      </c>
      <c r="D25" t="inlineStr">
        <is>
          <t>indeed</t>
        </is>
      </c>
      <c r="E25">
        <f>HYPERLINK("https://www.indeed.com/viewjob?jk=c918a18b7f7d8c9f", "https://www.indeed.com/viewjob?jk=c918a18b7f7d8c9f")</f>
        <v/>
      </c>
      <c r="F25">
        <f>HYPERLINK("https://grnh.se/iaxibpg53us", "https://grnh.se/iaxibpg53us")</f>
        <v/>
      </c>
      <c r="G25" t="inlineStr">
        <is>
          <t>Washington, DC, US</t>
        </is>
      </c>
      <c r="H25" s="2" t="n">
        <v>46069</v>
      </c>
      <c r="I25" t="inlineStr">
        <is>
          <t>As a **Sr. Data Platform Engineer I,** you'll work as part of a collaborative and high\-performing team providing your expertise to deliver technical solutions within the highest levels of the federal government by providing PostgreSQL expertise supporting highly visible, mission\-critical applications; taking deep technical ownership of database platforms; executing disciplined operational practices; and maintaining database stability, performance, and security under constant operational demand.
We know that you can't have great technology services without amazing people. At MetroStar, we are **obsessed** withour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Design, administer, and optimize PostgreSQL and Microsoft SQL Server databases in on\-premises and cloud environments.
* Manage Kubernetes clusters and support containerized database and application operations.
* Administer CI/CD pipelines and automation supporting database and application delivery.
* Perform database performance tuning, backups, replication, and recovery.
* Enforce access controls, auditing, governance, and retention policies.
* Manage schemas, indexes, stored procedures, and permissions.
* Develop SQL queries and reporting logic; support Power BI reporting needs.
* Participate in Agile ceremonies and collaborative delivery activities.
* Support production operations with urgency and operational discipline.
* Communicate technical risks, issues, and recommendations clearly to stakeholders.
* Build and maintain strong customer trust through technical expertise, responsiveness, and reliability.
**What you'll need to succeed:**
* Active Top Secret with SCI eligibility security clearance.
* Bachelor's degree in Computer Science, or related field, is preferred; relevant experience may substitute.
* Certification meeting DoD 8140 (e.g., Security\+ or GSEC, or higher).
* Certification for database platform (e.g., DP\-300, Oracle OCP, or equivalent).
* 5\+ years of experience as a database administrator or engineer.
* Experience designing, implementing, managing, and tuning PostgreSQL databases in enterprise environments.
* Experience ensuring database performance, availability, and reliability, including capacity planning and performance tuning.
* Experience implementing and managing database security controls, including access management and auditing.
* Experience performing database backups, recovery, and restore operations, including support for high\-availability configurations.
* Experience with distributed PostgreSQL solutions (e.g., pgEdge or similar).
* Ability to contribute immediately with minimal ramp\-up in a mission\-critical operational environment.
SALARY RANGE: $170,000 \- $239,000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This role may also be eligible for bonuses and/or additional incentives based on individual and company performance.
**Benefits**: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26">
      <c r="A26" t="inlineStr">
        <is>
          <t>in-6b1aa2bf69a92e68</t>
        </is>
      </c>
      <c r="B26" t="inlineStr">
        <is>
          <t>Senior Data Engineer</t>
        </is>
      </c>
      <c r="C26" t="inlineStr">
        <is>
          <t>DataArt</t>
        </is>
      </c>
      <c r="D26" t="inlineStr">
        <is>
          <t>indeed</t>
        </is>
      </c>
      <c r="E26">
        <f>HYPERLINK("https://www.indeed.com/viewjob?jk=6b1aa2bf69a92e68", "https://www.indeed.com/viewjob?jk=6b1aa2bf69a92e68")</f>
        <v/>
      </c>
      <c r="F26">
        <f>HYPERLINK("https://www.dataart.team/vacancies/DE00265", "https://www.dataart.team/vacancies/DE00265")</f>
        <v/>
      </c>
      <c r="G26" t="inlineStr">
        <is>
          <t>Dallas, TX, US</t>
        </is>
      </c>
      <c r="H26" s="2" t="n">
        <v>46069</v>
      </c>
      <c r="I26" t="inlineStr">
        <is>
          <t>Client: Our client is a leading provider of capital and services to the mortgage and financial services industries. It offers attractive risk\-adjusted returns while also protecting the existing portfolio and generating long\-term value for its investors. The company's investment portfolio includes mortgage servicing\-related assets, non\-agency securities (and associated call rights), residential loans and other related opportunistic investments.
Project overview: Our team is currently developing a new Data Warehouse and maintain a several applications and services that are tightly integrated with each other and ETL processes support.
* Position overview: We are looking for an experienced Senior Data Engineer to design, build, and maintain scalable data solutions in the Azure cloud.
* The role is hybrid and requires the ability to visit the client’s office in Dallas, TX, preferably three times per week.
* The estimated annual salary for this position is up to 124,000 USD.
* Responsibilities: Develop and maintain data solutions on Azure and Databricks platforms
* Contribute to new project development and support and maintenance of existing solutions
* Implement data pipelines, transformations, and business logic in Databricks
* Collaborate with cross\-functional teams to ensure data accuracy, integrity, and optimal performance
* Manage version control, deployments, and CI/CD processes using Git
* Ensure adherence to best practices in data management and governance
* Requirements: Bachelor’s or Master’s degree in Computer Science, Information Technology, or a related field
* Engineering or Mathematics background is preferred
* 5\+ years of experience with SQL and Python
* 3\+ years of experience with Azure cloud services
* Strong hands\-on experience with Azure SQL Server, Azure Data Factory (ADF), Azure Databricks (highlighted expertise), Azure Data Lake Storage (ADLS), Azure Key Vault, Azure Functions, and Logic Apps
* 3\+ years of experience with Git
* Experience deploying code using CI/CD pipelines
* Nice to have: Experience with .NET
* Microsoft Certified: Azure Data Engineer Associate
* Databricks Certified Data Engineer (Associate or Professional)</t>
        </is>
      </c>
    </row>
    <row r="27">
      <c r="A27" t="inlineStr">
        <is>
          <t>in-7342de3892cc79b0</t>
        </is>
      </c>
      <c r="B27" t="inlineStr">
        <is>
          <t>Senior Data Engineer</t>
        </is>
      </c>
      <c r="C27" t="inlineStr">
        <is>
          <t>Fifth Third Bank</t>
        </is>
      </c>
      <c r="D27" t="inlineStr">
        <is>
          <t>indeed</t>
        </is>
      </c>
      <c r="E27">
        <f>HYPERLINK("https://www.indeed.com/viewjob?jk=7342de3892cc79b0", "https://www.indeed.com/viewjob?jk=7342de3892cc79b0")</f>
        <v/>
      </c>
      <c r="F27">
        <f>HYPERLINK("https://fifththird.wd5.myworkdayjobs.com/en-US/53careers/job/Cincinnati-OH/Senior-Data-Engineer_R65008-1", "https://fifththird.wd5.myworkdayjobs.com/en-US/53careers/job/Cincinnati-OH/Senior-Data-Engineer_R65008-1")</f>
        <v/>
      </c>
      <c r="G27" t="inlineStr">
        <is>
          <t>Cincinnati, OH, US</t>
        </is>
      </c>
      <c r="H27" s="2" t="n">
        <v>46069</v>
      </c>
      <c r="I27" t="inlineStr">
        <is>
          <t>Make banking a Fifth Third better®  
We connect great people to great opportunities. Are you ready to take the next step? Discover a career in banking at Fifth Third Bank.
GENERAL FUNCTION:
The data engineer designs and builds platforms, tools, and solutions that help the bank manage, secure, and generate value from its data. The person in this role creates scalable and reusable solutions for gathering, collecting, storing, processing, and serving data on both small and very large (i.e. Big Data) scales. These solutions can include on\-premise and cloud\-based data platforms, and solutions in any of the following domains ETL, business intelligence, analytics, persistence (relational, NoSQL, data lakes), search, messaging, data warehousing, stream processing, and machine learning.
Responsible and accountable for risk by openly exchanging ideas and opinions, elevating concerns, and personally following policies and procedures as defined. Accountable for always doing the right thing for customers and colleagues, and ensures that actions and behaviors drive a positive customer experience. While operating within the Bank's risk appetite, achieves results by consistently identifying, assessing, managing, monitoring, and reporting risks of all types.
ESSENTIAL DUTIES \&amp; RESPONSIBILITIES:* Responsible for design, Development, and Support of data solutions, APIs, tools, and processes to enable rapid delivery of business capabilities.
* Work closely with IT application teams, Enterprise architecture, infrastructure, information security, and LOB stakeholders to translate business and technical strategies into data\-driven solutions for the Bank.
* Act as a technical Expert addressing problems related to system and application design, performance, integration, security, etc.
* Conduct research and Development based on current trends and technologies related to the banking industry, data engineering and architecture, data security, and related topics.
* Work with developers to Build CI/CD pipelines, Self\-service Build tools, and automated deployment processes.
* Evaluate software products and Provide documented recommendations as needed.
* Provide Support and troubleshooting for data platforms. Must be willing to Provide escalated on\-call Support for complicated and/or critical incidents.
* Participate in the planning process for hardware and software.
* Plan and work on internal projects as needed, including legacy system replacement, Monitoring and analytics improvements, tool Development, and technical documentation.
* Provide technical guidance and mentoring for other team members.
* Manage and prioritize multiple assignments.
SUPERVISORY RESPONSIBILITIES: None.
MINIMUM KNOWLEDGE, SKILLS AND ABILITIES REQUIRED:* Bachelor's degree in Computer Science/Information Systems or equivalent combination of education and experience.
* Must be able to communicate ideas both verbally and in writing to management, business and IT sponsors, and technical resources in language that is appropriate for each group.
* Four\+ years IT work experience relevant to the position.
* Significant experience with at least one major RDBMS product.
* Experience working with and supporting Unix/Linux and Windows systems.
* Proficient in relational database modeling concepts and techniques.
* Solid conceptual understanding of distributed computing principles.
* Working knowledge of application and data security concepts, best practices, and common vulnerabilities.
* Experience in one or more of the following disciplines preferred: big data technologies and distributions, metadata management products, commercial ETL tools, Bi and reporting tools, messaging systems, data warehousing, Java (language and run time environment), major version control systems, continuous integration/delivery tools, infrastructure automation and virtualization tools, major cloud, or rest API design and development.
* Previous experience working with offshore teams desired.
* Financial industry experience is a plus.
Senior Data Engineer
At Fifth Third, we understand the importance of recognizing our employees for the role they play in improving the lives of our customers, communities and each other. Our Total Rewards include comprehensive benefits and differentiated compensation offerings to give each employee the opportunity to be their best every day.
The base salary for this position is reflective of the range of salary levels for all roles within this pay grade across the U.S. Individual salaries within this range will vary based on factors such as role, relevant skillset, relevant experience, education and geographic location. In addition to the base salary, this role is eligible to participate in an incentive compensation plan, with any such payment based upon company, line of business and/or individual performance.
Our extensive benefits programs are designed to support the individual needs of our employees and their families, encompassing physical, financial, emotional and social well\-being. You can learn more about those programs on our 53\.com Careers page at: https://www.53\.com/content/fifth\-third/en/careers/benefits.html or by consulting with your talent acquisition partner.
LOCATION \- Cincinnati, Ohio 45202
Attention search firms and staffing agencies: do not submit unsolicited resumes for this posting. Fifth Third does not accept resumes from any agency that does not have an active agreement with Fifth Third. Any unsolicited resumes – no matter how they are submitted – will be considered the property of Fifth Third and Fifth Third will not be responsible for any associated fee.
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t>
        </is>
      </c>
    </row>
    <row r="28">
      <c r="A28" t="inlineStr">
        <is>
          <t>in-8fb2cf63013b8a3d</t>
        </is>
      </c>
      <c r="B28" t="inlineStr">
        <is>
          <t>Data Engineer Prin</t>
        </is>
      </c>
      <c r="C28" t="inlineStr">
        <is>
          <t>American Electric Power</t>
        </is>
      </c>
      <c r="D28" t="inlineStr">
        <is>
          <t>indeed</t>
        </is>
      </c>
      <c r="E28">
        <f>HYPERLINK("https://www.indeed.com/viewjob?jk=8fb2cf63013b8a3d", "https://www.indeed.com/viewjob?jk=8fb2cf63013b8a3d")</f>
        <v/>
      </c>
      <c r="F28">
        <f>HYPERLINK("https://aep.wd1.myworkdayjobs.com/AEPCareerSite/job/Columbus-OH/Data-Engineer-Prin_R13686", "https://aep.wd1.myworkdayjobs.com/AEPCareerSite/job/Columbus-OH/Data-Engineer-Prin_R13686")</f>
        <v/>
      </c>
      <c r="G28" t="inlineStr">
        <is>
          <t>Columbus, OH, US</t>
        </is>
      </c>
      <c r="H28" s="2" t="n">
        <v>46069</v>
      </c>
      <c r="I28" t="inlineStr">
        <is>
          <t>**Job Posting End Date**
02\-28\-2026
Please note the job posting will close on the day before the posting end date.
**Job Summary**
At AEP, we’re more than just an energy company!  
We’re a team of dedicated professionals committed to delivering safe, reliable, and innovative energy solutions. Guided by our mission to put the customer first, we strive to exceed expectations by listening, responding, and continuously improving the way we serve our communities. If you're passionate about making a meaningful impact and being part of a forward\-thinking organization, this is the company for you!**Job Description**
Part of a larger team delivering high quality technology solutions to the business. Design, develop and installs advanced software solutions. Build high\-quality, innovative and fully performing software in compliance with internal architecture, development \&amp; design standards \&amp; best practices. Design, modify, develop, write, implement and troubleshoot software programming applications. Support and/or install software applications. Participate in the testing process through test review and analysis, test witnessing and certification of software. Works within a Waterfall or Agile methodology/framework based team. Collaborates heavily with Project Management, Business Analyst and Infrastructure Job Families.
**What You'll Do:**
* Participate in analysis sessions and support data analysts to document data mapping and ETL requirements.
* Lead the Design, Development, and Implementation of data models, ETL solutions to integrate functional data into Process Intelligence and Mining tool, Celonis.
* Ensure connections to source systems via JDBC and Kafka are reliable and secure.
* Maintain and provide operational support to Celonis production platform.
* Govern access rights for the Celonis processes.
* Optimize Celonis data models, ETL processes for performance and scalability.
* Design, Develop, implement audit processes to ensure data integrity from application platforms to Celonis.
* Provide ongoing support to business and technology teams to ensure continuous improvement in the areas of Process Intelligence and Automation.
* Facilitate and lead the establishment of governance and best practices in the Process Intelligence and Automation space.
* Assist management with setting strategic, tactical goals for the team and plans to execute them.
* Experience with Agile Scrum Framework, Kanban.
**What We're Looking For:**
Education: Bachelor's degree in computer science, engineering, or related technical field is required.
Experience: 7 years relevant work experience is required.
An equivalent combination of education and related experience may be considered.
**Qualifications:**
* Bachelor’s degree in engineering, Computer Science, Information Technology, or a related field.
* Strong SQL, PL/SQL skills are a MUST.
* Proven experience with data analysis, modeling, building ETL solutions, Celonis process mining tools.
* Solid analytical skills with an ability to interpret complex data sets.
* Excellent communication and interpersonal skills with a strong collaboration mindset.
**Preferred Skill:**
* Experience with Celonis HIGHLY PERFERRED.
* Celonis certification will be a plus.
* Experience with KAFKA desirable.
* Knowledge of Python and other programming languages for automation.
* Solid understanding of ERP systems (Maximo, PeopleSoft, Oracle) and related databases
**What You'll Get:**
$98,993 \- $128,689
**In addition to a competitive compensation, AEP offers a unique comprehensive benefits package that aims to support and enhance the overall well\-being of our employees.**
**Compensation Data**
**Compensation Grade:**
SP20\-008**Compensation Range:**
$98,993\.00 \- $128,688\.00
The Physical Demand Level for this job is: S – Sedentary Work: Exerting up to 10 pounds of force occasionally (Occasionally: activity or condition exists up to 1/3 of the time) and/or a negligible amount of force frequently. (Frequently: activity or condition exists from 1/3 to 2/3 of the time) to lift, carry, push, pull or otherwise move objects, including the human body. Sedentary work involves sitting most of the time but may involve walking or standing for brief periods of time. Jobs are sedentary if walking and standing are required only occasionally, and all other sedentary criteria are met.
**Hear about it first!** Get job alerts by email. Log in to your Candidate Home Account today! If you don't have an account, you can create one.
It is hereby reaffirmed that it is the policy of American Electric Power (AEP) to provide Equal Employment Opportunity in all respects of the employer\-employee relationship including recruiting, hiring, upgrading and promotion, conditions and privileges of employment, company sponsored training programs, educational assistance, social and recreational programs, compensation, benefits, transfers, discipline, layoffs and termination of employment to all employees and applicants without discrimination because of race, color, religion, sex (including pregnancy, gender identity, and sexual orientation), national origin, age, veteran or military status, disability, genetic information, or any other basis prohibited by applicable law. When required by law, we might record certain information or applicants for employment may be invited to voluntarily disclose protected characteristics.</t>
        </is>
      </c>
    </row>
    <row r="29">
      <c r="A29" t="inlineStr">
        <is>
          <t>in-891af4242c6ac992</t>
        </is>
      </c>
      <c r="B29" t="inlineStr">
        <is>
          <t>Data Engineer(GCP, Linux, GCP BQ, SQL )</t>
        </is>
      </c>
      <c r="C29" t="inlineStr">
        <is>
          <t>Cognizant Technology Solutions</t>
        </is>
      </c>
      <c r="D29" t="inlineStr">
        <is>
          <t>indeed</t>
        </is>
      </c>
      <c r="E29">
        <f>HYPERLINK("https://www.indeed.com/viewjob?jk=891af4242c6ac992", "https://www.indeed.com/viewjob?jk=891af4242c6ac992")</f>
        <v/>
      </c>
      <c r="F29">
        <f>HYPERLINK("https://click.appcast.io/t/OKmVQiaxeWKojXtLzyAx6shGNrMtnMltjbhbDjCsQYI=", "https://click.appcast.io/t/OKmVQiaxeWKojXtLzyAx6shGNrMtnMltjbhbDjCsQYI=")</f>
        <v/>
      </c>
      <c r="G29" t="inlineStr">
        <is>
          <t>Parsippany-Troy Hills, NJ, US</t>
        </is>
      </c>
      <c r="H29" s="2" t="n">
        <v>46068</v>
      </c>
      <c r="I29" t="inlineStr">
        <is>
          <t>**Description \- External**
**We are Cognizant AIA \- Artificial Intelligence and Analytics !!**
**About AI \&amp; Analytics:** Artificial intelligence (AI) and the data it collects and analyzes will soon sit at the core of all intelligent, human\-centric businesses. By decoding customer needs, preferences, and behaviors, our clients can understand exactly what services, products, and experiences their consumers need. Within AI \&amp; Analytics, we work to design the future—a future in which trial\-and\-error business decisions have been replaced by informed choices and data\-supported strategies! By applying AI and data science, we help leading companies to prototype, refine, validate, and scale their AI and analytics products and delivery models! Cognizant’s AIA practice takes insights that are buried in data and provide businesses with a clear way to transform how they source, interpret, and consume their information. Our clients need flexible data structures and a streamlined data architecture that quickly turns data resources into informative, meaningful intelligence.
Data Engineer (GCP, Linux, GCP BQ, SQL)
Develop and implement scalable solutions on Google Cloud Platform to enhance our transportation and logistics services.
Collaborate with cross\-functional teams to design and optimize cloud\-based applications that meet business requirements.
Analyze system requirements and prioritize tasks to ensure timely delivery of high\-quality software solutions.
Provide technical guidance and support to junior developers, fostering a collaborative and innovative work environment.
* Conduct code reviews and ensure adherence to best practices and coding standards for efficient and maintainable code.
* Troubleshoot and resolve complex technical issues, ensuring minimal disruption to operations and customer satisfaction.
* Stay updated with the latest industry trends and technologies to continuously improve our cloud solutions.
* Optimize application performance and scalability to handle increasing data volumes and user demands.
* Design and implement robust APIs for seamless integration with third\-party systems and services.
* Ensure data security and compliance with industry regulations to protect sensitive information.
* Participate in agile development processes, contributing to sprint planning and retrospectives.
* Document technical specifications and maintain comprehensive records for future reference and audits.
* Collaborate with stakeholders to gather requirements and translate them into technical specifications.
\#LI\-KN1
Salary and Other Compensation:
Applications will be accepted until February 22nd 2026\. The annual salary for this position is between $100\- $120K depending on experience and other qualifications of the successful candidate.
Please note, this role is not able to offer visa transfer or sponsorship now or in the future.
This position is also eligible for Cognizant’s discretionary annual incentive program, based on performance and subject to the terms of Cognizant’s applicable plans.
Benefits: Cognizant offers the following benefits for this position, subject to applicable eligibility requirements:· Medical/Dental/Vision/Life Insurance· Paid holidays plus Paid Time Off· 401(k) plan and contributions· Long\-term/Short\-term Disability· Paid Parental Leave· Employee Stock Purchase Plan
Disclaimer: The salary, other compensation, and benefits information is accurate as of the date of this posting. Cognizant reserves the right to modify this information at any time, subject to applicable law.</t>
        </is>
      </c>
    </row>
    <row r="30">
      <c r="A30" t="inlineStr">
        <is>
          <t>in-98d98f65c11d3a11</t>
        </is>
      </c>
      <c r="B30" t="inlineStr">
        <is>
          <t>Data Engineer</t>
        </is>
      </c>
      <c r="C30" t="inlineStr">
        <is>
          <t>Liberty Mutual Insurance</t>
        </is>
      </c>
      <c r="D30" t="inlineStr">
        <is>
          <t>indeed</t>
        </is>
      </c>
      <c r="E30">
        <f>HYPERLINK("https://www.indeed.com/viewjob?jk=98d98f65c11d3a11", "https://www.indeed.com/viewjob?jk=98d98f65c11d3a11")</f>
        <v/>
      </c>
      <c r="F30">
        <f>HYPERLINK("https://searchjobs.libertymutualgroup.com/careers/job/618515408530?utm_source=indeed&amp;domain=libertymutual.com", "https://searchjobs.libertymutualgroup.com/careers/job/618515408530?utm_source=indeed&amp;domain=libertymutual.com")</f>
        <v/>
      </c>
      <c r="G30" t="inlineStr">
        <is>
          <t>Indianapolis, IN, US</t>
        </is>
      </c>
      <c r="H30" s="2" t="n">
        <v>46062</v>
      </c>
      <c r="I30" t="inlineStr">
        <is>
          <t>**Description*****You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**Data Engineer**
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US Retail Markets (USRM) **Data and Analytics Engineering** team is actively searching for a highly productive **Data Engineer** for a distributed, dynamic agile team to serve as a technical expert designing, developing, analyzing \&amp; testing innovative data warehouse solutions. This candidatewill join an energetic and engaged Business Data Solutions Engineering team focused on leveraging our customer data to deliver exceptional value to our business partners. You will work collaboratively in an agile squad to design and build data pipelines \&amp; workflows, ingest, curate \&amp; provision data workflows in a Cloud\-based environment as well as own responsibility of thorough end\-to\-end testing.
This is a fast\-paced environment providing rapid delivery for our business partners. You will be working in a highly collaborative environment that values speed and quality, with a strong desire to drive change and foster a positive work environment. You will have the opportunity to help with this change as we grow this culture, mindset, and capability.
 **We encourage you to apply if this interests you:**
* Work as ONE team committed to excellence
* Model and promote a Data First attitude
* Help advance Data Engineering operations into the future
* Work with a modern data tech stack
 **About the job:**
* Collaborate in a fast\-moving Agile environment with Scrum Masters, Product Owners, and cross\-functional teammates to design and deliver data\-driven solutions that advance both business and technical goals.
* Build, maintain, and optimize ingestion pipelines and data integrations to manage the full information lifecycle — from acquisition and curation to provisioning for analytics and reporting.
* Design and implement ETL pipelines, API\-based microservices, physical data models, and transformation logic to make data reliable, accessible, and performant.
* Work on data architectures and applications (warehouses, data vault structures) that enable reporting, analytics, machine learning, and improved data governance and quality.
* Participate in peer code reviews and sprint ceremonies, CI/CD best practices, and automated testing to ensure robust, production\-ready releases.
* Accelerate speed to market while building long\-term, scalable solutions using modern technologies such as AWS, Snowflake, Kafka, Data Vault methodology, and other cloud\-native tools.
* Create tools and programs to automate ingestion, curation, and provisioning of complex enterprise data to support analytics, reporting, and data science use cases.
* Collaborate with senior team members and your manager to improve your skills, code quality, and engineering practices.
* Troubleshoot and resolve technical issues, proactively improvements that increase reliability, reduce latency, and improve data quality.
* Maintain a continuous learning mindset — evaluate modern technologies, share findings with the team, and adopt approaches that improve delivery and business outcomes.
 **Qualifications**  
* Bachelor or Master\`s degree in technical or business discipline or equivalent experience, technical degree preferred. 2\+ years of Data Engineering experience.
* Experience developing back end, data warehouse technology solutions, data modeling, and data vault methodology.
* Knowledge of a variety of data platforms including Snowflake, Teradata, SQL, DB2 (Cloud based DB a plus).
* Experience with AWS (such as S3, Snowflake, Athena), Unix, Informatica (IDMC) and strong SQL skillset.
* Extensive knowledge of IT concepts, strategies, methodologies.
* Experience working with agile methodologies (Scrum, Kanban, XP) and cross\-functional teams (Product Owners, Scrum Masters, Developers, Test Engineers).
* Well versed in diverse technologies and new technical architecture principles and concepts.
* Demonstrates leadership and active pursuit of optimizing CI/CD process and tools, testing frameworks and practices.
* Strong negotiation, facilitation, and consensus building skills.
* Strong oral and written communication skills; presentation skills; Extensive knowledge of the following: IT concepts, strategies, methodologies.
* Extensive consultative skills, including the ability to understand and apply customer requirements, including drawing out unforeseen implications and making recommendations for design, the ability to define design reasoning, understanding potential impacts of design requirements.
* Understanding of backlog tracking, burndown metrics, and incremental delivery
* Strong collaboration, prioritization, and adaptability skills required.
 **Additional Qualifications:**
* Java, Kafka, NoSQL, Python development experience.
* Understanding of Cloud / Hybrid data architecture concepts.
* Understanding of insurance industry and products.
* Excited by trying new technology and learning new tools.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31">
      <c r="A31" t="inlineStr">
        <is>
          <t>in-dfa9b4610e320658</t>
        </is>
      </c>
      <c r="B31" t="inlineStr">
        <is>
          <t>Data Engineer</t>
        </is>
      </c>
      <c r="C31" t="inlineStr">
        <is>
          <t>Liberty Mutual Insurance</t>
        </is>
      </c>
      <c r="D31" t="inlineStr">
        <is>
          <t>indeed</t>
        </is>
      </c>
      <c r="E31">
        <f>HYPERLINK("https://www.indeed.com/viewjob?jk=dfa9b4610e320658", "https://www.indeed.com/viewjob?jk=dfa9b4610e320658")</f>
        <v/>
      </c>
      <c r="F31">
        <f>HYPERLINK("https://searchjobs.libertymutualgroup.com/careers/job/618515408530?utm_source=indeed&amp;domain=libertymutual.com", "https://searchjobs.libertymutualgroup.com/careers/job/618515408530?utm_source=indeed&amp;domain=libertymutual.com")</f>
        <v/>
      </c>
      <c r="G31" t="inlineStr">
        <is>
          <t>Columbus, OH, US</t>
        </is>
      </c>
      <c r="H31" s="2" t="n">
        <v>46062</v>
      </c>
      <c r="I31" t="inlineStr">
        <is>
          <t>**Description*****You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**Data Engineer**
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US Retail Markets (USRM) **Data and Analytics Engineering** team is actively searching for a highly productive **Data Engineer** for a distributed, dynamic agile team to serve as a technical expert designing, developing, analyzing \&amp; testing innovative data warehouse solutions. This candidatewill join an energetic and engaged Business Data Solutions Engineering team focused on leveraging our customer data to deliver exceptional value to our business partners. You will work collaboratively in an agile squad to design and build data pipelines \&amp; workflows, ingest, curate \&amp; provision data workflows in a Cloud\-based environment as well as own responsibility of thorough end\-to\-end testing.
This is a fast\-paced environment providing rapid delivery for our business partners. You will be working in a highly collaborative environment that values speed and quality, with a strong desire to drive change and foster a positive work environment. You will have the opportunity to help with this change as we grow this culture, mindset, and capability.
 **We encourage you to apply if this interests you:**
* Work as ONE team committed to excellence
* Model and promote a Data First attitude
* Help advance Data Engineering operations into the future
* Work with a modern data tech stack
 **About the job:**
* Collaborate in a fast\-moving Agile environment with Scrum Masters, Product Owners, and cross\-functional teammates to design and deliver data\-driven solutions that advance both business and technical goals.
* Build, maintain, and optimize ingestion pipelines and data integrations to manage the full information lifecycle — from acquisition and curation to provisioning for analytics and reporting.
* Design and implement ETL pipelines, API\-based microservices, physical data models, and transformation logic to make data reliable, accessible, and performant.
* Work on data architectures and applications (warehouses, data vault structures) that enable reporting, analytics, machine learning, and improved data governance and quality.
* Participate in peer code reviews and sprint ceremonies, CI/CD best practices, and automated testing to ensure robust, production\-ready releases.
* Accelerate speed to market while building long\-term, scalable solutions using modern technologies such as AWS, Snowflake, Kafka, Data Vault methodology, and other cloud\-native tools.
* Create tools and programs to automate ingestion, curation, and provisioning of complex enterprise data to support analytics, reporting, and data science use cases.
* Collaborate with senior team members and your manager to improve your skills, code quality, and engineering practices.
* Troubleshoot and resolve technical issues, proactively improvements that increase reliability, reduce latency, and improve data quality.
* Maintain a continuous learning mindset — evaluate modern technologies, share findings with the team, and adopt approaches that improve delivery and business outcomes.
 **Qualifications**  
* Bachelor or Master\`s degree in technical or business discipline or equivalent experience, technical degree preferred. 2\+ years of Data Engineering experience.
* Experience developing back end, data warehouse technology solutions, data modeling, and data vault methodology.
* Knowledge of a variety of data platforms including Snowflake, Teradata, SQL, DB2 (Cloud based DB a plus).
* Experience with AWS (such as S3, Snowflake, Athena), Unix, Informatica (IDMC) and strong SQL skillset.
* Extensive knowledge of IT concepts, strategies, methodologies.
* Experience working with agile methodologies (Scrum, Kanban, XP) and cross\-functional teams (Product Owners, Scrum Masters, Developers, Test Engineers).
* Well versed in diverse technologies and new technical architecture principles and concepts.
* Demonstrates leadership and active pursuit of optimizing CI/CD process and tools, testing frameworks and practices.
* Strong negotiation, facilitation, and consensus building skills.
* Strong oral and written communication skills; presentation skills; Extensive knowledge of the following: IT concepts, strategies, methodologies.
* Extensive consultative skills, including the ability to understand and apply customer requirements, including drawing out unforeseen implications and making recommendations for design, the ability to define design reasoning, understanding potential impacts of design requirements.
* Understanding of backlog tracking, burndown metrics, and incremental delivery
* Strong collaboration, prioritization, and adaptability skills required.
 **Additional Qualifications:**
* Java, Kafka, NoSQL, Python development experience.
* Understanding of Cloud / Hybrid data architecture concepts.
* Understanding of insurance industry and products.
* Excited by trying new technology and learning new tools.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32">
      <c r="A32" t="inlineStr">
        <is>
          <t>in-1624913b023f225a</t>
        </is>
      </c>
      <c r="B32" t="inlineStr">
        <is>
          <t>Data Engineer</t>
        </is>
      </c>
      <c r="C32" t="inlineStr">
        <is>
          <t>Liberty Mutual Insurance</t>
        </is>
      </c>
      <c r="D32" t="inlineStr">
        <is>
          <t>indeed</t>
        </is>
      </c>
      <c r="E32">
        <f>HYPERLINK("https://www.indeed.com/viewjob?jk=1624913b023f225a", "https://www.indeed.com/viewjob?jk=1624913b023f225a")</f>
        <v/>
      </c>
      <c r="F32">
        <f>HYPERLINK("https://searchjobs.libertymutualgroup.com/careers/job/618515408530?utm_source=indeed&amp;domain=libertymutual.com", "https://searchjobs.libertymutualgroup.com/careers/job/618515408530?utm_source=indeed&amp;domain=libertymutual.com")</f>
        <v/>
      </c>
      <c r="G32" t="inlineStr">
        <is>
          <t>Boston, MA, US</t>
        </is>
      </c>
      <c r="H32" s="2" t="n">
        <v>46062</v>
      </c>
      <c r="I32" t="inlineStr">
        <is>
          <t>**Description*****You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**Data Engineer**
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US Retail Markets (USRM) **Data and Analytics Engineering** team is actively searching for a highly productive **Data Engineer** for a distributed, dynamic agile team to serve as a technical expert designing, developing, analyzing \&amp; testing innovative data warehouse solutions. This candidatewill join an energetic and engaged Business Data Solutions Engineering team focused on leveraging our customer data to deliver exceptional value to our business partners. You will work collaboratively in an agile squad to design and build data pipelines \&amp; workflows, ingest, curate \&amp; provision data workflows in a Cloud\-based environment as well as own responsibility of thorough end\-to\-end testing.
This is a fast\-paced environment providing rapid delivery for our business partners. You will be working in a highly collaborative environment that values speed and quality, with a strong desire to drive change and foster a positive work environment. You will have the opportunity to help with this change as we grow this culture, mindset, and capability.
 **We encourage you to apply if this interests you:**
* Work as ONE team committed to excellence
* Model and promote a Data First attitude
* Help advance Data Engineering operations into the future
* Work with a modern data tech stack
 **About the job:**
* Collaborate in a fast\-moving Agile environment with Scrum Masters, Product Owners, and cross\-functional teammates to design and deliver data\-driven solutions that advance both business and technical goals.
* Build, maintain, and optimize ingestion pipelines and data integrations to manage the full information lifecycle — from acquisition and curation to provisioning for analytics and reporting.
* Design and implement ETL pipelines, API\-based microservices, physical data models, and transformation logic to make data reliable, accessible, and performant.
* Work on data architectures and applications (warehouses, data vault structures) that enable reporting, analytics, machine learning, and improved data governance and quality.
* Participate in peer code reviews and sprint ceremonies, CI/CD best practices, and automated testing to ensure robust, production\-ready releases.
* Accelerate speed to market while building long\-term, scalable solutions using modern technologies such as AWS, Snowflake, Kafka, Data Vault methodology, and other cloud\-native tools.
* Create tools and programs to automate ingestion, curation, and provisioning of complex enterprise data to support analytics, reporting, and data science use cases.
* Collaborate with senior team members and your manager to improve your skills, code quality, and engineering practices.
* Troubleshoot and resolve technical issues, proactively improvements that increase reliability, reduce latency, and improve data quality.
* Maintain a continuous learning mindset — evaluate modern technologies, share findings with the team, and adopt approaches that improve delivery and business outcomes.
 **Qualifications**  
* Bachelor or Master\`s degree in technical or business discipline or equivalent experience, technical degree preferred. 2\+ years of Data Engineering experience.
* Experience developing back end, data warehouse technology solutions, data modeling, and data vault methodology.
* Knowledge of a variety of data platforms including Snowflake, Teradata, SQL, DB2 (Cloud based DB a plus).
* Experience with AWS (such as S3, Snowflake, Athena), Unix, Informatica (IDMC) and strong SQL skillset.
* Extensive knowledge of IT concepts, strategies, methodologies.
* Experience working with agile methodologies (Scrum, Kanban, XP) and cross\-functional teams (Product Owners, Scrum Masters, Developers, Test Engineers).
* Well versed in diverse technologies and new technical architecture principles and concepts.
* Demonstrates leadership and active pursuit of optimizing CI/CD process and tools, testing frameworks and practices.
* Strong negotiation, facilitation, and consensus building skills.
* Strong oral and written communication skills; presentation skills; Extensive knowledge of the following: IT concepts, strategies, methodologies.
* Extensive consultative skills, including the ability to understand and apply customer requirements, including drawing out unforeseen implications and making recommendations for design, the ability to define design reasoning, understanding potential impacts of design requirements.
* Understanding of backlog tracking, burndown metrics, and incremental delivery
* Strong collaboration, prioritization, and adaptability skills required.
 **Additional Qualifications:**
* Java, Kafka, NoSQL, Python development experience.
* Understanding of Cloud / Hybrid data architecture concepts.
* Understanding of insurance industry and products.
* Excited by trying new technology and learning new tools.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33">
      <c r="A33" t="inlineStr">
        <is>
          <t>in-c52b01c7649f509e</t>
        </is>
      </c>
      <c r="B33" t="inlineStr">
        <is>
          <t>Data Engineer</t>
        </is>
      </c>
      <c r="C33" t="inlineStr">
        <is>
          <t>Liberty Mutual Insurance</t>
        </is>
      </c>
      <c r="D33" t="inlineStr">
        <is>
          <t>indeed</t>
        </is>
      </c>
      <c r="E33">
        <f>HYPERLINK("https://www.indeed.com/viewjob?jk=c52b01c7649f509e", "https://www.indeed.com/viewjob?jk=c52b01c7649f509e")</f>
        <v/>
      </c>
      <c r="F33">
        <f>HYPERLINK("https://searchjobs.libertymutualgroup.com/careers/job/618515408530?utm_source=indeed&amp;domain=libertymutual.com", "https://searchjobs.libertymutualgroup.com/careers/job/618515408530?utm_source=indeed&amp;domain=libertymutual.com")</f>
        <v/>
      </c>
      <c r="G33" t="inlineStr">
        <is>
          <t>Plano, TX, US</t>
        </is>
      </c>
      <c r="H33" s="2" t="n">
        <v>46062</v>
      </c>
      <c r="I33" t="inlineStr">
        <is>
          <t>**Description*****You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**Data Engineer**
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US Retail Markets (USRM) **Data and Analytics Engineering** team is actively searching for a highly productive **Data Engineer** for a distributed, dynamic agile team to serve as a technical expert designing, developing, analyzing \&amp; testing innovative data warehouse solutions. This candidatewill join an energetic and engaged Business Data Solutions Engineering team focused on leveraging our customer data to deliver exceptional value to our business partners. You will work collaboratively in an agile squad to design and build data pipelines \&amp; workflows, ingest, curate \&amp; provision data workflows in a Cloud\-based environment as well as own responsibility of thorough end\-to\-end testing.
This is a fast\-paced environment providing rapid delivery for our business partners. You will be working in a highly collaborative environment that values speed and quality, with a strong desire to drive change and foster a positive work environment. You will have the opportunity to help with this change as we grow this culture, mindset, and capability.
 **We encourage you to apply if this interests you:**
* Work as ONE team committed to excellence
* Model and promote a Data First attitude
* Help advance Data Engineering operations into the future
* Work with a modern data tech stack
 **About the job:**
* Collaborate in a fast\-moving Agile environment with Scrum Masters, Product Owners, and cross\-functional teammates to design and deliver data\-driven solutions that advance both business and technical goals.
* Build, maintain, and optimize ingestion pipelines and data integrations to manage the full information lifecycle — from acquisition and curation to provisioning for analytics and reporting.
* Design and implement ETL pipelines, API\-based microservices, physical data models, and transformation logic to make data reliable, accessible, and performant.
* Work on data architectures and applications (warehouses, data vault structures) that enable reporting, analytics, machine learning, and improved data governance and quality.
* Participate in peer code reviews and sprint ceremonies, CI/CD best practices, and automated testing to ensure robust, production\-ready releases.
* Accelerate speed to market while building long\-term, scalable solutions using modern technologies such as AWS, Snowflake, Kafka, Data Vault methodology, and other cloud\-native tools.
* Create tools and programs to automate ingestion, curation, and provisioning of complex enterprise data to support analytics, reporting, and data science use cases.
* Collaborate with senior team members and your manager to improve your skills, code quality, and engineering practices.
* Troubleshoot and resolve technical issues, proactively improvements that increase reliability, reduce latency, and improve data quality.
* Maintain a continuous learning mindset — evaluate modern technologies, share findings with the team, and adopt approaches that improve delivery and business outcomes.
 **Qualifications**  
* Bachelor or Master\`s degree in technical or business discipline or equivalent experience, technical degree preferred. 2\+ years of Data Engineering experience.
* Experience developing back end, data warehouse technology solutions, data modeling, and data vault methodology.
* Knowledge of a variety of data platforms including Snowflake, Teradata, SQL, DB2 (Cloud based DB a plus).
* Experience with AWS (such as S3, Snowflake, Athena), Unix, Informatica (IDMC) and strong SQL skillset.
* Extensive knowledge of IT concepts, strategies, methodologies.
* Experience working with agile methodologies (Scrum, Kanban, XP) and cross\-functional teams (Product Owners, Scrum Masters, Developers, Test Engineers).
* Well versed in diverse technologies and new technical architecture principles and concepts.
* Demonstrates leadership and active pursuit of optimizing CI/CD process and tools, testing frameworks and practices.
* Strong negotiation, facilitation, and consensus building skills.
* Strong oral and written communication skills; presentation skills; Extensive knowledge of the following: IT concepts, strategies, methodologies.
* Extensive consultative skills, including the ability to understand and apply customer requirements, including drawing out unforeseen implications and making recommendations for design, the ability to define design reasoning, understanding potential impacts of design requirements.
* Understanding of backlog tracking, burndown metrics, and incremental delivery
* Strong collaboration, prioritization, and adaptability skills required.
 **Additional Qualifications:**
* Java, Kafka, NoSQL, Python development experience.
* Understanding of Cloud / Hybrid data architecture concepts.
* Understanding of insurance industry and products.
* Excited by trying new technology and learning new tools.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34">
      <c r="A34" t="inlineStr">
        <is>
          <t>in-9c4b6bdcfce462ab</t>
        </is>
      </c>
      <c r="B34" t="inlineStr">
        <is>
          <t>Data Engineer</t>
        </is>
      </c>
      <c r="C34" t="inlineStr">
        <is>
          <t>Liberty Mutual Insurance</t>
        </is>
      </c>
      <c r="D34" t="inlineStr">
        <is>
          <t>indeed</t>
        </is>
      </c>
      <c r="E34">
        <f>HYPERLINK("https://www.indeed.com/viewjob?jk=9c4b6bdcfce462ab", "https://www.indeed.com/viewjob?jk=9c4b6bdcfce462ab")</f>
        <v/>
      </c>
      <c r="F34">
        <f>HYPERLINK("https://searchjobs.libertymutualgroup.com/careers/job/618515408530?utm_source=indeed&amp;domain=libertymutual.com", "https://searchjobs.libertymutualgroup.com/careers/job/618515408530?utm_source=indeed&amp;domain=libertymutual.com")</f>
        <v/>
      </c>
      <c r="G34" t="inlineStr">
        <is>
          <t>Portsmouth, NH, US</t>
        </is>
      </c>
      <c r="H34" s="2" t="n">
        <v>46062</v>
      </c>
      <c r="I34" t="inlineStr">
        <is>
          <t>**Description*****You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**Data Engineer**
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US Retail Markets (USRM) **Data and Analytics Engineering** team is actively searching for a highly productive **Data Engineer** for a distributed, dynamic agile team to serve as a technical expert designing, developing, analyzing \&amp; testing innovative data warehouse solutions. This candidatewill join an energetic and engaged Business Data Solutions Engineering team focused on leveraging our customer data to deliver exceptional value to our business partners. You will work collaboratively in an agile squad to design and build data pipelines \&amp; workflows, ingest, curate \&amp; provision data workflows in a Cloud\-based environment as well as own responsibility of thorough end\-to\-end testing.
This is a fast\-paced environment providing rapid delivery for our business partners. You will be working in a highly collaborative environment that values speed and quality, with a strong desire to drive change and foster a positive work environment. You will have the opportunity to help with this change as we grow this culture, mindset, and capability.
 **We encourage you to apply if this interests you:**
* Work as ONE team committed to excellence
* Model and promote a Data First attitude
* Help advance Data Engineering operations into the future
* Work with a modern data tech stack
 **About the job:**
* Collaborate in a fast\-moving Agile environment with Scrum Masters, Product Owners, and cross\-functional teammates to design and deliver data\-driven solutions that advance both business and technical goals.
* Build, maintain, and optimize ingestion pipelines and data integrations to manage the full information lifecycle — from acquisition and curation to provisioning for analytics and reporting.
* Design and implement ETL pipelines, API\-based microservices, physical data models, and transformation logic to make data reliable, accessible, and performant.
* Work on data architectures and applications (warehouses, data vault structures) that enable reporting, analytics, machine learning, and improved data governance and quality.
* Participate in peer code reviews and sprint ceremonies, CI/CD best practices, and automated testing to ensure robust, production\-ready releases.
* Accelerate speed to market while building long\-term, scalable solutions using modern technologies such as AWS, Snowflake, Kafka, Data Vault methodology, and other cloud\-native tools.
* Create tools and programs to automate ingestion, curation, and provisioning of complex enterprise data to support analytics, reporting, and data science use cases.
* Collaborate with senior team members and your manager to improve your skills, code quality, and engineering practices.
* Troubleshoot and resolve technical issues, proactively improvements that increase reliability, reduce latency, and improve data quality.
* Maintain a continuous learning mindset — evaluate modern technologies, share findings with the team, and adopt approaches that improve delivery and business outcomes.
 **Qualifications**  
* Bachelor or Master\`s degree in technical or business discipline or equivalent experience, technical degree preferred. 2\+ years of Data Engineering experience.
* Experience developing back end, data warehouse technology solutions, data modeling, and data vault methodology.
* Knowledge of a variety of data platforms including Snowflake, Teradata, SQL, DB2 (Cloud based DB a plus).
* Experience with AWS (such as S3, Snowflake, Athena), Unix, Informatica (IDMC) and strong SQL skillset.
* Extensive knowledge of IT concepts, strategies, methodologies.
* Experience working with agile methodologies (Scrum, Kanban, XP) and cross\-functional teams (Product Owners, Scrum Masters, Developers, Test Engineers).
* Well versed in diverse technologies and new technical architecture principles and concepts.
* Demonstrates leadership and active pursuit of optimizing CI/CD process and tools, testing frameworks and practices.
* Strong negotiation, facilitation, and consensus building skills.
* Strong oral and written communication skills; presentation skills; Extensive knowledge of the following: IT concepts, strategies, methodologies.
* Extensive consultative skills, including the ability to understand and apply customer requirements, including drawing out unforeseen implications and making recommendations for design, the ability to define design reasoning, understanding potential impacts of design requirements.
* Understanding of backlog tracking, burndown metrics, and incremental delivery
* Strong collaboration, prioritization, and adaptability skills required.
 **Additional Qualifications:**
* Java, Kafka, NoSQL, Python development experience.
* Understanding of Cloud / Hybrid data architecture concepts.
* Understanding of insurance industry and products.
* Excited by trying new technology and learning new tools.
 **About Us****Pay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35">
      <c r="A35" t="inlineStr">
        <is>
          <t>in-d0cd83b454188731</t>
        </is>
      </c>
      <c r="B35" t="inlineStr">
        <is>
          <t>Data Engineer, Denied Party Screening, AWS Compliance &amp; Security Assurance</t>
        </is>
      </c>
      <c r="C35" t="inlineStr">
        <is>
          <t>Amazon.com</t>
        </is>
      </c>
      <c r="D35" t="inlineStr">
        <is>
          <t>indeed</t>
        </is>
      </c>
      <c r="E35">
        <f>HYPERLINK("https://www.indeed.com/viewjob?jk=d0cd83b454188731", "https://www.indeed.com/viewjob?jk=d0cd83b454188731")</f>
        <v/>
      </c>
      <c r="F35">
        <f>HYPERLINK("https://www.amazon.jobs/jobs/3160403/data-engineer-denied-party-screening-aws-compliance--security-assurance?cmpid=DA_INAD200785B", "https://www.amazon.jobs/jobs/3160403/data-engineer-denied-party-screening-aws-compliance--security-assurance?cmpid=DA_INAD200785B")</f>
        <v/>
      </c>
      <c r="G35" t="inlineStr">
        <is>
          <t>Dallas, TX, US</t>
        </is>
      </c>
      <c r="H35" s="2" t="n">
        <v>46029</v>
      </c>
      <c r="I35"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36">
      <c r="A36" t="inlineStr">
        <is>
          <t>in-a88e4a5cf08949ce</t>
        </is>
      </c>
      <c r="B36" t="inlineStr">
        <is>
          <t>Data Engineer, Denied Party Screening, AWS Compliance &amp; Security Assurance</t>
        </is>
      </c>
      <c r="C36" t="inlineStr">
        <is>
          <t>Amazon.com</t>
        </is>
      </c>
      <c r="D36" t="inlineStr">
        <is>
          <t>indeed</t>
        </is>
      </c>
      <c r="E36">
        <f>HYPERLINK("https://www.indeed.com/viewjob?jk=a88e4a5cf08949ce", "https://www.indeed.com/viewjob?jk=a88e4a5cf08949ce")</f>
        <v/>
      </c>
      <c r="F36">
        <f>HYPERLINK("https://www.amazon.jobs/jobs/3160403/data-engineer-denied-party-screening-aws-compliance--security-assurance?cmpid=DA_INAD200785B", "https://www.amazon.jobs/jobs/3160403/data-engineer-denied-party-screening-aws-compliance--security-assurance?cmpid=DA_INAD200785B")</f>
        <v/>
      </c>
      <c r="G36" t="inlineStr">
        <is>
          <t>Seattle, WA, US</t>
        </is>
      </c>
      <c r="H36" s="2" t="n">
        <v>46029</v>
      </c>
      <c r="I36" t="inlineStr">
        <is>
          <t>**DESCRIPTION**
---------------
Amazon seeks an experienced Data Engineer to join the DPS (Deny Party Screening) team. Our mission is to prevent denied parties from transacting with Amazon businesses, including AWS, customers, vendors, sellers, subsidiaries, etc. We screen billions of events every day. We integrate with Tier 1 systems, build DPS systems, and deal with unique scaling challenges.  
As a Data Engineer, you will design, implement and support scalable data infrastructure solutions to integrate with multi heterogeneous data sources, aggregate and retrieve data in a fast and safe mode, curate data that can be used in reporting, analysis, machine learning models and ad\-hoc data requests. You will be exposed to cutting edge AWS big data technologies. You should have excellent business and communication skills to be able to work with business owners and Tech leaders to gather infrastructure requirements, design data infrastructure, build up data pipelines and datasets to meet business needs. You stay abreast of emerging technologies, investigating and implementing where appropriate.  
Key job responsibilities  
* Design, implement, and support data warehouse/ data lake infrastructure using AWS bigdata stack, Python, Redshift, QuickSight, Glue/lake formation, EMR/Spark, Athena etc.
* Develop and manage ETLs to source data from various financial, AWS networking and operational systems and create unified data model for analytics and reporting.
* Creation and support of real\-time data pipelines built on AWS technologies including EMR, Glue, Redshift/Spectrum and Athena.
* Collaborate with other Engineering teams, Product/Finance Managers/Analysts to implement advanced analytics algorithms that exploit our rich datasets for financial model development, statistical analysis, prediction, etc.
* Continual research of the latest big data and visualization technologies to provide new capabilities and increase efficiency.
* Use business intelligence and visualization software (e.g., QuickSight) to develop dashboards those are used by senior leadership.
* Empower technical and non\-technical, internal customers to drive their own analytics and reporting (self\-serve reporting) and support ad\-hoc reporting when needed.
* Working closely with team members to drive real\-time model implementations for monitoring and alerting of risk systems.
* Manage numerous requests concurrently and strategically, prioritizing when necessary
* Partner/collaborate across teams/roles to deliver results.
* Mentor other engineers, influence positively team culture, and help grow the team
About the team  
Denied Party Screening (DPS) is a part of Amazon Security, an organization designed to drive bar\-raising security engagements. The vision of the Amazon DPS program is to ensure that 1\+ billion Amazon accounts spanning across consumers, sellers, developers, employees, and all other Amazon party, are not a denied party, located or incorporated in a sanctioned region or country, or owned or controlled by or subject to the jurisdiction of the government of a sanctioned country.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5\+ years of data engineering experience
* Experience programming with at least one modern language such as C\+\+, C\#, Java, Python, Golang, PowerShell, Ruby
* Experience working on and delivering end to end projects independently
* Experience with big data technologies such as: Hadoop, Hive, Spark, EMR
**PREFERRED QUALIFICATIONS**
----------------------------
* Experience with AWS technologies like Redshift, S3, AWS Glue, EMR, Kinesis, FireHose, Lambda, and IAM roles and permissions
* Experience with non\-relational databases / data stores (object storage, document or key\-value stores, graph databases, column\-family databases)
* Experience in at least one modern scripting or programming language, such as Python, Java, Scala, or NodeJS
* Experience with distributed systems as it pertains to data storage and computing
* Experience as a data engineer or related specialty (e.g., software engineer, business intelligence engineer, data scientist) with a track record of manipulating, processing, and extracting value from large datasets
* Experience providing technical leadership and mentoring other engineers for best practices on data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\- 132,100\.00 \- 178,800\.00 USD annually  
USA, WA, Seattle \- 132,100\.00 \- 178,800\.00 USD annually</t>
        </is>
      </c>
    </row>
    <row r="37">
      <c r="A37" t="inlineStr">
        <is>
          <t>in-8230cb200a6f8241</t>
        </is>
      </c>
      <c r="B37" t="inlineStr">
        <is>
          <t>Data Engineer</t>
        </is>
      </c>
      <c r="C37" t="inlineStr">
        <is>
          <t>Amazon.com</t>
        </is>
      </c>
      <c r="D37" t="inlineStr">
        <is>
          <t>indeed</t>
        </is>
      </c>
      <c r="E37">
        <f>HYPERLINK("https://www.indeed.com/viewjob?jk=8230cb200a6f8241", "https://www.indeed.com/viewjob?jk=8230cb200a6f8241")</f>
        <v/>
      </c>
      <c r="F37">
        <f>HYPERLINK("https://www.amazon.jobs/jobs/3141339/data-engineer?cmpid=DA_INAD200785B", "https://www.amazon.jobs/jobs/3141339/data-engineer?cmpid=DA_INAD200785B")</f>
        <v/>
      </c>
      <c r="G37" t="inlineStr">
        <is>
          <t>San Francisco, CA, US</t>
        </is>
      </c>
      <c r="H37" s="2" t="n">
        <v>46001</v>
      </c>
      <c r="I3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row r="38">
      <c r="A38" t="inlineStr">
        <is>
          <t>in-f251e86eeadc1947</t>
        </is>
      </c>
      <c r="B38" t="inlineStr">
        <is>
          <t>Data Engineer</t>
        </is>
      </c>
      <c r="C38" t="inlineStr">
        <is>
          <t>Amazon.com</t>
        </is>
      </c>
      <c r="D38" t="inlineStr">
        <is>
          <t>indeed</t>
        </is>
      </c>
      <c r="E38">
        <f>HYPERLINK("https://www.indeed.com/viewjob?jk=f251e86eeadc1947", "https://www.indeed.com/viewjob?jk=f251e86eeadc1947")</f>
        <v/>
      </c>
      <c r="F38">
        <f>HYPERLINK("https://www.amazon.jobs/jobs/3141339/data-engineer?cmpid=DA_INAD200785B", "https://www.amazon.jobs/jobs/3141339/data-engineer?cmpid=DA_INAD200785B")</f>
        <v/>
      </c>
      <c r="G38" t="inlineStr">
        <is>
          <t>Seattle, WA, US</t>
        </is>
      </c>
      <c r="H38" s="2" t="n">
        <v>46001</v>
      </c>
      <c r="I3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As a data engineer in the Data Platform organization, you will be transforming Twitch’s largest data sets into offerings that are usable by the entire company. You’ll be working with other senior team members, as well as other data engineers, scientists, and stakeholders from all across the business. You will help define how our core business metrics are managed, as well as how other parts of the company define their individual metrics.  
You Will  
* Work closely with data scientists and engineers from across the company to define and create robust data architectures and pipelines
* Develop and manage scalable data pipelines to extract, transform, and load data from various sources
* Partner with a range of stakeholders to translate the company’s needs into data offerings
* Automate data processing and reporting workflows to improve efficiency and data integrity
* Implement data quality checks and monitor processes to maintain high data accuracy
* Simplify and enhance the accessibility, clarity, and usability of large and complex datasets through the development of data cubes and data sharing solutions
Perks  
* Medical, Dental, Vision \&amp; Disability Insurance
* 401(k)
* Maternity \&amp; Parental Leave
* Flexible PTO
* Amazon Employee Discount
**BASIC QUALIFICATIONS**
------------------------
* 3\+ years of data engineering experience
* 3\+ year of experience working in a data engineering, data science, or software engineering capacity
* Expertise in writing and maintaining robust data pipelines in SQL and Python
* A track record of turning data requirements from stakeholders into actionable plans
* Experience with cloud\-native solutions
* A history of implementing and upholding best practices in data pipelines, ensuring accuracy, consistency, and reliability
**PREFERRED QUALIFICATIONS**
----------------------------
* Bachelor's degree, or Master's degree in computer science, statistics, information systems, or a related, technical field
* Experience with a scripting language (e.g., Python, Java, or R)
* Familiarity and interest in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\- 152,000\.00 \- 205,600\.00 USD annually  
USA, WA, SEATTLE \- 132,100\.00 \- 178,800\.00 USD annually  
USA, WA, Seattle \- 132,100\.00 \- 178,800\.00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9"/>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li-4373947664</t>
        </is>
      </c>
      <c r="B2" t="inlineStr">
        <is>
          <t>Senior Analytics Engineer</t>
        </is>
      </c>
      <c r="C2" t="inlineStr">
        <is>
          <t>Dyson Benelux</t>
        </is>
      </c>
      <c r="D2" t="inlineStr">
        <is>
          <t>linkedin</t>
        </is>
      </c>
      <c r="E2" t="inlineStr"/>
      <c r="F2" t="inlineStr"/>
      <c r="G2" t="inlineStr">
        <is>
          <t>St James, NY</t>
        </is>
      </c>
      <c r="H2" t="inlineStr"/>
      <c r="I2" t="inlineStr">
        <is>
          <t>**Summary**
 Salary: Competitive Job Family: Data Analytics Location: Singapore \- St James Power Station Headquarters
**About Us**
 Dyson is a global technology enterprise. We solve the problems others choose to ignore, with surprising new inventions that defy convention and simply work better. We’re growing fast and our ambition is huge – more categories, more locations and more people.
 Revenue Analytics \&amp; Insights is part of the global data function. We are a team of doers supporting commercial activities (sales and marketing) and the entire value\-chain from logistics to post\-sales customer experiences with data and insights. With access to a variety of disjointed data sets, our responsibility covers the data journey spectrum from identification and acquisition to modelling and visualization.
**About The Role**
 The role of Senior Analytics Engineer requires hands\-on experience with leveraging data from a wide selection of data sources from different technologies (e.g. SQL, Big Query, etc.), and a keen understanding of data models and ETL processes.
 Main responsibilities include but not limited to:\-
* Work with existing data sources, harvest, blend and prepare consolidated data sets for Business Intelligence or analysis
* Support data requests from all areas of the business by querying existing data and identifying opportunities to enhance insights by using outside data sources
* Support the Data Science function by building automated ETL pipelines for modelling
* Quickly pick up the business processes to provide business partnering excellence with reporting stakeholders
* Translate data analytics for business stakeholders
* Orchestrate ETL across existing data sets
* Apply business logic transforming raw data to a business relevant information source
* Investigate data relevance, completeness, and accuracy
* Coordinate with global data teams for new data requests or existing data inconsistencies
* Provide proactive communication with stakeholders
**About You**
 To be successful in this role, you will be a self\-driven individual with drive to solve customer problems and the ability to interact and collaborate with analytics teams, non\-analytics teams in markets and the wider business. You are a team player and good communicator who has the drive to understand the entire data landscape, passion to understand the business and filling gaps where they exist.
 Previous skills \&amp; experience:\-
* 3\-5 years’ experience querying, joining, and extracting data along with building meaningful business insights
* Proven track record in data cleansing and blending (internally and externally) to drive richer insights
* Working experience with cloud\-based platforms. Comfortable querying modern cloud databases (e.g. Big Query, Snowflake, Redshift)
* A degree in Statistics/Math/Information Systems or a science / engineering degree with a keen interest in data or equivalent on the job experience
* Educational credentials are valued, but innovation and excellence are essential
* Knowledge of how to host automated ETL pipelines using Google Cloud Platform tools, desirable
* Python skills with a focus on data management and automation, desirable
* Knowledge of Data Science modelling, desirable
* Experience building functional dashboards (Tableau, Power BI), desirable
* Experience with dbt (Data Build Tool), desirable
* Experience with code version control (e.g., Git), desirable
 Dyson is an equal opportunity employer. We know that great minds don’t think alike, and it takes all kinds of minds to make our technology so unique. We welcome applications from all backgrounds and employment decisions are made without regard to race, colour, religion, national or ethnic origin, sex, sexual orientation, gender identity or expression, age, disability, protected veteran status or other any other dimension of diversity.
 Posted: 17 February 2026
 Apply
 Share this
* Share on LinkedIn
* Share on Facebook
* Share on Twitter
* Share on Email</t>
        </is>
      </c>
    </row>
    <row r="3">
      <c r="A3" t="inlineStr">
        <is>
          <t>li-4333358567</t>
        </is>
      </c>
      <c r="B3" t="inlineStr">
        <is>
          <t>Lead Analytics Engineer</t>
        </is>
      </c>
      <c r="C3" t="inlineStr">
        <is>
          <t>CLEAR</t>
        </is>
      </c>
      <c r="D3" t="inlineStr">
        <is>
          <t>linkedin</t>
        </is>
      </c>
      <c r="E3" t="inlineStr"/>
      <c r="F3" t="inlineStr"/>
      <c r="G3" t="inlineStr">
        <is>
          <t>New York, NY</t>
        </is>
      </c>
      <c r="H3" t="inlineStr"/>
      <c r="I3" t="inlineStr">
        <is>
          <t>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As CLEAR continues to scale, we’re deepening our investment in the data ecosystem that powers our decision\-making. We’re looking for a Lead Analytics Engineer to own the presentation layer of our data stack. This is a hands\-on, senior individual contributor role for someone who blends exquisite data modeling craft, deep familiarity with tools like dbt and Looker, a knowledge of the state of the art, and a passion for designing data structures that enable intuitive self\-service. 
 You’ll define the semantic and analytical layers that drive clarity across the business, transforming complex data into clear, trusted metrics and models that everyone at CLEAR can rely on.
***What You'll Do:***
* Own and evolve the presentation and semantic layers: design, build, and optimize data models that serve as the foundation for Analytics at CLEAR. Develop metrics that drive a consistent, opinionated view of business performance across Finance, Product, Marketing, and Operations teams.
* Partner with data engineering teams to define the transformation logic (via dbt or similar frameworks) that connects raw data to consumable business views, optimize pipelines to improve query performance, and ensure models align with best practices.
* Own a roadmap for enabling AI\-powered analytics driving improved data documentation and a path for exposing our semantic layer to AI models.
* Improve self\-service rates by building intuitive data structures, reusable views, and clear metric definitions that empower teams to answer their own questions.
* Mentor analysts and analytics engineers, guiding them in data modeling best practices, BI design, and stakeholder engagement.
***What You Bring:***
* 7\+ years of experience working in analytics engineering, BI engineering, or data engineering roles within a modern cloud data warehouse environment. Today we use Snowflake, dbt, Dagster, and Looker.
* Expert\-level SQL: you can structure models for clarity, reuse, and performance at scale.
* Deep experience with BI tools including semantic layer design, metric standardization, and the enablement of AI\-driven analytics.
* Strong understanding of dimensional modeling and data warehousing principles. You are always thinking about performance and scalability.
* Demonstrated ability to balance technical rigor with business impact designing models that are as intuitive for stakeholders as they are efficient under the hood.
* Track record of driving BI and self\-service, creating environments where data users can confidently explore and analyze on their own.
* Strong communication and influence skills, able to partner effectively across technical and business domains to align on data strategy and definitions.
* Proactive ownership and curiosity, always seeking opportunities to simplify, standardize, and scale how data is modeled and delivered.
***Why You’ll Love This Role:***
* High\-impact: You’ll build the analytics foundations that will guide decision\-making across CLEAR.
* Craft and influence: This role blends technical ownership with the opportunity to shape how data is understood company\-wide.
* Mission\-driven culture: You’ll help build experiences that make life simpler and more secure for millions.
* Autonomy: You’ll own and lead initiatives end\-to\-end, mentor others, and establish best practices that scale with the company.
* Culture that moves: We are a team that values curiosity, iteration, direct feedback, and risk taking.
* Great benefits \&amp; growth: Competitive compensation, liquid equity, catered lunches, and good vibes.
***How You'll be Rewarded:***
 At CLEAR, we help YOU move forward \- because when you’re at your best, we’re at our best. You’ll work with talented team members motivated by our mission of making experiences safer and easier. Our offices are bright and energetic with an open concept and plenty of conference rooms and casual co\-working spaces. We also offer catered lunches every day and have fully stocked kitchens. Outside of the office, we invest in your well\-being and learning \&amp; development with stipends and reimbursement programs. 
 We offer holistic total rewards, including comprehensive healthcare plans, family\-building benefits (fertility and adoption/surrogacy support), flexible time off, annual wellness stipend, free OneMedical memberships for you and your dependents, a CLEAR Plus membership, and a 401(k) retirement plan with employer match.
 The base salary range for this role is $165,000\-$200,000,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t>
        </is>
      </c>
    </row>
    <row r="4">
      <c r="A4" t="inlineStr">
        <is>
          <t>li-4373963798</t>
        </is>
      </c>
      <c r="B4" t="inlineStr">
        <is>
          <t>Remote Junior Data Engineer</t>
        </is>
      </c>
      <c r="C4" t="inlineStr">
        <is>
          <t>Lensa</t>
        </is>
      </c>
      <c r="D4" t="inlineStr">
        <is>
          <t>linkedin</t>
        </is>
      </c>
      <c r="E4" t="inlineStr"/>
      <c r="F4" t="inlineStr"/>
      <c r="G4" t="inlineStr">
        <is>
          <t>Woonsocket, RI</t>
        </is>
      </c>
      <c r="H4" t="inlineStr"/>
      <c r="I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Insight Global is hiring a Data Engineer to contribute to ongoing operational data workflows for a major healthcare partner. The position focuses on day‑to‑day processing and transformation of client data, with most tasks being consistent and routine. Occasional data issues may arise that require analytical troubleshooting. Candidates should bring 2\+ years of data engineering experience and strong SQL expertise (SSIS, SQL Server), along with exceptional attention to detail and the ability to follow structured processes.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 2\+ years of data engineering experience
* Hands\-on experience with SQL technologies, including SSIS and SQL Server
* Strong understanding of SQL concepts and best practices
* Demonstrates strong diligence and attention to detail
* Follows instructions accurately and consistently
* Experience working with client data ingestion processes and handling healthcare PHI
 If you have questions about this posting, please contact support@lensa.com</t>
        </is>
      </c>
    </row>
    <row r="5">
      <c r="A5" t="inlineStr">
        <is>
          <t>li-4355688775</t>
        </is>
      </c>
      <c r="B5" t="inlineStr">
        <is>
          <t>Analytics Engineer</t>
        </is>
      </c>
      <c r="C5" t="inlineStr">
        <is>
          <t>Paycom</t>
        </is>
      </c>
      <c r="D5" t="inlineStr">
        <is>
          <t>linkedin</t>
        </is>
      </c>
      <c r="E5" t="inlineStr"/>
      <c r="F5" t="inlineStr"/>
      <c r="G5" t="inlineStr">
        <is>
          <t>Grapevine, TX</t>
        </is>
      </c>
      <c r="H5" t="inlineStr"/>
      <c r="I5" t="inlineStr">
        <is>
          <t>Paycom is seeking a highly skilled and self\-motivated Data Analyst to join our team, responsible for transforming complex data into actionable insights that drive business growth and inform strategic decision\-making. As a Data Analyst, you will design, build, and maintain large\-scale data pipelines, develop predictive models, and apply AI and machine learning techniques to uncover trends, patterns, and anomalies. You will collaborate with cross\-functional teams to deliver data\-driven solutions, communicate findings to stakeholders, and drive business outcomes through data\-driven decision support. If you have a passion for data analysis, a talent for storytelling with data, and experience working with cutting\-edge technologies, we encourage you to apply for this exciting opportunity.
**Responsibilities**
* Build data pipelines following the most optimum industry standards
* Build forecasting models to understand user behavior and user retention
* Clean and preprocess data to ensure accuracy and consistency
* Automate workflows and data processing tasks
* Perform exploratory data analysis to uncover trends, patterns, and anomalies
* Apply AI and machine learning techniques to derive insights from complex datasets
* Create visually appealing and interactive dashboards, reports, and presentations
* Communicate findings and recommendations to stakeholders using data visualization tools
* Collaborate with cross\-functional teams to design and deliver actionable insights
* Identify and address data quality issues and discrepancies
* Implement data quality controls and monitoring mechanisms
* Partner with business units to define key performance indicators (KPIs) and metrics
* Analyze business processes and operations to identify opportunities for improvement
* Provide decision support through ad\-hoc analysis and scenario modeling.</t>
        </is>
      </c>
    </row>
    <row r="6">
      <c r="A6" t="inlineStr">
        <is>
          <t>li-4374112042</t>
        </is>
      </c>
      <c r="B6" t="inlineStr">
        <is>
          <t>Lead Flink Data Engineer IoT</t>
        </is>
      </c>
      <c r="C6" t="inlineStr">
        <is>
          <t>Fusemachines</t>
        </is>
      </c>
      <c r="D6" t="inlineStr">
        <is>
          <t>linkedin</t>
        </is>
      </c>
      <c r="E6" t="inlineStr"/>
      <c r="F6" t="inlineStr"/>
      <c r="G6" t="inlineStr">
        <is>
          <t>New York, NY</t>
        </is>
      </c>
      <c r="H6" t="inlineStr"/>
      <c r="I6" t="inlineStr">
        <is>
          <t>**About Fusemachines**
 Fusemachines is a leading AI strategy, talent, and education services provider. Founded by Sameer Maskey Ph.D., Adjunct Associate Professor at Columbia University, Fusemachines has a core mission of democratizing AI. With a presence in 4 countries (Nepal, the United States, Canada, and the Dominican Republic) and more than 450 full\-time employees, Fusemachines brings global AI expertise to transform companies worldwide. 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implement and scale AI. Fusemachines serves companies in industries such as retail, manufacturing, and government.
 Fusemachines continues to actively pursue the mission of democratizing AI for the masses by providing high\-quality AI education in underserved communities and helping organizations achieve their full potential with AI.
**Job Description**
 This is a role responsible for designing, building, and maintaining the real\-time streaming infrastructure required for sensor data integration, complex state processing, and alerting in the Industrial IoT / Smart Buildings domain.
 We are seeking a Lead Data Engineer with expert\-level Apache Flink (Java and SQL) skills, and proven implementation of custom ProcessFunctions, state management, and real\-time data quality gates, delivering Data and Analytics products using Agile methodology. The ideal candidate will possess strong technical, analytical, and interpersonal skills.
 Qualification / Skill Set Requirement:
* 5\+ years of hands\-on data engineering experience with deep expertise in the Azure ecosystem
* 5\+ years in Java (backend) with 3\+ years deep specialization in Apache Flink (DataStream API \&amp; SQL)
* Experience with Flink State Management, Checkpointing, and Watermark strategies
* Experience upgrading to or using Flink 2\.0/2\.x
* Experience with Azure Event Hubs or Kafka
* Understanding of "Sensor/IoT" data patterns (out\-of\-order and missing events)
* Proficient in Java, SQL, and writing optimized data integration and processing code
* Strong understanding of SDLC and Agile methodologies with hands\-on experience in Azure DevOps, GitHub, CI/CD, and artifact management
* Deep expertise in Azure data services
* Skilled in data modeling, database design, and data warehousing solutions on Azure
* Knowledge of data quality, governance, and security best practices within Azure (AD, NSG, encryption, compliance)
* Certifications preferred: Azure Fundamentals, Azure Data Engineer Associate, and Azure Solutions Architect Expert (nice to have)
**Responsibilities**
* Architect, design, and implement scalable and efficient data solutions on Flink
* Design and implement the Flink 2\.x streaming pipeline for IoT
* Develop custom KeyedProcessFunctions to handle "Heartbeat Injection" (detecting sensor silence) and complex windowing
* Implement the Gatekeeper Pattern: A Flink job that applies Data Quality tags (Validity, Completeness) to the stream without dropping data
* Optimize State Backends for high\-cardinality sensor data (100k\+ concurrent sensors)
* Work with the "Shared Core" team to integrate libraries into the Flink runtime
* Manage and optimize Azure resources (Flink clusters) for performance, reliability, and cost\-efficiency
* Transform, clean, and prepare data using SQL, and Java
* Monitor and fine\-tune workloads and pipelines for optimal performance and reliability
* Maintain clear documentation of solutions, configurations, and workflows
* Actively participate in Agile team activities and continuous improvement initiatives
* Promote and enforce data engineering best practices, including data governance, security, and data quality
 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
 Powered by JazzHR
 EeMvgnXuU4</t>
        </is>
      </c>
    </row>
    <row r="7">
      <c r="A7" t="inlineStr">
        <is>
          <t>li-4371979477</t>
        </is>
      </c>
      <c r="B7" t="inlineStr">
        <is>
          <t>Data Engineer</t>
        </is>
      </c>
      <c r="C7" t="inlineStr">
        <is>
          <t>Genpact</t>
        </is>
      </c>
      <c r="D7" t="inlineStr">
        <is>
          <t>linkedin</t>
        </is>
      </c>
      <c r="E7" t="inlineStr"/>
      <c r="F7" t="inlineStr"/>
      <c r="G7" t="inlineStr"/>
      <c r="H7" t="inlineStr"/>
      <c r="I7" t="inlineStr">
        <is>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advanced technology services and solutions company that delivers lasting value for leading enterprises globally. Through our deep business knowledge, operational excellence, and cutting\-edge solutions – we help companies across industries get ahead and stay ahead. Powered by curiosity, courage, and innovation, our teams implement data, technology, and AI to create tomorrow, today. Get to know us at genpact.com and on LinkedIn, X, YouTube, and Facebook.
**Inviting applications for the role of Data Engineer in NYC ,3 days from office Hybrid , day 1st onsite Fulltime role .** 
 In this role, you will be responsible for coding, testing, and delivering high quality deliverables, and should be willing to learn new technologies.
**Responsibilities** 
* Build and optimize data pipelines to consume data from various sources, transform \&amp; model it, and then distribute it to multiple consumers.
* Collaborate with technology partners across the Firm to understand and integrate with new data sources and consumers.
* Work with multiple data sources (including structured and unstructured) to create an optimize data cubes for consumption by analytical dashboards and / or downstream systems.
* Identify, design, and implement improvements / automations for optimizing data processing, storage, and availability, while maintaining scalability, etc.
* Develop and support analytics \&amp; machine learning projects.
* Support migration of the data platform from on\-premises to cloud infrastructure.
* Work with various stakeholders to assist with data \&amp; analytics related projects and issues.
**Preferred Qualifications/ Skills** 
* Experience in Data Engineering role, who has attained a bachelor’s or master’s degree in computer science, computer engineering, information technology/systems or another relevant technical field.
* Experience with Relational database systems like Sybase, SQL Server, Postgres, etc.
* Experience with object\-oriented and/or function scripting languages: Python, Java, C\+\+, or Scala, etc.
* Experience with ETL tools (Informatica, etc.) and frameworks.
* Experience with machine learning / artificial intelligence techniques like regression, classification, clustering, time series, text mining, large language models, etc.
* Experience of visualization tools like Tableau, QlikView, Power BI etc. is a plus.
* Experience with Cloud technologies like Snowflake, Microsoft Azure, Databricks, etc is a plus.
* Experience with data\-science tools / workbench like Dataiku, Jupyter, Rapid Miner, etc. is a plus.
* Experience with Big Data tools / technologies: Hadoop, Pig, Hive, Hue, PySpark etc. is a plus.
* Advanced working knowledge and experience with data modelling, data warehousing concepts, database design principles, query authoring (SQL) and performance optimization.
* A successful history of manipulating, transforming, processing, and extracting value from large, disconnected datasets.
* Hands\-on programming experience with Python, Java, or C\#.
* Hands\-on experience with ETL tools.
* Working knowledge of data transformation, processing, analysis, and machine learning using Python (Pandas, NumPy, etc.)
* Excellent problem\-solving and analytical skills with attention to details.
* Strong project management and organizational skills.
* Experience supporting and working with cross\-functional teams in a dynamic environment.
* Excellent communication and collaboration skills.
**Why join Genpact?** 
 • Lead AI\-first transformation – Build and scale AI solutions that redefine industries
 • Make an impact – Drive change for global enterprises and solve business challenges that matter
 • Accelerate your career—Gain hands\-on experience, world\-class training, mentorship, and AI certifications to advance your skills
 • Grow with the best – Learn from top engineers, data scientists, and AI experts in a dynamic, fast\-moving workplace
 • Committed to ethical AI – Work in an environment where governance, transparency, and security are at the core of everything we build
 •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t>
        </is>
      </c>
    </row>
    <row r="8">
      <c r="A8" t="inlineStr">
        <is>
          <t>li-4372597630</t>
        </is>
      </c>
      <c r="B8" t="inlineStr">
        <is>
          <t>Data Engineer I (59869)</t>
        </is>
      </c>
      <c r="C8" t="inlineStr">
        <is>
          <t>Core Health &amp; Fitness</t>
        </is>
      </c>
      <c r="D8" t="inlineStr">
        <is>
          <t>linkedin</t>
        </is>
      </c>
      <c r="E8" t="inlineStr"/>
      <c r="F8" t="inlineStr"/>
      <c r="G8" t="inlineStr">
        <is>
          <t>Vancouver, WA</t>
        </is>
      </c>
      <c r="H8" t="inlineStr"/>
      <c r="I8" t="inlineStr">
        <is>
          <t>At
 **Core Health \&amp; Fitness** 
 , our purpose is to live and share our passion for fitness. We bring innovative health and fitness solutions to the global market with brands like
 **StairMaster** 
 ,
 **Schwinn** 
 ,
 **Nautilus** 
 ,
 **Star Trac** 
 ,
 **Throwdown** 
 ,
 **Wexer** 
 , and we’re still growing. We press into the future of fitness to ensure the creation of quality products and programming that meet the needs of an ever\-evolving industry.
 At Core we are committed to building an energetic, diverse, and inclusive workspace. We value our differences and see community strength in diversity and representation. We’re always on the lookout for innovators, dreamers and doers who are passionate about fitness and wellbeing. We explore all opportunities to improve ourselves, our business partners, and our communities. If you’re looking for a fulfilling career in helping people, find the best version of themselves, you’ve come to the right place.
 We are looking for a
 **Data Engineer I** 
 to join our growing organization!
**Qualifications**
**General Position Summary**
 As a Data Engineer at Core Health \&amp; Fitness, you will play a pivotal role in designing, developing, and maintaining our data infrastructure. This position will work closely with our IT department, Business Intelligence Analysts, Systems Software Engineers, and other stakeholders to ensure the efficient collection, storage, and accessibility of data. Your expertise will enable us to make informed decisions and drive our business forward.
* This position is eligible to work from home with monthly in\-office meetings
**Essential Functions / Major Responsibilities**
* Data Pipeline Development: Design, build, and maintain scalable and robust data pipelines to ingest, process, and transform data from various sources (IoT, internal business systems, etc.).
* Data Warehousing: Develop and optimize data warehouses and data lakes to ensure efficient storage and retrieval of large datasets.
* ETL Processes: Create and manage ETL (Extract, Transform, Load) processes to ensure data is accurate, reliable, and up to date.
* Collaboration: Work closely with Business Intelligence Analysts, IT, Systems Software Engineers, and other stakeholders to understand data requirements and deliver solutions that meet their needs.
**Specific Job Requirements**
* Database Management: Administer and optimize databases, ensuring high performance, security, and availability.
* Data Quality: Implement data quality checks and validation procedures to maintain the integrity of the data.
* Automation: Automate repetitive tasks to improve efficiency and reduce manual effort.
* Documentation: Maintain comprehensive documentation of data processes, architectures, and workflows.
* Analytics \&amp; Reporting: enable data analytics and reporting by providing well\-structured, consistent data to either be analyzed within data warehouse or within an external repository system (CRM, ERP, etc.).
* API Development: Design, develop, and maintain RESTful APIs to facilitate data exchange between internal systems, external partners, and third\-party applications, ensuring secure and efficient data integration.
**Education And Experience Requirements** 
* Education: Bachelor's or master’s degree in Computer Science, Information Technology, Engineering, or a related field – or equivalent 3\+ years of experience in data engineering, data warehousing, or a related field.
* Technical Skills:
+ Proficiency in SQL and experience with relational databases (e.g., MySQL, PostgreSQL, Oracle).
+ Experience with ETL processes which aggregate IoT data from various external sources into a common data lake format.
+ Experience with big data technologies.
+ Proficiency in programming languages such as Python or Java.
+ Familiarity with ETL tools (e.g., Apache NiFi, Talend, Informatica).
+ Experience with cloud platforms (e.g., Azure, AWS) and their data services (e.g., Redshift, Databricks, BigQuery).
+ Experience with data modeling and schema design.
+ Familiarity with data visualization tools (e.g., Power BI, Tableau)
+ Experience building and managing data connections and integrations for transferring data between data lakes, cloud storage, and other software systems (e.g., CRM, ERP, loT platforms.)
**Job Specific Competencies**
* Problem\-Solving – Strong analytical and problem\-solving skills with the ability to troubleshoot complex data issues.
* Communication – Excellent communication skills with the ability to collaborate effectively with other stakeholders.
* Creativity/Innovation \- Generates new ideas, challenges the status quo, takes risks, supports change, encourages innovation, solves problems creatively.
* Initiative \- Tackles problems and takes independent action, seeks out new responsibilities, acts on opportunities, generates new ideas, practices self\-development.
* Productivity \- Manages a fair workload, volunteers for additional work, prioritizes tasks, develops good work procedures, manages time well, handles information flow.
* Quality \- Is attentive to detail and accuracy, is committed to excellence, looks for improvements continuously, monitors quality levels, finds root cause of quality problems, owns/acts on quality problems.
**Working Conditions**
 The physical and environmental demands described here are representative of those that must be met by an employee to successfully perform the essential functions of this job. Reasonable accommodations may be made to enable individuals with disabilities to perform the essential functions. Work may require:
* Bending, stooping, reaching, twisting, lifting, pushing, pulling and moving items \- The employee is occasionally required to stand, walk, sit, and reach with hands and arms; and stoop, kneel, crouch, or crawl. Requires the ability to move around and maneuver products when necessary. Occasionally lifts and carries items weighing up to 15 pounds
* Walking and Standing \- Requires moving around.
* Requires corrected vision and hearing to normal range
* Requires working under stressful conditions or working irregular hours
**Work Environment**
 Work environment characteristics described here are representative of those an employee encounters while performing essential functions of this job. Reasonable accommodations may be made to enable individuals with disabilities to perform essential functions: work performed in an office environment. Involves frequent interaction with internal and external customers.
**Position Status**
 Level: Staff
 FLSA: Non\-Exempt
 Supervises: N/A
 This job description reflects management’s assignment of essential functions. It is only a summary of the typical functions of the job, not an exhaustive or comprehensive list of all possible job responsibilities, tasks, and duties. The responsibilities, tasks, and duties of the employee might differ from those outlined in the above job description and, other duties as assigned, might be part of the role. It does not restrict the tasks that may be assigned nor is it considered a contract of employment overriding at\-will employment.
 In compliance with federal law, all persons hired will be required to verify identity and eligibility to work in the United States and to complete the required employment eligibility verification document form upon hire.
 Core Health\&amp; Fitness is an equal opportunity employer that does not discriminate on the basis of race, color, national origin, sex, disability, age, religion, sexual orientation, gender identity, gender expression, creed, disabled veteran status, marital status, or Vietnam\-era veteran status. If you are a person with a disability and you need assistance in applying for a position with Core Health \&amp; Fitness, please contact our Human Resources department at hr@corehandf.com and direct assistance will be provided.</t>
        </is>
      </c>
    </row>
    <row r="9">
      <c r="A9" t="inlineStr">
        <is>
          <t>li-4355943795</t>
        </is>
      </c>
      <c r="B9" t="inlineStr">
        <is>
          <t>Data Engineer I</t>
        </is>
      </c>
      <c r="C9" t="inlineStr">
        <is>
          <t>Baker Electric</t>
        </is>
      </c>
      <c r="D9" t="inlineStr">
        <is>
          <t>linkedin</t>
        </is>
      </c>
      <c r="E9" t="inlineStr"/>
      <c r="F9" t="inlineStr"/>
      <c r="G9" t="inlineStr">
        <is>
          <t>Escondido, CA</t>
        </is>
      </c>
      <c r="H9" t="inlineStr"/>
      <c r="I9" t="inlineStr">
        <is>
          <t>At Baker Electric we are energized by truly living our values \- Team Builders, Relentless Follow Through, All\-In, and Care for Others. When our team members work together with these things in mind, we do great things both individually and as an organization. Being an employee\-owned company shows our drive for sustainable, long\-term growth while enhancing the lives of our team members.
**SUMMARY** 
 : The Data Engineer I supports the development and maintenance of data pipelines, integrations, and reporting solutions that enable analytics and business intelligence across the organization. This role works closely with senior members of the IT Applications and Data team to build reliable data foundations, learn construction industry data workflows, and grow technical skills in cloud\-based data platforms. This position is ideal for an early\-career data engineer looking to develop hands\-on experience in a collaborative, enterprise environment. This role works on\-site 5 days per week in Escondido, CA.
**Essential Duties And Responsibilities**
* Data Collection and Integration: Assist with extracting data from enterprise systems such as ERP, project management, estimating, HCM, and operational tools. Support integration efforts under the guidance of senior data engineers.
* SQL Development and Optimization: Write, optimize, and troubleshoot SQL queries and stored procedures for data extraction, and manipulation.
* Data Cleaning and Transformation: Perform data cleansing, validation, and normalization tasks to ensure data accuracy and consistency. Assist in identifying data quality issues and escalating them as appropriate.
* Data Pipeline Development: Build and maintain ETL processes with guidance from senior team members. Monitor data pipelines and assist with troubleshooting and issue resolution.
* Data Modeling Support: Contribute to data models and schemas designed by senior engineers. Document data definitions, transformations, and dependencies.
* Infrastructure: Manage databases, data warehouses, and data lakes, ensuring performance and reliability.
* Reporting and Analytics Support: Assist with dashboard and report development using Power BI or similar tools. Validate data accuracy and support enhancements and updates.
* Learning and Growth: Participate in technical reviews, documentation efforts, and team discussions. Build knowledge of construction industry data concepts, systems, and workflows.
**Technical Skills**
* Programming: Working knowledge of SQL. Exposure to Python or similar scripting language preferred.
* Data Platforms: Familiarity with cloud\-based data platforms such as Azure, AWS, or GCP. Exposure to data warehouses or data lakes is a plus.
* Tools: Experience with Power BI or similar data visualization tools preferred. Exposure to ETL, ELT, or integration tools is a plus.
**Industry\-specific Knowledge**
* Experience in the following areas is not required but considered beneficial:
* Background in construction, energy, or industrial services industry.
* Experience with enterprise applications such as Procore, BuildOps, Spectrum, Salesforce, or Dayforce.
* General understanding of construction project lifecycle concepts, cost codes, or operational data.
* Exposure to Building Information Modeling (BIM) and project management software.
**Experience, Education**
* Bachelor’s degree in computer science, data engineering, information systems, or a related field, or equivalent practical experience.
* 1 \- 3 years of professional experience in data, analytics, or engineering related role
* Internship, academic, or project\-based experience is acceptable and may be considered in lieu of direct professional experience.
**Key Competencies / Soft Skills**
* Strong analytical and problem\-solving skills with attention to detail.
* Ability to communicate effectively with both technical and non\-technical audiences.
* Collaborative and team oriented, with strong interpersonal skills and a service mindset.
* Foundational understanding of data concepts including data integration, quality, and security best practices.
* Organized, self\-motivated, and able to manage tasks in a fast paced environment with guidance.
* Willingness to research issues, learn new tools and technologies, and continuously improve skills and processes.
**Benefits**
 At Baker, we are proud to be an employee\-owned company. When you join, you will have the opportunity for a great career and the financial benefits of being an owner. Through our ESOP (Employee Stock Ownership Plan), eligible employees can become part owners of the company. Instead of just receiving a paycheck, you will be given shares of the company's stock over time. As the company prospers, the value of these shares can increase, providing you with a potential wealth\-building opportunity in addition to a competitive compensation package. The ESOP will enable you to share the company's success and growth.
 *For more information regarding employee ownership at Baker Electric and its significant potential, click here:*
 Employee Stock Ownership Program \| Baker Electric (baker\-electric.com)
**Pay Transparency**
 The starting salary for this opportunity range is listed. Other rewards may include annual bonus eligibility based on company and individual performance, short\- and long\-term incentives, and program\-specific awards.
 *Baker provides a variety of benefits to employees, including health insurance coverage, an employee wellness program, life and disability insurance, a retirement savings plan, an* 
 Employee\-Owned Program (ESOP), paid holidays, and paid time off (PTO). A candidate’s salary history will not be used in compensation
 *decisions. Please note that* 
 the compensation information is a good\-faith estimate for this position. It assumes a rate based on location and experience.
**Acknowledgements**
 Baker Electric is an Equal Opportunity\-Affirmative Action Employer / Disability / Veteran.
 We thank all applicants in advance for their interest in this position; however, only those selected for an interview will be contacted. If you are selected for an interview, a Baker Recruiter will contact you directly from our organization with a @baker\-electric.com email.</t>
        </is>
      </c>
    </row>
    <row r="10">
      <c r="A10" t="inlineStr">
        <is>
          <t>li-4373855683</t>
        </is>
      </c>
      <c r="B10" t="inlineStr">
        <is>
          <t>Data Engineer</t>
        </is>
      </c>
      <c r="C10" t="inlineStr">
        <is>
          <t>Empiric</t>
        </is>
      </c>
      <c r="D10" t="inlineStr">
        <is>
          <t>linkedin</t>
        </is>
      </c>
      <c r="E10" t="inlineStr"/>
      <c r="F10" t="inlineStr"/>
      <c r="G10" t="inlineStr">
        <is>
          <t>New York, NY</t>
        </is>
      </c>
      <c r="H10" t="inlineStr"/>
      <c r="I10" t="inlineStr">
        <is>
          <t>About the Job
 Job Title: Data Engineer
 Company: Empiric
 Location: Remote
 Employment Type: Full\-Time
 Overview: Empiric is seeking an experienced Data Engineer to join our team and play a key role in designing, building, and maintaining scalable data pipelines. In this role, you will transform complex, real\-world data into analytics\-ready datasets and help enable meaningful insights through downstream analytics and reporting.
 This is a fully remote position, ideal for someone who thrives in a hands\-on, fast\-paced environment. We are looking for a data engineering and analytics expert who is passionate about working with modern data architectures and solving complex data challenges. You will collaborate closely with a cross\-functional team of data professionals to deliver high\-quality, reliable data solutions that support business and technical stakeholders.
 Required Skills and Qualifications:
 \-Bachelor's degree in computer science, Information Systems, or a related field.
 \-5\+ years of experience with advanced SQL
 \-Deep understanding of relational database management systems and data modeling techniques
 \-Demonstrated experience with Microsoft Fabric and other data warehouse technologies.
 \-Proficiency in Python for scripting and data manipulation
 \-Familiarity with tools like SSIS and Microsoft Fabric
 Key Responsibilities:
 \-Design, develop, and maintain relational databases and cloud\-based data warehouses.
 \-Develop sophisticated, optimized SQL queries, stored procedures, and functions to process and analyze large, complex datasets for actionable business insights.
 \-Help build, automate, and orchestrate ETL/ELT workflows utilizing SQL, Python, and cloud\-native tools to integrate and transform data from diverse, distributed sources.
 \-Tune queries and optimize database schema (indexing, partitioning, normalization) to improve data retrieval and processing speeds.
 \-Ensure data quality, consistency, and integrity across systems. Implement data masking, encryption, and role\-based access control (RBAC).
**\-** 
 Maintain technical documentation for database schemas, data dictionaries, and ETL workflows.</t>
        </is>
      </c>
    </row>
    <row r="11">
      <c r="A11" t="inlineStr">
        <is>
          <t>li-4373984968</t>
        </is>
      </c>
      <c r="B11" t="inlineStr">
        <is>
          <t>Sr. Data Engineer</t>
        </is>
      </c>
      <c r="C11" t="inlineStr">
        <is>
          <t>Cadent</t>
        </is>
      </c>
      <c r="D11" t="inlineStr">
        <is>
          <t>linkedin</t>
        </is>
      </c>
      <c r="E11" t="inlineStr"/>
      <c r="F11" t="inlineStr"/>
      <c r="G11" t="inlineStr">
        <is>
          <t>Philadelphia, PA</t>
        </is>
      </c>
      <c r="H11" t="inlineStr"/>
      <c r="I11" t="inlineStr">
        <is>
          <t>Cadent ignites seamless connections between brands, publishers \&amp; consumers. Our predictive AI orchestrates outcomes on any platform customers are on, across any media they consume \&amp; at any stage of the journey. To learn more, please visit Cadent.com.
 Data Engineers at Cadent collaborate with business partner teams to design, build, and scale very large datasets and data pipelines that enable analytics, modeling, exploration, and reporting. The Senior Data Engineer position is ideal for an experienced data engineer with strong Python, Spark, and SQL experience who is looking to work with massive amounts of data in a cutting\-edge, cloud\-based environment. You will be responsible for building data solutions using tools from Apache, AWS, and GCP, including Redshift/BigQuery, Spark, S3/GCS, Clickhouse, and Airflow.
* Using a variety of open\-source technologies (Python, Spark, Airflow), build data pipelines to extract, cleanse, and integrate data, from a variety of sources and formats
* Develop scalable and re\-usable solutions that support real\-time, batch, and event\-based data processing
* Function as an SME/provide technical guidance and leadership to one or more engineers
* Team lead when one or more engineers are engaged on the same project/initiative
* Interact with business partners to lead technical solution discussions
* Experience with Agile/Scrum methodology framework for product development
* Must have 3\+ years of experience in data engineering position
* Must have experience building Spark\-based data pipelines using near/real\-time data
* 2\+ years of working experience with GCP, specifically BigQuery, GCS, Composer, and DataProc
* Strong ANSI SQL, NoSQL and SparkSQL query language skills
* Strong problem\-solving skills; collaborator and data advocate
* Excellent written and oral communication skills \&amp; customer service skills
**Recommended skills:** 
* Minimum 2 years demonstrated, hands\-on experience with the GCP ecosystem of tools and technologies
* Experience with Apache open\-source tools (Airflow)
* Experience functioning as a team lead \- providing technical guidance and leadership
* Ability to build ETL pipelines from scratch, using streaming, near real\-time, and micro\-batch data
* Experience with system monitoring, log management, and error notification
* Experience in Ad\-Tech industry a plus
**Education Requirement:** 
* Bachelor's or Master's Degree in Computer Science, Engineering, Math, or other related discipline; or equivalent work experience.
**Eligibility:** 
* Must be legally authorized to work in the United States without employer sponsorship now or in the future.
 So, if the leading edge of media technology is the place you want to be, please contact us today and let’s start the conversation!
**Health \&amp; Wellbeing** 
* Inclusive health, dental, and vision plans built to support diverse lifestyles
* Enhanced support for reproductive health, family planning, and new parents
* Employer contribution to HSA
* Voluntary Benefits: Pet Insurance, LegalEase Legal Assistance, Critical Illness, Hospital Indemnity, and Accident coverages
* Generous and inclusive paid parental leave
* Mental health support and Employee Assistance Program (EAP)
* Free access to the Calm App
* Monthly Wellness reimbursement
* Special discounts through LifeMart and Plum Benefits
* Flexible Time Off (FTO) policy and company breaks
* 11 observed Federal holidays
* Summer Fridays between Memorial Day and Labor Day
**Inclusion \&amp; Belonging** 
* Employee Resource Groups that foster connection and community
* DEI programming and initiatives
* Company\-sponsored events to bring employees together
* Offices across the U.S., including Manhattan, Philadelphia, and San Jose
**Financial \&amp; Security** 
* 401(k) participation with discretionary employer match
* Life, Short\-term, and Long\-term Disability coverage
* Cell phone and WiFi stipend
* Pre\-tax commuter benefits
* Access to certified financial coaches and planning tools
**Values** 
* **Passionate.** 
 We are inspired partners.
* **Purposeful.** 
 We create with intention.
* **Curious.** 
 We discover what’s possible.
 The salary range for this role takes into account a wide range of factors considered in making compensation decisions including, but not limited to, skill sets, experience and training, licensure and certifications as well as other business and organizational needs.
*Cadent is an Equal Opportunity Employer and is committed to supporting all it’s employees when it comes to Inclusion \&amp; Diversity. Cadent’s policy is to provide equal opportunity for applicants \&amp; employees without regard to race, color, religion, creed, gender, gender identity or expression, sexual identity or orientation, age, national origin or ancestry, citizenship, disability or medical condition (including pregnancy, childbirth, or related medical condition), sexual and reproductive health decisions, genetic information, marital status (including domestic partnerships and civil unions), pregnancy, culture ancestry, familial or caregiver status, military status, veteran status, socioeconomic status, unemployment status, status as a victim of domestic violence or any other basis prohibited by law. and will not discriminate against the basis of disability. This commitment is honored when it comes to decisions on hiring, recruiting, training, promotions, compensations, benefits, transfers and terminations.* 
*Cadent is seeking to actively engage with our employees from a wide variety of cultures and to connect with our clients differently. Our workforce has generational diversity that supports greater innovation when we maximize representation of all diversity. Our active employee resource groups promote engagement across all groups of individuals that are represented within the company and externally.*</t>
        </is>
      </c>
    </row>
    <row r="12">
      <c r="A12" t="inlineStr">
        <is>
          <t>li-4354565228</t>
        </is>
      </c>
      <c r="B12" t="inlineStr">
        <is>
          <t>Jr. Analytics Engineer</t>
        </is>
      </c>
      <c r="C12" t="inlineStr">
        <is>
          <t>CIBC US</t>
        </is>
      </c>
      <c r="D12" t="inlineStr">
        <is>
          <t>linkedin</t>
        </is>
      </c>
      <c r="E12" t="inlineStr"/>
      <c r="F12" t="inlineStr"/>
      <c r="G12" t="inlineStr">
        <is>
          <t>Chicago, IL</t>
        </is>
      </c>
      <c r="H12" t="inlineStr"/>
      <c r="I12" t="inlineStr">
        <is>
          <t>We’re building a relationship\-oriented bank for the modern world. We need talented, passionate professionals who are dedicated to doing what’s right for our clients.
 At CIBC, we embrace your strengths and your ambitions, so you are empowered at work. Our team members have what they need to make a meaningful impact and are truly valued for who they are and what they contribute.
 To learn more about CIBC, please visit CIBC.com
**What You'll Be Doing**
* Data modeling and transformation
+ Maintain dimensional and semantic models that support self\-serve analytics and BI.
+ Establish and govern a consistent metrics layer to ensure a single source of truth.
* Data quality, observability, and governance
+ Implement testing, data contracts, and monitoring to proactively detect and resolve data issues.
+ Partner with data engineering to enforce SLAs, lineage, and change management.
+ Uphold data privacy and security best practices appropriate for regulated environments.
* Pipeline orchestration and reliability
+ Maintain, schedule, and optimize workflows for performance and cost.
+ Streamline deployments and validations
* Business partnership and enablement
+ Collaborate with analysts and stakeholders to translate business logic into reusable models and metrics.
+ Build scalable, audited datasets for dashboards, self\-serve, and analytical use cases.
+ Provide guidance on data definitions, documentation, and analytics best practices.
* Continuous improvement
+ Identify opportunities to simplify the stack, reduce technical debt, and improve developer experience.
+ Contribute to standards for coding, documentation, and peer review.
* Please include links or examples that showcase your data models, dbt projects, testing approach, and documentation.
* If applicable, indicate experience with financial services datasets or regulated data environments.
**How You'll Succeed**
* Trusted, documented, and testable data models power critical dashboards and analyses.
* A governed metrics layer reduces duplicative logic and conflicting KPIs.
* Robust pipeline monitoring and CI/CD reduce incidents and accelerate releases.
* Clear runbooks, documentation, and developer standards improve team velocity.
* Positive feedback from stakeholders on data reliability, transparency, and usability.
**Who You Are**
* You know that details matter. You notice things that others don't. Your critical thinking skills help to inform your decision making.
* You're motivated by collective success. You know that teamwork can transform a good idea into a great one. You know that an inclusive team that enjoys working together can bring a vision to life.
* You're digitally savvy. You seek out innovative solutions and embrace evolving technologies. You can easily adapt to new tools and trends.
* You give meaning to data. You enjoy investigating complex problems and making sense of information. You communicate detailed information in a meaningful way.
* You have a degree/diploma in Business and/or a related field of study.
* Values matter to you. You bring your real self to work and you live our values \- trust, teamwork, and accountability.
**What CIBC Offers**
 At CIBC, our people are our greatest asset. You’ll become part of a diverse community that acknowledges everyone’s unique talents, and empowers teams to do what’s right for the client and to do it well. As part of our team, you will
 **:**
* Thrive: Benefit from an open and approachable culture that provides the flexibility and support you need to integrate your life at work and home.
* Connect: Work in a place where the right technology and infrastructure foster innovation, collaboration, and creativity.
* Develop: Grow your skills and career through our best\-in\-class onboarding experience, ongoing learning opportunities, individual development planning, and comprehensive product training.
* Prosper: Share in our collective success with a competitive salary, incentive pay, banking benefits, health benefits programs, retirement savings, and more.
**The anticipated start date for this role is early June 2026\.**
*At CIBC, we offer a competitive total rewards package. This role has an expected salary of
 **$72,500** 
 for the market based on experience, qualifications, and location of the position. The successful candidate may be eligible to participate in the relevant business unit’s incentive compensation plan, which may also include a discretionary bonus component. CIBC offers a full range of benefits and programs to meet our employee’s needs; including Medical, Dental, Vision, Health Savings Account, Life Insurance, Disability, and Other Insurance Plans, Paid Time Off (including Sick Leave, Parental Leave and Vacation), Holidays and 401(k), in addition to other special perks reserved for our team members.*
*This position does not offer visa sponsorship.*
 California residents — your privacy rights regarding your actual or prospective employment
 California Residents: CCPA Employee Privacy Rights \| CIBC US
 As a California resident, you have certain rights with respect to the personal information that CIBC collects. Learn more about the CPPA for employment.
**What CIBC Offers**
 At CIBC, your goals are a priority. We start with your strengths and ambitions as an employee and strive to create opportunities to tap into your potential. We aspire to give you a career, rather than just a paycheck.
* We work to recognize you in meaningful, personalized ways including a competitive salary, incentive pay, banking benefits, a benefits program\*, a vacation offering, wellbeing support, and MomentMakers, our social, points\-based recognition program.
* Our spaces and technological toolkit will make it simple to bring together great minds to create innovative solutions that make a difference for our clients.
* We cultivate a culture where you can express your ambition through initiatives like Purpose Day; a paid day off dedicated for you to use to invest in your growth and development.
* Subject to plan and program terms and conditions
**What You Need To Know**
* CIBC is committed to creating an inclusive environment where all team members and clients feel like they belong. We seek applicants with a wide range of abilities and we provide an accessible candidate experience. If you need accommodation, please contact Mailbox.careers\-carrieres@cibc.com
* You need to be legally eligible to work at the location(s) specified above and, where applicable, must have a valid work or study permit.
* We may ask you to complete an attribute\-based assessment and other skills tests (such as simulation, coding, MS Office). Our goal for the application process is to get to know more about you, all that you have to offer, and give you the opportunity to learn more about us.
**Job Location**
 IL\-70 W Madison St, 8th Fl
**Employment Type**
 Regular
**Weekly Hours**
 40
**Skills**
 Analytics, Application Configuration, Business Logic, Data Engineering, Data Modeling, Infrastructure Management (IM), Project Coordination, Semantics, Technical Support, Use Cases</t>
        </is>
      </c>
    </row>
    <row r="13">
      <c r="A13" t="inlineStr">
        <is>
          <t>li-4372865714</t>
        </is>
      </c>
      <c r="B13" t="inlineStr">
        <is>
          <t>Data Engineer</t>
        </is>
      </c>
      <c r="C13" t="inlineStr">
        <is>
          <t>AARATECH</t>
        </is>
      </c>
      <c r="D13" t="inlineStr">
        <is>
          <t>linkedin</t>
        </is>
      </c>
      <c r="E13" t="inlineStr"/>
      <c r="F13" t="inlineStr"/>
      <c r="G13" t="inlineStr"/>
      <c r="H13" t="inlineStr"/>
      <c r="I13"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14">
      <c r="A14" t="inlineStr">
        <is>
          <t>li-4372877503</t>
        </is>
      </c>
      <c r="B14" t="inlineStr">
        <is>
          <t>Data Engineer</t>
        </is>
      </c>
      <c r="C14" t="inlineStr">
        <is>
          <t>AARATECH</t>
        </is>
      </c>
      <c r="D14" t="inlineStr">
        <is>
          <t>linkedin</t>
        </is>
      </c>
      <c r="E14" t="inlineStr"/>
      <c r="F14" t="inlineStr"/>
      <c r="G14" t="inlineStr"/>
      <c r="H14" t="inlineStr"/>
      <c r="I14"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15">
      <c r="A15" t="inlineStr">
        <is>
          <t>li-4371969369</t>
        </is>
      </c>
      <c r="B15" t="inlineStr">
        <is>
          <t>Data Engineer</t>
        </is>
      </c>
      <c r="C15" t="inlineStr">
        <is>
          <t>SoTalent</t>
        </is>
      </c>
      <c r="D15" t="inlineStr">
        <is>
          <t>linkedin</t>
        </is>
      </c>
      <c r="E15" t="inlineStr"/>
      <c r="F15" t="inlineStr"/>
      <c r="G15" t="inlineStr">
        <is>
          <t>Frisco, TX</t>
        </is>
      </c>
      <c r="H15" t="inlineStr"/>
      <c r="I15" t="inlineStr">
        <is>
          <t>**Job Title: Principal Data Engineer** 
**Location: Frisco, Texas, United States** 
**Type: Full Time** 
 Our Client is seeking a highly experienced Principal Data Engineer to lead the design and development of modern, scalable data platforms. This role is ideal for a technical leader who thrives on building robust data architectures, optimizing analytics ecosystems, and shaping best‑in‑class engineering practices across data teams.
**What You’ll Do** 
**Data Engineering \&amp; Architecture** 
* Architect and implement scalable data pipelines and transformation workflows using tools such as dbt, SnowSQL, and cloud‑native technologies.
* Design and maintain enterprise‑level data lakes, data warehouses, and curated transformation layers leveraging modern patterns such as the Medallion (Bronze–Silver–Gold) architecture.
* Define and implement best practices for data ingestion, modeling, quality assurance, and lineage to ensure trusted, reliable, and consistent data delivery.
* Build reusable frameworks and automation tools for deployment, monitoring, and lifecycle management of data assets.
* Optimize data platforms for performance, reliability, and cost efficiency to support advanced analytics and machine learning workloads.
**Requirements** 
**Education** 
* Bachelor’s or Master’s degree in Computer Science, Data Science, Information Systems, or a related technical field.
**Experience** 
* 10\+ years of experience in data management, including integration, modeling, architecture, and performance optimization.
* Hands‑on experience with analytics platforms and tools such as Snowflake or Informatica Cloud.
* Expert‑level proficiency in SQL, SnowSQL, ETL development, and enterprise data warehousing concepts.
**Core Skills** 
* Strong background in conceptual architecture, data integration design, and technical wireframing.
* Familiarity with DevOps and Agile environments (preferred).
* Excellent communication, presentation, and change‑management skills.
**Nice to Have** 
* Exposure to SAP ERP and SAP‑based data integration processes.
* Experience with CI/CD pipelines, DevOps practices, and Git‑based workflows.
* Understanding of AI/ML use cases in data operations, such as anomaly detection or intelligent data quality.
* Certifications related to Snowflake, dbt, or major cloud platforms.</t>
        </is>
      </c>
    </row>
    <row r="16">
      <c r="A16" t="inlineStr">
        <is>
          <t>li-4372876343</t>
        </is>
      </c>
      <c r="B16" t="inlineStr">
        <is>
          <t>Senior Data Engineer</t>
        </is>
      </c>
      <c r="C16" t="inlineStr">
        <is>
          <t>Capgemini</t>
        </is>
      </c>
      <c r="D16" t="inlineStr">
        <is>
          <t>linkedin</t>
        </is>
      </c>
      <c r="E16" t="inlineStr"/>
      <c r="F16" t="inlineStr"/>
      <c r="G16" t="inlineStr">
        <is>
          <t>Seattle, WA</t>
        </is>
      </c>
      <c r="H16" t="inlineStr"/>
      <c r="I16" t="inlineStr">
        <is>
          <t>**About the job you're considering** 
 Capgemini is looking to hire a Databricks Engineer to join our team in Seattle. Some of the responsibilitiesas below:
**Your role** 
* Demonstrate deep knowledge of the data engineering domain to build and support non\-interactive (batch, distributed) \&amp; real\-time, highly available data, data pipeline, and technology capabilities
* Build fault\-tolerant, self\-healing, adaptive, and highly accurate data computational pipelines
* Provide consultation and lead the implementation of complex programs
* Develop and maintain documentation relating to all assigned systems and projects
* Tune queries running over billions of rows of data running in a distributed query engine
* Perform root cause analysis to identify permanent resolutions to software or business process issues
**Skills \&amp; experience** 
* Bachelor’s degree in computer science, management information systems, or related discipline, or equivalent work experience
* Strong/expert Spark (PySpark) DataBricks
* Hands\-on data pipeline development, ingest patterns in Azure
* Orchestration tools, ADF or Airflow
* SQL,Python, Pyspark
* Denormalized Data modeling for big data systems</t>
        </is>
      </c>
    </row>
    <row r="17">
      <c r="A17" t="inlineStr">
        <is>
          <t>li-4372864743</t>
        </is>
      </c>
      <c r="B17" t="inlineStr">
        <is>
          <t>Data Engineer</t>
        </is>
      </c>
      <c r="C17" t="inlineStr">
        <is>
          <t>AARATECH</t>
        </is>
      </c>
      <c r="D17" t="inlineStr">
        <is>
          <t>linkedin</t>
        </is>
      </c>
      <c r="E17" t="inlineStr"/>
      <c r="F17" t="inlineStr"/>
      <c r="G17" t="inlineStr"/>
      <c r="H17" t="inlineStr"/>
      <c r="I17"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18">
      <c r="A18" t="inlineStr">
        <is>
          <t>li-4366139749</t>
        </is>
      </c>
      <c r="B18" t="inlineStr">
        <is>
          <t>Senior Data Engineer</t>
        </is>
      </c>
      <c r="C18" t="inlineStr">
        <is>
          <t>Schonfeld</t>
        </is>
      </c>
      <c r="D18" t="inlineStr">
        <is>
          <t>linkedin</t>
        </is>
      </c>
      <c r="E18" t="inlineStr"/>
      <c r="F18" t="inlineStr"/>
      <c r="G18" t="inlineStr">
        <is>
          <t>New York, NY</t>
        </is>
      </c>
      <c r="H18" t="inlineStr"/>
      <c r="I18" t="inlineStr">
        <is>
          <t>**The Role**
 As the driving force behind Schonfeld’s next\-generation data platforms, you will architect, operate, and continually refine underlying platform that empowers research, systematic trading, AI and risk analytics. On top of this robust foundation, you’ll build and run high\-throughput pipelines spanning ultra\-low\-latency market\-data streams to cost\-efficient end\-of\-day workflows. Partner closely with quants, data scientists, and fellow engineers to achieve sub\-minute SLAs, shape firm\-wide architecture, and mentor peers. We believe diverse backgrounds and voices spark better ideas and more resilient systems, so you’ll join an inclusive culture where every perspective counts.
**What You’ll Do**
* Architect and operate the platform – 24x7 reliability, IaC\-driven deployments, tight cost controls
* Build and evolve batch and streaming pipelines that ingest billions of market\-data events each day
* Architect high\-performance, cost\-efficient Lakehouse tables
* Expose curated datasets via robust, versioned APIs consumed by quants and AI agents
* Optimize workflows to meet aggressive SLAs, embedding observability and automated data quality checks end\-to\-end
* Champion Infrastructure\-as\-Code with Git\-driven CI/CD for every data asset
* Mentor junior engineers and enforce best\-in\-class coding standards
* Continuously refine processes to keep our data ecosystem resilient and lightning\-fast
**What You’ll Bring**
 What you need:
* 7\+ years building production data platforms with Python and SQL
* Deep expertise in big\-data architecture: partitioning, sharding, columnar formats
* Hands\-on with SingleStore/MemSQL, Spark/Flink/EMR and event buses (Kafka/Kinesis)
* Proven AWS skills plus Terraform / CloudFormation infrastructure\-as\-code mastery
* Experience delivering data services for AI/ML workloads and feature pipelines
* Experience building AI/ML feature stores or RAG pipelines
* Performance\-tuning Postgres, SingleStore/MemSQL, or KDB for sub\-second queries
* Proficient in API design, versioning, and OpenAPI/Swagger documentation
* Comfortable collaborating directly with traders, quants, and data scientists
**We’d Love If You Had**
* Market\-data domain expertise (tick, options, macro)
* Mastery of Iceberg, Delta Lake, or Hudi on S3
* Hands\-on work with real\-time analytics engines such as SingleStore/MemSQL
* Skill with performance profiling tools
* Contributions to open\-source data tooling or technical talks
**Who We Are**
 Schonfeld is a global multi\-manager hedge fund that strives to deliver industry\-leading risk\-adjusted returns for our investors. We leverage both internal and external portfolio manager teams around the world, seeking to capitalize on inefficiencies and opportunities within the markets. We draw from decades of experience and a significant investment in proprietary technology, infrastructure and risk analytics to invest across four main strategies: Quant, Tactical, Fundamental Equity and Discretionary Macro \&amp; Fixed Income.
**Our Culture**
 At Schonfeld, we’ll invest in you. Attracting and retaining top talent is at the heart of what we do, because we believe that exceptional outcomes begin with exceptional people. We foster a culture where talent is empowered to continually learn, innovate and pursue ambitious goals. We are teamwork\-oriented, collaborative and encourage ideas—at all levels—to be shared. As an organization committed to investing in our people, we provide learning and educational offerings and opportunities to make an impact. We encourage community through internal networks, external partnerships and service initiatives that promote inclusion and purpose beyond the firm’s walls.
 The base pay for this role is expected to be between $150,000 and $190,000\. The expected base pay range is based on information at the time this post was generated. This role may also be eligible for other forms of compensation such as a performance bonus and a competitive benefits package. Actual compensation for the successful candidate will be determined based on a variety of factors such as skills, qualifications, and experience.</t>
        </is>
      </c>
    </row>
    <row r="19">
      <c r="A19" t="inlineStr">
        <is>
          <t>li-4373996833</t>
        </is>
      </c>
      <c r="B19" t="inlineStr">
        <is>
          <t>Senior Data Engineer-AI/BI Analytics</t>
        </is>
      </c>
      <c r="C19" t="inlineStr">
        <is>
          <t>FAMU National Alumni Association</t>
        </is>
      </c>
      <c r="D19" t="inlineStr">
        <is>
          <t>linkedin</t>
        </is>
      </c>
      <c r="E19" t="inlineStr"/>
      <c r="F19" t="inlineStr"/>
      <c r="G19" t="inlineStr">
        <is>
          <t>Addison, TX</t>
        </is>
      </c>
      <c r="H19" t="inlineStr"/>
      <c r="I19" t="inlineStr">
        <is>
          <t>The insights provided are generated by AI and may contain inaccuracies. Please independently verify any critical information before relying on it.
 Senior Data Engineer\-AI/BI Analytics
 The insights provided are generated by AI and may contain inaccuracies. Please independently verify any critical information before relying on it.
**Description**
**Job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**Position Summary**
 Join a groundbreaking team at Bank of America, at the forefront of innovation in AI. We are building the next generation of Gen AI platform, empowering new AI initiatives across Consumer, Small Business, Global Banking, and Wealth organizations. This is a unique opportunity to contribute to a critical platform that will enable secure, scalable, and high\-performance AI capabilities across the organization. We value curiosity, collaboration, and a passion for pushing the boundaries of what's possible with AI.
 This position is focused on design, build, and serve the Gen AI inferencing capabilities.
 This job is responsible for defining and leading the engineering approach for complex features to deliver significant business outcomes. Key responsibilities of the job include delivering complex features and technology, enabling development efficiencies, providing technical thought leadership based on conducting multiple software implementations, and applying both depth and breadth in a number of technical competencies. Additionally, this job is accountable for end\-to\-end solution design and delivery.
**Responsibilities**
* Assembles large, complex data sets that meet functional and non\-functional requirements, ensuring that the design and engineering approach is consistent across multiple systems
* Maintains, improves, cleans, and manipulates large data for operational and analytics data systems, builds complex processes supporting data transformation, data structures, metadata, data quality controls, dependency, and workload management, and communicates required information for deployment, maintenance, and support of business functionality
* Utilizes multiple architectural components in the design and development of client requirements and collaborates with development teams to understand data requirements and ensure the data architecture is feasible to implement
* Defines and builds data pipelines to enable data\-informed decision making, ensuring adherence to release processes and risk management routines
* Contributes to existing test suites including integration, regression, and performance, analyzes test reports, identifies any test issues and errors, and leads triage of underlying causes
* Leads the identification of gaps in data management standards adherence and works with appropriate partners to develop plans to close gaps, leading concept testing and conducting research to prototype toolsets and improve existing processes
* Mentors Data Engineers in the delivery and release of continuous integration and continuous delivery events and defines key performance indicators and internal controls
* Ensures that the design and engineering approach for complex features are consistent with the larger portfolio solution. Accountable for the availability, stability, scalability, security, and recoverability enabled by the designs.
* Define the technology tool stack for the solution and evaluate and adapt new testing tool/framework/practices for team(s)
* Enables team(s)/applications with Continuous Integration/Continuous Development (CI/CD) capabilities and engages with other technical stakeholders pertaining to efficient functioning of CI\-CD pipeline
* Guides and influences team(s) on design and best practices for high code performance \-e.g. pairing, code reviews
* Provides end\-to\-end delivery of complex features, including automation, for either a single team or multiple teams, at the program level
* Conducts research, design prototyping and other exploration activities such as evaluating new toolsets and components for release management, CI/CD, and features
* Works with stakeholders to establish high\-level solution needs and with architects for technical requirements
* Proficient written and verbal communication skills to support and shape the platform and clearly articulate technical designs and concepts; and to communicate effectively with all levels within the organization
* Design and execute the implementation plans to both move forward strategically, while at the same time ensuring the current technology stack is supporting current needs.
* Manage multiple priorities, and simultaneously engage with multiple teams worldwide.
* Coach and mentor team members
**Required Qualifications**
* 10\+ years strong experience designing and delivering AI, ML, Data platform, and advanced analytics platforms capabilities using open\-source technologies in large enterprise environment
* Experience with emerging technologies e.g. of GenAI (public and open source), MCP, Agents, AI BI etc.
* Hands\-on experience on data science, big data, cloud, governance technologies
* Experience architecting next generation AI analytical product delivery to all levels of users in organization using self\-service interfaces
* Proven track record in data, analytics, insight and AI/ML platforms supporting multiple business units.
* Experience in designing, developing, and maintaining software frameworks using Open\-Source technologies such as Python, Spark, Jupyter, FastAPI, LabelStud.io, Ragas etc.
* Strong working experience of how metadata management, semantic layers, labeling, annotations is important for enabling AI BI, MCP, Agents, Data Assistants etc.
* Experience with using various Open source and Cloud model for AI BI, Summarization etc., and tuning those models and deployment to provide higher throughput for latency and cost optimizations.
* Experience of building RAG with knowledge base, data sources and Vector Store platforms such as Redis, Solar, Postgres DB, FAISS, Teradata, Oracle, SQL Server, Hadoop etc.
* Hands on experienced building RAG, RAG Fusion, CAG etc.
* Experience with various inference metrics, and related monitoring and observability.
* Experience with serving multiple tenants/clients with model endpoints with secure boundaries.
* Experience with AI gateway, OPA, authentication \&amp; authorization, policy as code, API based systems Integration, cost management, and model routing
**Desired Qualifications**
* Experience developing Gen AI training and RAG platform with open\-source model, inferencing \&amp; servicing capabilities, MCP modules etc.
* Hands on experience on driving and maintaining a culture of quality, innovation, and experimentation.
* Research on new tools and capabilities for better UI and UX for advanced analytics platform, quick prototype and demonstrate the features and capabilities, and participate on various user forums.
**Skills**
* Analytical Thinking
* Application Development
* Data Management
* Risk Management
* Solution Design
* Agile Practices
* Architecture
* Collaboration
* Decision Making
* DevOps Practices
* Business Acumen
* Data Quality Management
* Financial Management
* Solution Delivery Process
* Test Engineering
**Shift**
 1st shift (United States of America)
**Hours Per Week**
 40
**Pay Transparency details**
 US \- NJ \- Jersey City \- 101 Hudson St \- 101 Hudson (NJ2101\)
 Pay and benefits information
 Pay range
 $128,000\.00 \- $182,300\.00 annualized salary, offers to be determined based on experience, education and skill set.
 Discretionary incentive eligible
 This role is eligible to participate in the annual discretionary plan. Employees are eligible for an annual discretionary award based on their overall individual performance results and behaviors, the performance and contributions of their line of business and/or group; and the overall success of the Company.
**Benefits**
 This role is currently benefits eligible. We provide industry\-leading benefits, access to paid time off, resources and support to our employees so they can make a genuine impact and contribute to the sustainable growth of our business and the communities we serve.</t>
        </is>
      </c>
    </row>
    <row r="20">
      <c r="A20" t="inlineStr">
        <is>
          <t>li-4372872589</t>
        </is>
      </c>
      <c r="B20" t="inlineStr">
        <is>
          <t>Data Engineer</t>
        </is>
      </c>
      <c r="C20" t="inlineStr">
        <is>
          <t>AARATECH</t>
        </is>
      </c>
      <c r="D20" t="inlineStr">
        <is>
          <t>linkedin</t>
        </is>
      </c>
      <c r="E20" t="inlineStr"/>
      <c r="F20" t="inlineStr"/>
      <c r="G20" t="inlineStr"/>
      <c r="H20" t="inlineStr"/>
      <c r="I20" t="inlineStr">
        <is>
          <t>**Location:** 
 United States (Remote / On\-site – based on client needs)
**Employment Type:** 
 Full\-time (Contract or Contract\-to\-Hire)
**Experience Level:** 
 Entry\-level (0–2 years)
**Company:** 
 Aaratech Inc
 🛑
 **Eligibility:** 
 Open to U.S. Citizens and Green Card holders only. We do not offer visa sponsorship.
 🔍
 **About Aaratech Inc** 
 Aaratech Inc is a specialized IT consulting and staffing company focused on placing talented individuals across data, cloud, and software disciplines. We work with top U.S. enterprises to deliver long\-term roles, competitive compensation, and opportunities to grow in modern data environments.
 🎯
 **Position Overview** 
 We are seeking a
 **Junior Data Analyst** 
 with 0–2 years of experience to support data analysis, reporting, and dashboard development for enterprise clients. This role is ideal for early\-career candidates who want to gain hands\-on experience working with real\-world datasets, analytical tools, and business teams. You will collaborate with senior analysts and data engineers to deliver clean, reliable insights that support business decisions.
 🛠️
 **Key Responsibilities** 
* Assist in analyzing datasets to identify trends and insights
* Support the creation of dashboards and reports using Power BI, Tableau, or Excel
* Write basic SQL queries for data extraction and validation
* Clean, organize, and prepare datasets for analysis
* Document findings and prepare simple data summaries for business teams
* Collaborate with senior analysts on KPIs, metrics, and data requirements
* Help with data quality checks and troubleshoot data discrepancies
* Maintain documentation for reports, dashboards, and data processes
 ✅
 **Required Skills \&amp; Experience** 
* 0–2 years of experience in Data Analysis or a related field
* Basic proficiency in SQL
* Hands\-on experience with Excel (pivot tables, formulas, charts)
* Familiarity with any BI tool (Power BI, Tableau, or Looker)
* Understanding of data cleaning, validation, and analytical concepts
* Knowledge of Python (optional but preferred) for basic data manipulation
* Strong attention to detail and analytical thinking
* Good communication skills and willingness to learn
 ⭐
 **Nice to Have** 
* Exposure to data visualization tools or dashboard building
* Familiarity with data models or basic statistics
* Internship or academic projects related to data analysis
* Experience with Google Analytics, Power Query, or data cleansing tools
* Understanding of cloud platforms (AWS/GCP/Azure) at a basic level</t>
        </is>
      </c>
    </row>
    <row r="21">
      <c r="A21" t="inlineStr">
        <is>
          <t>li-4372890034</t>
        </is>
      </c>
      <c r="B21" t="inlineStr">
        <is>
          <t>Data Engineer</t>
        </is>
      </c>
      <c r="C21" t="inlineStr">
        <is>
          <t>Wheels Up</t>
        </is>
      </c>
      <c r="D21" t="inlineStr">
        <is>
          <t>linkedin</t>
        </is>
      </c>
      <c r="E21" t="inlineStr"/>
      <c r="F21" t="inlineStr"/>
      <c r="G21" t="inlineStr"/>
      <c r="H21" t="inlineStr"/>
      <c r="I21" t="inlineStr">
        <is>
          <t>**Join Our Team at Wheels Up**
 At Wheels Up, we're proud to be a global leader in on\-demand private aviation. As one of the largest companies in the industry and a strategic partner of Delta Air Lines – we are committed to making private air travel safe, reliable, and enjoyable. With a diverse fleet of owned aircraft plus a global network of trusted charter operators, we offer our customers access to the right aircraft for their needs and the ability to fly on their terms.
 And it doesn’t stop at private flights. Wheels Up also provides freight services, safety and security solutions, and managed services to individuals, businesses, government agencies, and more. Regardless of how, when or where you want to fly, our mission is simple; deliver a premium, personalized aviation experience for every customer.
 We anticipate closing applications submissions for this role on 03/06/2026\. If the deadline is extended, we will update this job posting accordingly
**Location:** 
 Remote
**Responsibilities**
**Role Overview: What You’ll Be Doing**
 Wheels Up is looking for a versatile
 **Data Engineer** 
 to join our growing Data Platform team. In this role, you will design, build, and operate scalable data pipelines that power analytics, reporting, and business insights. You’ll combine hands ‑ on data engineering with light DevOps and operational responsibilities, working within a modern cloud data platform to deliver scalable, reliable, and governed data solutions that power analytics and business insights.
**Your Key Responsibilities (Essential Functions)**
* Design, build, and maintain scalable, cloud ‑ native data pipelines using PySpark and Spark SQL
* Develop reliable data ingestion, transformation, and orchestration workflows to support analytics and reporting needs
* Modernize the data platform by migrating legacy SQL logic and stored procedures into distributed, Spark ‑ based pipelines
* Develop automation and tooling for CI/CD automation, monitoring, alerting, and data quality checks across the data platform
* Support production data operations, including troubleshooting pipeline failures, resolving bugs, and tuning performance
* Manage Databricks operational responsibilities, including workspace configuration, access controls, and permissions
* Collaborate cross\-functionally, partnering with analytics, product, and engineering teams to deliver trusted, well ‑ governed data products
* Contribute to platform standards and best practices around reliability, observability, cost optimization, and data governance
**Qualifications**
**What You Bring to the Table: Education \&amp; Certification Requirements**
 We’re looking for someone who has a unique mix of experience, skills, and passion for what we do:
* Bachelor’s (with 4\+ years relevant experience) OR Master’s (with 2\+ years relevant experience).
* 3\+ years of hands ‑ on experience in data engineering, building and supporting production data pipelines
* Strong proficiency in Python and SQL, with experience writing performance, maintainable code
* Hands ‑ on experience with distributed data processing frameworks, such as Apache Spark (PySpark, Spark SQL)
* Solid understanding of ETL/ELT design patterns, data modeling, cost optimization, and performance optimization
* Experience working in cloud environments (Azure preferred; AWS or GCP acceptable)
* Familiarity with data lake or lakehouse architecture and modern analytics platforms
* Experience supporting production data systems, including troubleshooting, monitoring, and operational support
* Strong communication skills with the ability to collaborate effectively across technical and non ‑ technical teams
* High attention to detail, strong data intuition, and a commitment to data quality and reliability
* Comfortable working in a fast ‑ paced environment with evolving requirements and priorities
**The Extras We Value (Preferred Requirements)**
 While not mandatory, here are some additional things that would make you stand out:
* Experience with Databricks and orchestration tools (Workflows, Terraform)
* DevOps familiarity (CI/CD, GitHub Actions, Azure DevOps)
* Databricks, Azure, or cloud certifications a plus
* Python, SQL, Spark,
* Hands on Experience with at least (1\) Cloud service, we use Azure here at Wheels Up
* Advanced level skills
* Data Engineer Falin Python
* Data Manipulation
* Computer Science or Engineering Background
**Physical Requirements**
 We want to make sure you’re fully equipped for success. Here’s a look at any physical requirements needed for this role:
* Ability to sit for extended periods while working at a computer workstation
* Ability to use a computer, keyboard, and mouse for prolonged periods of detailed work
* Sufficient visual acuity to review complex financial statements, tax returns, and supporting documentation
* Ability to speak and hear clearly for frequent meetings and calls with internal teams and external advisors
* Ability to occasionally stand, walk, and move between office work areas
* Ability to lift and carry light office materials (up to approximately 15 pounds) such as files or a laptop
* Ability to maintain focus and accuracy during long periods of analytical, detail\-oriented tasks
**What We Offer**
**Salary Range \&amp; Benefits**
 At Wheels Up, we believe in fair compensation based on experience, skills, and qualifications. The compensation for this role ranges from $140,667\.00/Yr. to $150,000/Yr., depending on a variety of factors. We don’t typically start individuals at the top of the salary range; your place within the range is based on what you bring to the table. Additionally, you may be eligible for a discretionary annual incentive program, which rewards individual and organizational performance.
 We also offer a range of benefits designed to support your well\-being and personal life, including:
* Tuition Reimbursement
* Competitive 401(k)
* Comprehensive Medical, Dental, and Vision Insurance
* Complimentary access to mental health and wellness counseling through Spring Health
* Financial planning assistance
* A variety of additional programs and services in support of your total well\-being
**Everyone is welcome here**
 Each of us is unique, and that’s what makes us amazing. We believe there’s power in bringing people with different backgrounds, points of view and life experiences together. So, bring yourself and your best ideas.
 Wheels Up is committed to a policy of equal employment opportunity for applicants and employees. It is our policy to apply recruiting, hiring, training, promotion, compensation and professional development practices and make all other employment decisions without regard to actual or perceived race, color, religion, sex, national origin, age, disability, pregnancy status, genetic information, or any other characteristic protected by federal, state or local laws, regulations or ordinances.
 Because when we feel safe and comfortable being ourselves, there’s no limit to what we can achieve.
**Need Accommodations?**
 If you have a disability or are a disabled veteran and need assistance with applying, please reach out to us at hr@wheelsup.com. Simply include “Accommodation Request” in the subject line so we can quickly address your needs.
 We look forward to learning more about you and how you can contribute to the Wheels Up journey!</t>
        </is>
      </c>
    </row>
    <row r="22">
      <c r="A22" t="inlineStr">
        <is>
          <t>li-4367333008</t>
        </is>
      </c>
      <c r="B22" t="inlineStr">
        <is>
          <t>Senior Analytics Engineer</t>
        </is>
      </c>
      <c r="C22" t="inlineStr">
        <is>
          <t>Talently</t>
        </is>
      </c>
      <c r="D22" t="inlineStr">
        <is>
          <t>linkedin</t>
        </is>
      </c>
      <c r="E22" t="inlineStr"/>
      <c r="F22" t="inlineStr"/>
      <c r="G22" t="inlineStr">
        <is>
          <t>South San Francisco, CA</t>
        </is>
      </c>
      <c r="H22" t="inlineStr"/>
      <c r="I22" t="inlineStr">
        <is>
          <t>**Job Title:** 
 Senior Analytics Engineer
**Location:** 
 On Site \- South San Francisco, California, United States
**Salary:** 
 $140,000\-$175,000
**Skills:** 
 Analytics Engineering, Data Warehousing, SQL, Dimensional Data Modeling, Business Intelligence
**About the Transportation, Logistics, Supply Chain and Storage Company / The Opportunity:** 
 Join an innovative leader in the transportation, logistics, supply chain, and storage industry, focused on leveraging cutting\-edge technology to transform the delivery and availability of critical goods worldwide. As a Senior Analytics Engineer, you will become a trusted partner across business and operations teams, driving impactful analytics solutions that enable rapid, data\-driven decision making. This is a unique opportunity to work on high\-impact projects that connect business data and strategy, supporting essential operations across supply chain, manufacturing, maintenance, and fulfillment.
**Responsibilities:** 
* Bridge the gap between complex business challenges and the data required to address them.
* Develop and maintain scalable data pipelines to ensure stability, accuracy, and seamless data flow across operational systems.
* Partner with engineering teams to improve data quality at the source, shaping how analytics infrastructure is built and scaled.
* Design, develop, and optimize data models to transform and consolidate raw data into clean, reusable datasets for analytics.
* Define, track, and operationalize key business metrics and KPIs to inform strategic decisions.
* Collaborate with stakeholders to build intuitive dashboards, reports, and self\-service analytics tools that unlock actionable insights across the organization.
* Apply advanced statistical methods and experimental design to uncover trends, drive product and operational progress, and support marketing initiatives.
* Balance centralized and distributed reporting needs by building resources and models that empower teams to act independently.
**Must\-Have Skills:** 
* Bachelor’s degree in a related field and 7\+ years of relevant industry experience.
* Expertise in Analytics Engineering, including designing and building robust data pipelines and models.
* Proficiency in writing complex and efficient SQL queries.
* Hands\-on experience with modern data warehousing (preferably Snowflake) and dimensional data modeling (preferably using dbt).
* Experience with Business Intelligence tools, such as Mode and ThoughtSpot.
* Proven ability to translate business requirements into technical solutions.
* Excellent analytical and problem\-solving skills, with the ability to visualize and present complex results clearly.
* Strong communication and stakeholder management skills, explaining technical topics to diverse audiences.
**Nice\-to\-Have Skills:** 
* Familiarity with Python or R for advanced statistical analysis, experimental design, or predictive modeling.
* Experience working with finance, e\-commerce, and product data within supply chain or logistics contexts.
* Expertise in data storytelling and executive reporting to support high\-level decision making.
* Demonstrated ability to triage analytics requests and balance multiple projects and deadlines.
* Previous involvement in operational analytics for inventory, maintenance, engineering, or fulfillment operations.</t>
        </is>
      </c>
    </row>
    <row r="23">
      <c r="A23" t="inlineStr">
        <is>
          <t>li-4373996145</t>
        </is>
      </c>
      <c r="B23" t="inlineStr">
        <is>
          <t>Data Engineer (Level 3 or Level 4) - R10221101</t>
        </is>
      </c>
      <c r="C23" t="inlineStr">
        <is>
          <t>Northrop Grumman</t>
        </is>
      </c>
      <c r="D23" t="inlineStr">
        <is>
          <t>linkedin</t>
        </is>
      </c>
      <c r="E23" t="inlineStr"/>
      <c r="F23" t="inlineStr"/>
      <c r="G23" t="inlineStr">
        <is>
          <t>Virginia, United States</t>
        </is>
      </c>
      <c r="H23" t="inlineStr"/>
      <c r="I23" t="inlineStr">
        <is>
          <t>RELOCATION ASSISTANCE: No relocation assistance available
 CLEARANCE TYPE: None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Insights \&amp; Intelligence (i2\) organization is looking for individuals to work on fast\-paced special projects to support critical business initiatives with executive sponsorship. The right individuals are engineers that have demonstrated experiences across data engineering and data science, are deeply curious about how businesses operate, and enjoys building scalable products. You will work directly with domain product owners to empower the business and its decision\-making using data.
**This position can be hired as a Level 3 or Level 4, depending upon the selected candidate's experience and education. This role can be performed as a virtual telecommuter.**
**Key Responsibilities**
* Lead the design and development of products for fast\-paced special projects.
* Help shape the evolving data platform within CIDO by building reusable components and sharing ideas on architecture and best practices.
* Partner with business stakeholders, analysts, and data scientists to translate strategic questions into data products and pipelines.
* Design, code, test, and deploy production\-grade data pipelines and models using Python/PySpark and SQL within Databricks.
* Translate business requests into design specifications and requirements to build data engineering models, structures, and machine learning models that help scale our analytics.
**Basic Qualifications for a Level 3:** 
 Bachelor's degree in a related discipline and at least 5 years of relevant professional experience; Master's degree and 3 years of experience.
**Basic Qualifications for a Level 4:** 
 Bachelor's degree in a related discipline and at least 8 years of relevant professional experience; Master's degree and 6 years of experience.
**Additional Basic Qualifications For Both Levels**
* Must have, at minimum, a Bachelor’s degree in Computer Science, Software Engineering, or a related technical field.
* Must have a minimum of 5 years of hands\-on experience in data engineering, data science, or software engineering.
* Must have experience with Python and SQL.
* Must have experience with AWS, containerization, and Git.
* Understand the importance of software engineering best practices in data development.
* Proven ability to tackle ambiguous, cross‑domain business problems and turn them into concrete data solutions.
* Excellent communication skills, with a proven ability to translate technical concepts and data requirements for business partners.
**Preferred Qualifications**
* Strong experience in deploying production software engineering products or data engineering products.
* Experience in technical business consulting, ability to take customer requests from ambiguity to deployable product.
* Knowledge of domain\-driven data ownership concepts
 Primary Level Salary Range: $103,600\.00 \- $155,400\.00
 Secondary Level Salary Range: $129,300\.00 \- $193,900\.00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24">
      <c r="A24" t="inlineStr">
        <is>
          <t>li-4366263576</t>
        </is>
      </c>
      <c r="B24" t="inlineStr">
        <is>
          <t>Analytics Data Engineer</t>
        </is>
      </c>
      <c r="C24" t="inlineStr">
        <is>
          <t>General Atomics</t>
        </is>
      </c>
      <c r="D24" t="inlineStr">
        <is>
          <t>linkedin</t>
        </is>
      </c>
      <c r="E24" t="inlineStr"/>
      <c r="F24" t="inlineStr"/>
      <c r="G24" t="inlineStr">
        <is>
          <t>San Diego, CA</t>
        </is>
      </c>
      <c r="H24" t="inlineStr"/>
      <c r="I24" t="inlineStr">
        <is>
          <t>**Job Summary**
 General Atomics (GA), and its affiliated companies, is one of the world’s leading resources for high\-technology systems development ranging from the nuclear fuel cycle to remotely piloted aircraft, airborne sensors, and advanced electric, electronic, wireless and laser technologies.
 This position is responsible for analyzing business and technical processes to formulate and develop new and modified business processing systems. Represents the business unit to define requirements and business cases for technology developments. Determines system requirements, such as program functions, output requirements, input data acquisition, and system techniques and controls. Performs activities which involve the exercise of independent judgment and discretion about matters of significance.
**Duties And Responsibilities**
* Design, develop, and optimize data pipelines and workflows to support analytics and reporting needs.
* Implement and maintain scalable data architectures, ensuring efficient data integration and processing.
* Collaborate with stakeholders to gather requirements and translate them into technical solutions.
* Develop and maintain data models to support business intelligence and analytics initiatives.
* Ensure data quality, integrity, and security across all data processes.
* Monitor and troubleshoot performance issues in data pipelines and analytics systems.
* Stay updated on industry trends and emerging technologies to continuously improve data engineering practices.
* Additional Functions Other duties as assigned or required.
* We operate on a 9x80 schedule with every other Friday off.
 We recognize and appreciate the value and contributions of individuals with diverse backgrounds and experiences and welcome all qualified individuals to apply.
**Job Qualifications**
* Typically requires a Bachelors degree in Information Technology or related field and five or more years progressive experience in programming and development. Equivalent professional experience may be substituted in lieu of education.
* Proven experience in data warehouse development, data engineering, analytics, or related fields.
* Proficiency in Azure Synapse Data Flow and other Azure data services (e.g., Azure Data Factory, Azure SQL).
* Strong expertise in data warehouse and data modeling techniques (e.g., star schema, snowflake schema) and database design.
* Solid understanding of SQL and other query languages.
* Familiarity with programming languages for data engineering (e.g., Python, Scala, or Java).
* Knowledge of cloud\-based data solutions and services (e.g., Azure).
* Strong communication and collaboration skills to work effectively with cross\-functional teams.
* Must be customer focused and able to work on a self\-initiated basis or in a team environment and able to work extended hours and travel as required.
**Desired Skills:**
* Familiarity with SAP data structures, tables, and processes.
* Experience working with SAP data sources for analytics and reporting.
* Knowledge of big data technologies (e.g., Hadoop, Spark) and distributed computing frameworks.
* Understanding of machine learning pipelines and how to prepare data for AI/ML models.
* Strong knowledge of data statistics, including experience applying statistical methods to analyze, interpret, and visualize data trends (e.g., regression analysis, hypothesis testing, time series analysis).
* Experience with visualization tools (e.g., Power BI, Tableau) and integration with data pipelines.
* Knowledge of DevOps practices for data engineering, including CI/CD pipelines and version control.
 Job Type: Full\-Time Salary
 Salary range: 89,180 \- 155,825</t>
        </is>
      </c>
    </row>
    <row r="25">
      <c r="A25" t="inlineStr">
        <is>
          <t>li-4366291882</t>
        </is>
      </c>
      <c r="B25" t="inlineStr">
        <is>
          <t>Data Engineer (Direct To Cell)</t>
        </is>
      </c>
      <c r="C25" t="inlineStr">
        <is>
          <t>SpaceX</t>
        </is>
      </c>
      <c r="D25" t="inlineStr">
        <is>
          <t>linkedin</t>
        </is>
      </c>
      <c r="E25" t="inlineStr"/>
      <c r="F25" t="inlineStr"/>
      <c r="G25" t="inlineStr">
        <is>
          <t>Redmond, WA</t>
        </is>
      </c>
      <c r="H25" t="inlineStr"/>
      <c r="I25"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**DATA ENGINEER (DIRECT TO CELL)**
 The Direct to Cell network will expand Starlink’s vision by providing ubiquitous connectivity and seamless access to text, voice, and data for LTE phones and devices across the globe. The Direct to Cell network leverages the infrastructure we’ve built for Starlink over the past several years. Starlink is the world’s largest satellite constellation and is providing fast, reliable internet to 7M\+ users worldwide. As the global leader in rocket and satellite launch and manufacturing, SpaceX is uniquely positioned to rapidly scale our Direct to Cell network and will rapidly launch a constellation of hundreds of satellites.
 As a Data Engineer, you will be responsible for developing the strategy, key metrics, tools, software services, and processes for assessing how well key aspects of Direct to Cell are scaling and how effective the Direct to Cell Network is itself, in serving millions of users around the globe. You will work with operators, engineering leaders, subsystem responsible engineers, software engineers, and network engineers inside the Direct to Cell organization as well as key contacts with various major external partners to help ensure the growth of this program.
**Responsibilities**
* Build and maintain mission\-critical infrastructure, tools, processes, and custom software to objectively assess growth areas for the Direct to Cell program
* Automate the aggregation of metrics and detection of widespread application issues across Direct to Cell
* Establish and maintain relationships with key third\-party application/content owners
* Lead technical investigations about chronic application\-level issues
* Build ground\-based software systems that ingest, transform, and store data
* Apply data analytics, models, and techniques to data products created by space vehicles
* Create catalogs of data and tools that can be used by you and other teams to perform analytics
* Fuse data from multiple sources to create usable information
**Basic Qualifications**
* Bachelor’s degree in computer science, data science, physics, mathematics, or a STEM discipline
* 1\+ years of data/software engineering experience (internship experience is applicable)
* Experience in analytics, data science, or machine learning
**Preferred Skills And Experience**
* Experience handling large (TB\+) datasets
* Experience using SQL,
* Development experience in an object\-oriented programming language (i.e. C, C\+\+, Python)
* Experience building solutions with Parquet, or similar storage formats
* Knowledge of Kubernetes
* Experience building solutions with in\-stream data processing of structured and semi\-structured data
* Experience building predictive models and machine learning pipelines (clustering analysis, prediction, anomaly detection)
* Experience in custom ETL design, implementation, and maintenance
* Experience with developing and deploying tools used for data analysis
* Experience using Spark, Presto, Flink, or Snowflake
* Ability to work effectively in a dynamic environment that includes working with changing needs and requirements
* Ability to take on projects that require taking initiative and developing new expertise
**Additional Requirements**
* Must be willing to work extended hours and weekends as needed
**Compensation And Benefits**
 Pay range:
 Data Engineer/Engineer I: $122,500\.00 \- $145,000\.00/per year
 Data Engineer/Engineer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Company shuttles are offered to employees for round trip travel from select Seattle locations to the SpaceX Redmond office Monday to Friday.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26">
      <c r="A26" t="inlineStr">
        <is>
          <t>li-4355942257</t>
        </is>
      </c>
      <c r="B26" t="inlineStr">
        <is>
          <t>Senior Data Engineer</t>
        </is>
      </c>
      <c r="C26" t="inlineStr">
        <is>
          <t>Retell AI</t>
        </is>
      </c>
      <c r="D26" t="inlineStr">
        <is>
          <t>linkedin</t>
        </is>
      </c>
      <c r="E26" t="inlineStr"/>
      <c r="F26" t="inlineStr"/>
      <c r="G26" t="inlineStr"/>
      <c r="H26" t="inlineStr"/>
      <c r="I26" t="inlineStr">
        <is>
          <t>**About Retell Ai**
 Retell AI is using the first principles to reimagine the call center with cutting edge voice AI.
 Since launching 18 months ago, thousands of companies now utilize Retell’s AI voice agents to handle sales, support, and logistics calls that once required large teams of human agents. Backed by Y Combinator, Alt Capital, and other leading investors, we have scaled to $36M ARR with a team of 20 people, up from $5M at the start of 2025\.
 In 2026, We are expanding our vision to build a CX platform of the AI era where the entire contact center is reimagined as a team of AI employees. We are moving beyond mechanical automation that relies on human finetuning to instead transform core functions into intelligent, opinionated AI roles. Frontline agents, QA analysts, and managers now operate as distinct digital workers that serve as the new interface for customer experience. They execute, monitor, and improve continuously to create a system where software behaves like an organization.
 We’re scaling fast, and we’re looking for bold, ambitious people to help us build the gold standard for voice automation. If you want to work on deeply technical challenges, move fast, and make an outsized impact at one of the fastest\-growing Voice AI startups in the world, you’ll love it here.
 Let’s build the future together.
* We’re a top 50 AI app in a16z list: https://tinyurl.com/5853dt2x
* \#4 on Brex's Fast\-Growing Software Vendors of 2025: https://www.brex.com/journal/brex\-benchmark\-december\-2025
* We're also one of the top ranking startups on: https://leanaileaderboard.com/
**About The Role**
 As a Founding Senior Data Engineer at Retell, you will build the company’s analytics foundation from the ground up. You will own how data flows, how metrics are defined, and how decisions get made across Product, GTM, Finance, and Infrastructure.
 This is a highly technical, high\-leverage role. You’ll work directly with the founders and functional leads to turn raw data from product events, billing systems, CRMs, and internal services into reliable insights that shape strategy, pricing, hiring, and product direction.
 If you enjoy building end\-to\-end analytics systems, care deeply about data correctness, and want real ownership at an early\-stage AI company, this role is for you.
**Key Responsibilities**
* Design, build and manage our data pipelines, ensuring all user event data is seamlessly integrated into our data warehouse.
* Develop canonical datasets to track key product metrics including user growth, engagement, and revenue.
* Work collaboratively with various teams, including, Infrastructure, Data Science, Product, Marketing, Finance, and Research to understand their data needs and provide solutions.
* Develop insightful and reliable dashboards to track performance of core metrics that will deliver insights to the whole company
* Become an expert in our organization’s data models and the company's data architecture
* Ensure the security, integrity, and compliance of data according to industry and company standards.
 YOU MIGHT THRIVE IF
* Have a Bachelor’s degree in Computer Science, Data Engineering, Data Science, or a closely related technical field.
* Have 3\+ years of experience as a Data Engineer, Analytics Engineer, Data Analyst, or in a similar analytics\-focused role.
* Write production\-quality SQL and are comfortable with Python or similar languages.
* Have experience partnering closely with Product and GTM teams to define metrics that actually drive decisions.
* Have worked at a startup or fast\-growing company and are comfortable with ambiguity.
* Think in systems and care deeply about metric definitions and data correctness.
* Can translate messy business questions into clean, reliable analytical models.
* Enjoy owning problems end\-to\-end rather than operating within a narrow scope.
**JOB DETAILS**
* Cash: $170,000 \- $250,000 base salary
* Equity: Offers Equity
* Location: Redwood City, CA, US (Relocation Provided)
* US Visas: Retell AI is open to sponsoring work authorization for qualified candidates, including H1B/H\-1B, TN, L\-1, E\-3, F\-1 (OPT/CPT), and O\-1 visas.
**Other Benefits**
* 100% coverage for medical, dental, and vision insurance
* $70/day DoorDash credit for unlimited breakfast, lunch, dinner, and snacks
* $200/month wellness reimbursement (gym, fitness classes, etc.)
* $300/month commuter reimbursement (gas, Caltrain, etc.)
* $75/month phone bill reimbursement
* $50/month internet reimbursement
**Compensation Philosophy**
* Best Offer Upfront: Choose from three cash\-equity balance options, no negotiation needed.
* Top 1% Talent: Above\-market pay (top 5 percentile) to attract high performers.
* High Ownership: Small teams, \&gt;$1M revenue/employee, and significant equity.
* Performance\-Based: Offers tied to interview performance, not experience or past salaries.
 INTERVIEW PROCESS
* Recruiter Intro Call (15 min): Discuss your background and motivation, and give you a chance to learn about us.
* Technical First Round (45 min): This round will assess your data engineering fundamentals.
* Onsite (3 hours):
+ Technical Deep Dive: Data modeling, pipelines, and analytics systems
+ Analytics \&amp; Metrics: Cohort analysis, metric design, and trade\-offs
+ Business Judgment: Turning data into decisions</t>
        </is>
      </c>
    </row>
    <row r="27">
      <c r="A27" t="inlineStr">
        <is>
          <t>li-4365899271</t>
        </is>
      </c>
      <c r="B27" t="inlineStr">
        <is>
          <t>Data Center Analytics Engineer</t>
        </is>
      </c>
      <c r="C27" t="inlineStr">
        <is>
          <t>Google</t>
        </is>
      </c>
      <c r="D27" t="inlineStr">
        <is>
          <t>linkedin</t>
        </is>
      </c>
      <c r="E27" t="inlineStr"/>
      <c r="F27" t="inlineStr"/>
      <c r="G27" t="inlineStr">
        <is>
          <t>Austin, TX</t>
        </is>
      </c>
      <c r="H27" t="inlineStr"/>
      <c r="I27" t="inlineStr">
        <is>
          <t>**Minimum qualifications:**
* Bachelor’s degree in Computer Science, Engineering, or equivalent practical experience
* 5 years of experience in delivering analytics and data science applications
* 5 years of experience in Data Engineering
**Preferred qualifications:**
* Experience with Machine Learning and AI Integrations
* Experience with web development
**About The Job**
 Be part of a team that pushes boundaries, developing custom silicon solutions that power the future of Google's direct\-to\-consumer products. You'll contribute to the innovation behind products loved by millions worldwide. Your expertise will shape the next generation of hardware experiences, delivering unparalleled performance, efficiency, and integration.
 The Data Center Quality Analytics team delivers automated insights for improving quality and operations in Google’s data centers. We deliver on\-demand, custom insights through data engineering, advanced analytics, AI integrations, and custom application development.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$115,000\-$166,000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implement advanced analytics, AI/ML integrations, and rich data visualizations.
* Own data engineering workstreams, including data acquisition, data pipelining, data quality, data prep, and data warehousing.
* Collaborate with team members in delivering custom web applications.
* Engage stakeholders and partner teams to gain a deep understanding of business needs, and to develop innovative solutions to challenging business problems.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8">
      <c r="A28" t="inlineStr">
        <is>
          <t>li-4370695948</t>
        </is>
      </c>
      <c r="B28" t="inlineStr">
        <is>
          <t>Data Engineer</t>
        </is>
      </c>
      <c r="C28" t="inlineStr">
        <is>
          <t>Smart IT Frame LLC</t>
        </is>
      </c>
      <c r="D28" t="inlineStr">
        <is>
          <t>linkedin</t>
        </is>
      </c>
      <c r="E28" t="inlineStr"/>
      <c r="F28" t="inlineStr"/>
      <c r="G28" t="inlineStr">
        <is>
          <t>Las Vegas, NV</t>
        </is>
      </c>
      <c r="H28" t="inlineStr"/>
      <c r="I28" t="inlineStr">
        <is>
          <t>**Job Title: Data Engineering Support Lead** 
**Location: Las Vegas, NV (Onsite)** 
**Work Type: Full Time** 
**Primary Skills:\-** 
 Python/SAS, SQL, UAT Production Support and Banking domain
**About Smart IT Frame:**
 At Smart IT Frame, we connect top talent with leading organizations across the USA. With over a decade of staffing excellence, we specialize in IT, healthcare, and professional roles, empowering both clients and candidates to grow together.
**Job Description:**
**Mandatory** 
* Minimum 7\-10 years of Industry experience as a Data engineering
* Good Communication \- build relationships with Business \+ Product \+ Technology teams, work with multiple stakeholders
* Positive Attitude
* Hands on knowledge in Python who can write python scripts from scratch
* Strong SQL Knowledge
* Banking Domain knowledge preferably in Fraud, Risk and Payment Systems
* Prior experience of leading a team of minimum 2\-3 Data Engineers
* flexible to work outside of prescribed working hours \- UAT/Production support experience
* This position is based in Client Office in Vegas, and it is completely WFO (5 days a week)
* Strong Debugging and error handling skills
* Quick learner and have skill to understand existing code base to apply new business logic
**Nice to Have** 
* Someone who knows both Python and SAS will have an advantage
* Worked in live UAT/Prod support environments</t>
        </is>
      </c>
    </row>
    <row r="29">
      <c r="A29" t="inlineStr">
        <is>
          <t>li-4351148049</t>
        </is>
      </c>
      <c r="B29" t="inlineStr">
        <is>
          <t>Data Engineer - Credit</t>
        </is>
      </c>
      <c r="C29" t="inlineStr">
        <is>
          <t>Optiver</t>
        </is>
      </c>
      <c r="D29" t="inlineStr">
        <is>
          <t>linkedin</t>
        </is>
      </c>
      <c r="E29" t="inlineStr"/>
      <c r="F29" t="inlineStr"/>
      <c r="G29" t="inlineStr">
        <is>
          <t>New York, United States</t>
        </is>
      </c>
      <c r="H29" t="inlineStr"/>
      <c r="I29" t="inlineStr">
        <is>
          <t>Optiver is a leading global market maker, powered by technology, rigorous research, and deep collaboration. As markets grow more data\-driven and competitive, our ability to ingest, model, and deliver high\-quality data at scale is fundamental to maintaining our trading edge.
 We’re looking for a Data Engineer to join our Global Data Engineering team in New York City, with a dedicated focus on supporting our Credit Trading team and advancing our ETF and portfolio\-based systematic strategies. You’ll play a key role in building the data solutions that fuel both real\-time trading and long\-term research, working across the full data lifecycle, from discovery to derivation and validation, for datasets used in research and production systems.
**What You’ll Do**
 As Data Engineer, your key responsibilities include:
* Create novel analytics and frameworks to research and analyze trade\-offs between different sources of returns, flow, and risk
* Quantify market drivers with our Quantitative Researchers and Global Market Data team to support risk taking and decision making
* Model and normalize complex financial datasets to ensure they are clean, structured, and accessible for both research and production trading systems
* Own the reliability of these datasets and the associated data APIs
* Collaborate directly with alpha researchers, pricing researchers, and fellow engineers to understand evolving data needs and deliver reliable, scalable solutions
* Ensure data quality and consistency through validation, monitoring, and robust engineering practices
**What You’ll Get**
* The opportunity to work alongside best\-in\-class professionals from over 40 different countries
* Highly competitive compensation package
* Global profit\-sharing pool and performance\-based bonus structure
* 401(k) match up to 50%
* Comprehensive health, mental, dental, vision, disability, and life coverage
* 25 paid vacation days alongside market holidays
* Extensive office perks, including breakfast, lunch and snacks, regular social events, clubs, sporting leagues and more
**Who You Are**
* 3\+ years of experience as a Data Engineer, Data Scientist, or similar role in a high\-performance environment, preferably in financial services
* Strong proficiency in Python, with experience using libraries such as Pandas, Arrow, and Spark
* Solid understanding of data modeling, normalization, and API development in support of large\-scale analytical or trading systems
* Experience working with lakehouse architectures (e.g., Delta Lake, Databricks, AWS) to manage large\-scale, high\-quality analytical datasets
* Familiarity with a variety of data sources, including CDS, corporate/capital structure, and bond NAVs relevant to Fixed Income trading
* Strong software engineering fundamentals—especially around performance, scalability, and reliability in distributed systems
* Experience with statistical models and core methods of quantitative finance
* Exceptional attention to detail, organization, and project management skills
* Ability to operate productively in a fast\-paced, team\-oriented environment.
* Legal authorization to work in the U.S. is required
**Who We Are**
 At Optiver, our mission is to improve the market by injecting liquidity, providing accurate pricing, increasing transparency and stabilising the market no matter the conditions. With a focus on continuous improvement, we prioritise safeguarding the health and efficiency of the markets for all participants. As one of the largest market making institutions, we are a respected partner on 100\+ exchanges across the globe.
 Our differences are our edge. Optiver does not discriminate on the basis of race, religion, color, sex, gender identity, sexual orientation, age, physical or mental disability, or other legally protected characteristics.
*Below is the expected base salary for this position. This is a good\-faith estimate of the base pay scale for this position and offers will ultimately be determined based on experience, education, skill set, and performance in the interview process. This position will also be eligible for a discretionary bonus (if determined by Optiver) and Optiver’s benefits package with the benefits listed above.*
 Base Salary Range
 $150,000—$225,000 USD</t>
        </is>
      </c>
    </row>
    <row r="30">
      <c r="A30" t="inlineStr">
        <is>
          <t>li-4371982012</t>
        </is>
      </c>
      <c r="B30" t="inlineStr">
        <is>
          <t>Lead Data Engineer</t>
        </is>
      </c>
      <c r="C30" t="inlineStr">
        <is>
          <t>Galent</t>
        </is>
      </c>
      <c r="D30" t="inlineStr">
        <is>
          <t>linkedin</t>
        </is>
      </c>
      <c r="E30" t="inlineStr"/>
      <c r="F30" t="inlineStr"/>
      <c r="G30" t="inlineStr">
        <is>
          <t>New York, NY</t>
        </is>
      </c>
      <c r="H30" t="inlineStr"/>
      <c r="I30" t="inlineStr">
        <is>
          <t>**Technical Skills:** 
* Python: Programming, ETL scripting, business logic implementation, and experience with data manipulation libraries (pandas, NumPy).
* PL/SQL: Data transformation, view/table creation, and persistence layer interactions.
* Data Transformation Tools: DBT (Data Build Tool) for creating models and documentation.
* Orchestration and Data Processing Tools
* Orchestration: Airflow, Dataflow, and Cloud Composer.
* Data Ingestion: Cloud Functions, Cloud Run, SFTP mechanisms, and Falcon (for database connections).
**Cloud Platform:** 
* Google Cloud Platform (GCP) and BigQuery experience.
* Experience with cloud\-native data processing.</t>
        </is>
      </c>
    </row>
    <row r="31">
      <c r="A31" t="inlineStr">
        <is>
          <t>li-4373988618</t>
        </is>
      </c>
      <c r="B31" t="inlineStr">
        <is>
          <t>Data Engineer 3/4- Supply Chain Analytics - R10215730</t>
        </is>
      </c>
      <c r="C31" t="inlineStr">
        <is>
          <t>Northrop Grumman</t>
        </is>
      </c>
      <c r="D31" t="inlineStr">
        <is>
          <t>linkedin</t>
        </is>
      </c>
      <c r="E31" t="inlineStr"/>
      <c r="F31" t="inlineStr"/>
      <c r="G31" t="inlineStr">
        <is>
          <t>Virginia, United States</t>
        </is>
      </c>
      <c r="H31" t="inlineStr"/>
      <c r="I31" t="inlineStr">
        <is>
          <t>RELOCATION ASSISTANCE: No relocation assistance available
 CLEARANCE TYPE: None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Join our Insights \&amp; Intelligence (i2\) organization to contribute directly to our supply chain analytics team. As a Principal Data Engineer, you will be essential in building, maintaining, and optimizing the data pipelines that deliver clean, reliable information from our enterprise systems, particularly SAP, to power mission\-critical supply chain analytics. This role is 100% virtual/work from home.
**Key Responsibilities**
* Pipeline Execution: Design, code, test, and deploy production\-grade data pipelines using Python/PySpark and SQL within the Databricks environment to ingest and transform Supply Chain data.
* SAP Integration: Implement and maintain data extraction processes from SAP ERP systems, focusing on supply chain areas
* Data Modeling: Translate high\-level design specifications into physical data models and structures, ensuring the effective implementation of dimensional data models tailored for Supply Chain analytics.
* Data Reliability: Actively monitor pipeline health, troubleshoot production issues, and execute necessary fixes to ensure high data availability and accuracy for downstream reporting and analytics.
* Business Translation: Partner with Senior Engineers and Supply Chain analysts to understand their data needs, assisting in translating complex business questions related to demand planning, inventory, and logistics into specific data requirements.
* Quality \&amp; Governance: Adhere strictly to defined standards for data quality, security, and governance protocols, including proper documentation and adherence to established code quality practices.
* This role can be performed by a level 3 (mid\-career) or level 4 (senior\-career) professional.
**Basic Qualifications For Level 3**
* Must have, at minimum, a Bachelor’s degree in Engineering, Computer Science, Software Engineering, or a related technical field.
* Minimum of 5 years of hands\-on experience in Data Engineering or a related technical field.
* Minimum of 1 year of experience working in Supply Chain, Logistics, or Manufacturing domains.
* Hands\-on experience developing data integrations from SAP ERP systems, demonstrating a foundational understanding of relevant SAP data structures.
* Proficiency in SQL and Python for data manipulation and transformation.
* Direct experience with cloud\-based platforms such as Databricks and AWS.
* Proven experience working within a team using version control systems (e.g., Git) and following agile development practices.
**Basic Qualifications For Level 4**
* Must have, at minimum, a Bachelor’s degree in Engineering, Computer Science, Software Engineering, or a related technical field.
* Minimum of 8 years of hands\-on experience in Data Engineering or a related technical field.
* Minimum of 1 year of experience working in Supply Chain, Logistics, or Manufacturing domains.
* Hands\-on experience developing data integrations from SAP ERP systems, demonstrating a foundational understanding of relevant SAP data structures.
* Proficiency in SQL and Python for data manipulation and transformation.
* Direct experience with cloud\-based platforms such as Databricks and AWS.
* Proven experience working within a team using version control systems (e.g., Git) and following agile development practices.
**Preferred Qualifications**
* Strong working knowledge of dimensional modeling principles.
* Familiarity with specific SAP data models and modules.
* Understanding of fundamental data governance and Master Data Management (MDM) concepts.
 Primary Level Salary Range: $103,600\.00 \- $155,400\.00
 Secondary Level Salary Range: $129,300\.00 \- $193,900\.00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2">
      <c r="A32" t="inlineStr">
        <is>
          <t>li-4372853752</t>
        </is>
      </c>
      <c r="B32" t="inlineStr">
        <is>
          <t>Data Engineer, Support</t>
        </is>
      </c>
      <c r="C32" t="inlineStr">
        <is>
          <t>RemoteHunter</t>
        </is>
      </c>
      <c r="D32" t="inlineStr">
        <is>
          <t>linkedin</t>
        </is>
      </c>
      <c r="E32" t="inlineStr"/>
      <c r="F32" t="inlineStr"/>
      <c r="G32" t="inlineStr"/>
      <c r="H32" t="inlineStr"/>
      <c r="I32" t="inlineStr">
        <is>
          <t>About the Opportunity:
 The organization provides an end\-to\-end ecosystem designed to support Programs of All\-Inclusive Care for the Elderly (PACE) in delivering care, improving financial performance, and ensuring compliance. It replaces outdated technology with solutions for care coordination, risk adjustment, population health, and utilization management. The role focuses on supporting operations and improving outcomes for dual\-eligible seniors with complex healthcare needs.
 Responsibilities:
 • Own and maintain a legacy population health analytics product, focusing on backend data pipelines and the full\-stack application
 • Operate the production analytics product, managing data ingestion, transformation, orchestration, and the user interface
 • Build, maintain, and debug backend data pipelines using Airflow, Python (Pandas, Selenium), Snowflake, dbt, and Airbyte, emphasizing data quality and performance
 • Manage full\-stack analytics application, including backend services (Node.js) and frontend components (React)
 • Address bug fixes, operational issues, and production incidents, understanding system behavior and failure modes
 • Investigate and resolve data quality issues, pipeline failures, and application defects with durable fixes
 • Improve legacy codebases balancing speed, correctness, and maintainability
 • Communicate clearly about system health, root causes, and technical tradeoffs with teams and stakeholders
 Requirements:
 • Bachelor’s degree in Computer Science, Information Systems, or related field, or equivalent experience
 • 1 to 4 years of experience as a Software Engineer or Data Engineer
 • Proficiency in Python and experience with production data pipelines or ETL/ELT workflows
 • Working knowledge of SQL and relational or analytical databases
 • Exposure to backend or full\-stack development, including JavaScript and Node.js
 • Familiarity with frontend technologies like React or willingness to learn and maintain existing frontend code
 • Basic knowledge of modern data tools such as Airflow, dbt, Snowflake, and Airbyte
 • Ability to debug legacy systems and handle complex technical issues
 • Strong ownership and accountability for production systems
 • Clear written and verbal communication skills
 Preferred:
 • Experience maintaining legacy systems in production
 • Exposure to healthcare data, analytics platforms, or regulated environments
 • Experience working in small teams or fast\-paced environments
 Benefits \&amp; Perks:
 • Competitive salary and benefits package including uncapped PTO and health insurance
 • Professional development and growth opportunities
 • Flexible remote work environment
 Compensation:
 • Salary range for this role is $95,000 to $120,000 annually
 • Ideal candidate expected near midpoint of range; final pay based on experience and skills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3">
      <c r="A33" t="inlineStr">
        <is>
          <t>li-4350223430</t>
        </is>
      </c>
      <c r="B33" t="inlineStr">
        <is>
          <t>Data Engineer</t>
        </is>
      </c>
      <c r="C33" t="inlineStr">
        <is>
          <t>MetroPlusHealth</t>
        </is>
      </c>
      <c r="D33" t="inlineStr">
        <is>
          <t>linkedin</t>
        </is>
      </c>
      <c r="E33" t="inlineStr"/>
      <c r="F33" t="inlineStr"/>
      <c r="G33" t="inlineStr">
        <is>
          <t>New York, NY</t>
        </is>
      </c>
      <c r="H33" t="inlineStr"/>
      <c r="I33" t="inlineStr">
        <is>
          <t>The position of Data Engineer in the Analytics and Reporting Department is responsible in managing encounter data submission to NYSDOH, CMS and other regulatory entities as required. The responsibility includes troubleshooting EDI mapping issues, Encounter data reporting errors, monitoring Encounter Data Quality reports, ensuring adherence to EDI standards, writing complex SQL Queries and stored procedures, SSIS jobs for EDI file submission, and troubleshooting EDI error records. Additionally, this role is responsible for developing and maintaining EDI documentation including process flow and cross\-functional team collaboration regarding identification of EDI problem areas. Lastly, the Data Engineer is responsible for preparing test data, conditions and expected results to verify new EDI updates and logic.
 The successful candidate must have strong SQL programming skills, EDI Analytical skills, communication skills, and healthcare experience with knowledge in membership, provider, and claims data.
**Scope Of Role \&amp; Responsibilities**
* Monitor and submit Encounter Data files to NYSDOH OSDS and CMS.
* Collaborate with vendors/end users on correcting EDI error transactions and resubmissions to NYSDOH and CMS.
* Automate manual processes for Encounter Data submissions.
* Support the Compliance and Regulatory department for any inquiry on Encounter Data processes.
* Support MMCOR reporting
* Create KPI reports on Encounter Data reporting.
* Create SQL stored procedures and flow diagrams and document the process for Encounter Data Reporting.
* Troubleshoot EDI Errors and keep track of all the resubmissions.
**Required Education, Training \&amp; Professional Experience**
* Bachelor’s degree in Information Systems, Computer Science, Database Management, or related field.
* Minimum 5 years of programming experience in SQL Server database object development including but not limited to stored procedures, functions, views, SSIS and SSRS, X12 EDI mapping and development, and troubleshooting EDI errors.
* Minimum 3 years’ experience in complex healthcare data like Claims and Enrollment.
* Working knowledge of EDI X12 Standards
* Previous experience in BI reporting tools, such as BusinessObjects, Tableau, or Power BI
* Knowledge of Visual Studio, .Net Development, XML, BizTalk.
**Professional Competencies**
* Integrity and Trust
* Collaboration and Time management skills
* Functional/Technical skills
* Written/Oral Communication
* Ability to work effectively in a team environment and adapt to different projects and assignments quickly.
* Excellent analytical and problem\-solving skills</t>
        </is>
      </c>
    </row>
    <row r="34">
      <c r="A34" t="inlineStr">
        <is>
          <t>li-4373987232</t>
        </is>
      </c>
      <c r="B34" t="inlineStr">
        <is>
          <t>Senior Graph Data Engineer</t>
        </is>
      </c>
      <c r="C34" t="inlineStr">
        <is>
          <t>Jobgether</t>
        </is>
      </c>
      <c r="D34" t="inlineStr">
        <is>
          <t>linkedin</t>
        </is>
      </c>
      <c r="E34" t="inlineStr"/>
      <c r="F34" t="inlineStr"/>
      <c r="G34" t="inlineStr"/>
      <c r="H34" t="inlineStr"/>
      <c r="I34" t="inlineStr">
        <is>
          <t>**This position is posted by Jobgether on behalf of a partner company. We are currently looking for a Senior Graph Data Engineer in United States.**
 In this hands\-on engineering role, you will design, build, and maintain advanced data and software platforms that power high\-impact analytical solutions. You will work at the intersection of full\-stack development, graph technologies, and distributed data systems, delivering robust and scalable components for complex, data\-intensive environments. Collaborating closely with multidisciplinary teams, you will help shape modern architectures and contribute to platform evolution. This role offers exposure to cutting\-edge technologies, including graph databases, cloud\-native services, and AI\-driven workflows. You will play a key role in building reliable, secure, and compliant solutions within regulated industries. Operating in a dynamic and innovative environment, you will have the opportunity to make a meaningful impact on mission\-critical systems.
**Accountabilities**
* Design, develop, test, and maintain full\-stack and data platform components using Python, Java, C/C\+\+, and/or C\# in analytical and data\-intensive environments
* Build and optimize graph\-based and relational data models using technologies such as Neo4j, PostgreSQL, Snowflake, Hive, and MongoDB
* Develop and deploy containerized applications using Docker, with exposure to Kubernetes\-based orchestration and cloud\-native environments
* Integrate enterprise systems through secure APIs, implementing authentication, authorization, and reliability patterns
* Implement comprehensive automated testing strategies, including unit, integration, performance, and security testing across the software lifecycle
* Work with distributed data platforms such as Spark or Databricks to process and analyze large\-scale datasets
* Contribute to CI/CD pipelines, platform automation, and infrastructure\-as\-code initiatives
* Collaborate cross\-functionally to deliver validated, compliant, and high\-quality software solutions
**Requirements**
* At least 5 years of hands\-on experience developing full\-stack or data engineering solutions in complex, data\-driven environments
* Strong proficiency in Python and at least one additional language such as Java, C/C\+\+, or C\#
* Experience working with graph, relational, and NoSQL databases, including Neo4j, PostgreSQL, Snowflake, Hive, or MongoDB
* Practical experience with Docker, containerized deployments, and exposure to Kubernetes
* Solid background in API integration, authentication mechanisms, and secure system design
* Demonstrated experience implementing automated testing frameworks and quality assurance practices
* Experience working with distributed data processing platforms such as Spark or Databricks
* Familiarity with machine learning frameworks, agentic AI systems, or regulated industry environments is a strong plus
* Strong problem\-solving, communication, and collaboration skills, with a proactive and quality\-focused mindset
**Benefits**
* Competitive compensation package, available as permanent or contractor engagement
* Fully remote work model with flexible scheduling
* Exposure to innovative, high\-impact projects in data, analytics, and digital transformation
* Opportunities for professional growth, continuous learning, and career advancement
* Collaborative and inclusive work culture with global teams
* Access to cutting\-edge tools, platforms, and technologies
* Supportive environment that values autonomy, ownership, and innovation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5">
      <c r="A35" t="inlineStr">
        <is>
          <t>li-4372858895</t>
        </is>
      </c>
      <c r="B35" t="inlineStr">
        <is>
          <t>Staff Data Engineer</t>
        </is>
      </c>
      <c r="C35" t="inlineStr">
        <is>
          <t>Saige Partners</t>
        </is>
      </c>
      <c r="D35" t="inlineStr">
        <is>
          <t>linkedin</t>
        </is>
      </c>
      <c r="E35" t="inlineStr"/>
      <c r="F35" t="inlineStr"/>
      <c r="G35" t="inlineStr">
        <is>
          <t>Eden Prairie, MN</t>
        </is>
      </c>
      <c r="H35" t="inlineStr"/>
      <c r="I35" t="inlineStr">
        <is>
          <t>Position Summary
**Staff Data Engineer** 
 within the Sales and Marketing domain as part of the Data and Analytics team. This is an exciting opportunity to help modernize and scale enterprise analytics while working with a collaborative, business\-focused organization.
 The ideal candidate brings strong technical expertise, excellent communication skills, and the ability to manage multiple initiatives that require creative problem\-solving. You will work closely with Sales and Marketing partners, data scientists, and analytics teams to design and engineer data pipelines, data models, dashboards, and analytics solutions that enable business insight and decision\-making.
 Key Responsibilities
* Collaborate with Sales and Marketing stakeholders, data scientists, BI analysts, and technical teams to understand data needs and deliver scalable analytics solutions
* Develop overall database and data warehouse structures based on functional and technical requirements
* Engineer physical and logical data models for dimensions and facts across staging, warehouse, and semantic layers
* Design, build, and maintain data pipelines using SQL, Python, Google Cloud Platform, Incorta, and Informatica ETL
* Performance tune SQL, Python, Incorta, Informatica ETL pipelines, and Google BigQuery Dataprocs for medium to large data sets
* Engineer scheduling and orchestration for batch and mini\-batch data loads into enterprise data platforms
* Utilize SQL within Google BigQuery, Informatica ETLs, Incorta pipelines, and Oracle SQL views to calculate metrics and derive dimensions
* Provide issue resolution, enhancements, and ongoing maintenance for enterprise data warehouse and analytics solutions
* Engineer dashboards, reports, and visualizations using Oracle Business Intelligence, Power BI, and Tableau with strong user experience and performance
* Ensure data accuracy, performance, and scalability across reporting and analytics solutions
 Core Competencies
**Data Structures and Models** 
* Design and develop database and data warehouse structures to support analytics
* Build data collection frameworks for structured and some unstructured data
**Data Pipelines and ELT** 
* Extract, load, and transform data from multiple sources into dimensional models
**Data Performance** 
* Troubleshoot and resolve performance issues related to querying and data integration
* Proactively test performance scenarios during development
**Visualizations and Dashboards** 
* Design reports and dashboards aligned to business needs
* Use visualization best practices to accelerate insight discovery
 Required Qualifications
* Bachelor’s degree in Computer Science, MIS, or related field
* 4\+ years of experience reading and writing SQL
* 3\+ years of experience engineering within a data warehouse or related dimensional modeling environment
* 3\+ years of experience designing and developing ETLs or pipelines using Python, Google BigQuery Dataprocs, and/or Informatica ETL
* 3\+ years of experience enabling data for Point of Sale or syndicated consumption platforms (Circana preferred)
* Proven ability to gather detailed technical requirements and deliver end\-to\-end data and analytics solutions
* Excellent written and verbal communication skills
* Strong organizational, time management, and problem\-solving skills
* Demonstrated initiative and strong interpersonal skills
* Must be authorized to work in the United States for any employer without current or future sponsorship
 Preferred Qualifications
* Advanced SQL skills, including complex queries and analytical functions
* Experience with Google Cloud Platform, especially BigQuery, Dataflow, Datafusion, Pub/Sub, Cloud SQL, and Cloud Storage
* Experience with Oracle databases and Oracle SQL performance tuning
* Experience tuning complex SQL and ETL processes
* Experience working with Sales, Marketing, and Consumption data
* Experience with syndicated consumption providers or retailer\-focused POS platforms
* Experience working within OBIEE metadata models, including physical, logical, and presentation layers</t>
        </is>
      </c>
    </row>
    <row r="36">
      <c r="A36" t="inlineStr">
        <is>
          <t>li-4330754812</t>
        </is>
      </c>
      <c r="B36" t="inlineStr">
        <is>
          <t>Data Engineer</t>
        </is>
      </c>
      <c r="C36" t="inlineStr">
        <is>
          <t>Base-2 Solutions</t>
        </is>
      </c>
      <c r="D36" t="inlineStr">
        <is>
          <t>linkedin</t>
        </is>
      </c>
      <c r="E36" t="inlineStr"/>
      <c r="F36" t="inlineStr"/>
      <c r="G36" t="inlineStr">
        <is>
          <t>Tysons Corner, VA</t>
        </is>
      </c>
      <c r="H36" t="inlineStr"/>
      <c r="I36" t="inlineStr">
        <is>
          <t>**Standard Title**
 Required Security Clearance:
**Top Secret/SCI with CI Polygraph**
**City**
**Tysons Corner**
**State/Territory**
**Virginia**
**Travel**
**None**
**Potential For Teleworking**
**No**
**Schedule**
**Full Time**
**DoD 8570 IAT Requirement**
**None**
**DoD 8570 IAM Requirement**
**None**
**DoD 8570 IASAE Requirement**
**None**
**DoD CSSP Requirement**
**None**
**Last Updated**
**2/12/26 8:31 PM**
**Requisition ID**
**435762**
 US Citizenship Required?:
**Yes**
**Pay Range**
**$113,240\.96 to $150,987\.95**
**Work Type**
**On\-Site**
**Referral Eligibility**
**Eligible**
**Job Description**
 Base\-2 Solutions is seeking a Data Engineer who will work with team members to build, deploy, and operate data pipelines and data engineering components to enable data brokering and exchange capabilities across a diverse range of producers and consumers. In this role, you will be responsible for building robust, scalable data pipelines while working collaboratively with cross\-functional teams to ensure seamless integration, optimized performance, and efficient delivery of solutions.
**Capabilities**
* Work with team members to operationalize data pipelines and supporting cloud infrastructure.
* Collaborate with external data producers and consumers to obtain and provide data through interfaces such as REST APIs and S3\.
* Provide day\-to\-day support of deploying Python\-native data pipelines and performing data engineering tasks to enable data brokering and exchange capabilities.
* Provide Tier 2/3 troubleshooting and incident resolution support for data pipelines in Production.
**Qualifications**
* 4\+ years of proven experience in data engineering, with expertise in designing, developing, and maintaining data ingestion, transformation, and loading pipelines and components.
**Required Skills/Experience**
* Demonstrated experience in designing and deploying data pipelines leveraging AWS cloud infrastructure across multiple classification domains (e.g., IL5 to IL6\+).
* Experience with infrastructure\-as\-Code (IaC) tools, including Terraform, CloudFormation, or Ansible, to automate deployment of data pipeline cloud infrastructure.
* Understanding of RMF security principles and hands\-on experience implementing security controls for data pipelines in cloud environments.
* Strong scripting and programming skills in languages such as NiFi, Hadoop, HDFS, and Kafka. Experience implementing data pipelines in the Cloudera Data Platform environment in highly preferred.
* Strong communication skills, with the ability to clearly convey complex technical concepts.
**Pay \&amp; Benefit Highlights** 
**Compensation**
* Competitive fixed salary or hourly pay (based on experience, skills, location, and internal equity).
* Employee referral bonuses up to $10,000 per hired referral.
* Additional bonus opportunities for exceptional performance and contributions to business development and company growth (role\-dependent).
**Health**
* 100% company\-paid medical premiums for employees and eligible dependents.
* Choose from multiple plan options with CareFirst, Kaiser, and UnitedHealthcare, including PPO, POS, HMO, and HSA\-compatible plans.
* 100% company\-paid dental premiums for employees and eligible dependents.
* 100% company\-paid vision premiums for employees and eligible dependents.
**Income Protection**
* 100% company\-paid premiums for short\-term disability.
* 100% company\-paid premiums for long\-term disability.
* 100% company\-paid premiums for accidental death \&amp; dismemberment (AD\&amp;D).
* 100% company\-paid premiums for life insurance up to $200,000\.
**Retirement**
* 401(k) with immediate vesting: 4% company match plus a 4% non\-elective company contribution (8% total).
* 401(k) pre\-tax and Roth options.
**Leave**
* Up to 20 days of flexible paid time off (PTO).
* 11 paid floating holidays.
**Work\-Life Balance**
* Flexible work schedules, including flex time and compressed work periods (contract and project\-dependent).
**Equal Opportunity Employer**
 Base\-2 Solutions is an Equal Opportunity Employer. All qualified applicants will receive consideration for employment without regard to race, color, religion, sex, sexual orientation, gender identity, national origin, disability, or status as a protected veteran.</t>
        </is>
      </c>
    </row>
    <row r="37">
      <c r="A37" t="inlineStr">
        <is>
          <t>li-4374112209</t>
        </is>
      </c>
      <c r="B37" t="inlineStr">
        <is>
          <t>Lead Data Engineer</t>
        </is>
      </c>
      <c r="C37" t="inlineStr">
        <is>
          <t>Resource 1 LLC</t>
        </is>
      </c>
      <c r="D37" t="inlineStr">
        <is>
          <t>linkedin</t>
        </is>
      </c>
      <c r="E37" t="inlineStr"/>
      <c r="F37" t="inlineStr"/>
      <c r="G37" t="inlineStr">
        <is>
          <t>Warrendale, PA</t>
        </is>
      </c>
      <c r="H37" t="inlineStr"/>
      <c r="I37" t="inlineStr">
        <is>
          <t>**Role: Lead Data Engineer (Databricks \&amp; Azure)** 
**Location:** 
 Warrendale, PA (Hybrid)
**Team:** 
 Enterprise Data \&amp; Analytics Capability
 We are looking for a heavy\-hitting
 **Lead Data Engineer.** 
 This isn’t just about moving data; it’s about architecting the future of our Data Lakehouse. You will lead the design and optimization of large\-scale data solutions that power actionable insights across the enterprise.
**What You’ll Do** 
* **Architect the Foundation:** 
 Design and maintain high\-performance, scalable data pipelines on
 **Databricks** 
 using Spark and Delta Lake.
* **Write Elite Code:** 
 Craft clean, maintainable
 **PySpark** 
 and
 **SQL** 
 for complex data transformations.
* **Model the Future:** 
 Build robust relational and
 **Kimball** 
 data models that make reporting seamless.
* **Lead the Standard:** 
 Drive engineering best practices, mentor junior talent, and provide architectural guidance across the team.
* **Optimize Everything:** 
 Monitor Spark jobs and cluster usage to ensure we are running at peak efficiency.
**Who You Are** 
* **A Seasoned Pro:** 
 You have
 **10\+ years** 
 of programming experience, with a deep focus on the data engineering domain.
* **Cloud Fluent:** 
 You’re an expert in
 **Azure** 
 and have a proven track record with big data platforms.
* **Databricks Specialist:** 
 You know your way around a Data Lakehouse. (Bonus points if you’re Databricks certified!)
* **DevOps Minded:** 
 You live by CI/CD pipelines and version control.
* **A Communicator:** 
 You can translate "tech\-speak" into business value for stakeholders.
* **Platform:** 
 Databricks, Azure
* **Languages:** 
 Python (PySpark), SQL
* **Frameworks:** 
 Delta Lake, Spark Streaming, Kimball Modeling
* **Tools:** 
 CI/CD, BI Platforms (Power BI/Tableau)</t>
        </is>
      </c>
    </row>
    <row r="38">
      <c r="A38" t="inlineStr">
        <is>
          <t>li-4372835966</t>
        </is>
      </c>
      <c r="B38" t="inlineStr">
        <is>
          <t>Data Engineer</t>
        </is>
      </c>
      <c r="C38" t="inlineStr">
        <is>
          <t>Haystack</t>
        </is>
      </c>
      <c r="D38" t="inlineStr">
        <is>
          <t>linkedin</t>
        </is>
      </c>
      <c r="E38" t="inlineStr"/>
      <c r="F38" t="inlineStr"/>
      <c r="G38" t="inlineStr"/>
      <c r="H38" t="inlineStr"/>
      <c r="I38" t="inlineStr">
        <is>
          <t>Data Platform Engineer \[Application DBA] \| Lincolnshire, Illinois, United States \| Hybrid \| USD 109000\-163400 Yearly
 We're working with Zebra on this exciting opportunity. This role is for an Application/Platform DBA, crucial for shaping and managing next\-gen database environments, with a strong focus on Oracle technologies. Join a team dedicated to innovation and impactful solutions.
 The Role
 • Plan computerized databases, including definition, structure, documentation, and operational guidelines
 • Ensure data accuracy and completeness in master files and support tools
 • Establish and maintain security and integrity controls for databases
 • Formulate and monitor policies, procedures, and standards for database management
 • Propose and implement enhancements for system performance and reliability
 • Provide preventative maintenance, troubleshooting, and rapid resolution for database infrastructure stability
 What You'll Need
 • Bachelor’s degree and 5\+ years of experience in Data Platform Engineering
 • Comprehensive experience with Oracle 19c RAC on Linux/Unix, including installation, patching, and tuning
 • Expertise in Oracle EBS R12\.2\.x administration, encompassing upgrades and application support
 • Proven proficiency with Oracle WebLogic Server lifecycle: installation, configuration, and patching
 • Strong experience in Linux/Unix operating systems and shell scripting
 • Excellent troubleshooting and root\-cause analysis skills, with a collaborative approach
 What's On Offer
 • Opportunity to contribute to the technical vision of next\-generation bureau platforms
 • A hybrid work model, requiring 3 days per week in the Lincolnshire, IL or Holtsville, NY office
 • Comprehensive benefits package including healthcare, wellness, and continuous learning
 • Eligibility for cash incentive programs and potential long\-term incentive equity awards
 Apply via Haystack today!</t>
        </is>
      </c>
    </row>
    <row r="39">
      <c r="A39" t="inlineStr">
        <is>
          <t>li-4357492872</t>
        </is>
      </c>
      <c r="B39" t="inlineStr">
        <is>
          <t>Data Engineer / Data Scientist / Data Architect - Full time</t>
        </is>
      </c>
      <c r="C39" t="inlineStr">
        <is>
          <t>Ztek Consulting</t>
        </is>
      </c>
      <c r="D39" t="inlineStr">
        <is>
          <t>linkedin</t>
        </is>
      </c>
      <c r="E39" t="inlineStr"/>
      <c r="F39" t="inlineStr"/>
      <c r="G39" t="inlineStr">
        <is>
          <t>Vienna, VA</t>
        </is>
      </c>
      <c r="H39" t="inlineStr"/>
      <c r="I39" t="inlineStr">
        <is>
          <t>Below are the 3 roles open:
 1\) Data Engineer
 2\) Data Scientist
 3\) Data Architect
**Job Descriptions:** 
**Data Engineer Job Description :** 
* Design, build, and optimize batch and real\-time data pipelines using Python, SQL, Airflow, Kafka, and AWS Glue
* Lead scalable ETL and data lake architectures across distributed cloud environments
* Ensure data quality, governance, security, and compliance while supporting analytics and data science needs
* Mentor junior engineers and collaborate with stakeholders to deliver reliable, well\-documented data solutions
**Data Scientist Job Description :** 
* 3\+ years of experience in statistical modeling and applied data analysis, including regression, classification, clustering, and time\-series analysis
* Proficient in Python or R, with hands\-on experience in data wrangling, visualization, and model development
* Strong experience with SQL/Spark SQL, basic data modeling, and cloud platforms (AWS, Azure, or GCP)
* Excellent ability to communicate complex insights and manage multiple priorities effectively
**Data Architect Job Description :** 
* Lead and mentor data engineering teams while architecting and building enterprise\-scale data platforms from design through production
* Develop and optimize production\-grade ETL/ELT pipelines, data models, and data warehouses using Python, SQL, PySpark, and cloud platforms (AWS/GCP)
* Implement CI/CD, data governance, quality frameworks, and secure, compliant data solutions aligned with federal/VA standards
* Collaborate with cross\-functional stakeholders to translate business requirements into scalable, high\-quality data solutions</t>
        </is>
      </c>
    </row>
    <row r="40">
      <c r="A40" t="inlineStr">
        <is>
          <t>li-4358130166</t>
        </is>
      </c>
      <c r="B40" t="inlineStr">
        <is>
          <t>Senior Data Engineer</t>
        </is>
      </c>
      <c r="C40" t="inlineStr">
        <is>
          <t>Addison Group</t>
        </is>
      </c>
      <c r="D40" t="inlineStr">
        <is>
          <t>linkedin</t>
        </is>
      </c>
      <c r="E40" t="inlineStr"/>
      <c r="F40" t="inlineStr"/>
      <c r="G40" t="inlineStr">
        <is>
          <t>Dallas, TX</t>
        </is>
      </c>
      <c r="H40" t="inlineStr"/>
      <c r="I40" t="inlineStr">
        <is>
          <t>**Title: Senior Data Engineer**
**Location: Coppell, TX**
**Salary Range: $120K\-$140K**
 We are looking to bring on a Senior Data Engineer to our team due to growth. What we need is someone who comes 8\+ years of experience in the Data Engineering space who specializes in Microsoft Azure and Databricks. This person will be a part of multiple initiatives for the "New Development" and "Data Reporting" teams but will be primarily tasked with designing, building, maintaining, and automating their enterprise data architecture/pipelines within the cloud.
 Technology\-wise we are needing to come with skills in Azure Databricks (5\+ years), cloud\-based environment (Azure and/or AWS), Azure DevOps (ADO), SQL (ETL, SSIS packages), and PySpark or Scala automation. Architecture experience in building pipelines, data modeling, data pipeline deployment, data mapping, etc.
 Personality\-wise we need an Engineer who is able to assess, breakdown, and complete tasks without them needing too much direction. There is a lot of ambiguous data that they need to help with define, uncover, and resolve. Most of the work will be done from a solo capacity but collaboration for the data and what defines success is crucial.
**Top Skills:**
* 8\+ Years of Data Engineer/Business Intelligence
* Databricks and Azure Data Factory (ADF) (Need version on resume): \*Most updates is Unity Catalog for Databricks\*
* Cloud\-based environments (Azure or AWS)
* Data Pipeline Architecture and CI/CD methodology
* SQL
* Automation (Python (PySpark), Scala)</t>
        </is>
      </c>
    </row>
    <row r="41">
      <c r="A41" t="inlineStr">
        <is>
          <t>li-4372862194</t>
        </is>
      </c>
      <c r="B41" t="inlineStr">
        <is>
          <t>REMOTE DoW Mid/Senior Data Engineer (Database Engineer) - 26859</t>
        </is>
      </c>
      <c r="C41" t="inlineStr">
        <is>
          <t>RemoteHunter</t>
        </is>
      </c>
      <c r="D41" t="inlineStr">
        <is>
          <t>linkedin</t>
        </is>
      </c>
      <c r="E41" t="inlineStr"/>
      <c r="F41" t="inlineStr"/>
      <c r="G41" t="inlineStr"/>
      <c r="H41" t="inlineStr"/>
      <c r="I41" t="inlineStr">
        <is>
          <t>About the Opportunity:
 This role is within a business group focused on cyber and mission IT, electronic warfare, and C5ISR systems supporting national defense. The position supports Executive Order projects by enhancing a centralized data environment (CDE) that delivers auditable financial transaction data, improves transparency and accountability across the Department of the Workforce (DoW), and provides a common operating picture for senior leadership decision\-making. The role requires expertise in Python development and relational databases to translate strategic imperatives into actionable data solutions in a national security environment.
 Responsibilities:
 • Design, model, document, and govern logical and conceptual data architectures and schema evolutions for enterprise\-scale applications supporting tracking and accountability reforms
 • Analyze system requirements and develop technical, structural, and organizational specifications for auditable, transparent data flows
 • Establish and enforce data modeling standards, capacity planning, and performance optimization for high\-reliability DoW environments
 • Develop Python\-based scripts and ETL/ELT pipelines for secure data ingestion, transformation, and integration from diverse sources
 • Apply advanced SQL skills for querying, schema design, optimization, and data integrity assurance
 • Operate within Agile/SAFe frameworks to deliver iterative, high\-value increments aligned with business priorities and DoW policies
 • Provide technical guidance and mentorship to align development with strategic financial management system reform objectives including enhanced tracking, oversight, and reporting
 • Perform additional duties as assigned to advance mission goals
 Requirements:
 • Proven Python development experience including building scalable data pipelines and automation solutions
 • Strong relational database (SQL) skills with advanced querying and optimization
 • Ability to work independently and collaboratively in team settings
 • Self\-motivated with strong problem\-solving skills and a proactive mindset
 • Must possess and maintain an active Secret clearance at the time of consideration
 • Remote\-eligible position aligned with Eastern Time Zone core business hours
 Experience Levels:
 \- Database Engineer II: 2 years relevant experience with Bachelor’s degree; or 6 years relevant experience with High School Diploma or equivalent
 \- Database Engineer III: 5 years relevant experience with Bachelor’s degree; or 9 years relevant experience with High School Diploma or equivalent
 \- Database Engineer IV: 9 years relevant experience with Bachelor’s degree; or 13 years relevant experience with High School Diploma or equivalent
 Preferred Requirements:
 • Strong understanding of transactional data flows, financial management systems, and auditability requirements in DoW/security cooperation contexts
 • Direct experience with ADVANA
 • Experience in SAFe Agile environments, including PI planning, Scrum/Kanban ceremonies, and DevSecOps practices
 • Candidate residing in the East Coast region
 Benefits \&amp; Perks:
 • Medical, dental, and vision insurance plans
 • Wellness resources and employee assistance programs
 • Savings plan options (401(k))
 • Financial planning tools
 • Life insurance
 Compensation:
 • Anticipated salary range: $90,000\.00 to $145,000\.00 annually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42">
      <c r="A42" t="inlineStr">
        <is>
          <t>li-4373986454</t>
        </is>
      </c>
      <c r="B42" t="inlineStr">
        <is>
          <t>Site Manufacturing Data Engineer</t>
        </is>
      </c>
      <c r="C42" t="inlineStr">
        <is>
          <t>Procter &amp; Gamble</t>
        </is>
      </c>
      <c r="D42" t="inlineStr">
        <is>
          <t>linkedin</t>
        </is>
      </c>
      <c r="E42" t="inlineStr"/>
      <c r="F42" t="inlineStr"/>
      <c r="G42" t="inlineStr">
        <is>
          <t>Auburn, ME</t>
        </is>
      </c>
      <c r="H42" t="inlineStr"/>
      <c r="I42" t="inlineStr">
        <is>
          <t>**Job Location**
 AUBURN PLANT
**Job Description**
 P\&amp;G is the largest consumer packaged goods company in the world. We have operations in over 75 countries, with 65 trusted brands that improve lives for 5 billion consumers worldwide. This brings many advantages, including the opportunity for our employees to enjoy a diverse and rewarding lifelong career filled with new and exciting challenges.
 Our Auburn site is located about 40 minutes from Portland \- Maine's largest city \- and is an integral production node within our Feminine Care business unit. Here we manufacture most of P\&amp;G's tampon products for worldwide distribution. At Auburn we model our approach to work after several core values: culture of safety \- nothing we do is worth getting hurt \- utmost emphasis on quality, as well as placing confidence and trust in our people and systems. The Auburn plant was founded in 1968 as part of Tambrands, Inc. before being acquired by P\&amp;G in 1997\. Our site has almost 600 full\-time employees split between technicians, engineers, and support personnel working in a variety of operating or support departments.
**The Role**
 The Site Manufacturing Data Engineer is a key role that drives effective connection between the ICA/OT systems and other plant/company digital systems. This includes identifying high\-value data in the PLC, HMI and other OT systems, and implementing and configuring the data pipeline to MDF, Edge\-to\-Cloud, AI Factory, and other higher\-level data systems.
 The Site Manufacturing Data Engineer reports to Site Digital Leader and works closely with the Site Data Asset Manager, other Digital Platforms Team resources, and site/department ICA resources. This role requires a blend of both IT and OT technical expertise, and a passion for continuous improvement in a dynamic manufacturing environment.
 The Site Manufacturing Data Engineer requires Basic skill for all applicable site ICA/OT and automation technologies including Rockwell, Siemens (if applicable), FactoryTalk and/or Aveva, Engineering systems (Studio, System Platform, etc), with preference for Basic skills in applicable warehouse technologies. This role may not include direct modifications to department control systems but requires ability to communicate using ICA/OT terminology and specifically describe data and required components/programming needed to access it including potential for implementing new tags/routines/interfaces.
**Required**
**Job Qualifications**
* Bachelor’s degree in Computer Science, Information Technology, Engineering, or a related field.
* 0\-5 years of Data Engineer experience
* Fundamental knowledge of networking concepts, including OT 4\.0, servers/virtualization, relevant databases, and process historians.
* Proven experience in Python/PySpark and SQL/SparkSQL programming skills.
* Proficiency in English, with strong communication skills.
* Proven ability to execute tasks with excellence, establish priorities, and develop effective plans. Willingness to provide guidance and coaching to ICA resources, site digital teams, and data customers.
* Strong capability to work independently and effectively within a highly matrixed organization, demonstrating a passion for fulfilling customers’ data pipeline needs while balancing multiple priorities.
**Preferred**
* Familiarity with Big Data and ETL processes, with preference for experience in Spark and Databricks.
* Experience in implementing projects and solutions in cloud environments, preferably Azure or GCP (AWS is also acceptable).
* Basic skills in data architecture frameworks, data engineering, and data modeling principles.
* Knowledge of AAS, DAX, and PowerBI front end.
* Familiarity with Agile SCRUM and DevOps methodologies.
 Compensation for roles at P\&amp;G varies depending on a wide array of equal opportunity factors including but not limited to the specific office location, role, degree/credentials, relevant skills, and level of experience. At P\&amp;G compensation decisions are dependent on the facts and circumstances of each case. Total rewards at P\&amp;G include salary \+ bonus (if applicable) \+ benefits. Your recruiter may be able to share more about our total rewards offerings and the specific salary range for the relevant location(s) during the hiring process.
 Our company is committed to providing equal opportunities in employment. We value diversity and do not discriminate on the basis of race, religion, color, national origin, gender, sexual orientation, age, marital status, veteran status, or disability status.
**Immigration Sponsorship is not available for this role. For more information regarding who is eligible for hire at P\&amp;G along with other work authorization FAQ’s, please click** 
 HERE
 **.**
 P\&amp;G participates in e\-verify as required by law.
 Qualified individuals will not be disadvantaged based on being unemployed.
 We will ensure that individuals with disabilities are provided reasonable accommodation to participate in the job application or interview process, to perform job functions, and to receive other benefits and privileges of employment. Please contact us to request accommodation.
**Job Schedule**
 Full time
**Job Number**
 R000142913
**Job Segmentation**
 Entry Level
**Starting Pay / Salary Range**
 $85,000\.00 \- $122,200\.00 / year</t>
        </is>
      </c>
    </row>
    <row r="43">
      <c r="A43" t="inlineStr">
        <is>
          <t>li-4373998067</t>
        </is>
      </c>
      <c r="B43" t="inlineStr">
        <is>
          <t>Data Engineer</t>
        </is>
      </c>
      <c r="C43" t="inlineStr">
        <is>
          <t>Liberty Mutual Insurance</t>
        </is>
      </c>
      <c r="D43" t="inlineStr">
        <is>
          <t>linkedin</t>
        </is>
      </c>
      <c r="E43" t="inlineStr"/>
      <c r="F43" t="inlineStr"/>
      <c r="G43" t="inlineStr">
        <is>
          <t>Plano, TX</t>
        </is>
      </c>
      <c r="H43" t="inlineStr"/>
      <c r="I43" t="inlineStr">
        <is>
          <t>**Description**
***You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**Data Engineer**
 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US Retail Markets (USRM)
 **Data and Analytics Engineering** 
 team is actively searching for a highly productive
 **Data Engineer** 
 for a distributed, dynamic agile team to serve as a technical expert designing, developing, analyzing \&amp; testing innovative data warehouse solutions. This candidate will join an energetic and engaged Business Data Solutions Engineering team focused on leveraging our customer data to deliver exceptional value to our business partners. You will work collaboratively in an agile squad to design and build data pipelines \&amp; workflows, ingest, curate \&amp; provision data workflows in a Cloud\-based environment as well as own responsibility of thorough end\-to\-end testing.
 This is a fast\-paced environment providing rapid delivery for our business partners. You will be working in a highly collaborative environment that values speed and quality, with a strong desire to drive change and foster a positive work environment. You will have the opportunity to help with this change as we grow this culture, mindset, and capability.
**We Encourage You To Apply If This Interests You**
* Work as ONE team committed to excellence
* Model and promote a Data First attitude
* Help advance Data Engineering operations into the future
* Work with a modern data tech stack
**About The Job**
* Collaborate in a fast\-moving Agile environment with Scrum Masters, Product Owners, and cross\-functional teammates to design and deliver data\-driven solutions that advance both business and technical goals.
* Build, maintain, and optimize ingestion pipelines and data integrations to manage the full information lifecycle — from acquisition and curation to provisioning for analytics and reporting.
* Design and implement ETL pipelines, API\-based microservices, physical data models, and transformation logic to make data reliable, accessible, and performant.
* Work on data architectures and applications (warehouses, data vault structures) that enable reporting, analytics, machine learning, and improved data governance and quality.
* Participate in peer code reviews and sprint ceremonies, CI/CD best practices, and automated testing to ensure robust, production\-ready releases.
* Accelerate speed to market while building long\-term, scalable solutions using modern technologies such as AWS, Snowflake, Kafka, Data Vault methodology, and other cloud\-native tools.
* Create tools and programs to automate ingestion, curation, and provisioning of complex enterprise data to support analytics, reporting, and data science use cases.
* Collaborate with senior team members and your manager to improve your skills, code quality, and engineering practices.
* Troubleshoot and resolve technical issues, proactively improvements that increase reliability, reduce latency, and improve data quality.
* Maintain a continuous learning mindset — evaluate modern technologies, share findings with the team, and adopt approaches that improve delivery and business outcomes.
**Qualifications**
* Bachelor or Master\`s degree in technical or business discipline or equivalent experience, technical degree preferred. 2\+ years of Data Engineering experience.
* Experience developing back end, data warehouse technology solutions, data modeling, and data vault methodology.
* Knowledge of a variety of data platforms including Snowflake, Teradata, SQL, DB2 (Cloud based DB a plus).
* Experience with AWS (such as S3, Snowflake, Athena), Unix, Informatica (IDMC) and strong SQL skillset.
* Extensive knowledge of IT concepts, strategies, methodologies.
* Experience working with agile methodologies (Scrum, Kanban, XP) and cross\-functional teams (Product Owners, Scrum Masters, Developers, Test Engineers).
* Well versed in diverse technologies and new technical architecture principles and concepts.
* Demonstrates leadership and active pursuit of optimizing CI/CD process and tools, testing frameworks and practices.
* Strong negotiation, facilitation, and consensus building skills.
* Strong oral and written communication skills; presentation skills; Extensive knowledge of the following: IT concepts, strategies, methodologies.
* Extensive consultative skills, including the ability to understand and apply customer requirements, including drawing out unforeseen implications and making recommendations for design, the ability to define design reasoning, understanding potential impacts of design requirements.
* Understanding of backlog tracking, burndown metrics, and incremental delivery
* Strong collaboration, prioritization, and adaptability skills required.
**Additional Qualifications**
* Java, Kafka, NoSQL, Python development experience.
* Understanding of Cloud / Hybrid data architecture concepts.
* Understanding of insurance industry and products.
* Excited by trying new technology and learning new tools.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44">
      <c r="A44" t="inlineStr">
        <is>
          <t>li-4371966731</t>
        </is>
      </c>
      <c r="B44" t="inlineStr">
        <is>
          <t>Specialist - Data Engineering</t>
        </is>
      </c>
      <c r="C44" t="inlineStr">
        <is>
          <t>LTIMindtree</t>
        </is>
      </c>
      <c r="D44" t="inlineStr">
        <is>
          <t>linkedin</t>
        </is>
      </c>
      <c r="E44" t="inlineStr"/>
      <c r="F44" t="inlineStr"/>
      <c r="G44" t="inlineStr">
        <is>
          <t>Tampa, FL</t>
        </is>
      </c>
      <c r="H44" t="inlineStr"/>
      <c r="I44" t="inlineStr">
        <is>
          <t>****Role Description****
**Job Title : Specialist data engineering**
**Work Location** 
**: Tampa, Florida**
****Job Description:****
 About the Role We are seeking a highly skilled and experienced Data Engineer to join our growing data team This role will be instrumental in designing building optimizing and maintaining our robust data infrastructure and pipelines Candidate will work with cuttingedge big data technologies to ingest process store and transform large datasets enabling advanced analytics and machine learning initiatives across the organization The ideal candidate will have a deep understanding of data warehousing ETLELT processes and a passion for building scalable and reliable data solutions
****Key Responsibilities****
* Design develop and maintain scalable and efficient data pipelines using Apache SparkJava Spark pySpark and Apache Flink for realtime and batch processing of large datasets
* Implement and manage data storage solutions leveraging Hadoop Distributed File System HDFS and data lake table formats like Apache Iceberg
* Build and optimize data models and schema definitions for various data sources and targets ensuring data quality consistency and accessibility
* Work with stakeholders to understand data requirements translate them into technical specifications and deliver robust data solutions
* Monitor troubleshoot and optimize existing data pipelines and infrastructure for performance reliability and costefficiency
* Develop and implement data governance security and compliance best practices within the data ecosystem
* Collaborate with data scientists analysts and other engineering teams to support their data needs and integrate new data sources
* Evaluate and recommend new technologies and methodologies to enhance our data platform capabilities
* Ensure proper documentation of data architectures pipelines and processes
****Required Skills Experience****
* Bachelors or Masters degree in Computer Science Engineering or a related quantitative field
* Proven experience as a Data Engineer or in a similar role building and optimizing big data data pipelines architectures and data sets
* Strong proficiency in programming languages such as Python with extensive pySpark experience Java or Scala
* Expertise in Apache Spark for data processing including Spark SQL DataFrames and RDDs
* Handson experience with Apache Hadoop ecosystem components particularly HDFS
* Experience with realtime stream processing using Apache Flink
* Familiarity with data lake table formats specifically Apache Iceberg for managing large evolving datasets
* Experience with relational SQL and NoSQL databases
* Solid understanding of ETLELT processes data warehousing concepts and data modeling techniques
* Good to have experience with cloud platforms eg AWS Azure GCP and their data services
* Excellent problemsolving analytical and communication skills
****Skills****
**Mandatory Skills :** 
 Apache Spark, Java, SparkSQL
****Other Details****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****Benefits****
 Compensation range: $ 90,032\.00 to 134,200\.00 per year</t>
        </is>
      </c>
    </row>
    <row r="45">
      <c r="A45" t="inlineStr">
        <is>
          <t>li-4374102023</t>
        </is>
      </c>
      <c r="B45" t="inlineStr">
        <is>
          <t>Data Engineer</t>
        </is>
      </c>
      <c r="C45" t="inlineStr">
        <is>
          <t>Liberty Mutual Insurance</t>
        </is>
      </c>
      <c r="D45" t="inlineStr">
        <is>
          <t>linkedin</t>
        </is>
      </c>
      <c r="E45" t="inlineStr"/>
      <c r="F45" t="inlineStr"/>
      <c r="G45" t="inlineStr">
        <is>
          <t>Indianapolis, IN</t>
        </is>
      </c>
      <c r="H45" t="inlineStr"/>
      <c r="I45" t="inlineStr">
        <is>
          <t>**Description**
***You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**Data Engineer**
 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US Retail Markets (USRM)
 **Data and Analytics Engineering** 
 team is actively searching for a highly productive
 **Data Engineer** 
 for a distributed, dynamic agile team to serve as a technical expert designing, developing, analyzing \&amp; testing innovative data warehouse solutions. This candidate will join an energetic and engaged Business Data Solutions Engineering team focused on leveraging our customer data to deliver exceptional value to our business partners. You will work collaboratively in an agile squad to design and build data pipelines \&amp; workflows, ingest, curate \&amp; provision data workflows in a Cloud\-based environment as well as own responsibility of thorough end\-to\-end testing.
 This is a fast\-paced environment providing rapid delivery for our business partners. You will be working in a highly collaborative environment that values speed and quality, with a strong desire to drive change and foster a positive work environment. You will have the opportunity to help with this change as we grow this culture, mindset, and capability.
**We Encourage You To Apply If This Interests You**
* Work as ONE team committed to excellence
* Model and promote a Data First attitude
* Help advance Data Engineering operations into the future
* Work with a modern data tech stack
**About The Job**
* Collaborate in a fast\-moving Agile environment with Scrum Masters, Product Owners, and cross\-functional teammates to design and deliver data\-driven solutions that advance both business and technical goals.
* Build, maintain, and optimize ingestion pipelines and data integrations to manage the full information lifecycle — from acquisition and curation to provisioning for analytics and reporting.
* Design and implement ETL pipelines, API\-based microservices, physical data models, and transformation logic to make data reliable, accessible, and performant.
* Work on data architectures and applications (warehouses, data vault structures) that enable reporting, analytics, machine learning, and improved data governance and quality.
* Participate in peer code reviews and sprint ceremonies, CI/CD best practices, and automated testing to ensure robust, production\-ready releases.
* Accelerate speed to market while building long\-term, scalable solutions using modern technologies such as AWS, Snowflake, Kafka, Data Vault methodology, and other cloud\-native tools.
* Create tools and programs to automate ingestion, curation, and provisioning of complex enterprise data to support analytics, reporting, and data science use cases.
* Collaborate with senior team members and your manager to improve your skills, code quality, and engineering practices.
* Troubleshoot and resolve technical issues, proactively improvements that increase reliability, reduce latency, and improve data quality.
* Maintain a continuous learning mindset — evaluate modern technologies, share findings with the team, and adopt approaches that improve delivery and business outcomes.
**Qualifications**
* Bachelor or Master\`s degree in technical or business discipline or equivalent experience, technical degree preferred. 2\+ years of Data Engineering experience.
* Experience developing back end, data warehouse technology solutions, data modeling, and data vault methodology.
* Knowledge of a variety of data platforms including Snowflake, Teradata, SQL, DB2 (Cloud based DB a plus).
* Experience with AWS (such as S3, Snowflake, Athena), Unix, Informatica (IDMC) and strong SQL skillset.
* Extensive knowledge of IT concepts, strategies, methodologies.
* Experience working with agile methodologies (Scrum, Kanban, XP) and cross\-functional teams (Product Owners, Scrum Masters, Developers, Test Engineers).
* Well versed in diverse technologies and new technical architecture principles and concepts.
* Demonstrates leadership and active pursuit of optimizing CI/CD process and tools, testing frameworks and practices.
* Strong negotiation, facilitation, and consensus building skills.
* Strong oral and written communication skills; presentation skills; Extensive knowledge of the following: IT concepts, strategies, methodologies.
* Extensive consultative skills, including the ability to understand and apply customer requirements, including drawing out unforeseen implications and making recommendations for design, the ability to define design reasoning, understanding potential impacts of design requirements.
* Understanding of backlog tracking, burndown metrics, and incremental delivery
* Strong collaboration, prioritization, and adaptability skills required.
**Additional Qualifications**
* Java, Kafka, NoSQL, Python development experience.
* Understanding of Cloud / Hybrid data architecture concepts.
* Understanding of insurance industry and products.
* Excited by trying new technology and learning new tools.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46">
      <c r="A46" t="inlineStr">
        <is>
          <t>li-4361075737</t>
        </is>
      </c>
      <c r="B46" t="inlineStr">
        <is>
          <t>Senior Manager- Data Engineering</t>
        </is>
      </c>
      <c r="C46" t="inlineStr">
        <is>
          <t>Covista</t>
        </is>
      </c>
      <c r="D46" t="inlineStr">
        <is>
          <t>linkedin</t>
        </is>
      </c>
      <c r="E46" t="inlineStr"/>
      <c r="F46" t="inlineStr"/>
      <c r="G46" t="inlineStr">
        <is>
          <t>Lisle, IL</t>
        </is>
      </c>
      <c r="H46" t="inlineStr"/>
      <c r="I46" t="inlineStr">
        <is>
          <t>Covista is America's largest healthcare educator, serving more than 97,000 students and supported by a community of 385,000 alumni across five accredited institutions. Through personalized, tech\-enabled education powered by 10,000 faculty and colleagues, Covista expands access to healthcare careers and addresses the U.S. healthcare workforce shortage at scale. Covista is the parent company of American University of the Caribbean School of Medicine, Chamberlain University, Ross University School of Medicine, Ross University School of Veterinary Medicine and Walden University.
 Our colleagues come from a wide range of backgrounds, business, academia, healthcare, government and nonprofits, and are part of a culture where doing exceptional work and making a meaningful difference for students and society aren't separate goals—they're one and the same. This means creating an environment where colleagues can develop new skills, build careers that match their ambitions and see the tangible impact of their work on healthcare education and workforce development. Colleagues who deliver results and embrace new tools to work smarter are valued for their contributions. But what makes working at Covista distinctive is our impact. Our faculty and colleagues don't just support healthcare education—they shape it. This isn't abstract purpose work. It's solving real problems for real people in real communities while advancing careers.
 We operate on a hybrid schedule with four in\-office days per week (Monday–Thursday). This approach enhances creativity, innovation, communication, and relationship\-building, fostering a dynamic and collaborative work environment.
 For more information, visit covista.com and follow us on LinkedIn, Instagram and YouTube.
**Job Description**
 Covista is a data\-driven organization dedicated to driving best\-in\-class student outcomes. The Data Engineering team builds the foundation that powers analytics, AI, and strategic business decisions through robust data platforms, pipelines, and governance policies.
 We are seeking a
 **Senior Manager, Data Engineering** 
 to lead the design, development, and continual improvement of our data solutions. This role combines hands\-on technical expertise with leadership, guiding a high\-performing team to deliver reliable, timely, and trusted data that drives business impact.
* Lead the design, implementation, and optimization of data pipelines, datasets, and metrics critical to business decisions.
* Build, mentor, and inspire a high\-performing data engineering team.
* Define strategies for data acquisition, collection, and utilization across the organization.
* Establish and manage SLAs for all production datasets and processes.
* Collaborate closely with Product Managers, Analysts, and Data Scientists to develop and maintain data\-driven systems.
* Develop self\-service reporting and democratization layers to empower teams with data.
* Troubleshoot, code, test, and document solutions to ensure quality and reliability.
* Evaluate current processes to optimize interdepartmental communication, collaboration, and end\-to\-end process performance.
* Define technology roadmaps and manage incremental execution to achieve short\- and long\-term business goals.
* Serve as a key leader within the Data and Analytics organization, fostering a data\-driven culture.
* Comply with company policies and standards while performing additional duties as needed.
* Travel up to 5% as required.
**Qualifications**
* Bachelor’s or Master’s degree in Computer Science, Computer Engineering, Software Engineering, or related technical field.
* Eight (8\) plus years in data engineering (data platforms, ingestion, management, or analytics).
* Three (3\) plus years in leadership roles building and managing high\-performing teams.2\+ years experience with Google Cloud Platform services such as BigQuery, Composer, GCS, DataStream, and Dataflows.Proven track record of progressive responsibility starting as a Data Engineer, advancing to higher levels of complexity and ownership.
* Strong analytical skills with the ability to develop and reverse complex engineering solutions.
* Excellent oral, written, and presentation skills, translating complex technical material for management and stakeholders.
* Experience defining roadmaps, managing incremental execution, and delivering successful launches.
* Ability to manage multiple, competing priorities in an Agile, fast\-paced environment.
* Experience mentoring and growing data engineers.
* Critical thinking, advanced problem\-solving, and a proactive approach to improving processes.
**Additional Information**
*In support of the pay transparency laws enacted across the country, the expected salary range for this position is between $96,404\.1 and $169,021\.85\. Actual pay will be adjusted based on job\-related factors permitted by law, such as experience and training; geographic location; licensure and certifications; market factors; departmental budgets; and responsibility. Our Talent Acquisition Team will be happy to answer any questions you may have, and we look forward to learning more about your salary requirements. The position qualifies for the below benefits.
 Covista offers a robust suite of benefits including:*
* *Health, dental, vision, life and disability insurance*
* *401k Retirement Program \+ 6% employer match*
* *Participation in Covista's Flexible Time Off (FTO) Policy*
* *12 Paid Holidays
 For more information related to our benefits please visit:* 
 Benefits \| Covista
 *.
 You are also eligible to participate in an annual incentive program, subject to the rules governing the program, whereby an award, if any, depends on various factors, including, without limitation, individual and organizational performance.*
 Equal Opportunity – Minority / Female / Disability / V / Gender Identity / Sexual Orientation</t>
        </is>
      </c>
    </row>
    <row r="47">
      <c r="A47" t="inlineStr">
        <is>
          <t>li-4373995391</t>
        </is>
      </c>
      <c r="B47" t="inlineStr">
        <is>
          <t>Data Engineer</t>
        </is>
      </c>
      <c r="C47" t="inlineStr">
        <is>
          <t>Liberty Mutual Insurance</t>
        </is>
      </c>
      <c r="D47" t="inlineStr">
        <is>
          <t>linkedin</t>
        </is>
      </c>
      <c r="E47" t="inlineStr"/>
      <c r="F47" t="inlineStr"/>
      <c r="G47" t="inlineStr">
        <is>
          <t>Portsmouth, NH</t>
        </is>
      </c>
      <c r="H47" t="inlineStr"/>
      <c r="I47" t="inlineStr">
        <is>
          <t>**Description**
***You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**Data Engineer**
 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US Retail Markets (USRM)
 **Data and Analytics Engineering** 
 team is actively searching for a highly productive
 **Data Engineer** 
 for a distributed, dynamic agile team to serve as a technical expert designing, developing, analyzing \&amp; testing innovative data warehouse solutions. This candidate will join an energetic and engaged Business Data Solutions Engineering team focused on leveraging our customer data to deliver exceptional value to our business partners. You will work collaboratively in an agile squad to design and build data pipelines \&amp; workflows, ingest, curate \&amp; provision data workflows in a Cloud\-based environment as well as own responsibility of thorough end\-to\-end testing.
 This is a fast\-paced environment providing rapid delivery for our business partners. You will be working in a highly collaborative environment that values speed and quality, with a strong desire to drive change and foster a positive work environment. You will have the opportunity to help with this change as we grow this culture, mindset, and capability.
**We Encourage You To Apply If This Interests You**
* Work as ONE team committed to excellence
* Model and promote a Data First attitude
* Help advance Data Engineering operations into the future
* Work with a modern data tech stack
**About The Job**
* Collaborate in a fast\-moving Agile environment with Scrum Masters, Product Owners, and cross\-functional teammates to design and deliver data\-driven solutions that advance both business and technical goals.
* Build, maintain, and optimize ingestion pipelines and data integrations to manage the full information lifecycle — from acquisition and curation to provisioning for analytics and reporting.
* Design and implement ETL pipelines, API\-based microservices, physical data models, and transformation logic to make data reliable, accessible, and performant.
* Work on data architectures and applications (warehouses, data vault structures) that enable reporting, analytics, machine learning, and improved data governance and quality.
* Participate in peer code reviews and sprint ceremonies, CI/CD best practices, and automated testing to ensure robust, production\-ready releases.
* Accelerate speed to market while building long\-term, scalable solutions using modern technologies such as AWS, Snowflake, Kafka, Data Vault methodology, and other cloud\-native tools.
* Create tools and programs to automate ingestion, curation, and provisioning of complex enterprise data to support analytics, reporting, and data science use cases.
* Collaborate with senior team members and your manager to improve your skills, code quality, and engineering practices.
* Troubleshoot and resolve technical issues, proactively improvements that increase reliability, reduce latency, and improve data quality.
* Maintain a continuous learning mindset — evaluate modern technologies, share findings with the team, and adopt approaches that improve delivery and business outcomes.
**Qualifications**
* Bachelor or Master\`s degree in technical or business discipline or equivalent experience, technical degree preferred. 2\+ years of Data Engineering experience.
* Experience developing back end, data warehouse technology solutions, data modeling, and data vault methodology.
* Knowledge of a variety of data platforms including Snowflake, Teradata, SQL, DB2 (Cloud based DB a plus).
* Experience with AWS (such as S3, Snowflake, Athena), Unix, Informatica (IDMC) and strong SQL skillset.
* Extensive knowledge of IT concepts, strategies, methodologies.
* Experience working with agile methodologies (Scrum, Kanban, XP) and cross\-functional teams (Product Owners, Scrum Masters, Developers, Test Engineers).
* Well versed in diverse technologies and new technical architecture principles and concepts.
* Demonstrates leadership and active pursuit of optimizing CI/CD process and tools, testing frameworks and practices.
* Strong negotiation, facilitation, and consensus building skills.
* Strong oral and written communication skills; presentation skills; Extensive knowledge of the following: IT concepts, strategies, methodologies.
* Extensive consultative skills, including the ability to understand and apply customer requirements, including drawing out unforeseen implications and making recommendations for design, the ability to define design reasoning, understanding potential impacts of design requirements.
* Understanding of backlog tracking, burndown metrics, and incremental delivery
* Strong collaboration, prioritization, and adaptability skills required.
**Additional Qualifications**
* Java, Kafka, NoSQL, Python development experience.
* Understanding of Cloud / Hybrid data architecture concepts.
* Understanding of insurance industry and products.
* Excited by trying new technology and learning new tools.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48">
      <c r="A48" t="inlineStr">
        <is>
          <t>li-4365906065</t>
        </is>
      </c>
      <c r="B48" t="inlineStr">
        <is>
          <t>Lead Analytics Engineer</t>
        </is>
      </c>
      <c r="C48" t="inlineStr">
        <is>
          <t>Eventus WholeHealth</t>
        </is>
      </c>
      <c r="D48" t="inlineStr">
        <is>
          <t>linkedin</t>
        </is>
      </c>
      <c r="E48" t="inlineStr"/>
      <c r="F48" t="inlineStr"/>
      <c r="G48" t="inlineStr"/>
      <c r="H48" t="inlineStr"/>
      <c r="I48" t="inlineStr">
        <is>
          <t>**Position Summary**
 The Lead Analytics Engineer develops data and analytic tools, strategies, and insights to improve healthcare outcomes, reduce costs, and enhance overall value.
***Quali***
***fications:***
**Education, Licensure and Certifications, Related Work Experience**
* Bachelor's degree in analytics, statistics, healthcare administration, computer science, finance, or a related field
* Previous experience in value\-based care programs supporting large physician groups and demonstrated proficiency with data analysis tools and software
***Other specialized skills and knowledge necessary to perform this job. (e.g., basic accounting principles, computer skills and software, specific healthcare processes, interpersonal, communication, etc.***
 Strong understanding of value\-based care models, claims and EHR data, HCC RAF, MA Stars, quality and surveys and predictive
 modeling
 Use of common software and computer/technology
 Strategic thinker who takes initiative through excellent communication, collaboration, and
 leadership
**Essential Job Duties/Responsibilities**
 Leverage data infrastructure, utilize data mining, statistical, and machine learning techniques to understand patient populations, care pathways, and the impact of VBC initiatives
 Collaborate with physicians, facilities, and health plans to align VBC goals and strategies
 Ensure data integrity to support operational and clinical initiatives.
 Analyzes data to identify discrepancies and patterns.
 Prepare accurate reports on trends and cost evaluation.
 Provides recommendations on ways to improve quality and minimize costs.
 Effectively communicate complex findings and recommendations to a diverse audience, including technical and non\-technical audiences in a clear and concise manner
 Other related duties as assigned.
**Compliance Requirements**
**Adherence to Laws, Rules, Regulations, Standards, Guidelines, Policies and Procedures:**
* Ensure compliance with all federal, state, and local laws, regulations, standards, guidelines, and Eventus WholeHealth policies and procedures pertaining to the job.
* Remain informed of any changes to federal, state, and local laws, regulations, standards,guidelines, and Eventus WholeHealth policies and procedures that impact the job and the company.
* Promptly report any non\-compliant conduct and/or practices to Eventus WholeHealth’s Chief
 Compliance and Risk Officer.
**Ethical Conduct**
* Ensure adherence to Eventus WholeHealth's Code of Ethics and Business Conduct.
* Perform the job duties with integrity and professionalism.
* Promptly report any unethical conduct and/or practices to Eventus WholeHealth’s Chief Compliance and Risk Officer.
**Patient Privacy And Confidentiality**
* Strictly protect patient information in accordance with all federal and state privacy laws and Eventus WholeHealth policies and procedures.
* Promptly report any violations of federal and state privacy laws and Eventus WholeHealth
* policies and procedures to Eventus WholeHealth’s Chief Compliance and Risk Officer.
**Documentation And Record Keeping**
* Maintain accurate and complete documentation when performing the job duties.
* Ensure that all Eventus WholeHealth information, data, documentation, and records are always safeguarded and maintained confidentially.
**Training And Education**
* Participate in all assigned training.
* Complete all assigned training by the deadline for completion.
**Risk Management And Incident Reporting**
* Engage in regular risk assessments to identify potential risks and work proactively with a supervisor
 and Eventus WholeHealth’s Chief Compliance and Risk Officer to mitigate any identified risks.
* Promptly report any incidents (as defined in the “Incident Report Policy”) to the Chief Compliance
 and Risk Officer.
**About Eventus WholeHealth**
 Eventus WholeHealth was founded in 2012 to provide physician\-led healthcare services for residents and patients of skilled nursing and assisted living facilities. With our highly\-trained team of physicians, psychiatrists, nurse practitioners, physician assistants, psychotherapists, podiatrists, and support staff, our comprehensive, evidence\-based model provides collaborative interdisciplinary care with the seamless and vital integration of a wide range of specialties. Our differentiated approach not only empowers the facilities to reach their own goals and objectives but also ensures better patient outcomes. For more information, please visit www.eventuswholehealth.com</t>
        </is>
      </c>
    </row>
    <row r="49">
      <c r="A49" t="inlineStr">
        <is>
          <t>li-4372896271</t>
        </is>
      </c>
      <c r="B49" t="inlineStr">
        <is>
          <t>Data Engineer</t>
        </is>
      </c>
      <c r="C49" t="inlineStr">
        <is>
          <t>eSense Incorporated</t>
        </is>
      </c>
      <c r="D49" t="inlineStr">
        <is>
          <t>linkedin</t>
        </is>
      </c>
      <c r="E49" t="inlineStr"/>
      <c r="F49" t="inlineStr"/>
      <c r="G49" t="inlineStr"/>
      <c r="H49" t="inlineStr"/>
      <c r="I49" t="inlineStr">
        <is>
          <t>**Job Title:** 
 Starburst \&amp; Immuta Data Engineer (Azure Cloud)
**Position Overview** 
 We are seeking a skilled Starburst \&amp; Immuta Data Engineer with 3\+ years of hands\-on experience in Azure cloud environments. The ideal candidate will design, implement, and manage secure, governed data access solutions using Starburst and Immuta for policy\-based data security and compliance.
 This role requires strong expertise in cloud\-native data architecture, distributed query engines, and enterprise data governance frameworks.
**Key Responsibilities** 
* Design and implement data virtualization solutions using Starburst across multiple data sources.
* Configure and manage Immuta for data access governance, policy enforcement, and dynamic data masking.
* Deploy and manage data solutions in Microsoft Azure (Azure Data Lake Storage, Azure SQL, Synapse, etc.).
* Develop and optimize SQL queries and data pipelines for performance and scalability.
* Implement row\-level, column\-level, and attribute\-based access controls.
* Integrate Starburst with Azure\-based data sources (ADLS Gen2, Azure SQL DB, Cosmos DB, etc.).
* Collaborate with Data Architects, Security teams, and DevOps engineers to enforce enterprise data governance.
* Configure new catalogs in Starburst, integrating with Immuta access controls
* Managing SCIM functions supporting user profiles in Starburst and Immuta
* Monitor system performance and troubleshoot query performance issues.
* Support CI/CD pipelines and infrastructure\-as\-code deployments (Terraform, ARM templates).
* Ensure compliance with enterprise security and regulatory standards (HIPAA, FedRAMP, etc., if applicable).
**Required Qualifications** 
* 3\+ years of experience in data engineering within an Azure cloud environment.
* Hands\-on experience with Starburst Enterprise
* Experience implementing Immuta data governance and policy management.
* Strong SQL expertise and experience optimizing distributed queries.
* Experience working with Azure services:
* Azure Data Lake Storage (ADLS Gen2\)
* Azure Synapse Analytics
* Azure SQL Database
* Azure Active Directory (AAD)
* Knowledge of data security frameworks and governance best practices.
* Experience integrating data platforms with identity providers (Azure AD, SSO).
* Familiarity with DevOps practices and CI/CD tools (Azure DevOps preferred).
**Preferred Qualifications** 
* Experience with Iceberg, Delta Lake, or other open table formats.
* Exposure to Data Vault 2\.0 or enterprise data modeling.
**Technical Skills** 
* Starburst Enterprise
* Immuta Data Governance Platform
* Microsoft Azure / SQL (Advanced) / ADLS Gen2
* Azure Synapse
* Terraform / ARM Templates
* Data Security \&amp; Compliance Frameworks</t>
        </is>
      </c>
    </row>
    <row r="50">
      <c r="A50" t="inlineStr">
        <is>
          <t>li-4372889357</t>
        </is>
      </c>
      <c r="B50" t="inlineStr">
        <is>
          <t>Data Engineer</t>
        </is>
      </c>
      <c r="C50" t="inlineStr">
        <is>
          <t>Voto Consulting LLC</t>
        </is>
      </c>
      <c r="D50" t="inlineStr">
        <is>
          <t>linkedin</t>
        </is>
      </c>
      <c r="E50" t="inlineStr"/>
      <c r="F50" t="inlineStr"/>
      <c r="G50" t="inlineStr">
        <is>
          <t>Jersey City, NJ</t>
        </is>
      </c>
      <c r="H50" t="inlineStr"/>
      <c r="I50" t="inlineStr">
        <is>
          <t>**Responsibilities:** 
* Lead the design, development, and implementation of data solutions using AWS and Snowflake.
* Collaborate with cross\-functional teams to understand business requirements and translate them into technical solutions.
* Develop and maintain data pipelines, ensuring data quality, integrity, and security.
* Optimize data storage and retrieval processes to support data warehousing and analytics.
* Provide technical leadership and mentorship to junior data engineers.
* Ensure compliance with industry standards and best practices in data engineering.
* Utilize knowledge of insurance, particularly claims and loss, to enhance data solutions.
**Must have:** 
* 6\-8 years of relevant experience in Data Engineering and delivery.
* 5\+ years of relevant work experience in Big Data Concepts. Worked on cloud implementations.
* Strong experience with SQL, python and Pyspark
* Good understanding of Data ingestion and data processing frameworks
* Good experience in Snowflake, SQL, AWS (glue, EMR, S3, Aurora, RDS, AWS architecture)
* Good aptitude, strong problem\-solving abilities, analytical skills, and ability to take ownership as appropriate.
* Should be able to do coding, debugging, performance tuning, and deploying the apps to the Production environment.
* Experience working in Agile Methodology
* Proven expertise or certification in Palantir Foundry / Typescript is highly preferred.</t>
        </is>
      </c>
    </row>
    <row r="51">
      <c r="A51" t="inlineStr">
        <is>
          <t>li-4354545447</t>
        </is>
      </c>
      <c r="B51" t="inlineStr">
        <is>
          <t>Data Engineer</t>
        </is>
      </c>
      <c r="C51" t="inlineStr">
        <is>
          <t>IDR, Inc.</t>
        </is>
      </c>
      <c r="D51" t="inlineStr">
        <is>
          <t>linkedin</t>
        </is>
      </c>
      <c r="E51" t="inlineStr"/>
      <c r="F51" t="inlineStr"/>
      <c r="G51" t="inlineStr">
        <is>
          <t>Brentwood, TN</t>
        </is>
      </c>
      <c r="H51" t="inlineStr"/>
      <c r="I51" t="inlineStr">
        <is>
          <t>IDR is seeking a Data Engineer to join one of our top clients for an opportunity in Brentwood, TN. This role supports marketing automation and strategic data initiatives within a dynamic organization focused on campaign orchestration, personalization, and data integration across channels. The position is hands\-on and heavily technical, requiring strong data pipeline management and migration expertise.
**Position Overview for the Data Engineer:** 
* Support the migration of marketing platforms, including ongoing data validation and reconciliation between old and new systems
* Build and enhance scalable data pipelines for activation, reporting, and analytics
* Validate data accuracy, integrity, and governance during critical migration phases
* Collaborate closely with IT teams on APIs, data feeds, and platform integrations
* Enable new data capabilities to ensure continuous campaign and reporting operations
**Requirements for the Data Engineer:** 
* Strong SQL skills (joins, deduplication, window functions)
* Proficiency in Python and Snowflake expertise (critical)
* Hands\-on experience with data pipelines, APIs, and cloud data platforms
* Experience supporting platform migration projects, especially in marketing data environments
* Ability to own end\-to\-end data pipelines, from ingestion to activation and reporting
**What's in it for you?** 
* Competitive compensation package
* Full Benefits; Medical, Vision, Dental, and more!
* Opportunity to get in with an industry leading organization.
**Why IDR?** 
* 25\+ Years of Proven Industry Experience in 4 major markets
* Employee Stock Ownership Program
* Dedicated Engagement Manager who is committed to you and your success.
* Medical, Dental, Vision, and Life Insurance
* ClearlyRated's Best of Staffing® Client and Talent Award winner 12 years in a row.</t>
        </is>
      </c>
    </row>
    <row r="52">
      <c r="A52" t="inlineStr">
        <is>
          <t>li-4351226341</t>
        </is>
      </c>
      <c r="B52" t="inlineStr">
        <is>
          <t>Sr. Data Engineer III (6283)</t>
        </is>
      </c>
      <c r="C52" t="inlineStr">
        <is>
          <t>MetroStar</t>
        </is>
      </c>
      <c r="D52" t="inlineStr">
        <is>
          <t>linkedin</t>
        </is>
      </c>
      <c r="E52" t="inlineStr"/>
      <c r="F52" t="inlineStr"/>
      <c r="G52" t="inlineStr"/>
      <c r="H52" t="inlineStr"/>
      <c r="I52" t="inlineStr">
        <is>
          <t>As
 **Sr. Data Engineer III** 
 , you’ll be responsible for the design, integrity, and performance of the data layer supporting C2SET integrations, federation, and model driven behavior analysis. This role combines deep database and data engineering expertise with advanced analytics capabilities to ensure that simulation data, schemas, and decision logic remain accurate, interoperable, and operationally realistic across distributed environments.
 We know that you can’t have great technology services without amazing people. At MetroStar, we are
 **obsessed** 
 with
 our people and have led a two\-decade legacy of building the best and brightest teams. Because we know our future relies on our deep understanding and relentless focus on our people, we live by our mission: A passion for our people. Value for our customers.
 If you think you can see yourself delivering our mission and pursuing our goals with us, then check out the job description below!
**What you’ll do:** 
* Design, maintain, and validate data schemas supporting federation and integration between C2SET and external systems
* Build and support SQL and Python based ETL pipelines for operational, simulation, and analytics data
* Ensure data integrity, correctness, and performance across distributed and multi tier data sources
* Troubleshoot data mismatches, malformed messages, schema drift, and integration issues
* Partner with modeling and simulation engineers to analyze simulation outputs and support tuning of behaviors and decision logic
* Design and execute data driven experiments to evaluate model changes and operational impacts
* Develop datasets, scripts, and tooling to support repeatable validation and performance analysis
* Support Government analysts and integrators by delivering timely, reliable data refreshes and analysis
* Perform database performance tuning and optimization for operational workloads
* Maintain data documentation, metadata repositories, and data governance artifacts
* Act as a functional lead for data engineering and analytics activities within the integrations team
**What you’ll need to succeed:** 
* An active U.S. Government issued Secret security clearance
* Bachelor’s degree in Computer Science, Data Engineering, Information Systems, Mathematics, or a related technical field, or equivalent experience
* More than ten years of experience in data engineering, database engineering, database administration, or applied analytics
* Strong hands on experience with SQL and Python, including building and maintaining ETL pipelines
* Proven experience designing, implementing, and maintaining complex data schemas and data models
* Experience working with structured and semi structured data formats such as JSON and XML
* Ability to design, validate, and troubleshoot data exchanges across distributed or federated systems
* Experience with database performance tuning, indexing strategies, and query optimization
* Experience analyzing large or complex data sets and translating results into actionable technical recommendations
* Ability to collaborate effectively with software engineers, modeling and simulation engineers, and Government stakeholders
**SALARY RANGE:** 
  $138,000 – $147,000
 The salary range for this position is determined based on qualifications, skills, and relevant experience. The final salary offered will be determined based on several factors including:
* The candidate's professional background and relevant work experience
* The specific responsibilities of the role and organizational needs
* Internal equity and alignment with current team compensation
* This role is also eligible for additional compensation, subject to the terms and policies of MetroStar, which may include:
+ Performance\-based bonuses
+ Company\-paid training and/or certifications
+ Referral bonuses
*To apply for this position, please submit your resume via the form below or through our careers page: https://www.metrostar.com/jobs/* 
**Application Deadline:** 
 Applications will be accepted on a rolling basis until the position is filled; candidates are encouraged to apply as early as possible for full consideration.
**Additional Compensation** 
 : This role may also be eligible for bonuses and/or additional incentives based on individual and company performance.
**Benefits** 
 : All full\-time employees are eligible to participate in our benefits programs:
* Health, dental, and vision insurance
* 401(k) retirement plan with company match
* Paid time off (PTO) and holidays
* Parental Leave and dependent care
* Flexible work arrangements
* Professional development opportunities
* Employee assistance and wellness programs
 Like we said,
 **we are** 
 big fans of our people. That’s why
 **we offer** 
 a generous benefits package, professional growth, and valuable time to recharge. Learn more about our company culture code and benefits. Plus, check out our accolades.
**Commitment to Non\-Discrimination**
 All qualified applicants will receive consideration for employment based on merit and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status as a protected veteran, or any other status protected by applicable federal, state, local, or international law.
 **What we want you to know:** 
 In compliance with federal law, all persons hired will be required to verify identity and eligibility to work in the United States and to complete the required employment eligibility verification form upon hire.
 **Not ready to apply now?** 
 Sign up to join our newsletter here.</t>
        </is>
      </c>
    </row>
    <row r="53">
      <c r="A53" t="inlineStr">
        <is>
          <t>li-4366280657</t>
        </is>
      </c>
      <c r="B53" t="inlineStr">
        <is>
          <t>Data Engineer Senior</t>
        </is>
      </c>
      <c r="C53" t="inlineStr">
        <is>
          <t>TriWest Healthcare Alliance</t>
        </is>
      </c>
      <c r="D53" t="inlineStr">
        <is>
          <t>linkedin</t>
        </is>
      </c>
      <c r="E53" t="inlineStr"/>
      <c r="F53" t="inlineStr"/>
      <c r="G53" t="inlineStr">
        <is>
          <t>Phoenix, AZ</t>
        </is>
      </c>
      <c r="H53" t="inlineStr"/>
      <c r="I53" t="inlineStr">
        <is>
          <t>Profile
 We offer remote work opportunities (AK, AR, AZ, CO, FL, HI, IA, ID, IL, KS, LA, MD, MN, MO, MT, NE, NV, NM, NC, ND, OK, OR, SC, SD, TN, TX, UT, VA/DC, WA, WI \&amp; WY only)
 Our Department of Defense contract requires US citizenship and a favorably adjudicated DOD background investigation for this position.
 Veterans, Reservists, Guardsmen and military family members are encouraged to apply!
**Job Summary**
 The Senior Data Engineer will be responsible for design and development of ETL. The role will cover full systems development life cycle (SDLC) phases including requirements gathering, data analysis, system design, development, implementation, and post\-implementation support. During the design phase, the role will work closely with Data Architects/Models. The developer will be responsible the ETL movement of data from originating source feeds (files, x12, etc) to target systems (SQL Server, Snowflake) using Data Bricks.
**Education \&amp; Experience**
**Required:**
* Bachelor's Degree in Business Administration, Computer Science, Mathematics, Engineering, or related field with programming and database systems coursework or equivalent database development experience
* U.S. Citizenship
* Must be able to receive a favorable Interim and adjudicated final Department of Defense (DoD) background investigation
* 5\+ years of experience in a Data Engineering role
* 2\+ years of experience with Azure \* 3\+ years of experience developing data integration related source code in Python, R, SQL, or equivalent
* Experience in ETL with both structured and semi\-structured data
* Experience in gathering business requirements from cross functional teams
* Experience with SDLC processes and DevOps
**Preferred**
* 2\+ years of experience with Data Bricks preferably within Azure Cloud
* 3\+ years of experience with Python
* Experience with Data Governance
* Experience with SQL Server and Snowflake in Azure Cloud
* Experience with x12 data file formats
* Understanding of ANSI and T\-SQL
* Experience with data analysis in the healthcare industry
**Key Responsibilities**
* Collaborates with users, business analysts, developers, database administrators, and project managers on reporting needs.
* Collaborates with data architect to create conceptual, logical, and physical data models for reporting databases.
* Implements changes and provide post\-implementation user support and system support.
* Identifies and advocates beneficial change opportunities.
* Acts as a technical resource for application and data users, data administrators and others.
* Ensures compliance with TriWest HIPAA, privacy and government security policies.
* Performs other duties as assigned.
* Regular and reliable attendance is required.
**Competencies**
**Communication / People Skills:** 
 Ability to influence or persuade others under positive or negative circumstances; adapt to different styles; listen critically; collaborate.
**Computer Literacy:** 
 Ability to function in a multi\-system Microsoft environment using Word, Outlook, TriWest Intranet, the Internet, and department software applications.
**Coping / Flexibility:** 
 Resiliency in adapting to a variety of situations and individuals while maintaining a sense of purpose and mature problem\-solving approach is required.
**Information Management:** 
 Ability to manage large amounts of complex information easily, communicates clearly, and draws sound conclusions.
**High Intensity Environment:** 
 Ability to function in a fast\-paced environment with multiple activities occurring simultaneously while maintaining focus and control of workflow.
**Multi\-Tasking / Time Management:** 
 Prioritize and manage actions to meet changing deadlines and requirements within a high volume, high stress environment.
**Organizational Skills:** 
 Ability to organize people or tasks, adjust to priorities, learn systems, within time constraints and with available resources; Detail\-oriented.
**Problem Solving / Analysis:** 
 Ability to solve problems through systematic analysis of processes with sound judgment; has a realistic understanding of relevant issues.
**Technical Skills:** 
 Strong knowledge of data warehouse design; data modeling; proficiency with SQL; strong experience with data extraction, transformation, and loading (ETL); working knowledge of report and dashboard development; strong knowledge of SQL Server / Snowflake databases; working knowledge of Oracle databases.
**Working Conditions**
**Working Conditions**
* Works non\-standard hours as required
* Works within a standard office environment, with less than 10% travel
* Extensive computer work with prolonged periods of sitting
**Company Overview**
**Taking Care of Our Nation’s Heroes.**
**It’s Who We Are. It’s What We Do.**
 Do you have a passion for serving those who served?
**Join the TriWest Healthcare Alliance Team! We’re On a Mission to Serve®!**
 Our job is to make sure that America’s heroes get connected to health care in the community.
 At TriWest Healthcare Alliance, we’ve proudly been on that important mission since 1996\.
 DoD Statement
 Our Department of Defense contract requires US citizenship and a favorably adjudicated DOD background investigation for this position.
**Benefits**
 We’re more than just a health care company. We’re passionate about serving others! We believe in rewarding loyal, hard\-working people who are willing to learn as they grow. TriWest Healthcare Alliance values teamwork. Join our team, fulfill your responsibilities, and you may also be considered for frequent pay raises, overtime opportunities to earn even more, recognition and reward programs, and much more. Of course, we also offer a comprehensive and progressive compensation and benefits package that includes:
* Medical, Dental and Vision Coverage
* Paid time off
* 401(k) Retirement Savings Plan (with matching)
* Short\-term and long\-term disability, basic life, and accidental death and dismemberment insurance
* Tuition reimbursement
* Paid volunteer time
 TriWest job postings typically include a salary range,
 **which can vary based on the specific role and location** 
 , but generally this position ranges from around $138,000 \- $146,000 per year.
 Equal Employment Opportunity
 TriWest Healthcare Alliance is an equal employment opportunity employer. We are proud to have an inclusive work environment and know that a diverse team is a strength that will drive our success. To that end, TriWest strives to create an inclusive environment that supports diversity at every organizational level, and we highly encourage candidates from all backgrounds to apply. Applicants are considered for positions based on merit and without discrimination on the basis of race, color, religion, sex, sexual orientation, gender identity, national origin, age, disability or any other consideration made unlawful by applicable federal, state, or local laws.</t>
        </is>
      </c>
    </row>
    <row r="54">
      <c r="A54" t="inlineStr">
        <is>
          <t>li-4365865459</t>
        </is>
      </c>
      <c r="B54" t="inlineStr">
        <is>
          <t>Principal Data Engineer</t>
        </is>
      </c>
      <c r="C54" t="inlineStr">
        <is>
          <t>Connection</t>
        </is>
      </c>
      <c r="D54" t="inlineStr">
        <is>
          <t>linkedin</t>
        </is>
      </c>
      <c r="E54" t="inlineStr"/>
      <c r="F54" t="inlineStr"/>
      <c r="G54" t="inlineStr">
        <is>
          <t>Merrimack, NH</t>
        </is>
      </c>
      <c r="H54" t="inlineStr"/>
      <c r="I54" t="inlineStr">
        <is>
          <t>**Overview**
**What We Do**
 We calm the confusion of IT by guiding the connection between people and technology. If a customer is looking for a better way to manage their warehouse inventory, equip their workforce, or secure their data, we make it happen. All it takes is finding the right combination of tech hardware, software, cloud solutions, and support services. That’s what we do. We’re the IT Department’s IT Department.
**Who We Are**
 Our team is made stronger by a multitude of backgrounds, experiences, and perspectives. It’s what makes Connection unique—what drives us to innovate and create technology solutions that stand apart from the crowd. We’d love for you to be a part of that fabric, to share your ideas and experiences with a team that thrives on fresh thinking, creativity, and helping others.
**Why You Should Join Us**
 You’ll find supportive teammates and a rewarding career at Connection—plus great benefits. We take pride in supporting employees with a total rewards package that provides financial, emotional, and physical resources for you and your family. Our compensation, 401k plans, medical insurance, and other benefits are progressive and competitive. We value the importance of our employees’ emotional wellbeing. To support employees, we provide free therapy visits, mental health coaching and tools, and meditation resources. You’ll also enjoy a generous paid time off package that includes not only vacation and sick time, but also Wellness and Volunteer Time Off days.
 Applicants must be authorized to work for any employer in the U.S. We are unable to sponsor or take over sponsorship of an employment visa at this time.
**Responsibilities**
 Working under general supervision of the Senior Director, Data Engineering, relying on experience and judgement to plan and accomplish goals, the Principal Data Engineer performs complex data and application integration activities as the highest technical level in support of all corporate information systems across multiple database platforms. Responsibilities include working with business partners on solution design for new or modified database systems as well as integrating database systems. The Principal functions as a lead in technical design and development on large projects by providing direction to other resources and promoting the goal of process improvement. Trains and mentors less experienced developers via formal knowledge transfer workshops and one\-on\-one sessions. Leads complex production support initiatives and applies long term solutions as appropriate.
 Develops database integration solutions including requirement specifications, impact analysis, functional and technical design, programming, documentation, testing, data conversion, and implementation.
* Analyzes functional requirements to design and build technical solutions.
* Analyzes data and develop logical solutions to problems.
* Establishes development estimates and meet agreed upon target dates.
 Provides accurate scope analysis and estimates for large projects.
 Completes documentation of technical specifications, deployment documents and support procedure manuals.
 Establishes and maintains partnerships with various lines of business to facilitate system design and support activities as well as working closely with all IT teams to facilitate collaboration on projects and production support.
 Leads complex production support initiatives and applies long term solutions as appropriate.
 Leads development initiatives as technical lead; fills in for the manager as needed
 Leads technical resources on major projects, including design sessions and development activities
 Provides technical leadership and mentoring to help developers improve their skills.
* Conducts knowledge transfer sessions and technical walk\-throughs.
 Provides project status reports and attends team meetings to keep project leads and managers apprised of work progress.
 Provides on\-call support for the database integration solutions; develops long term solutions to minimize recurring support calls.
 Identifies opportunities for process improvements and lead efforts to implement solutions.
 Tracks project hours in time management software.
 Performs all other duties or special projects as assigned.
**Min**
 USD $106,500\.00/Yr.
**Max**
 USD $138,250\.00/Yr.
**Qualifications**
* Advanced working knowledge of SQL Programming Language skills.
* Advanced working knowledge of SQL Server and/or Oracle Relational Database Systems knowledge as well as cloud data solutions such as Databricks.
* Advanced working knowledge of multiple data integration tools such as SQL Server Integration Services (SSIS), Databricks Transformation capabilities and replication engines.
* Strong working knowledge of Source Control Applications such as GIT or Bitbucket.
* Strong working knowledge of Principles and techniques of the application development process.
* Strong working knowledge of Principles and techniques of system integration and software dependencies.
* Strong working knowledge of Logical and physical database design concepts.
* Exposure to all major PCC database systems and business processes.
* Strong working knowledge of Business Intelligence application such as Microsoft Power BI.
* Self\-motivated with ability to work independently while adhering to company policies and standards.
* Effective verbal and written communication skills with ability to interface effectively and cooperatively with business partners and co\-workers.
* Manages multiple projects concurrently.</t>
        </is>
      </c>
    </row>
    <row r="55">
      <c r="A55" t="inlineStr">
        <is>
          <t>li-4366272843</t>
        </is>
      </c>
      <c r="B55" t="inlineStr">
        <is>
          <t>Data Engineer Sr.</t>
        </is>
      </c>
      <c r="C55" t="inlineStr">
        <is>
          <t>TriWest Healthcare Alliance</t>
        </is>
      </c>
      <c r="D55" t="inlineStr">
        <is>
          <t>linkedin</t>
        </is>
      </c>
      <c r="E55" t="inlineStr"/>
      <c r="F55" t="inlineStr"/>
      <c r="G55" t="inlineStr">
        <is>
          <t>Phoenix, AZ</t>
        </is>
      </c>
      <c r="H55" t="inlineStr"/>
      <c r="I55" t="inlineStr">
        <is>
          <t>Profile
 We offer remote work opportunities (AK, AR, AZ, CO, FL, HI, IA, ID, IL, KS, LA, MD, MN, MO, MT, NE, NV, NM, NC, ND, OK, OR, SC, SD, TN, TX, UT, VA/DC, WA, WI \&amp; WY only).
 Our Department of Defense contract requires US citizenship and a favorably adjudicated DOD background investigation for this position.
 Veterans, Reservists, Guardsmen and military family members are encouraged to apply!
**Job Summary**
 The Senior Data Engineer will be responsible for design and development of ETL. The role will cover full systems development life cycle (SDLC) phases including requirements gathering, data analysis, system design, development, implementation, and post\-implementation support. During the design phase, the role will work closely with Data Architects/Models. The developer will be responsible the ETL movement of data from originating source feeds (files, x12, etc) to target systems (SQL Server, Snowflake) using Data Bricks.
**Education \&amp; Experience**
**Required:**
* Bachelor's Degree in Business Administration, Computer Science, Mathematics, Engineering, or related field with programming and database systems coursework or equivalent database development experience
* U.S. Citizenship
* Must be able to receive a favorable Interim and adjudicated final Department of Defense (DoD) background investigation
* 5\+ years of experience in a Data Engineering role
* 2\+ years of experience with Azure \* 3\+ years of experience developing data integration related source code in Python, R, SQL, or equivalent
* Experience in ETL with both structured and semi\-structured data
* Experience in gathering business requirements from cross functional teams
* Experience with SDLC processes and DevOps
**Preferred**
* 2\+ years of experience with Data Bricks preferably within Azure Cloud
* 3\+ years of experience with Python
* Experience with Data Governance
* Experience with SQL Server and Snowflake in Azure Cloud
* Experience with x12 data file formats
* Understanding of ANSI and T\-SQL
* Experience with data analysis in the healthcare industry
**Key Responsibilities**
* Collaborates with users, business analysts, developers, database administrators, and project managers on reporting needs.
* Collaborates with data architect to create conceptual, logical, and physical data models for reporting databases.
* Implements changes and provide post\-implementation user support and system support.
* Identifies and advocates beneficial change opportunities.
* Acts as a technical resource for application and data users, data administrators and others.
* Ensures compliance with TriWest HIPAA, privacy and government security policies.
* Performs other duties as assigned.
* Regular and reliable attendance is required.
**Competencies**
**Communication / People Skills:** 
 Ability to influence or persuade others under positive or negative circumstances; adapt to different styles; listen critically; collaborate.
**Computer Literacy:** 
 Ability to function in a multi\-system Microsoft environment using Word, Outlook, TriWest Intranet, the Internet, and department software applications.
**Coping / Flexibility:** 
 Resiliency in adapting to a variety of situations and individuals while maintaining a sense of purpose and mature problem\-solving approach is required.
**Information Management:** 
 Ability to manage large amounts of complex information easily, communicates clearly, and draws sound conclusions.
**High Intensity Environment:** 
 Ability to function in a fast\-paced environment with multiple activities occurring simultaneously while maintaining focus and control of workflow.
**Multi\-Tasking / Time Management:** 
 Prioritize and manage actions to meet changing deadlines and requirements within a high volume, high stress environment.
**Organizational Skills:** 
 Ability to organize people or tasks, adjust to priorities, learn systems, within time constraints and with available resources; Detail\-oriented.
**Problem Solving / Analysis:** 
 Ability to solve problems through systematic analysis of processes with sound judgment; has a realistic understanding of relevant issues.
**Technical Skills:** 
 Strong knowledge of data warehouse design; data modeling; proficiency with SQL; strong experience with data extraction, transformation, and loading (ETL); working knowledge of report and dashboard development; strong knowledge of SQL Server / Snowflake databases; working knowledge of Oracle databases.
**Working Conditions**
**Working Conditions**
* Works non\-standard hours as required
* Works within a standard office environment, with less than 10% travel
* Extensive computer work with prolonged periods of sitting
**Company Overview**
**Taking Care of Our Nation’s Heroes.**
**It’s Who We Are. It’s What We Do.**
 Do you have a passion for serving those who served?
**Join the TriWest Healthcare Alliance Team! We’re On a Mission to Serve®!**
 Our job is to make sure that America’s heroes get connected to health care in the community.
 At TriWest Healthcare Alliance, we’ve proudly been on that important mission since 1996\.
**Benefits**
 We’re more than just a health care company. We’re passionate about serving others! We believe in rewarding loyal, hard\-working people who are willing to learn as they grow. TriWest Healthcare Alliance values teamwork. Join our team, fulfill your responsibilities, and you may also be considered for frequent pay raises, overtime opportunities to earn even more, recognition and reward programs, and much more. Of course, we also offer a comprehensive and progressive compensation and benefits package that includes:
* Medical, Dental and Vision Coverage
* Paid time off
* 401(k) Retirement Savings Plan (with matching)
* Short\-term and long\-term disability, basic life, and accidental death and dismemberment insurance
* Tuition reimbursement
* Paid volunteer time
 TriWest job postings typically include a salary range,
 **which can vary based on the specific role and location** 
 , but generally this position ranges from around $138,000 \- $154,000 per year.
 Equal Employment Opportunity
 TriWest Healthcare Alliance is an equal employment opportunity employer. We are proud to have an inclusive work environment and know that a diverse team is a strength that will drive our success. To that end, TriWest strives to create an inclusive environment that supports diversity at every organizational level, and we highly encourage candidates from all backgrounds to apply. Applicants are considered for positions based on merit and without discrimination on the basis of race, color, religion, sex, sexual orientation, gender identity, national origin, age, disability or any other consideration made unlawful by applicable federal, state, or local laws.</t>
        </is>
      </c>
    </row>
    <row r="56">
      <c r="A56" t="inlineStr">
        <is>
          <t>li-4374102404</t>
        </is>
      </c>
      <c r="B56" t="inlineStr">
        <is>
          <t>Data Engineer</t>
        </is>
      </c>
      <c r="C56" t="inlineStr">
        <is>
          <t>ConsultNet Technology Services and Solutions</t>
        </is>
      </c>
      <c r="D56" t="inlineStr">
        <is>
          <t>linkedin</t>
        </is>
      </c>
      <c r="E56" t="inlineStr"/>
      <c r="F56" t="inlineStr"/>
      <c r="G56" t="inlineStr">
        <is>
          <t>Florence, KY</t>
        </is>
      </c>
      <c r="H56" t="inlineStr"/>
      <c r="I56" t="inlineStr">
        <is>
          <t>Title \- Data Engineer
 Location: Remote
 Type: Direct Hire
 Pay: $100K to $140K
 Job Description:
 Reports to the Product \&amp; Technology Enablement Lead and serves as the first dedicated data engineering hire. Responsible for designing, building, and optimizing the enterprise data warehouse and data infrastructure supporting multiple locations. Develops scalable data pipelines, integrates disparate systems and APIs, ensures data quality and standardization, and automates reporting for stakeholders. Evaluates and implements data architecture solutions, including optimization or alternatives to the current AWS environment, and partners cross\-functionally to deliver reliable insights and enterprise technology enablement.
 Required Skills:
 • Bachelor's degree in Computer Science, Information Systems, Engineering, or related field (preferred)
 • Experience architecting and building scalable data warehouse solutions
 • Hands\-on experience with AWS (S3, Lambda, data warehousing, automation)
 • Experience integrating multiple data sources and APIs (REST preferred)
 • Strong data quality, validation, and standardization expertise
 • Experience building automated data pipelines and reporting workflows
 • Experience with reporting tools and automated report delivery
 • Ability to evaluate and implement scalable data architecture solutions
 • Strong analytical, problem\-solving, and documentation skills
 • Ability to take ownership in a growth\-stage environment
 Bonus/Soft Skills:
 • Experience building data infrastructure from the ground up
 • Experience working with disparate systems across multiple locations
 • Strong communication skills translating data into business insights
 • Highly organized, self\-motivated, and comfortable with ambiguity
 • Strategic thinker with desire to grow and scale systems
 Start Date: 2 Weeks
 Welcome to ConsultNet, a premier national provider of technology talent and solutions. Our expertise spans across project services, contract\-to\-hire, direct search, and managed services onshore, nearshore, and hybrid.
 For over 25 years, we have connected thousands of consultants with meaningful roles through a personal, communication\-driven approach, partnering with a diverse client base to build high\-performing teams and create lasting impact.
 Our comprehensive service offerings cover a wide range of technology and engineering positions across key markets nationwide. Learn more at
**www.consultnet.com**
 .
 We champion equality and inclusivity, proudly supporting an Equal Opportunity Employer policy. We welcome applicants regardless of Race, Color, Religion, Sex, Sexual Orientation, Gender Identity, National Origin, Age, Genetic Information, Disability, Protected Veteran Status, or any other status protected by law.</t>
        </is>
      </c>
    </row>
    <row r="57">
      <c r="A57" t="inlineStr">
        <is>
          <t>li-4365892009</t>
        </is>
      </c>
      <c r="B57" t="inlineStr">
        <is>
          <t>Data Engineer (Semantic Web / Ontology Engineering)</t>
        </is>
      </c>
      <c r="C57" t="inlineStr">
        <is>
          <t>IMO Health</t>
        </is>
      </c>
      <c r="D57" t="inlineStr">
        <is>
          <t>linkedin</t>
        </is>
      </c>
      <c r="E57" t="inlineStr"/>
      <c r="F57" t="inlineStr"/>
      <c r="G57" t="inlineStr">
        <is>
          <t>Houston, TX</t>
        </is>
      </c>
      <c r="H57" t="inlineStr"/>
      <c r="I57" t="inlineStr">
        <is>
          <t>**Semantic Web Engineers** 
 at IMO Health are key members of our ontology\-driven Data Engineering teams. You will be a specialist working with multiple teams to virtualize huge volumes of complex medical terminology as we scale our database footprint. The Semantic Web Engineer's work will be critical to achieving IMO Health’s goals to deliver a more comprehensive and reactive source of clinical terminology to healthcare professionals.
 You will use your experience with ontology architecture and tooling to harmonize and leverage complex sources to develop automated approaches to large volume data ingestion.  You will be pivotal not just to ingesting/virtualizing existing content but building inferences and reasoning across it. This work will drastically improve content relationships and the quality of content that we provide to over 740,000 physicians every day.
**What You’ll Do**
* Serve as a technical resource in semantic web development on cross\-skilled clinical, content, and data teams as we develop meaningful data relationship experiences.
* Design and write quality source code for data pipelines and services, including detailed documentation of design and implementation.
* Implement and maintain the deployment of semantic services using containerization technologies (Docker) and cloud orchestration platforms like Amazon ECS. Contribute to and maintain automated deployment, testing, and integration activities utilizing robust CI/CD pipelines.
* Work together with the product owner to break down features into actionable user stories and technical tasks.
* Utilize existing taxonomies and ontologies applicable to our work. Contribute to the documentation and publishing of taxonomies/ontologies, supporting the core concepts of our domain.
* Adhere to and support the established governance process for structured data, ensuring compliance across implementations.
**What You’ll Need**
* A relevant STEM BA/BS Degree and 3\-5 years of relevant coding experience, or five years of relevant professional experience in semantic web development/data engineering using multiple languages (Python, Java).
* Proficient in AWS services (EC2, EMR, RDS, etc.)
* Strong SQL knowledge, with experience in complex query authoring, relational databases (PostgreSQL), and NoSQL databases (DynamoDB, MongoDB, Elasticsearch)..
* Hands\-on experience with containerization technologies (Docker) and cloud deployment strategies using services like Amazon ECS.
* Familiar with agile development and CI/CD processes using tools such as Git and Terraform.
* Experience working with Spark and/or PySpark.
* Proven ability to communicate complex technical concepts effectively to both technical and non\-technical stakeholders, and to lead collaborative efforts across diverse teams.
* Demonstrated ability to analyze complex data challenges, identify root causes, and architect strategic, scalable solutions within a semantic context.
* Experience in an Agile/Scrum environment, iteratively developing and deploying data solutions.
**Bonus**
* Familiarity with RDF, OWL, SHACL, and SPARQL
* Understanding healthcare ontologies and standards like SNOMED\-CT, LOINC, RxNorm, and ICD\-10\.
 $100,000 \- $160,000 a year
 Compensation at IMO Health is determined by job level, role requirements, and each candidate’s experience, skills, and location. The listed base pay represents the target for new hires with individual compensation varying accordingly. These figures exclude potential bonuses or sales incentives, which may also be part of the total compensation package. Our recruiter will provide additional details during the hiring process.
 IMO Health also offers a comprehensive benefits package. To learn more, please visit IMO Health's Careers Page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8">
      <c r="A58" t="inlineStr">
        <is>
          <t>li-4314655869</t>
        </is>
      </c>
      <c r="B58" t="inlineStr">
        <is>
          <t>Cleared Data Engineer</t>
        </is>
      </c>
      <c r="C58" t="inlineStr">
        <is>
          <t>Accenture Federal Services</t>
        </is>
      </c>
      <c r="D58" t="inlineStr">
        <is>
          <t>linkedin</t>
        </is>
      </c>
      <c r="E58" t="inlineStr"/>
      <c r="F58" t="inlineStr"/>
      <c r="G58" t="inlineStr">
        <is>
          <t>Washington, DC</t>
        </is>
      </c>
      <c r="H58" t="inlineStr"/>
      <c r="I58"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a technology company within global Accenture. Recognized as a Glassdoor Top 100 Best Place to Work, we offer a collaborative and caring community where you feel like you belong and are empowered to grow, learn and thrive through hands\-on experience, certifications, industry training and more.
 Join us to drive positive, lasting change that moves missions and the government forward!
**The work:**
* Pipeline Architect: Design, build, and maintain scalable end\-to\-end data pipelines using Databricks, Spark, and related technologies.
* Transformation Titan: Develop efficient data processing and transformation workflows to support analytics and reporting needs.
* Integration Hero: Integrate diverse data sources including APIs, databases, and cloud storage into unified datasets.
* Collaboration Champion: Work closely with cross\-functional teams (data science, analytics, business units) to design and implement data solutions that align with business goals.
* Quality Guardian: Implement robust validation, monitoring, and observability processes to ensure data accuracy, completeness, and reliability.
* Automation Avenger: Contribute to data governance, security, and automation initiatives within the data ecosystem.
* Cloud Commander: Leverage AWS services (e.g., S3, Glue, Lambda, Redshift) to build and deploy data solutions in a cloud\-native environment.
**Here’s what you need:**
* Experience with cloud\-based ETL services (e.g. AWS Glue, Google Cloud Dataflow, Azure Data Factory)
* Experience with Cloud data warehousing technologies (e.g. Amazon Redshift, Google BigQuery, Snowflake)
* Experience with Python, SQL, Spark, and PySpark
* Experience with data platforms like Databricks, Palantir, and Snowflake
* Familiarity with data orchestration and data quality processes
**Bonus points if you have:**
* Experience working with federal clients
* Experience with Docker/Kubernetes Hadoop/Spark, NiFi, ELK stack
* Experience with Agile / Scrum
* Experience with COTS and open\-source data engineering tools such as ElasticSearch and NiFi
* Data engineering certification such as Palantir Foundry Data Engineer, Azure Data Engineer Associate, Google Professional Data Engineer, IBM Certified Data Engineer, or similar
**Security Clearance:**
* Active Top Secret or TS/SCI or TS/SCI with polygraph clearance
 As required by local law, Accenture Federal Services provides reasonable ranges of compensation for hired roles based on labor costs in the states of
 **California, Colorado, Hawaii, Illinois, Maryland, Massachusetts, Minnesota, New Jersey, New York, Washington, Vermont, the District of Columbia, and the city of Cleveland** 
 . The base pay range for this position in these locations is shown below. Compensation for roles at Accenture Federal Services varies depending on a wide array of factors, including but not limited to office location, role, skill set, and level of experience. Accenture Federal Services offers a wide variety of benefits. You can find more information on benefits here. We accept applications on an on\-going basis and there is no fixed deadline to apply.
 The pay range for the states of California, Colorado, Hawaii, Illinois, Maryland, Massachusetts, Minnesota, New Jersey, New York, Washington, Vermont, the District of Columbia, and the city of Cleveland is:
 $93,400—$176,200 USD
***What We Believe***
*As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t>
        </is>
      </c>
    </row>
    <row r="59">
      <c r="A59" t="inlineStr">
        <is>
          <t>li-4355928012</t>
        </is>
      </c>
      <c r="B59" t="inlineStr">
        <is>
          <t>Sr. Azure Data Engineer - Databricks</t>
        </is>
      </c>
      <c r="C59" t="inlineStr">
        <is>
          <t>NRI North America</t>
        </is>
      </c>
      <c r="D59" t="inlineStr">
        <is>
          <t>linkedin</t>
        </is>
      </c>
      <c r="E59" t="inlineStr"/>
      <c r="F59" t="inlineStr"/>
      <c r="G59" t="inlineStr">
        <is>
          <t>Charlotte, NC</t>
        </is>
      </c>
      <c r="H59" t="inlineStr"/>
      <c r="I59" t="inlineStr">
        <is>
          <t>**Through NRI Resource Management Services (RMS), we offer custom talent solutions to help our clients meet their evolving technology and business needs. We help effectively match the right technology professional to their organization, recruiting for contract, contract\-to\-hire, and direct roles. Our client in Charlotte, NC has an immediate need for a Sr. Data Engineer. Please note that this is a contract to hire opportunity with our client and NOT with NRI.**
**Job Description: Senior Data Engineer**
 The Senior Data Engineer / Data Platform Engineer will take ownership of the architecture, infrastructure, and operational maturity of our data environment. This role is ideal for someone who thrives in a Medallion Architecture based Python DLT/ DBT environment hosted in Azure, enjoys maturing foundational systems, and is comfortable operating at the intersection of engineering, operations, and business stakeholders. The candidate must have exceptional communication skills, with ability to interact with key business stakeholders in delivering critical reporting \&amp; other data insights.
**Key Responsibilities**
**Data Architecture \&amp; Platform Ownership**
* Own the end\-to\-end architecture and infrastructure of the Azure\-based data platform
* Design and implement a modern Lakehouse architecture to support analytics and reporting
* Establish best practices for data engineering, reliability, and operational excellence
**Data Ingestion \&amp; Pipelines**
* Design, build, and maintain API\-driven and batch data pipelines
* Ingest data from multiple source systems across acquired entities
* Orchestrate workflows using Dagster
* Ensure pipelines are scalable, resilient, and well\-monitored
**Data Transformation \&amp; Analytics Enablement**
* Transform raw, disparate data into clean, trusted, analytics\-ready datasets
* Model data for consumption in Power BI (PBI)
* Partner with finance and business teams to align data structures with reporting needs
**Operations \&amp; Troubleshooting**
* Own data platform operations, including monitoring, alerting, and incident response
* Troubleshoot complex data and pipeline issues across ingestion, transformation, and reporting layers
* Continuously improve performance, reliability, and cost efficiency
**Stakeholder Collaboration**
* Work closely with the CFO and other senior stakeholders to understand reporting and analytics requirements
* Translate business needs into technical solutions
* Act as a trusted data engineering partner across the organization
**Qualifications And Skills**
**Education and Experience**
* Bachelor's degree in information systems, informatics, data science or a related field
* 5\+ years of experience in data engineering, data platform engineering, or data operations
* Certifications including Microsoft Azure Data Engineer Associate, Databricks Certified Data Engineer, Python Institute Certifications (PCAP, PCPP) or DataCamp Certifications are highly desirable
**Technical Knowledge**
* Strong experience in Microsoft Azure data services (greenfield experience strongly preferred)
* Hands\-on expertise with:
* Python (including DLT and DBT)
* Azure Data Bricks
* APIs, data pipelines, and ingestion frameworks
* Workflow orchestration (Dagster or similar tools)
* Experience building and operating Medallion Architected environments
* Strong experience supporting Power BI or similar BI tools
* Experience using GitHub or similar version control tools
**Leadership and Communication**
* Collaborate with the CFO and other senior stakeholders to understand reporting and analytics requirements, then accurately translate business needs into technical solutions
* Act as a trusted data engineering partner across the organization
* Communicate health and status of environment to leadership regularly
**Problem\-Solving and Decision\-Making**
* Excellent troubleshooting and problem\-solving skills across data pipelines and platforms
* Influence prioritization of work to minimize technical debt and maintain performance
* Ability to work at a detailed level while maintaining the ‘big picture’ of the overall business vision
***Key Performance Indicators***
 To measure the success the Senior Data Engineer is responsible for the following KPIs:
* Cloud and PaaS resource utilization in Data Environment
* Compliance with IT Data Security and IT general controls
* Time to fix pipeline failures and data environment defects and outages
* Increase usage of published PowerBI Reports</t>
        </is>
      </c>
    </row>
    <row r="60">
      <c r="A60" t="inlineStr">
        <is>
          <t>li-4370995448</t>
        </is>
      </c>
      <c r="B60" t="inlineStr">
        <is>
          <t>Senior Snowflake Data Engineer | Large New York City Hospital | Full Time Position!</t>
        </is>
      </c>
      <c r="C60" t="inlineStr">
        <is>
          <t>Integris Group</t>
        </is>
      </c>
      <c r="D60" t="inlineStr">
        <is>
          <t>linkedin</t>
        </is>
      </c>
      <c r="E60" t="inlineStr"/>
      <c r="F60" t="inlineStr"/>
      <c r="G60" t="inlineStr"/>
      <c r="H60" t="inlineStr"/>
      <c r="I60" t="inlineStr">
        <is>
          <t>Integris Group is partnering with a large New York City hospital who has an immediate need to hire
 **(2\) Senior Snowflake Data Engineers** 
 for a full time, permanent position (Salary \+ Bonus).
 This is a
 **Hybrid position
 *(4 days Onsite, 1 Day Remote – no exceptions)***
 offering a competitive salary, annual bonus, 401(k), PTO, and top\-tier medical, dental, and vision benefits, along with additional excellent company perks.
**Job Title:** 
**2\-Senior Data Engineer's** 
 (last two spots left on the team).
**Location:** 
 New York, NY
**Position Type:** 
***Full\-Time, Hybrid (4 day's Onsite \| 1 day Remote)***
**About the Role:** 
 Our client is seeking 2 highly motivated and experienced Senior Data Engineer to join their data team and help design, build, and optimize their modern data platform. You will work with tools such as
 **Snowflake, Fivetran, and DBT** 
 to create scalable, high\-performance data pipelines and analytics solutions. This role will be instrumental in enabling advanced analytics, machine learning, and data\-driven decision\-making across the organization. The job itself is not just architecture (these senior engineers will do some as they are designing the data models, pipelines, version control, governance, etc.), but then they will also execute (engineer) \&amp; deliver that work.
**Key Responsibilities:** 
* Design, build, and maintain robust, scalable, and secure ETL/ELT pipelines.
* Develop and optimize data models to support analytics, BI, and machine learning use cases.
* Partner closely with data analysts, scientists, and business stakeholders to translate requirements into technical solutions.
* Monitor, tune, and optimize data processing workflows for efficiency, scalability, and cost\-effectiveness.
* Troubleshoot pipeline failures and performance issues quickly and effectively.
* Support production workflows through CI/CD pipelines and version control (Git).
* Ensure data quality, integrity, and governance across the data lifecycle.
* Prototype and research new tools, technologies, and architectures for improving the existing data infrastructure.
**The ideal candidate has:** 
* Bachelor’s or Master’s degree in Computer Science, Engineering, Information Systems, or equivalent experience.
* Hands\-on experience with cloud\-based data warehouse platforms (e.g.
 **Snowflake** 
 ).
* Experience designing and deploying data pipelines using orchestration tools like
 **DBT** 
*or* 
**Airflow.**
* 5\+ years’ experience supporting data\-driven or ML applications in production environments.
* Understanding of modern data architecture, ELT/ETL best practices, and cloud data platforms i.e. (Azure or AWS or GCP).
* Ability to analyze large datasets to identify data quality issues and other contextual insights.
* Experience in developing data models for integration and analysis that support business intelligence and data analytics initiatives.
* Experience with CI/CD and version control tools (e.g. Git).
* Proficiency with SQL and experience in at least one programming language (e.g., Python, Scala).
* A proven ability to operate in a fast\-paced work environment.
* Excellent communication and organizational skills with a demonstrated team orientation with strong ability to drive projects autonomously as needed.
**We’d like to see:** 
* Familiarity with Infrastructure as Code (IaC), and containerization (Docker, Kubernetes).
* Knowledge of data governance, security, and compliance frameworks.
* Experience in data modeling for large\-scale distributed data warehouses with a strong understanding of design trade\-offs and best practices.</t>
        </is>
      </c>
    </row>
    <row r="61">
      <c r="A61" t="inlineStr">
        <is>
          <t>li-4371972584</t>
        </is>
      </c>
      <c r="B61" t="inlineStr">
        <is>
          <t>Analytics Engineer 5 - Corporate Finance</t>
        </is>
      </c>
      <c r="C61" t="inlineStr">
        <is>
          <t>Ladders</t>
        </is>
      </c>
      <c r="D61" t="inlineStr">
        <is>
          <t>linkedin</t>
        </is>
      </c>
      <c r="E61" t="inlineStr"/>
      <c r="F61" t="inlineStr"/>
      <c r="G61" t="inlineStr"/>
      <c r="H61" t="inlineStr"/>
      <c r="I61" t="inlineStr">
        <is>
          <t>For our client, we are seeking a Analytics Engineer 5 \- Corporate Finance to join the team of a leader in the Hospitality \&amp; Recreation space. You’ll build and maintain systems that power mission\-critical Hospitality \&amp; Recreation workflows. You’ll collaborate with product and peers to design clean, scalable solutions. This role values craftsmanship, impact, and ownership.
 Location: Remote \- US based candidates only, no visa sponsorship available
 Compensation: $170,000 – $720,000 annually.
**Responsibilities**
* Champion a data\-as\-a\-product mindset with documentation and modeling standards
* Mentor team members on best practices in analytics engineering
* Partner with various stakeholders to define the vision for revenue data products
* Improve analytics workflows for revenue, ensuring reliability and transparency
* Conduct root\-cause analysis to identify and address data issues
* Implement orchestration best practices for revenue data pipelines
* Utilize AI tools to enhance workflow efficiency and developer productivity
**Qualifications**
* 8\+ years in analytics/data engineering, ideally in high\-stakes environments
* Ability to drive cross\-functional change with a 'data\-as\-a\-product' mindset
* Proven mentor and influencer in technical and product standards
* Strong ownership, curiosity, and analytical skills in data design
* Excellent communication for technical and non\-technical audiences
**Benefits**
* Comprehensive health plans and mental health support
* 401(k) retirement plan with employer matching
* Flexible time off policy for full\-time salaried employees
* Paid leave for vacation, holidays, and sick leave for hourly employees
* Family\-forming benefits and life injury benefits
 Our client is an equal opportunity employer. We encourage you to apply even if you don’t meet every qualification—your background could be exactly what this team needs.</t>
        </is>
      </c>
    </row>
    <row r="62">
      <c r="A62" t="inlineStr">
        <is>
          <t>li-4354607476</t>
        </is>
      </c>
      <c r="B62" t="inlineStr">
        <is>
          <t>Senior Power BI Engineer</t>
        </is>
      </c>
      <c r="C62" t="inlineStr">
        <is>
          <t>Addison Group</t>
        </is>
      </c>
      <c r="D62" t="inlineStr">
        <is>
          <t>linkedin</t>
        </is>
      </c>
      <c r="E62" t="inlineStr"/>
      <c r="F62" t="inlineStr"/>
      <c r="G62" t="inlineStr">
        <is>
          <t>Coppell, TX</t>
        </is>
      </c>
      <c r="H62" t="inlineStr"/>
      <c r="I62" t="inlineStr">
        <is>
          <t>**Title: Senior Power BI Engineer**
**Location: Coppell, TX**
**Salary Range: $125K\-$140K**
 We are looking to bring on a Senior Power BI Engineer to our team due to growth. What we need is someone who comes 8\+ years of experience owning all things Power BI and handling technical aptitude through the full lifecycle. This will require someone who can sit down with different BUs (Data Engineering, Sales, F\&amp;A, Ops, etc.) gathering requirements, assessing/building out architecture, coding, and then automating/enhancing reports after deployment. A true technical SME is what will be successful \- this includes DAX coding, PBI architecture/schemas, SQL (ETL/SSIS), and Python (PySpark).
 Personality\-wise we need an Engineer who is able to assess, breakdown, and complete tasks without them needing too much direction. There is a lot of ambiguous data that they need to help with define, uncover, and resolve. Most of the work will be done from a solo capacity but collaboration for the data and what defines success is crucial.
**Top Skills:**
* 8\+ Years of Power BI experience
* DAX Coding
* PBI Architecture
* SQL
* Automation (Python (PySpark), Scala)
* Strong communication and Stakeholder Management
**Pluses:**
* Azure DevOps
* Azure Databricks</t>
        </is>
      </c>
    </row>
    <row r="63">
      <c r="A63" t="inlineStr">
        <is>
          <t>li-4354516662</t>
        </is>
      </c>
      <c r="B63" t="inlineStr">
        <is>
          <t>Data Platform Engineer</t>
        </is>
      </c>
      <c r="C63" t="inlineStr">
        <is>
          <t>ECS</t>
        </is>
      </c>
      <c r="D63" t="inlineStr">
        <is>
          <t>linkedin</t>
        </is>
      </c>
      <c r="E63" t="inlineStr"/>
      <c r="F63" t="inlineStr"/>
      <c r="G63" t="inlineStr">
        <is>
          <t>Fairfax, VA</t>
        </is>
      </c>
      <c r="H63" t="inlineStr"/>
      <c r="I63" t="inlineStr">
        <is>
          <t>**Job Description**
 ECS is seeking a
 ***Data Platform Engineer***
 to work in our
 ***Fairfax, VA***
 office.
**Position Overview**
 ECS is seeking a Data Platform Engineer to support the operation and sustainment of enterprise data platforms used to support advanced analytics and AI/ML workflows. This role works closely with the Project Manager and Technical Lead to support platforms operating across IL5 and IL6 environments.
 The Data Platform Engineer focuses on platform administration and operational support, serving as a technical bridge between data platform and data engineering teams.
 This is a hybrid position with onsite support in Fairfax, VA and Springfield, VA approximately three days per week, with adjustments based on project needs.
**Position Description**
 The Data Platform Engineer will primarily support a Databricks platform operating in an IL5 environment and will also provide limited support to an existing analytics platform operating in an IL6 environment. The role supports platform operations, integrations, and sustainment, enabling data engineers and data scientists to focus on data pipeline development and data preparation activities.
**Responsibilities Include**
* Administering and operating a Databricks platform, including workspace configuration, cluster management, and job operations
* Providing limited operational support to an analytics platform in an IL6 environment
* Supporting platform monitoring, troubleshooting, and performance tuning
* Assisting with interfaces between data platforms and internal systems
* Supporting mechanisms for sharing curated datasets vendor environments
* Assisting with DevSecOps and CI/CD activities supporting the platform
* Supporting security and compliance requirements
 Required Skills
* U.S. Citizenship
* Active Secret security clearance with ability to obtain TS/SCI with CI Poly
* Bachelor's Degree in a related field
* Security\+ certification or other IAT Level II certification
* 5\+ years of experience supporting cloud\-based or analytics platforms
* Hands\-on experience administering Databricks workspaces (clusters, jobs, notebooks)
* Familiarity with Apache Spark
* Experience in Linux\-based environments
* Experience with AWS
* Strong communication skills and ability to work across matrixed teams
 Desired Skills
* Experience supporting systems operating at IL5 and/or IL6
* Familiarity with Palantir Foundry
* Experience integrating or synchronizing data between platforms or environments
* Python scripting or automation experience
 \#ECS1
*ECS is an equal opportunity employer and does not discriminate or allow discrimination on the basis any characteristic protected by law. All qualified applicants will receive consideration for employment without regard to disability, status as a protected veteran or any other status protected by applicable federal, state, or local jurisdiction law.*
 ECS is a leading mid\-sized provider of technology services to the United States Federal Government. We are focused on people, values and purpose. Every day, our 3300\+ employees focus on providing their technical talent to support the Federal Agencies and Departments of the US Government to serve, protect and defend the American People.</t>
        </is>
      </c>
    </row>
    <row r="64">
      <c r="A64" t="inlineStr">
        <is>
          <t>li-4372877512</t>
        </is>
      </c>
      <c r="B64" t="inlineStr">
        <is>
          <t>Fabric Data Engineer | 8+ years exp</t>
        </is>
      </c>
      <c r="C64" t="inlineStr">
        <is>
          <t>Precision Technologies</t>
        </is>
      </c>
      <c r="D64" t="inlineStr">
        <is>
          <t>linkedin</t>
        </is>
      </c>
      <c r="E64" t="inlineStr"/>
      <c r="F64" t="inlineStr"/>
      <c r="G64" t="inlineStr"/>
      <c r="H64" t="inlineStr"/>
      <c r="I64" t="inlineStr">
        <is>
          <t>**Title:** 
 Microsoft Fabric Data Engineer
**Location:** 
 Multiple client locations across USA (Open to relocation)
**Employment Type:** 
 Full\-time (W2 only, No C2C)
**Experience:** 
 8–10\+ Years
**Visa:** 
 All visa types accepted
**About the Role** 
 We are seeking an experienced
 **Microsoft Fabric Data Engineer** 
 to design and build scalable enterprise data platforms using Microsoft’s modern analytics ecosystem. The ideal candidate has strong experience in
 **Fabric, Azure Data Engineering, ETL pipelines, and data warehousing** 
 .
**Key Responsibilities** 
* Build and manage data pipelines using
 **Microsoft Fabric**
* Develop solutions using
 **Data Factory, Synapse, and Lakehouse architecture**
* Design and optimize
 **ETL/ELT workflows**
* Work with
 **Power BI datasets and semantic models**
* Implement scalable data ingestion from multiple sources
* Optimize performance, storage, and data governance
* Collaborate with analytics, BI, and engineering teams
**Required Skills** 
* Strong hands\-on experience with
 **Microsoft Fabric**
* Experience with
 **Azure Data Factory / Synapse Analytics**
* Knowledge of
 **Lakehouse architecture**
* Strong SQL and Python/PySpark experience
* Experience with
 **Power BI integration**
* Knowledge of
 **data modeling \&amp; performance tuning**
**Preferred** 
* Experience migrating legacy data platforms to Fabric
* Experience with large enterprise data environments
* Familiarity with DevOps \&amp; CI/CD pipelines</t>
        </is>
      </c>
    </row>
    <row r="65">
      <c r="A65" t="inlineStr">
        <is>
          <t>li-4373990861</t>
        </is>
      </c>
      <c r="B65" t="inlineStr">
        <is>
          <t>Senior Clinical Data Engineer</t>
        </is>
      </c>
      <c r="C65" t="inlineStr">
        <is>
          <t>McKesson</t>
        </is>
      </c>
      <c r="D65" t="inlineStr">
        <is>
          <t>linkedin</t>
        </is>
      </c>
      <c r="E65" t="inlineStr"/>
      <c r="F65" t="inlineStr"/>
      <c r="G65" t="inlineStr">
        <is>
          <t>Irving, TX</t>
        </is>
      </c>
      <c r="H65" t="inlineStr"/>
      <c r="I65"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***This role offers location flexibility and is open to candidates across the United States.***
***Candidates based in the Dallas–Fort Worth (DFW) area will be hired in a hybrid capacity and are expected to work onsite at our Las Colinas office a minimum of two (2\) days per week, with the remaining days worked remotely. Specific in‑office days may be designated based on team needs and business priorities.***
**Current Need:**
 As Senior Clinical Data Engineer, you will play a pivotal role in designing, implementing and managing our data solutions and advanced analytics. This role requires multi\-focus expertise in both clinical areas and data engineering. This role will include activities such as analyzing data, designing solutions, partnering with other data experts to architect complex solutions, implementing data systems, and development of scalable solutions that support business goals.
**Key Responsibilities:**
* Bridge the gap of clinical and technical for the Data Enablement team as we interface and meet the goals of various clinical teams within US Oncology.
* Collaborate with subject matter experts, department leaders and stakeholders, leveraging expertise to help drive better solutions
* Drives development of ETL code, metadata definitions and models, queries and reports, schedules, work processes and maintenance procedures.
* Basic data set analytics to support review of data quality, understanding of KPIs, and associations with other 3rd party data sets
* Task automation with a focus on limiting risk by limiting manual activities
* Leverage clinical subject matter expertise to enhance data sets
* Self\-start who can work independently and prioritize development and enhancement requests
* Assist with various documentation tasks supporting data solutions
* Ensures compliance with regulatory requirements for data transmission, storage, and data access including documentation, testing, and remediation.
**Minimum Requirement:**
* Degree or equivalent and typically requires 7\+ years of relevant experience.
**Education:**
* Bachelor’s degree in Computer Science (or related) with clinical work experience or Pharmaceutical Sciences (or related) with data analytics work experience.
**Critical Skills:**
* 7\+ years of experience in data analytics, ETL development, computer science or related field.
* 7\+ years of experience working with clinical data
* 7\+ years’ experience in database systems
* Experience with modern database systems such as Snowflake or Databricks
* Experience in dashboard creation in systems like Tableau and PowerBI
* Experience working with clinical data sets such as claims data, in\-office dispensing data, or EHR data
**Additional Knowledge \&amp; Skills:**
* Must be comfortable and proficient working with large and/or complex databases
* Ability to manage and prioritize many diverse technical tasks
* Self\-starter with proven care for managing sensitive data assets
* Ability to interface with both technical and business resources
* Ability to translate clinical requirements into technical solutions
* Experience with Databricks a plus.
* Knowledge of HIPAA, deidentification or other health informatics areas a plus.
* Up to 10% travel.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$118,200 \- $197,000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t>
        </is>
      </c>
    </row>
    <row r="66">
      <c r="A66" t="inlineStr">
        <is>
          <t>li-4343930198</t>
        </is>
      </c>
      <c r="B66" t="inlineStr">
        <is>
          <t>Software Engineer II - Data Engineer</t>
        </is>
      </c>
      <c r="C66" t="inlineStr">
        <is>
          <t>The Trade Desk</t>
        </is>
      </c>
      <c r="D66" t="inlineStr">
        <is>
          <t>linkedin</t>
        </is>
      </c>
      <c r="E66" t="inlineStr"/>
      <c r="F66" t="inlineStr"/>
      <c r="G66" t="inlineStr">
        <is>
          <t>Seattle, WA</t>
        </is>
      </c>
      <c r="H66" t="inlineStr"/>
      <c r="I66" t="inlineStr">
        <is>
          <t>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 small\- to medium\-sized workplaces globally.
**What We Do**
 This specialized role is within the Technology operations group of The Trade Desk’s Engineering. This group is focused on delivering world\-class solutions for Enterprise needs within The Trade Desk.
 We are seeking a skilled and motivated Software Engineer II \- Data Engineer to join our growing data team. In this mid\-level role, you will be instrumental in developing, building, and maintaining the data pipelines and architecture that enable our organization to turn raw data into actionable insights. You will work on complex data problems, collaborate with cross\-functional teams, and help ensure the reliability, efficiency, and quality of our data systems.
**What you’ll do:**
* Data Pipeline Development: Design, build, and optimize scalable ETL/ELT pipelines for both batch and real\-time data processing from disparate sources.
* Infrastructure Management: Assist in the design and implementation of data storage solutions, including data warehouses and data lakes (e.g., Snowflake, S3, Spark), ensuring they are optimized for performance and cost efficiency.
* Data Quality and Governance: Implement data quality checks, monitor data pipeline performance, and troubleshoot issues to ensure data accuracy, reliability, and security, adhering to compliance standards (e.g., GDPR, CCPA).
* Collaboration: Work closely with product managers, data scientists, business intelligence analysts, and other software engineers to understand data requirements and deliver robust solutions.
* Automation and Optimization: Automate data engineering workflows using orchestration tools (e.g., Apache Airflow, Dagster, Azure Data Factory) and implement internal process improvements for greater scalability.
* Mentorship: Participate in code reviews and provide guidance or mentorship to junior team members on best practices and technical skills.
* Documentation: Produce comprehensive and usable documentation for datasets, data models, and pipelines to ensure transparency and knowledge sharing across teams.
**Who you are:**
* Bachelor's degree in computer science, information security, or a related field, or equivalent work experience. Masters degree preferred.
* 4\+ years of experience in a Data engineering role and have a broad understanding of Data Modeling, SQL, OLAP, and ETL required. Experience working with data pipelines including data modeling at petabyte scale is a bonus.
* 4\+ years of experience working with multiple database platforms by designing and implementing data and analytics solutions using technologies such as Snowflake, Databricks, Vertica, SQL Server, andMySQL required.
* 4\+ years of experience required in one or more programming languages,particularly SQL. Proficiency in the following programming languages also required: PL/SQL, Python, C\#, Scala or Java.
* Experience with workflow technologies like Spark, Airflow, Glue, Prefect or Dagster required
* Experience with version control systems, specifically Git required.
* Familiarity with DevOps best practices and automation of processes like building, configuration, deployment, documentation, testing, and monitoring.
* Understanding BI and reporting platforms required, awareness of industry trends in the BI/reporting space, and how it can apply to an organization’s product strategies.
* AdTech industry and its trends preferred.
* Experience with containerization tools like Docker and Kubernetes preferred.
* Familiarity with data modeling and data warehousing concepts preferred.
* Basic understanding of machine learning concepts and how models work.
* Strong analytical and problem\-solving skills with attention to detail.
* Excellent communication and collaboration skills to work effectively with diverse teams and stakeholders.
* A proactive and continuous learning mindset.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67">
      <c r="A67" t="inlineStr">
        <is>
          <t>li-4374119960</t>
        </is>
      </c>
      <c r="B67" t="inlineStr">
        <is>
          <t>Lead Spark Data Engineer</t>
        </is>
      </c>
      <c r="C67" t="inlineStr">
        <is>
          <t>Fusemachines</t>
        </is>
      </c>
      <c r="D67" t="inlineStr">
        <is>
          <t>linkedin</t>
        </is>
      </c>
      <c r="E67">
        <f>HYPERLINK("https://www.linkedin.com/jobs/view/4374119960", "https://www.linkedin.com/jobs/view/4374119960")</f>
        <v/>
      </c>
      <c r="F67" t="inlineStr"/>
      <c r="G67" t="inlineStr">
        <is>
          <t>New York, NY</t>
        </is>
      </c>
      <c r="H67" t="inlineStr"/>
      <c r="I67" t="inlineStr">
        <is>
          <t>**About Fusemachines**
 Fusemachines is a leading AI strategy, talent, and education services provider. Founded by Sameer Maskey Ph.D., Adjunct Associate Professor at Columbia University, Fusemachines has a core mission of democratizing AI. With a presence in 4 countries (Nepal, the United States, Canada, and the Dominican Republic) and more than 450 full\-time employees, Fusemachines brings global AI expertise to transform companies worldwide. 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implement and scale AI. Fusemachines serves companies in industries such as retail, manufacturing, and government.
 Fusemachines continues to actively pursue the mission of democratizing AI for the masses by providing high\-quality AI education in underserved communities and helping organizations achieve their full potential with AI.
 Job Description:
 We are looking for an experienced Lead Data Engineer to join our team to build the "Brain" of an IoT platform, a library that allows definition and metrics, validates it against a Virtual Schema, and generates optimized execution plans for both Spark (Batch) and Flink (Stream).
 Qualification / Skill Set Requirement:
* 5\+ years of hands\-on data engineering experience with deep expertise in the Azure ecosystem
* Expert\-level Java, Python and SQL
* Deep understanding of Apache Spark Internals (Catalyst Optimizer, Logical Plans)
* Experience with ANTLR v4 or writing custom DSLs/Parsers
* Experience with Databricks and Delta Lake optimization
* Experience constructing Abstract Syntax Trees (ASTs)
* Strong understanding of SDLC and Agile methodologies with hands\-on experience in Azure DevOps, GitHub, CI/CD, and artifact management
* Skilled in data modeling, data design, and data warehousing solutions on Azure Databricks
* Knowledge of data quality, governance, and security best practices within Azure (AD, NSG, encryption, compliance)
* Certifications preferred: Azure Fundamentals, Azure Data Engineer Associate, Databricks Certified Data Engineer Professional and Azure Solutions Architect Expert (nice to have)
**Responsibilities**
* Architect, design, and implement scalable and efficient data solutions on Spark and Flink
* Implement the grammar for the IoT Query Language
* Build the Query Validator to enforce semantic constraints before a query is executed
* Develop a Spark Adapter: A translation layer that converts definition on metrics into Spark code
* Implement relationships logic (traversing a Graph/Ontology) within the core to avoid database bottlenecks
* Ensure 100% logic parity between Spark (Batch) and Flink (Stream) implementations
* Manage and optimize Azure and Databricks resources, for performance, reliability, and cost\-efficiency
* Transform, clean, and prepare data using SQL, Python and Java
* Monitor and fine\-tune workloads and pipelines for optimal performance and reliability
* Maintain clear documentation of solutions, configurations, and workflows
* Actively participate in Agile team activities and continuous improvement initiatives
* Promote and enforce data engineering best practices, including data governance, security, and data quality
 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
 Powered by JazzHR
 OFI140i5vB</t>
        </is>
      </c>
    </row>
    <row r="68">
      <c r="A68" t="inlineStr">
        <is>
          <t>li-4373963798</t>
        </is>
      </c>
      <c r="B68" t="inlineStr">
        <is>
          <t>Remote Junior Data Engineer</t>
        </is>
      </c>
      <c r="C68" t="inlineStr">
        <is>
          <t>Lensa</t>
        </is>
      </c>
      <c r="D68" t="inlineStr">
        <is>
          <t>linkedin</t>
        </is>
      </c>
      <c r="E68">
        <f>HYPERLINK("https://www.linkedin.com/jobs/view/4373963798", "https://www.linkedin.com/jobs/view/4373963798")</f>
        <v/>
      </c>
      <c r="F68" t="inlineStr"/>
      <c r="G68" t="inlineStr">
        <is>
          <t>Woonsocket, RI</t>
        </is>
      </c>
      <c r="H68" t="inlineStr"/>
      <c r="I6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Insight Global is hiring a Data Engineer to contribute to ongoing operational data workflows for a major healthcare partner. The position focuses on day‑to‑day processing and transformation of client data, with most tasks being consistent and routine. Occasional data issues may arise that require analytical troubleshooting. Candidates should bring 2\+ years of data engineering experience and strong SQL expertise (SSIS, SQL Server), along with exceptional attention to detail and the ability to follow structured processes.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 2\+ years of data engineering experience
* Hands\-on experience with SQL technologies, including SSIS and SQL Server
* Strong understanding of SQL concepts and best practices
* Demonstrates strong diligence and attention to detail
* Follows instructions accurately and consistently
* Experience working with client data ingestion processes and handling healthcare PHI
 If you have questions about this posting, please contact support@lensa.com</t>
        </is>
      </c>
    </row>
    <row r="69">
      <c r="A69" t="inlineStr">
        <is>
          <t>li-4355688775</t>
        </is>
      </c>
      <c r="B69" t="inlineStr">
        <is>
          <t>Analytics Engineer</t>
        </is>
      </c>
      <c r="C69" t="inlineStr">
        <is>
          <t>Paycom</t>
        </is>
      </c>
      <c r="D69" t="inlineStr">
        <is>
          <t>linkedin</t>
        </is>
      </c>
      <c r="E69">
        <f>HYPERLINK("https://www.linkedin.com/jobs/view/4355688775", "https://www.linkedin.com/jobs/view/4355688775")</f>
        <v/>
      </c>
      <c r="F69" t="inlineStr"/>
      <c r="G69" t="inlineStr">
        <is>
          <t>Grapevine, TX</t>
        </is>
      </c>
      <c r="H69" t="inlineStr"/>
      <c r="I69" t="inlineStr">
        <is>
          <t>Paycom is seeking a highly skilled and self\-motivated Data Analyst to join our team, responsible for transforming complex data into actionable insights that drive business growth and inform strategic decision\-making. As a Data Analyst, you will design, build, and maintain large\-scale data pipelines, develop predictive models, and apply AI and machine learning techniques to uncover trends, patterns, and anomalies. You will collaborate with cross\-functional teams to deliver data\-driven solutions, communicate findings to stakeholders, and drive business outcomes through data\-driven decision support. If you have a passion for data analysis, a talent for storytelling with data, and experience working with cutting\-edge technologies, we encourage you to apply for this exciting opportunity.
**Responsibilities**
* Build data pipelines following the most optimum industry standards
* Build forecasting models to understand user behavior and user retention
* Clean and preprocess data to ensure accuracy and consistency
* Automate workflows and data processing tasks
* Perform exploratory data analysis to uncover trends, patterns, and anomalies
* Apply AI and machine learning techniques to derive insights from complex datasets
* Create visually appealing and interactive dashboards, reports, and presentations
* Communicate findings and recommendations to stakeholders using data visualization tools
* Collaborate with cross\-functional teams to design and deliver actionable insights
* Identify and address data quality issues and discrepancies
* Implement data quality controls and monitoring mechanisms
* Partner with business units to define key performance indicators (KPIs) and metrics
* Analyze business processes and operations to identify opportunities for improvement
* Provide decision support through ad\-hoc analysis and scenario modeling.</t>
        </is>
      </c>
    </row>
    <row r="70">
      <c r="A70" t="inlineStr">
        <is>
          <t>li-4358171128</t>
        </is>
      </c>
      <c r="B70" t="inlineStr">
        <is>
          <t>Senior Data Engineer, Ops Data Platform</t>
        </is>
      </c>
      <c r="C70" t="inlineStr">
        <is>
          <t>NVIDIA</t>
        </is>
      </c>
      <c r="D70" t="inlineStr">
        <is>
          <t>linkedin</t>
        </is>
      </c>
      <c r="E70">
        <f>HYPERLINK("https://www.linkedin.com/jobs/view/4358171128", "https://www.linkedin.com/jobs/view/4358171128")</f>
        <v/>
      </c>
      <c r="F70">
        <f>HYPERLINK("https://nvidia.wd5.myworkdayjobs.com/NVIDIAExternalCareerSite/job/US-CA-Santa-Clara/Senior-Data-Engineer\u002d\u002dOps-Data-Platform_JR1999387?source=jobboardlinkedin&amp;urlHash=jMWU", "https://nvidia.wd5.myworkdayjobs.com/NVIDIAExternalCareerSite/job/US-CA-Santa-Clara/Senior-Data-Engineer\u002d\u002dOps-Data-Platform_JR1999387?source=jobboardlinkedin&amp;urlHash=jMWU")</f>
        <v/>
      </c>
      <c r="G70" t="inlineStr">
        <is>
          <t>Santa Clara, CA</t>
        </is>
      </c>
      <c r="H70" t="inlineStr"/>
      <c r="I70"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The NVIDIA Operations organization is seeking an expert technology professional for the position of Senior Data Engineering to support initiatives for the Operations Data Platform, Reporting, and Analytics Organization. As a Data Engineering Developer in our team, you will be an integral part of the team in Operations building the Quality Platform which will turn data into information leading to insights and business results.
**What You’ll Be Doing**
* Implement End\-to\-End Quality Data platform solutions for our Datacenter products.
* Build data pipelines that are used to transport data from a data source to the data lake.
* Analyze and organize raw data
* Build data systems and pipelines ensuring that data sources, ingestion components, transformation functions, and destination are well understood for implementation
* Interpret trends and patterns by performing complex data analysis
* Prepare data for prescriptive and predictive modeling by making sure that the data is complete, has been cleansed, and has the necessary rules in place
* Build algorithms and prototypes
* Develop analytical tools and programs
* Collaborate with data scientists and architects on projects
* Evaluate business needs and objectives to ensure the organization can access the raw data
**What We Need To See**
* Bachelor’s or master's degree (or equivalent experience) in computer science or information system, or equivalent experience with programming knowledges (i.e Python, Java, etc)
* 8\+ years of experience in data and database management that includes data pipeline responsibilities in replication and mass ingestion, streaming, API and application and data integration.
* Experience developing and maintaining data warehouses in big data solutions. Experience with several ecosystems like Azure, AWS, and Hadoop environments.
* You have built required infrastructure for optimal extraction, transformation, and loading of data from various sources using AWS, Azure, SQL or other technologies. Knowledgeable in Databricks, Splunk, or Snowflake solutions
* Knowledge of data analytics/mining and segmentation techniques
* Communicate effectively with business users and translate business needs into technology solutions
* Ability to connect with all team members successfully and effectively.
* High energy with positive problem\-solving attitude, and multi\-task and strong organization skills.
* Strong analytical skills with the ability to collect, organize, and disseminate significant amounts of information with attention to detail and accuracy
* Knowledge in operational processes in semi\-chips, boards, systems, and servers with a view of data landscape.
**Ways To Stand Out From The Crowd**
* Strong ability to drive continuous improvement of systems and processes.
* Self\-starter, self\-confident individual with integrity and accountability, highly motivated, driven, high\-reaching, and attracted to a meaningful opportunity.
* A proven ability to work in a fast\-paced environment where strong organizational skills are essential.
 With competitive salaries and a generous benefits package, NVIDIA is widely considered to be one of the technology world’s most desirable employers. We have some of the most experienced and dedicated people in the world working for us and, due to unprecedented growth, our elite engineering teams are rapidly growing. If you're a creative and autonomous engineer with a real passion for technology leadership, we want to hear from you.
 Your base salary will be determined based on your location, experience, and the pay of employees in similar positions. The base salary range is 168,000 USD \- 270,250 USD.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JR1999387</t>
        </is>
      </c>
    </row>
    <row r="71">
      <c r="A71" t="inlineStr">
        <is>
          <t>li-4374112042</t>
        </is>
      </c>
      <c r="B71" t="inlineStr">
        <is>
          <t>Lead Flink Data Engineer IoT</t>
        </is>
      </c>
      <c r="C71" t="inlineStr">
        <is>
          <t>Fusemachines</t>
        </is>
      </c>
      <c r="D71" t="inlineStr">
        <is>
          <t>linkedin</t>
        </is>
      </c>
      <c r="E71">
        <f>HYPERLINK("https://www.linkedin.com/jobs/view/4374112042", "https://www.linkedin.com/jobs/view/4374112042")</f>
        <v/>
      </c>
      <c r="F71" t="inlineStr"/>
      <c r="G71" t="inlineStr">
        <is>
          <t>New York, NY</t>
        </is>
      </c>
      <c r="H71" t="inlineStr"/>
      <c r="I71" t="inlineStr">
        <is>
          <t>**About Fusemachines**
 Fusemachines is a leading AI strategy, talent, and education services provider. Founded by Sameer Maskey Ph.D., Adjunct Associate Professor at Columbia University, Fusemachines has a core mission of democratizing AI. With a presence in 4 countries (Nepal, the United States, Canada, and the Dominican Republic) and more than 450 full\-time employees, Fusemachines brings global AI expertise to transform companies worldwide. Founded in 2013, Fusemachines is a global provider of enterprise AI products and services, on a mission to democratize AI. Leveraging proprietary AI Studio and AI Engines, the company helps drive the clients’ AI Enterprise Transformation, regardless of where they are in their Digital AI journeys. With offices in North America, Asia, and Latin America, Fusemachines provides a suite of enterprise AI offerings and specialty services that allow organizations of any size to implement and scale AI. Fusemachines serves companies in industries such as retail, manufacturing, and government.
 Fusemachines continues to actively pursue the mission of democratizing AI for the masses by providing high\-quality AI education in underserved communities and helping organizations achieve their full potential with AI.
**Job Description**
 This is a role responsible for designing, building, and maintaining the real\-time streaming infrastructure required for sensor data integration, complex state processing, and alerting in the Industrial IoT / Smart Buildings domain.
 We are seeking a Lead Data Engineer with expert\-level Apache Flink (Java and SQL) skills, and proven implementation of custom ProcessFunctions, state management, and real\-time data quality gates, delivering Data and Analytics products using Agile methodology. The ideal candidate will possess strong technical, analytical, and interpersonal skills.
 Qualification / Skill Set Requirement:
* 5\+ years of hands\-on data engineering experience with deep expertise in the Azure ecosystem
* 5\+ years in Java (backend) with 3\+ years deep specialization in Apache Flink (DataStream API \&amp; SQL)
* Experience with Flink State Management, Checkpointing, and Watermark strategies
* Experience upgrading to or using Flink 2\.0/2\.x
* Experience with Azure Event Hubs or Kafka
* Understanding of "Sensor/IoT" data patterns (out\-of\-order and missing events)
* Proficient in Java, SQL, and writing optimized data integration and processing code
* Strong understanding of SDLC and Agile methodologies with hands\-on experience in Azure DevOps, GitHub, CI/CD, and artifact management
* Deep expertise in Azure data services
* Skilled in data modeling, database design, and data warehousing solutions on Azure
* Knowledge of data quality, governance, and security best practices within Azure (AD, NSG, encryption, compliance)
* Certifications preferred: Azure Fundamentals, Azure Data Engineer Associate, and Azure Solutions Architect Expert (nice to have)
**Responsibilities**
* Architect, design, and implement scalable and efficient data solutions on Flink
* Design and implement the Flink 2\.x streaming pipeline for IoT
* Develop custom KeyedProcessFunctions to handle "Heartbeat Injection" (detecting sensor silence) and complex windowing
* Implement the Gatekeeper Pattern: A Flink job that applies Data Quality tags (Validity, Completeness) to the stream without dropping data
* Optimize State Backends for high\-cardinality sensor data (100k\+ concurrent sensors)
* Work with the "Shared Core" team to integrate libraries into the Flink runtime
* Manage and optimize Azure resources (Flink clusters) for performance, reliability, and cost\-efficiency
* Transform, clean, and prepare data using SQL, and Java
* Monitor and fine\-tune workloads and pipelines for optimal performance and reliability
* Maintain clear documentation of solutions, configurations, and workflows
* Actively participate in Agile team activities and continuous improvement initiatives
* Promote and enforce data engineering best practices, including data governance, security, and data quality
 Fusemachines is an Equal Opportunities Employer, committed to diversity and inclusion. All qualified applicants will receive consideration for employment without regard to race, color, religion, sex, sexual orientation, gender identity, national origin, disability, or any other characteristic protected by applicable federal, state, or local laws.
 Powered by JazzHR
 EeMvgnXuU4</t>
        </is>
      </c>
    </row>
    <row r="72">
      <c r="A72" t="inlineStr">
        <is>
          <t>li-4371979477</t>
        </is>
      </c>
      <c r="B72" t="inlineStr">
        <is>
          <t>Data Engineer</t>
        </is>
      </c>
      <c r="C72" t="inlineStr">
        <is>
          <t>Genpact</t>
        </is>
      </c>
      <c r="D72" t="inlineStr">
        <is>
          <t>linkedin</t>
        </is>
      </c>
      <c r="E72">
        <f>HYPERLINK("https://www.linkedin.com/jobs/view/4371979477", "https://www.linkedin.com/jobs/view/4371979477")</f>
        <v/>
      </c>
      <c r="F72" t="inlineStr"/>
      <c r="G72" t="inlineStr"/>
      <c r="H72" t="inlineStr"/>
      <c r="I72" t="inlineStr">
        <is>
          <t>Ready to build the future with AI? At Genpact, we don’t just keep up with technology—we set the pace. AI and digital innovation are redefining industries, and we’re leading the charge. Genpact’s AI Gigafactory, our industry\-first accelerator, is an example of how we’re scaling advanced technology solutions to help global enterprises work smarter, grow faster, and transform at scale. From large\-scale models to agentic AI, our breakthrough solutions tackle companies’ most complex challenges. If you thrive in a fast\-moving, innovation\-driven environment, love building and deploying cutting\-edge AI solutions, and want to push the boundaries of what’s possible, this is your moment. Genpact (NYSE: G) is an advanced technology services and solutions company that delivers lasting value for leading enterprises globally. Through our deep business knowledge, operational excellence, and cutting\-edge solutions – we help companies across industries get ahead and stay ahead. Powered by curiosity, courage, and innovation, our teams implement data, technology, and AI to create tomorrow, today. Get to know us at genpact.com and on LinkedIn, X, YouTube, and Facebook.
**Inviting applications for the role of Data Engineer in NYC ,3 days from office Hybrid , day 1st onsite Fulltime role .** 
 In this role, you will be responsible for coding, testing, and delivering high quality deliverables, and should be willing to learn new technologies.
**Responsibilities** 
* Build and optimize data pipelines to consume data from various sources, transform \&amp; model it, and then distribute it to multiple consumers.
* Collaborate with technology partners across the Firm to understand and integrate with new data sources and consumers.
* Work with multiple data sources (including structured and unstructured) to create an optimize data cubes for consumption by analytical dashboards and / or downstream systems.
* Identify, design, and implement improvements / automations for optimizing data processing, storage, and availability, while maintaining scalability, etc.
* Develop and support analytics \&amp; machine learning projects.
* Support migration of the data platform from on\-premises to cloud infrastructure.
* Work with various stakeholders to assist with data \&amp; analytics related projects and issues.
**Preferred Qualifications/ Skills** 
* Experience in Data Engineering role, who has attained a bachelor’s or master’s degree in computer science, computer engineering, information technology/systems or another relevant technical field.
* Experience with Relational database systems like Sybase, SQL Server, Postgres, etc.
* Experience with object\-oriented and/or function scripting languages: Python, Java, C\+\+, or Scala, etc.
* Experience with ETL tools (Informatica, etc.) and frameworks.
* Experience with machine learning / artificial intelligence techniques like regression, classification, clustering, time series, text mining, large language models, etc.
* Experience of visualization tools like Tableau, QlikView, Power BI etc. is a plus.
* Experience with Cloud technologies like Snowflake, Microsoft Azure, Databricks, etc is a plus.
* Experience with data\-science tools / workbench like Dataiku, Jupyter, Rapid Miner, etc. is a plus.
* Experience with Big Data tools / technologies: Hadoop, Pig, Hive, Hue, PySpark etc. is a plus.
* Advanced working knowledge and experience with data modelling, data warehousing concepts, database design principles, query authoring (SQL) and performance optimization.
* A successful history of manipulating, transforming, processing, and extracting value from large, disconnected datasets.
* Hands\-on programming experience with Python, Java, or C\#.
* Hands\-on experience with ETL tools.
* Working knowledge of data transformation, processing, analysis, and machine learning using Python (Pandas, NumPy, etc.)
* Excellent problem\-solving and analytical skills with attention to details.
* Strong project management and organizational skills.
* Experience supporting and working with cross\-functional teams in a dynamic environment.
* Excellent communication and collaboration skills.
**Why join Genpact?** 
 • Lead AI\-first transformation – Build and scale AI solutions that redefine industries
 • Make an impact – Drive change for global enterprises and solve business challenges that matter
 • Accelerate your career—Gain hands\-on experience, world\-class training, mentorship, and AI certifications to advance your skills
 • Grow with the best – Learn from top engineers, data scientists, and AI experts in a dynamic, fast\-moving workplace
 • Committed to ethical AI – Work in an environment where governance, transparency, and security are at the core of everything we build
 • Thrive in a values\-driven culture – Our courage, curiosity, and incisiveness \- built on a foundation of integrity and inclusion \- allow your ideas to fuel progress.
 Come join the 140,000\+ coders, tech shapers, and growth makers at Genpact and take your career in the only direction that matters: Up. Let’s build tomorrow together. Genpact is an Equal Opportunity Employer and considers applicants for all positions without regard to race, color, religion or belief, sex, age, national origin, citizenship status, marital status, military/veteran status, genetic information, sexual orientation, gender identity, physical or mental disability or any other characteristic protected by applicable laws. Genpact is committed to creating a dynamic work environment that values respect and integrity, customer focus, and innovation.
 Furthermore, please do note that Genpact does not charge fees to process job applications and applicants are not required to pay to participate in our hiring process in any other way. Examples of such scams include purchasing a 'starter kit,' paying to apply, or purchasing equipment or training</t>
        </is>
      </c>
    </row>
    <row r="73">
      <c r="A73" t="inlineStr">
        <is>
          <t>li-4373008324</t>
        </is>
      </c>
      <c r="B73" t="inlineStr">
        <is>
          <t>Senior Analytics Engineer</t>
        </is>
      </c>
      <c r="C73" t="inlineStr">
        <is>
          <t>Bandwidth Inc.</t>
        </is>
      </c>
      <c r="D73" t="inlineStr">
        <is>
          <t>linkedin</t>
        </is>
      </c>
      <c r="E73">
        <f>HYPERLINK("https://www.linkedin.com/jobs/view/4373008324", "https://www.linkedin.com/jobs/view/4373008324")</f>
        <v/>
      </c>
      <c r="F73" t="inlineStr"/>
      <c r="G73" t="inlineStr">
        <is>
          <t>Raleigh, NC</t>
        </is>
      </c>
      <c r="H73" t="inlineStr"/>
      <c r="I73" t="inlineStr">
        <is>
          <t>**Who We Are:** 
**Bandwidth** 
 , a prior “Best of EC” award winner, is a global software company that helps enterprises deliver exceptional experiences through voice, messaging, and emergency services. Reaching 65\+ countries and over 90 percent of the global economy, we're the only provider offering an owned communications cloud that delivers advanced automation, AI integrations, global reach, and premium human support. Bandwidth is trusted for mission\-critical communications by the Global 2000, hyperscalers, and SaaS builders!
 At Bandwidth, your music matters when you are part of the BAND.  We celebrate differences and encourage BANDmates to be their authentic selves.  \#jointheband
**What We Are Looking For:** 
 We are seeking a
 **Senior** 
**Analytics Engineer** 
 to serve as a senior technical authority for the analytics data layer, driving scalable modeling patterns, governance, and performance across multiple domains. In this role, you will architect core datasets and semantic foundations, lead complex cross\-functional initiatives, mentor engineers and analysts, and establish engineering and governance patterns for AI agent building and lifecycle management. You will also provide analytics\-facing leadership for Sigma Administration and Snowflake Administration consistent with senior expectations.
**What You'll Do:** 
* Architect the analytics layer: Design enterprise\-grade dimensional models, conformed dimensions, and shared marts enabling consistent reporting across domains.
* Establish standards and governance: Define/enforce modeling conventions, metric definitions, documentation requirements, and data contracts.
* Lead complex initiatives: Drive cross\-team builds/rebuilds and migrations end\-to\-end with clear impact analysis, sequencing, risk management, and stakeholder alignment.
* Lead semantic modeling: Define semantic modeling strategy and patterns (entities, relationships, governed metrics) for BI and agent consumers.
* Lead agent enablement patterns: Establish data structures and governance to support AI agents (grounding/citations\-ready provenance, versioned prompts/config where applicable, evaluation datasets, exception queues).
* Implement observability patterns: Establish monitoring/alerting strategy (freshness/volume/quality) and basic anomaly detection guardrails; mature incident response playbooks.
* Ensure platform excellence: Create performance and cost guardrails for Snowflake; standardize efficient patterns in dbt and SQL; prevent regressions.
* Lead Snowflake Administration (analytics\-facing): Own analytics\-oriented administration patterns including RBAC conventions for consumption, access workflows, operational guardrails, and cost governance (production administration expectation).
* Operationalize AI/analytics workflows: Define and standardize n8n automation patterns for approvals, escalations, exception queues, and system\-to\-system integrations supporting analytics and agent workflows.
* Represent analytics engineering in architecture reviews and governance councils.
* Participate in tool/vendor evaluations and implementation planning within approved stack and capability categories.
**What You Need:** 
* Bachelor’s degree required; Master’s preferred (or equivalent senior\-level experience).
* 5–8\+ years relevant experience in analytics engineering, analytics\-focused data engineering, or BI platform engineering.
* Expert SQL and deep experience with dimensional modeling and enterprise metric consistency.
* Significant dbt experience including project architecture, macros, test strategy, templates, and deployments; deep understanding of analytics\-engineering workflows (dbt, governance, testing).
* Demonstrated leadership in driving technical initiatives and mentoring other engineers.
* In\-depth knowledge of generative AI / LLM concepts and enterprise application patterns (agent enablement, governance).
* Working leadership knowledge of production Snowflake administration (analytics\-facing).
**Bonus Points:** 
**Education:** 
* Bachelor's degree in Computer Science, Information Technology, or a related field, or equivalent experience.
**Experience:** 
* Strong Python proficiency for automation, validation frameworks, and data tooling.
* Experience implementing semantic/metric layer tooling (category) at scale.
* Familiarity with data cataloging/lineage tooling (category).
* Experience coordinating orchestration patterns with tools such as Prefect.
* Demonstrated success implementing integration frameworks using tools such as n8n (and similar platforms).
* Technical vision with ability to balance innovation and practical implementation.
**Technical Skills:** 
* Expert SQL \&amp; architecture: Set modeling direction across domains; design for scalability, maintainability, and cross\-domain consistency; define performance standards and anti\-patterns.
* dbt architecture leadership: Own dbt project structure, macro strategy, testing strategy, documentation standards, and deployment patterns; prevent regressions via CI/CD guardrails.
* Enterprise semantic modeling strategy: Define semantic modeling patterns (entities, relationships, governed metrics) used consistently across BI and agent consumers; reduce duplicated logic.
* Snowflake Administration (analytics\-facing, production): Lead analytics\-oriented admin patterns: RBAC conventions for consumption, access governance workflows, cost/performance guardrails, operational runbooks, and environment promotion hygiene.
* Sigma Administration (lead): Own workspace governance: organization/folder strategy, access governance, content standards, usage\-quality controls, and enablement patterns.
* Agent building enablement (org patterns): Establish standardized structures and governance to support AI agents: provenance/citation\-ready data, versioned configurations where applicable, evaluation datasets, exception handling/review workflows, and lifecycle maintenance patterns.
* Observability engineering: Define monitoring/alerting standards for freshness/volume/quality; implement basic anomaly detection guardrails and incident response playbooks.
* AWS ecosystem awareness: Understand how AWS constraints (security posture, networking, cost governance) affect data access, operations, and analytics/agent enablement.
* Orchestration standards: Define integration patterns with Prefect (dependency design, SLA management, failure handling) and expectations for pipeline reliability.
* n8n platform patterns: Standardize n8n usage for operational workflows (approvals/escalations/exception queues/integrations) supporting analytics and agent operations.
**Soft Skills:** 
* Strategic thinker with ability to align technical solutions with business objectives.
* Strong problem\-solving and analytical skills; able to address complex technical challenges effectively.
* Clear communicator; engages effectively with both technical teams and business stakeholders.
* Effective mentor; promotes technical excellence among engineering teams.
* Self\-directed, with ability to manage multiple technical initiatives and priorities.
* Detail\-oriented with commitment to quality in architecture, code, documentation, and solution design.
* Passionate about leveraging emerging AI technologies and automation platforms to improve business operations.
* Experience contributing to the development of technical talent and engineering capabilities.
**The Whole Person Promise:** 
 At Bandwidth, we’re pretty proud of our corporate culture, which is rooted in our “Whole Person Promise.” We promise all employees that they can have meaningful work AND a full life, and we provide a work environment geared toward enriching your body, mind, and spirit. How do we do that? Well…
* 100% company\-paid Medical, Vision, \&amp; Dental coverage for you and your family with low deductibles and low out\-of\-pocket expenses.
* All new hires receive four weeks of PTO.
* PTO Embargo. When you take time off (of any kind!) you’re embargoed from working. Bandmates and managers are not allowed to interrupt your PTO – not even with email.
* Additional PTO can be earned throughout the year through volunteer hours and Bandwidth challenges.
* “Mahalo moments” program grants additional time off for life’s most important moments like graduations, buying a first home, getting married, wedding anniversaries (every five years), and the birth of a grandchild.
* 90\-Minute Workout Lunches and unlimited meetings with our very own nutritionist.
 Are you excited about the position and its responsibilities, but not sure if you’re 100% qualified? Do you feel you can work to help us crush the mission? If you answered ‘yes’ to both of these questions, we encourage you to apply! You won’t want to miss the opportunity to be a part of the BAND.
 Applicant Privacy Notice</t>
        </is>
      </c>
    </row>
    <row r="74">
      <c r="A74" t="inlineStr">
        <is>
          <t>li-4372597630</t>
        </is>
      </c>
      <c r="B74" t="inlineStr">
        <is>
          <t>Data Engineer I (59869)</t>
        </is>
      </c>
      <c r="C74" t="inlineStr">
        <is>
          <t>Core Health &amp; Fitness</t>
        </is>
      </c>
      <c r="D74" t="inlineStr">
        <is>
          <t>linkedin</t>
        </is>
      </c>
      <c r="E74">
        <f>HYPERLINK("https://www.linkedin.com/jobs/view/4372597630", "https://www.linkedin.com/jobs/view/4372597630")</f>
        <v/>
      </c>
      <c r="F74" t="inlineStr"/>
      <c r="G74" t="inlineStr">
        <is>
          <t>Vancouver, WA</t>
        </is>
      </c>
      <c r="H74" t="inlineStr"/>
      <c r="I74" t="inlineStr">
        <is>
          <t>At
 **Core Health \&amp; Fitness** 
 , our purpose is to live and share our passion for fitness. We bring innovative health and fitness solutions to the global market with brands like
 **StairMaster** 
 ,
 **Schwinn** 
 ,
 **Nautilus** 
 ,
 **Star Trac** 
 ,
 **Throwdown** 
 ,
 **Wexer** 
 , and we’re still growing. We press into the future of fitness to ensure the creation of quality products and programming that meet the needs of an ever\-evolving industry.
 At Core we are committed to building an energetic, diverse, and inclusive workspace. We value our differences and see community strength in diversity and representation. We’re always on the lookout for innovators, dreamers and doers who are passionate about fitness and wellbeing. We explore all opportunities to improve ourselves, our business partners, and our communities. If you’re looking for a fulfilling career in helping people, find the best version of themselves, you’ve come to the right place.
 We are looking for a
 **Data Engineer I** 
 to join our growing organization!
**Qualifications**
**General Position Summary**
 As a Data Engineer at Core Health \&amp; Fitness, you will play a pivotal role in designing, developing, and maintaining our data infrastructure. This position will work closely with our IT department, Business Intelligence Analysts, Systems Software Engineers, and other stakeholders to ensure the efficient collection, storage, and accessibility of data. Your expertise will enable us to make informed decisions and drive our business forward.
* This position is eligible to work from home with monthly in\-office meetings
**Essential Functions / Major Responsibilities**
* Data Pipeline Development: Design, build, and maintain scalable and robust data pipelines to ingest, process, and transform data from various sources (IoT, internal business systems, etc.).
* Data Warehousing: Develop and optimize data warehouses and data lakes to ensure efficient storage and retrieval of large datasets.
* ETL Processes: Create and manage ETL (Extract, Transform, Load) processes to ensure data is accurate, reliable, and up to date.
* Collaboration: Work closely with Business Intelligence Analysts, IT, Systems Software Engineers, and other stakeholders to understand data requirements and deliver solutions that meet their needs.
**Specific Job Requirements**
* Database Management: Administer and optimize databases, ensuring high performance, security, and availability.
* Data Quality: Implement data quality checks and validation procedures to maintain the integrity of the data.
* Automation: Automate repetitive tasks to improve efficiency and reduce manual effort.
* Documentation: Maintain comprehensive documentation of data processes, architectures, and workflows.
* Analytics \&amp; Reporting: enable data analytics and reporting by providing well\-structured, consistent data to either be analyzed within data warehouse or within an external repository system (CRM, ERP, etc.).
* API Development: Design, develop, and maintain RESTful APIs to facilitate data exchange between internal systems, external partners, and third\-party applications, ensuring secure and efficient data integration.
**Education And Experience Requirements** 
* Education: Bachelor's or master’s degree in Computer Science, Information Technology, Engineering, or a related field – or equivalent 3\+ years of experience in data engineering, data warehousing, or a related field.
* Technical Skills:
+ Proficiency in SQL and experience with relational databases (e.g., MySQL, PostgreSQL, Oracle).
+ Experience with ETL processes which aggregate IoT data from various external sources into a common data lake format.
+ Experience with big data technologies.
+ Proficiency in programming languages such as Python or Java.
+ Familiarity with ETL tools (e.g., Apache NiFi, Talend, Informatica).
+ Experience with cloud platforms (e.g., Azure, AWS) and their data services (e.g., Redshift, Databricks, BigQuery).
+ Experience with data modeling and schema design.
+ Familiarity with data visualization tools (e.g., Power BI, Tableau)
+ Experience building and managing data connections and integrations for transferring data between data lakes, cloud storage, and other software systems (e.g., CRM, ERP, loT platforms.)
**Job Specific Competencies**
* Problem\-Solving – Strong analytical and problem\-solving skills with the ability to troubleshoot complex data issues.
* Communication – Excellent communication skills with the ability to collaborate effectively with other stakeholders.
* Creativity/Innovation \- Generates new ideas, challenges the status quo, takes risks, supports change, encourages innovation, solves problems creatively.
* Initiative \- Tackles problems and takes independent action, seeks out new responsibilities, acts on opportunities, generates new ideas, practices self\-development.
* Productivity \- Manages a fair workload, volunteers for additional work, prioritizes tasks, develops good work procedures, manages time well, handles information flow.
* Quality \- Is attentive to detail and accuracy, is committed to excellence, looks for improvements continuously, monitors quality levels, finds root cause of quality problems, owns/acts on quality problems.
**Working Conditions**
 The physical and environmental demands described here are representative of those that must be met by an employee to successfully perform the essential functions of this job. Reasonable accommodations may be made to enable individuals with disabilities to perform the essential functions. Work may require:
* Bending, stooping, reaching, twisting, lifting, pushing, pulling and moving items \- The employee is occasionally required to stand, walk, sit, and reach with hands and arms; and stoop, kneel, crouch, or crawl. Requires the ability to move around and maneuver products when necessary. Occasionally lifts and carries items weighing up to 15 pounds
* Walking and Standing \- Requires moving around.
* Requires corrected vision and hearing to normal range
* Requires working under stressful conditions or working irregular hours
**Work Environment**
 Work environment characteristics described here are representative of those an employee encounters while performing essential functions of this job. Reasonable accommodations may be made to enable individuals with disabilities to perform essential functions: work performed in an office environment. Involves frequent interaction with internal and external customers.
**Position Status**
 Level: Staff
 FLSA: Non\-Exempt
 Supervises: N/A
 This job description reflects management’s assignment of essential functions. It is only a summary of the typical functions of the job, not an exhaustive or comprehensive list of all possible job responsibilities, tasks, and duties. The responsibilities, tasks, and duties of the employee might differ from those outlined in the above job description and, other duties as assigned, might be part of the role. It does not restrict the tasks that may be assigned nor is it considered a contract of employment overriding at\-will employment.
 In compliance with federal law, all persons hired will be required to verify identity and eligibility to work in the United States and to complete the required employment eligibility verification document form upon hire.
 Core Health\&amp; Fitness is an equal opportunity employer that does not discriminate on the basis of race, color, national origin, sex, disability, age, religion, sexual orientation, gender identity, gender expression, creed, disabled veteran status, marital status, or Vietnam\-era veteran status. If you are a person with a disability and you need assistance in applying for a position with Core Health \&amp; Fitness, please contact our Human Resources department at hr@corehandf.com and direct assistance will be provided.</t>
        </is>
      </c>
    </row>
    <row r="75">
      <c r="A75" t="inlineStr">
        <is>
          <t>li-4373855683</t>
        </is>
      </c>
      <c r="B75" t="inlineStr">
        <is>
          <t>Data Engineer</t>
        </is>
      </c>
      <c r="C75" t="inlineStr">
        <is>
          <t>Empiric</t>
        </is>
      </c>
      <c r="D75" t="inlineStr">
        <is>
          <t>linkedin</t>
        </is>
      </c>
      <c r="E75">
        <f>HYPERLINK("https://www.linkedin.com/jobs/view/4373855683", "https://www.linkedin.com/jobs/view/4373855683")</f>
        <v/>
      </c>
      <c r="F75" t="inlineStr"/>
      <c r="G75" t="inlineStr">
        <is>
          <t>New York, NY</t>
        </is>
      </c>
      <c r="H75" t="inlineStr"/>
      <c r="I75" t="inlineStr">
        <is>
          <t>About the Job
 Job Title: Data Engineer
 Company: Empiric
 Location: Remote
 Employment Type: Full\-Time
 Overview: Empiric is seeking an experienced Data Engineer to join our team and play a key role in designing, building, and maintaining scalable data pipelines. In this role, you will transform complex, real\-world data into analytics\-ready datasets and help enable meaningful insights through downstream analytics and reporting.
 This is a fully remote position, ideal for someone who thrives in a hands\-on, fast\-paced environment. We are looking for a data engineering and analytics expert who is passionate about working with modern data architectures and solving complex data challenges. You will collaborate closely with a cross\-functional team of data professionals to deliver high\-quality, reliable data solutions that support business and technical stakeholders.
 Required Skills and Qualifications:
 \-Bachelor's degree in computer science, Information Systems, or a related field.
 \-5\+ years of experience with advanced SQL
 \-Deep understanding of relational database management systems and data modeling techniques
 \-Demonstrated experience with Microsoft Fabric and other data warehouse technologies.
 \-Proficiency in Python for scripting and data manipulation
 \-Familiarity with tools like SSIS and Microsoft Fabric
 Key Responsibilities:
 \-Design, develop, and maintain relational databases and cloud\-based data warehouses.
 \-Develop sophisticated, optimized SQL queries, stored procedures, and functions to process and analyze large, complex datasets for actionable business insights.
 \-Help build, automate, and orchestrate ETL/ELT workflows utilizing SQL, Python, and cloud\-native tools to integrate and transform data from diverse, distributed sources.
 \-Tune queries and optimize database schema (indexing, partitioning, normalization) to improve data retrieval and processing speeds.
 \-Ensure data quality, consistency, and integrity across systems. Implement data masking, encryption, and role\-based access control (RBAC).
**\-** 
 Maintain technical documentation for database schemas, data dictionaries, and ETL workflows.</t>
        </is>
      </c>
    </row>
    <row r="76">
      <c r="A76" t="inlineStr">
        <is>
          <t>li-4373984968</t>
        </is>
      </c>
      <c r="B76" t="inlineStr">
        <is>
          <t>Sr. Data Engineer</t>
        </is>
      </c>
      <c r="C76" t="inlineStr">
        <is>
          <t>Cadent</t>
        </is>
      </c>
      <c r="D76" t="inlineStr">
        <is>
          <t>linkedin</t>
        </is>
      </c>
      <c r="E76">
        <f>HYPERLINK("https://www.linkedin.com/jobs/view/4373984968", "https://www.linkedin.com/jobs/view/4373984968")</f>
        <v/>
      </c>
      <c r="F76" t="inlineStr"/>
      <c r="G76" t="inlineStr">
        <is>
          <t>Philadelphia, PA</t>
        </is>
      </c>
      <c r="H76" t="inlineStr"/>
      <c r="I76" t="inlineStr">
        <is>
          <t>Cadent ignites seamless connections between brands, publishers \&amp; consumers. Our predictive AI orchestrates outcomes on any platform customers are on, across any media they consume \&amp; at any stage of the journey. To learn more, please visit Cadent.com.
 Data Engineers at Cadent collaborate with business partner teams to design, build, and scale very large datasets and data pipelines that enable analytics, modeling, exploration, and reporting. The Senior Data Engineer position is ideal for an experienced data engineer with strong Python, Spark, and SQL experience who is looking to work with massive amounts of data in a cutting\-edge, cloud\-based environment. You will be responsible for building data solutions using tools from Apache, AWS, and GCP, including Redshift/BigQuery, Spark, S3/GCS, Clickhouse, and Airflow.
* Using a variety of open\-source technologies (Python, Spark, Airflow), build data pipelines to extract, cleanse, and integrate data, from a variety of sources and formats
* Develop scalable and re\-usable solutions that support real\-time, batch, and event\-based data processing
* Function as an SME/provide technical guidance and leadership to one or more engineers
* Team lead when one or more engineers are engaged on the same project/initiative
* Interact with business partners to lead technical solution discussions
* Experience with Agile/Scrum methodology framework for product development
* Must have 3\+ years of experience in data engineering position
* Must have experience building Spark\-based data pipelines using near/real\-time data
* 2\+ years of working experience with GCP, specifically BigQuery, GCS, Composer, and DataProc
* Strong ANSI SQL, NoSQL and SparkSQL query language skills
* Strong problem\-solving skills; collaborator and data advocate
* Excellent written and oral communication skills \&amp; customer service skills
**Recommended skills:** 
* Minimum 2 years demonstrated, hands\-on experience with the GCP ecosystem of tools and technologies
* Experience with Apache open\-source tools (Airflow)
* Experience functioning as a team lead \- providing technical guidance and leadership
* Ability to build ETL pipelines from scratch, using streaming, near real\-time, and micro\-batch data
* Experience with system monitoring, log management, and error notification
* Experience in Ad\-Tech industry a plus
**Education Requirement:** 
* Bachelor's or Master's Degree in Computer Science, Engineering, Math, or other related discipline; or equivalent work experience.
**Eligibility:** 
* Must be legally authorized to work in the United States without employer sponsorship now or in the future.
 So, if the leading edge of media technology is the place you want to be, please contact us today and let’s start the conversation!
**Health \&amp; Wellbeing** 
* Inclusive health, dental, and vision plans built to support diverse lifestyles
* Enhanced support for reproductive health, family planning, and new parents
* Employer contribution to HSA
* Voluntary Benefits: Pet Insurance, LegalEase Legal Assistance, Critical Illness, Hospital Indemnity, and Accident coverages
* Generous and inclusive paid parental leave
* Mental health support and Employee Assistance Program (EAP)
* Free access to the Calm App
* Monthly Wellness reimbursement
* Special discounts through LifeMart and Plum Benefits
* Flexible Time Off (FTO) policy and company breaks
* 11 observed Federal holidays
* Summer Fridays between Memorial Day and Labor Day
**Inclusion \&amp; Belonging** 
* Employee Resource Groups that foster connection and community
* DEI programming and initiatives
* Company\-sponsored events to bring employees together
* Offices across the U.S., including Manhattan, Philadelphia, and San Jose
**Financial \&amp; Security** 
* 401(k) participation with discretionary employer match
* Life, Short\-term, and Long\-term Disability coverage
* Cell phone and WiFi stipend
* Pre\-tax commuter benefits
* Access to certified financial coaches and planning tools
**Values** 
* **Passionate.** 
 We are inspired partners.
* **Purposeful.** 
 We create with intention.
* **Curious.** 
 We discover what’s possible.
 The salary range for this role takes into account a wide range of factors considered in making compensation decisions including, but not limited to, skill sets, experience and training, licensure and certifications as well as other business and organizational needs.
*Cadent is an Equal Opportunity Employer and is committed to supporting all it’s employees when it comes to Inclusion \&amp; Diversity. Cadent’s policy is to provide equal opportunity for applicants \&amp; employees without regard to race, color, religion, creed, gender, gender identity or expression, sexual identity or orientation, age, national origin or ancestry, citizenship, disability or medical condition (including pregnancy, childbirth, or related medical condition), sexual and reproductive health decisions, genetic information, marital status (including domestic partnerships and civil unions), pregnancy, culture ancestry, familial or caregiver status, military status, veteran status, socioeconomic status, unemployment status, status as a victim of domestic violence or any other basis prohibited by law. and will not discriminate against the basis of disability. This commitment is honored when it comes to decisions on hiring, recruiting, training, promotions, compensations, benefits, transfers and terminations.* 
*Cadent is seeking to actively engage with our employees from a wide variety of cultures and to connect with our clients differently. Our workforce has generational diversity that supports greater innovation when we maximize representation of all diversity. Our active employee resource groups promote engagement across all groups of individuals that are represented within the company and externally.*</t>
        </is>
      </c>
    </row>
    <row r="77">
      <c r="A77" t="inlineStr">
        <is>
          <t>li-4373996833</t>
        </is>
      </c>
      <c r="B77" t="inlineStr">
        <is>
          <t>Senior Data Engineer-AI/BI Analytics</t>
        </is>
      </c>
      <c r="C77" t="inlineStr">
        <is>
          <t>FAMU National Alumni Association</t>
        </is>
      </c>
      <c r="D77" t="inlineStr">
        <is>
          <t>linkedin</t>
        </is>
      </c>
      <c r="E77">
        <f>HYPERLINK("https://www.linkedin.com/jobs/view/4373996833", "https://www.linkedin.com/jobs/view/4373996833")</f>
        <v/>
      </c>
      <c r="F77">
        <f>HYPERLINK("https://jobs.famunaa.org/job/senior-data-engineer-aibi-analytics/82540784/&amp;urlHash=keS8", "https://jobs.famunaa.org/job/senior-data-engineer-aibi-analytics/82540784/&amp;urlHash=keS8")</f>
        <v/>
      </c>
      <c r="G77" t="inlineStr">
        <is>
          <t>Addison, TX</t>
        </is>
      </c>
      <c r="H77" t="inlineStr"/>
      <c r="I77" t="inlineStr">
        <is>
          <t>The insights provided are generated by AI and may contain inaccuracies. Please independently verify any critical information before relying on it.
 Senior Data Engineer\-AI/BI Analytics
 The insights provided are generated by AI and may contain inaccuracies. Please independently verify any critical information before relying on it.
**Description**
**Job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**Position Summary**
 Join a groundbreaking team at Bank of America, at the forefront of innovation in AI. We are building the next generation of Gen AI platform, empowering new AI initiatives across Consumer, Small Business, Global Banking, and Wealth organizations. This is a unique opportunity to contribute to a critical platform that will enable secure, scalable, and high\-performance AI capabilities across the organization. We value curiosity, collaboration, and a passion for pushing the boundaries of what's possible with AI.
 This position is focused on design, build, and serve the Gen AI inferencing capabilities.
 This job is responsible for defining and leading the engineering approach for complex features to deliver significant business outcomes. Key responsibilities of the job include delivering complex features and technology, enabling development efficiencies, providing technical thought leadership based on conducting multiple software implementations, and applying both depth and breadth in a number of technical competencies. Additionally, this job is accountable for end\-to\-end solution design and delivery.
**Responsibilities**
* Assembles large, complex data sets that meet functional and non\-functional requirements, ensuring that the design and engineering approach is consistent across multiple systems
* Maintains, improves, cleans, and manipulates large data for operational and analytics data systems, builds complex processes supporting data transformation, data structures, metadata, data quality controls, dependency, and workload management, and communicates required information for deployment, maintenance, and support of business functionality
* Utilizes multiple architectural components in the design and development of client requirements and collaborates with development teams to understand data requirements and ensure the data architecture is feasible to implement
* Defines and builds data pipelines to enable data\-informed decision making, ensuring adherence to release processes and risk management routines
* Contributes to existing test suites including integration, regression, and performance, analyzes test reports, identifies any test issues and errors, and leads triage of underlying causes
* Leads the identification of gaps in data management standards adherence and works with appropriate partners to develop plans to close gaps, leading concept testing and conducting research to prototype toolsets and improve existing processes
* Mentors Data Engineers in the delivery and release of continuous integration and continuous delivery events and defines key performance indicators and internal controls
* Ensures that the design and engineering approach for complex features are consistent with the larger portfolio solution. Accountable for the availability, stability, scalability, security, and recoverability enabled by the designs.
* Define the technology tool stack for the solution and evaluate and adapt new testing tool/framework/practices for team(s)
* Enables team(s)/applications with Continuous Integration/Continuous Development (CI/CD) capabilities and engages with other technical stakeholders pertaining to efficient functioning of CI\-CD pipeline
* Guides and influences team(s) on design and best practices for high code performance \-e.g. pairing, code reviews
* Provides end\-to\-end delivery of complex features, including automation, for either a single team or multiple teams, at the program level
* Conducts research, design prototyping and other exploration activities such as evaluating new toolsets and components for release management, CI/CD, and features
* Works with stakeholders to establish high\-level solution needs and with architects for technical requirements
* Proficient written and verbal communication skills to support and shape the platform and clearly articulate technical designs and concepts; and to communicate effectively with all levels within the organization
* Design and execute the implementation plans to both move forward strategically, while at the same time ensuring the current technology stack is supporting current needs.
* Manage multiple priorities, and simultaneously engage with multiple teams worldwide.
* Coach and mentor team members
**Required Qualifications**
* 10\+ years strong experience designing and delivering AI, ML, Data platform, and advanced analytics platforms capabilities using open\-source technologies in large enterprise environment
* Experience with emerging technologies e.g. of GenAI (public and open source), MCP, Agents, AI BI etc.
* Hands\-on experience on data science, big data, cloud, governance technologies
* Experience architecting next generation AI analytical product delivery to all levels of users in organization using self\-service interfaces
* Proven track record in data, analytics, insight and AI/ML platforms supporting multiple business units.
* Experience in designing, developing, and maintaining software frameworks using Open\-Source technologies such as Python, Spark, Jupyter, FastAPI, LabelStud.io, Ragas etc.
* Strong working experience of how metadata management, semantic layers, labeling, annotations is important for enabling AI BI, MCP, Agents, Data Assistants etc.
* Experience with using various Open source and Cloud model for AI BI, Summarization etc., and tuning those models and deployment to provide higher throughput for latency and cost optimizations.
* Experience of building RAG with knowledge base, data sources and Vector Store platforms such as Redis, Solar, Postgres DB, FAISS, Teradata, Oracle, SQL Server, Hadoop etc.
* Hands on experienced building RAG, RAG Fusion, CAG etc.
* Experience with various inference metrics, and related monitoring and observability.
* Experience with serving multiple tenants/clients with model endpoints with secure boundaries.
* Experience with AI gateway, OPA, authentication \&amp; authorization, policy as code, API based systems Integration, cost management, and model routing
**Desired Qualifications**
* Experience developing Gen AI training and RAG platform with open\-source model, inferencing \&amp; servicing capabilities, MCP modules etc.
* Hands on experience on driving and maintaining a culture of quality, innovation, and experimentation.
* Research on new tools and capabilities for better UI and UX for advanced analytics platform, quick prototype and demonstrate the features and capabilities, and participate on various user forums.
**Skills**
* Analytical Thinking
* Application Development
* Data Management
* Risk Management
* Solution Design
* Agile Practices
* Architecture
* Collaboration
* Decision Making
* DevOps Practices
* Business Acumen
* Data Quality Management
* Financial Management
* Solution Delivery Process
* Test Engineering
**Shift**
 1st shift (United States of America)
**Hours Per Week**
 40
**Pay Transparency details**
 US \- NJ \- Jersey City \- 101 Hudson St \- 101 Hudson (NJ2101\)
 Pay and benefits information
 Pay range
 $128,000\.00 \- $182,300\.00 annualized salary, offers to be determined based on experience, education and skill set.
 Discretionary incentive eligible
 This role is eligible to participate in the annual discretionary plan. Employees are eligible for an annual discretionary award based on their overall individual performance results and behaviors, the performance and contributions of their line of business and/or group; and the overall success of the Company.
**Benefits**
 This role is currently benefits eligible. We provide industry\-leading benefits, access to paid time off, resources and support to our employees so they can make a genuine impact and contribute to the sustainable growth of our business and the communities we serve.</t>
        </is>
      </c>
    </row>
    <row r="78">
      <c r="A78" t="inlineStr">
        <is>
          <t>li-4354565228</t>
        </is>
      </c>
      <c r="B78" t="inlineStr">
        <is>
          <t>Jr. Analytics Engineer</t>
        </is>
      </c>
      <c r="C78" t="inlineStr">
        <is>
          <t>CIBC US</t>
        </is>
      </c>
      <c r="D78" t="inlineStr">
        <is>
          <t>linkedin</t>
        </is>
      </c>
      <c r="E78">
        <f>HYPERLINK("https://www.linkedin.com/jobs/view/4354565228", "https://www.linkedin.com/jobs/view/4354565228")</f>
        <v/>
      </c>
      <c r="F78">
        <f>HYPERLINK("https://cibc.wd3.myworkdayjobs.com/en-US/search/job/Chicago-IL/Jr-Analytics-Engineer_2523930?src=SNS-10261&amp;urlHash=5gnH", "https://cibc.wd3.myworkdayjobs.com/en-US/search/job/Chicago-IL/Jr-Analytics-Engineer_2523930?src=SNS-10261&amp;urlHash=5gnH")</f>
        <v/>
      </c>
      <c r="G78" t="inlineStr">
        <is>
          <t>Chicago, IL</t>
        </is>
      </c>
      <c r="H78" t="inlineStr"/>
      <c r="I78" t="inlineStr">
        <is>
          <t>We’re building a relationship\-oriented bank for the modern world. We need talented, passionate professionals who are dedicated to doing what’s right for our clients.
 At CIBC, we embrace your strengths and your ambitions, so you are empowered at work. Our team members have what they need to make a meaningful impact and are truly valued for who they are and what they contribute.
 To learn more about CIBC, please visit CIBC.com
**What You'll Be Doing**
* Data modeling and transformation
+ Maintain dimensional and semantic models that support self\-serve analytics and BI.
+ Establish and govern a consistent metrics layer to ensure a single source of truth.
* Data quality, observability, and governance
+ Implement testing, data contracts, and monitoring to proactively detect and resolve data issues.
+ Partner with data engineering to enforce SLAs, lineage, and change management.
+ Uphold data privacy and security best practices appropriate for regulated environments.
* Pipeline orchestration and reliability
+ Maintain, schedule, and optimize workflows for performance and cost.
+ Streamline deployments and validations
* Business partnership and enablement
+ Collaborate with analysts and stakeholders to translate business logic into reusable models and metrics.
+ Build scalable, audited datasets for dashboards, self\-serve, and analytical use cases.
+ Provide guidance on data definitions, documentation, and analytics best practices.
* Continuous improvement
+ Identify opportunities to simplify the stack, reduce technical debt, and improve developer experience.
+ Contribute to standards for coding, documentation, and peer review.
* Please include links or examples that showcase your data models, dbt projects, testing approach, and documentation.
* If applicable, indicate experience with financial services datasets or regulated data environments.
**How You'll Succeed**
* Trusted, documented, and testable data models power critical dashboards and analyses.
* A governed metrics layer reduces duplicative logic and conflicting KPIs.
* Robust pipeline monitoring and CI/CD reduce incidents and accelerate releases.
* Clear runbooks, documentation, and developer standards improve team velocity.
* Positive feedback from stakeholders on data reliability, transparency, and usability.
**Who You Are**
* You know that details matter. You notice things that others don't. Your critical thinking skills help to inform your decision making.
* You're motivated by collective success. You know that teamwork can transform a good idea into a great one. You know that an inclusive team that enjoys working together can bring a vision to life.
* You're digitally savvy. You seek out innovative solutions and embrace evolving technologies. You can easily adapt to new tools and trends.
* You give meaning to data. You enjoy investigating complex problems and making sense of information. You communicate detailed information in a meaningful way.
* You have a degree/diploma in Business and/or a related field of study.
* Values matter to you. You bring your real self to work and you live our values \- trust, teamwork, and accountability.
**What CIBC Offers**
 At CIBC, our people are our greatest asset. You’ll become part of a diverse community that acknowledges everyone’s unique talents, and empowers teams to do what’s right for the client and to do it well. As part of our team, you will
 **:**
* Thrive: Benefit from an open and approachable culture that provides the flexibility and support you need to integrate your life at work and home.
* Connect: Work in a place where the right technology and infrastructure foster innovation, collaboration, and creativity.
* Develop: Grow your skills and career through our best\-in\-class onboarding experience, ongoing learning opportunities, individual development planning, and comprehensive product training.
* Prosper: Share in our collective success with a competitive salary, incentive pay, banking benefits, health benefits programs, retirement savings, and more.
**The anticipated start date for this role is early June 2026\.**
*At CIBC, we offer a competitive total rewards package. This role has an expected salary of
 **$72,500** 
 for the market based on experience, qualifications, and location of the position. The successful candidate may be eligible to participate in the relevant business unit’s incentive compensation plan, which may also include a discretionary bonus component. CIBC offers a full range of benefits and programs to meet our employee’s needs; including Medical, Dental, Vision, Health Savings Account, Life Insurance, Disability, and Other Insurance Plans, Paid Time Off (including Sick Leave, Parental Leave and Vacation), Holidays and 401(k), in addition to other special perks reserved for our team members.*
*This position does not offer visa sponsorship.*
 California residents — your privacy rights regarding your actual or prospective employment
 California Residents: CCPA Employee Privacy Rights \| CIBC US
 As a California resident, you have certain rights with respect to the personal information that CIBC collects. Learn more about the CPPA for employment.
**What CIBC Offers**
 At CIBC, your goals are a priority. We start with your strengths and ambitions as an employee and strive to create opportunities to tap into your potential. We aspire to give you a career, rather than just a paycheck.
* We work to recognize you in meaningful, personalized ways including a competitive salary, incentive pay, banking benefits, a benefits program\*, a vacation offering, wellbeing support, and MomentMakers, our social, points\-based recognition program.
* Our spaces and technological toolkit will make it simple to bring together great minds to create innovative solutions that make a difference for our clients.
* We cultivate a culture where you can express your ambition through initiatives like Purpose Day; a paid day off dedicated for you to use to invest in your growth and development.
* Subject to plan and program terms and conditions
**What You Need To Know**
* CIBC is committed to creating an inclusive environment where all team members and clients feel like they belong. We seek applicants with a wide range of abilities and we provide an accessible candidate experience. If you need accommodation, please contact Mailbox.careers\-carrieres@cibc.com
* You need to be legally eligible to work at the location(s) specified above and, where applicable, must have a valid work or study permit.
* We may ask you to complete an attribute\-based assessment and other skills tests (such as simulation, coding, MS Office). Our goal for the application process is to get to know more about you, all that you have to offer, and give you the opportunity to learn more about us.
**Job Location**
 IL\-70 W Madison St, 8th Fl
**Employment Type**
 Regular
**Weekly Hours**
 40
**Skills**
 Analytics, Application Configuration, Business Logic, Data Engineering, Data Modeling, Infrastructure Management (IM), Project Coordination, Semantics, Technical Support, Use Cases</t>
        </is>
      </c>
    </row>
    <row r="79">
      <c r="A79" t="inlineStr">
        <is>
          <t>li-4372865714</t>
        </is>
      </c>
      <c r="B79" t="inlineStr">
        <is>
          <t>Data Engineer</t>
        </is>
      </c>
      <c r="C79" t="inlineStr">
        <is>
          <t>AARATECH</t>
        </is>
      </c>
      <c r="D79" t="inlineStr">
        <is>
          <t>linkedin</t>
        </is>
      </c>
      <c r="E79">
        <f>HYPERLINK("https://www.linkedin.com/jobs/view/4372865714", "https://www.linkedin.com/jobs/view/4372865714")</f>
        <v/>
      </c>
      <c r="F79" t="inlineStr"/>
      <c r="G79" t="inlineStr"/>
      <c r="H79" t="inlineStr"/>
      <c r="I79" t="inlineStr">
        <is>
          <t>Job Title: Data Engineer – Retail / E\-Commerce
 🏢 Company: Aaratech Inc
 🛑 Eligibility: Only U.S. Citizens and Green Card holders are eligible.
 Please note that we do not offer visa sponsorship.
 Job Summary:
 Aaratech Inc. is seeking a results\-driven
 **Data Engineer – Retail / E\-Commerce** 
 to support customer, sales, and product data platforms. The role focuses on building scalable pipelines that enable real\-time and batch analytics for business growth.
 Key Responsibilities:
 🔹 Data Pipeline Development
 Develop and maintain data pipelines for sales, customer, and product data.
 Integrate data from e\-commerce platforms and marketing systems.
 🔹 Data Modeling
 Design data models to support analytics and BI reporting.
 Optimize performance and scalability.
 🔹 Data Quality
 Ensure data accuracy, completeness, and consistency.
 Implement monitoring and error\-handling processes.
 🔹 Collaboration
 Work closely with data analysts, product, and marketing teams.
 🔹 Tools \&amp; Technologies
 Use SQL, Python, ETL tools, and cloud data platforms.
 Qualifications:
 ✅ Bachelor’s degree in Computer Science, Engineering, or related field
 ✅ Minimum 2 years of Data Engineering experience
 ✅ Strong SQL and Python skills
 ✅ Experience with data pipelines and analytics platforms
 ✅ Retail or e\-commerce data experience preferred
 ✅ Strong problem\-solving skills</t>
        </is>
      </c>
    </row>
    <row r="80">
      <c r="A80" t="inlineStr">
        <is>
          <t>li-4372877503</t>
        </is>
      </c>
      <c r="B80" t="inlineStr">
        <is>
          <t>Data Engineer</t>
        </is>
      </c>
      <c r="C80" t="inlineStr">
        <is>
          <t>AARATECH</t>
        </is>
      </c>
      <c r="D80" t="inlineStr">
        <is>
          <t>linkedin</t>
        </is>
      </c>
      <c r="E80">
        <f>HYPERLINK("https://www.linkedin.com/jobs/view/4372877503", "https://www.linkedin.com/jobs/view/4372877503")</f>
        <v/>
      </c>
      <c r="F80" t="inlineStr"/>
      <c r="G80" t="inlineStr"/>
      <c r="H80" t="inlineStr"/>
      <c r="I80" t="inlineStr">
        <is>
          <t>Job Title: Data Engineer – Healthcare
 🏢 Company: Aaratech Inc
 🛑 Eligibility: Only U.S. Citizens and Green Card holders are eligible.
 Please note that we do not offer visa sponsorship.
 Job Summary:
 Aaratech Inc. is seeking a skilled and detail\-oriented
 **Data Engineer – Healthcare** 
 to design, build, and maintain data pipelines that support healthcare analytics and reporting. The ideal candidate will work with large healthcare datasets to ensure data reliability, scalability, and availability for analytics and decision\-making.
 Key Responsibilities:
 🔹 Data Pipeline Development
 Design, build, and maintain scalable ETL/ELT pipelines for healthcare data.
 Integrate data from multiple internal and external sources.
 🔹 Data Engineering \&amp; Storage
 Develop and manage data warehouses and data lakes.
 Optimize data models for performance and analytics use cases.
 🔹 Data Quality \&amp; Reliability
 Ensure data accuracy, consistency, and integrity across systems.
 Implement monitoring and validation checks.
 🔹 Collaboration
 Work with data analysts, business teams, and IT stakeholders.
 Support analytics and reporting requirements.
 🔹 Tools \&amp; Technologies
 Use SQL, Python, cloud platforms, and ETL tools.
 Qualifications:
 ✅ Bachelor’s degree in Computer Science, Engineering, or related field
 ✅ Minimum 2 years of Data Engineering experience
 ✅ Strong SQL and Python skills
 ✅ Experience with data pipelines and data warehouses
 ✅ Knowledge of healthcare data is a plus
 ✅ Strong problem\-solving and communication skills</t>
        </is>
      </c>
    </row>
    <row r="81">
      <c r="A81" t="inlineStr">
        <is>
          <t>li-4371969369</t>
        </is>
      </c>
      <c r="B81" t="inlineStr">
        <is>
          <t>Data Engineer</t>
        </is>
      </c>
      <c r="C81" t="inlineStr">
        <is>
          <t>SoTalent</t>
        </is>
      </c>
      <c r="D81" t="inlineStr">
        <is>
          <t>linkedin</t>
        </is>
      </c>
      <c r="E81">
        <f>HYPERLINK("https://www.linkedin.com/jobs/view/4371969369", "https://www.linkedin.com/jobs/view/4371969369")</f>
        <v/>
      </c>
      <c r="F81" t="inlineStr"/>
      <c r="G81" t="inlineStr">
        <is>
          <t>Frisco, TX</t>
        </is>
      </c>
      <c r="H81" t="inlineStr"/>
      <c r="I81" t="inlineStr">
        <is>
          <t>**Job Title: Principal Data Engineer** 
**Location: Frisco, Texas, United States** 
**Type: Full Time** 
 Our Client is seeking a highly experienced Principal Data Engineer to lead the design and development of modern, scalable data platforms. This role is ideal for a technical leader who thrives on building robust data architectures, optimizing analytics ecosystems, and shaping best‑in‑class engineering practices across data teams.
**What You’ll Do** 
**Data Engineering \&amp; Architecture** 
* Architect and implement scalable data pipelines and transformation workflows using tools such as dbt, SnowSQL, and cloud‑native technologies.
* Design and maintain enterprise‑level data lakes, data warehouses, and curated transformation layers leveraging modern patterns such as the Medallion (Bronze–Silver–Gold) architecture.
* Define and implement best practices for data ingestion, modeling, quality assurance, and lineage to ensure trusted, reliable, and consistent data delivery.
* Build reusable frameworks and automation tools for deployment, monitoring, and lifecycle management of data assets.
* Optimize data platforms for performance, reliability, and cost efficiency to support advanced analytics and machine learning workloads.
**Requirements** 
**Education** 
* Bachelor’s or Master’s degree in Computer Science, Data Science, Information Systems, or a related technical field.
**Experience** 
* 10\+ years of experience in data management, including integration, modeling, architecture, and performance optimization.
* Hands‑on experience with analytics platforms and tools such as Snowflake or Informatica Cloud.
* Expert‑level proficiency in SQL, SnowSQL, ETL development, and enterprise data warehousing concepts.
**Core Skills** 
* Strong background in conceptual architecture, data integration design, and technical wireframing.
* Familiarity with DevOps and Agile environments (preferred).
* Excellent communication, presentation, and change‑management skills.
**Nice to Have** 
* Exposure to SAP ERP and SAP‑based data integration processes.
* Experience with CI/CD pipelines, DevOps practices, and Git‑based workflows.
* Understanding of AI/ML use cases in data operations, such as anomaly detection or intelligent data quality.
* Certifications related to Snowflake, dbt, or major cloud platforms.</t>
        </is>
      </c>
    </row>
    <row r="82">
      <c r="A82" t="inlineStr">
        <is>
          <t>li-4372896271</t>
        </is>
      </c>
      <c r="B82" t="inlineStr">
        <is>
          <t>Data Engineer</t>
        </is>
      </c>
      <c r="C82" t="inlineStr">
        <is>
          <t>eSense Incorporated</t>
        </is>
      </c>
      <c r="D82" t="inlineStr">
        <is>
          <t>linkedin</t>
        </is>
      </c>
      <c r="E82">
        <f>HYPERLINK("https://www.linkedin.com/jobs/view/4372896271", "https://www.linkedin.com/jobs/view/4372896271")</f>
        <v/>
      </c>
      <c r="F82" t="inlineStr"/>
      <c r="G82" t="inlineStr"/>
      <c r="H82" t="inlineStr"/>
      <c r="I82" t="inlineStr">
        <is>
          <t>**Job Title:** 
 Starburst \&amp; Immuta Data Engineer (Azure Cloud)
**Position Overview** 
 We are seeking a skilled Starburst \&amp; Immuta Data Engineer with 3\+ years of hands\-on experience in Azure cloud environments. The ideal candidate will design, implement, and manage secure, governed data access solutions using Starburst and Immuta for policy\-based data security and compliance.
 This role requires strong expertise in cloud\-native data architecture, distributed query engines, and enterprise data governance frameworks.
**Key Responsibilities** 
* Design and implement data virtualization solutions using Starburst across multiple data sources.
* Configure and manage Immuta for data access governance, policy enforcement, and dynamic data masking.
* Deploy and manage data solutions in Microsoft Azure (Azure Data Lake Storage, Azure SQL, Synapse, etc.).
* Develop and optimize SQL queries and data pipelines for performance and scalability.
* Implement row\-level, column\-level, and attribute\-based access controls.
* Integrate Starburst with Azure\-based data sources (ADLS Gen2, Azure SQL DB, Cosmos DB, etc.).
* Collaborate with Data Architects, Security teams, and DevOps engineers to enforce enterprise data governance.
* Configure new catalogs in Starburst, integrating with Immuta access controls
* Managing SCIM functions supporting user profiles in Starburst and Immuta
* Monitor system performance and troubleshoot query performance issues.
* Support CI/CD pipelines and infrastructure\-as\-code deployments (Terraform, ARM templates).
* Ensure compliance with enterprise security and regulatory standards (HIPAA, FedRAMP, etc., if applicable).
**Required Qualifications** 
* 3\+ years of experience in data engineering within an Azure cloud environment.
* Hands\-on experience with Starburst Enterprise
* Experience implementing Immuta data governance and policy management.
* Strong SQL expertise and experience optimizing distributed queries.
* Experience working with Azure services:
* Azure Data Lake Storage (ADLS Gen2\)
* Azure Synapse Analytics
* Azure SQL Database
* Azure Active Directory (AAD)
* Knowledge of data security frameworks and governance best practices.
* Experience integrating data platforms with identity providers (Azure AD, SSO).
* Familiarity with DevOps practices and CI/CD tools (Azure DevOps preferred).
**Preferred Qualifications** 
* Experience with Iceberg, Delta Lake, or other open table formats.
* Exposure to Data Vault 2\.0 or enterprise data modeling.
**Technical Skills** 
* Starburst Enterprise
* Immuta Data Governance Platform
* Microsoft Azure / SQL (Advanced) / ADLS Gen2
* Azure Synapse
* Terraform / ARM Templates
* Data Security \&amp; Compliance Frameworks</t>
        </is>
      </c>
    </row>
    <row r="83">
      <c r="A83" t="inlineStr">
        <is>
          <t>li-4372876343</t>
        </is>
      </c>
      <c r="B83" t="inlineStr">
        <is>
          <t>Senior Data Engineer</t>
        </is>
      </c>
      <c r="C83" t="inlineStr">
        <is>
          <t>Capgemini</t>
        </is>
      </c>
      <c r="D83" t="inlineStr">
        <is>
          <t>linkedin</t>
        </is>
      </c>
      <c r="E83">
        <f>HYPERLINK("https://www.linkedin.com/jobs/view/4372876343", "https://www.linkedin.com/jobs/view/4372876343")</f>
        <v/>
      </c>
      <c r="F83" t="inlineStr"/>
      <c r="G83" t="inlineStr">
        <is>
          <t>Seattle, WA</t>
        </is>
      </c>
      <c r="H83" t="inlineStr"/>
      <c r="I83" t="inlineStr">
        <is>
          <t>**About the job you're considering** 
 Capgemini is looking to hire a Databricks Engineer to join our team in Seattle. Some of the responsibilitiesas below:
**Your role** 
* Demonstrate deep knowledge of the data engineering domain to build and support non\-interactive (batch, distributed) \&amp; real\-time, highly available data, data pipeline, and technology capabilities
* Build fault\-tolerant, self\-healing, adaptive, and highly accurate data computational pipelines
* Provide consultation and lead the implementation of complex programs
* Develop and maintain documentation relating to all assigned systems and projects
* Tune queries running over billions of rows of data running in a distributed query engine
* Perform root cause analysis to identify permanent resolutions to software or business process issues
**Skills \&amp; experience** 
* Bachelor’s degree in computer science, management information systems, or related discipline, or equivalent work experience
* Strong/expert Spark (PySpark) DataBricks
* Hands\-on data pipeline development, ingest patterns in Azure
* Orchestration tools, ADF or Airflow
* SQL,Python, Pyspark
* Denormalized Data modeling for big data systems</t>
        </is>
      </c>
    </row>
    <row r="84">
      <c r="A84" t="inlineStr">
        <is>
          <t>li-4372864743</t>
        </is>
      </c>
      <c r="B84" t="inlineStr">
        <is>
          <t>Data Engineer</t>
        </is>
      </c>
      <c r="C84" t="inlineStr">
        <is>
          <t>AARATECH</t>
        </is>
      </c>
      <c r="D84" t="inlineStr">
        <is>
          <t>linkedin</t>
        </is>
      </c>
      <c r="E84">
        <f>HYPERLINK("https://www.linkedin.com/jobs/view/4372864743", "https://www.linkedin.com/jobs/view/4372864743")</f>
        <v/>
      </c>
      <c r="F84" t="inlineStr"/>
      <c r="G84" t="inlineStr"/>
      <c r="H84" t="inlineStr"/>
      <c r="I84" t="inlineStr">
        <is>
          <t>Job Title: Data Engineer – CRM / Salesforce
 🏢 Company: Aaratech Inc
 🛑 Eligibility: Only U.S. Citizens and Green Card holders are eligible.
 Please note that we do not offer visa sponsorship.
 Job Summary:
 Aaratech Inc. is seeking a skilled
 **Data Engineer – CRM / Salesforce** 
 to support customer and sales data integration initiatives. The ideal candidate will ensure reliable data pipelines and data models for CRM analytics and reporting.
 Key Responsibilities:
 🔹 Data Integration
 Build and maintain pipelines to extract and load CRM/Salesforce data.
 Integrate CRM data with enterprise data platforms.
 🔹 Data Engineering
 Design data models to support sales and marketing analytics.
 Optimize data pipelines for performance.
 🔹 Data Quality
 Ensure CRM data accuracy and consistency.
 Support data validation and governance processes.
 🔹 Collaboration
 Work with sales, marketing, and analytics teams.
 🔹 Tools \&amp; Technologies
 Use SQL, Python, ETL tools, Salesforce connectors, and cloud platforms.
 Qualifications:
 ✅ Bachelor’s degree in Computer Science, Engineering, or related field
 ✅ 2\+ years of Data Engineering experience
 ✅ Strong SQL and Python skills
 ✅ Experience with CRM or Salesforce data preferred
 ✅ Strong analytical and communication skills</t>
        </is>
      </c>
    </row>
    <row r="85">
      <c r="A85" t="inlineStr">
        <is>
          <t>li-4343880098</t>
        </is>
      </c>
      <c r="B85" t="inlineStr">
        <is>
          <t>Python Data Engineer - Global EnergyTech Market Leader</t>
        </is>
      </c>
      <c r="C85" t="inlineStr">
        <is>
          <t>Andiamo</t>
        </is>
      </c>
      <c r="D85" t="inlineStr">
        <is>
          <t>linkedin</t>
        </is>
      </c>
      <c r="E85">
        <f>HYPERLINK("https://www.linkedin.com/jobs/view/4343880098", "https://www.linkedin.com/jobs/view/4343880098")</f>
        <v/>
      </c>
      <c r="F85" t="inlineStr"/>
      <c r="G85" t="inlineStr">
        <is>
          <t>Houston, TX</t>
        </is>
      </c>
      <c r="H85" t="inlineStr"/>
      <c r="I85" t="inlineStr">
        <is>
          <t>Senior Python Data Engineer, Energy and Commodities
 This role supports a global energy and commodities organization that operates at massive scale, combining trading, analytics, and long term infrastructure investment. The technology teams build and maintain data systems that power decision making across markets, assets, and research, working closely with commercial and analytical stakeholders.
 This is a full time, on site position based in Houston, Texas, with in office collaboration required five days per week.
 The Opportunity
 As a Python Data Engineer, you will play a key role in expanding and maintaining high quality data assets that support advanced analytics and trading workflows. You will work directly with traders, analysts, researchers, and data scientists to understand requirements and deliver reliable, well structured data solutions.
 The role offers deep exposure to real world business problems, complex data sources, and a highly collaborative engineering culture that values clean code, shared standards, and practical impact.
 What You Will Be Working On
* Building modular, reusable Python components that connect external data sources with internal tools and databases.
* Partnering with business stakeholders to define requirements for data ingestion, transformation, and access.
* Translating business needs into well designed technical solutions.
* Maintaining a clean, centralized Python codebase while aligning with established design patterns and conventions.
* Contributing to shared developer tooling and internal Python based ETL frameworks.
* Collaborating efficiently with a distributed global engineering team.
* Participating in an internal Python development community and supporting evolving business initiatives.
 What We Are Looking For
* Seven or more years of professional experience developing Python applications in an enterprise environment.
* A degree in computer science, information systems, or a closely related discipline.
* Hands on experience designing and building data pipelines and data engineering solutions.
* Experience extracting data from external sources using web scraping techniques and automation tools.
* Strong experience with relational databases, including Oracle and PL SQL development with stored procedures.
* A solid understanding of object oriented programming, design patterns, and service oriented architectures.
* Previous experience working in Agile or Scrum based development teams.
* Proficiency with version control, peer code reviews, and issue tracking workflows.
* Working knowledge of data analysis libraries such as Pandas and NumPy.
* Strong written and verbal communication skills.
* Background in the energy or commodities sector is preferred.
* Exposure to containerization technologies such as Docker or Kubernetes is a plus.
 Work Environment
 This role is based in a professional office setting designed for close collaboration. The business operates in a fast paced, high energy environment where in person interaction is central to how teams work, solve problems, and deliver results.
**About Andiamo**
 Talent Partners for the AI Revolution. As a globally recognized staffing and consulting firm, we specialize in placing the top 2% of technology and go\-to\-market professionals with the world’s largest and most well\-known companies.
 For over 20 years, we've maintained the status of tier\-one vendor for firms such as Palantir, Amazon, Fluidstack, Bloomberg, Relativity Space, Firefly, MasterCard, Visa, Two Sigma, Citadel, as well as other major financial services firms, elite hedge funds, Google\-backed tech start\-ups, and major software firms.
 Our talent solutions include Permanent Placement, Contract Staffing, Executive Search, and Dedicated Recruiting Services (RPO). Find out more at www.andiamogo.com</t>
        </is>
      </c>
    </row>
    <row r="86">
      <c r="A86" t="inlineStr">
        <is>
          <t>li-4374101200</t>
        </is>
      </c>
      <c r="B86" t="inlineStr">
        <is>
          <t>Data Engineer</t>
        </is>
      </c>
      <c r="C86" t="inlineStr">
        <is>
          <t>Wiraa</t>
        </is>
      </c>
      <c r="D86" t="inlineStr">
        <is>
          <t>linkedin</t>
        </is>
      </c>
      <c r="E86">
        <f>HYPERLINK("https://www.linkedin.com/jobs/view/4374101200", "https://www.linkedin.com/jobs/view/4374101200")</f>
        <v/>
      </c>
      <c r="F86" t="inlineStr"/>
      <c r="G86" t="inlineStr"/>
      <c r="H86" t="inlineStr"/>
      <c r="I86" t="inlineStr">
        <is>
          <t>**About The Company**
 InterWorks is a leading technology consultancy renowned for its innovative approach to solving complex data challenges. With a strong emphasis on collaboration, customization, and community, InterWorks partners with organizations across various industries to deliver tailored solutions that empower clients to harness the full potential of their data. The company values creativity, diversity, and a forward\-thinking mindset, fostering an environment where innovation thrives. Committed to excellence and continuous learning, InterWorks invests in its people and technology to stay at the forefront of modern data practices. Their client\-centric approach ensures that each engagement is unique, impactful, and aligned with long\-term strategic goals.
**About The Role**
 InterWorks is seeking a Data Engineering Consultant to join our dynamic team. This role involves working closely with clients to guide them through the complexities of modern data platform decisions. As a Data Engineering Consultant, you will blend hands\-on technical work with strategic consulting, helping organizations transition from fragmented and inefficient data environments to scalable, reliable, and insightful data platforms. Your expertise will be pivotal in designing sustainable solutions that support analytics, artificial intelligence, and data\-driven decision\-making. You will collaborate with internal teams and client stakeholders to craft technical roadmaps, implement robust data pipelines, and advise on best practices. This position offers a unique opportunity to influence technical direction, shape data architecture, and build foundations that grow with the business, all while working in a collaborative and innovative environment.
**Qualifications**
* 5\+ years of professional experience in data engineering, technical consulting, or related fields
* Strong proficiency in SQL and experience with relational databases and cloud data warehouses
* Hands\-on experience with ETL/ELT workflows and data transformation frameworks
* Solid understanding of data modeling best practices and data quality principles
* Experience working in client\-facing or consulting environments
* Ability to communicate complex technical concepts clearly to non\-technical stakeholders
* Working knowledge of cloud platforms such as AWS, Azure, or GCP
* Familiarity with modern data engineering architectures and DevOps concepts
* Experience with version control systems and CI/CD pipelines
* Proficiency in scripting languages such as Python for automation tasks
**Responsibilities**
* Lead and participate in discovery sessions to understand client goals, constraints, and current data environments
* Guide clients through data platform, architecture, and tooling decisions, explaining options and tradeoffs
* Design and deliver technical roadmaps to support scalable data and analytics platform adoption
* Apply best practices in data modeling and engineering to support analytics, reporting, AI, and machine learning initiatives
* Design, develop, and maintain modern, reliable data pipelines and ETL/ELT frameworks
* Architect cloud\-native data infrastructure emphasizing scalability, maintainability, and data quality
* Integrate data from diverse sources including SQL databases, APIs, spreadsheets, and cloud storage solutions
* Own the technical direction of client engagements, balancing best practices with real\-world constraints
* Collaborate with analysts, consultants, and stakeholders to translate business needs into technical solutions
* Deliver billable consulting services, including hands\-on engineering and advisory engagements
* Stay current with emerging trends in data engineering, cloud platforms, and related technologies
**Benefits**
* Competitive salary range of $90,000–$150,000, commensurate with experience and qualifications
* Opportunities for remote work and flexible scheduling depending on location and project needs
* Collaborative work environment with a focus on innovation and professional growth
* Access to cutting\-edge tools and technologies in data engineering and analytics
* Support for continuous learning and development through training and conferences
* Participation in impactful projects that drive real business outcomes
 Equal Opportunity
 InterWorks is an equal opportunity employer. We celebrate diversity and are committed to creating an inclusive environment for all employees. We do not discriminate based on race, ethnicity, gender, age, sexual orientation, disability, or any other protected characteristic. We believe that diverse teams foster innovation and creativity, and we are dedicated to providing equal employment opportunities to all qualified candidates.</t>
        </is>
      </c>
    </row>
    <row r="87">
      <c r="A87" t="inlineStr">
        <is>
          <t>li-4366243987</t>
        </is>
      </c>
      <c r="B87" t="inlineStr">
        <is>
          <t>Senior Data Engineer</t>
        </is>
      </c>
      <c r="C87" t="inlineStr">
        <is>
          <t>ZoomInfo</t>
        </is>
      </c>
      <c r="D87" t="inlineStr">
        <is>
          <t>linkedin</t>
        </is>
      </c>
      <c r="E87">
        <f>HYPERLINK("https://www.linkedin.com/jobs/view/4366243987", "https://www.linkedin.com/jobs/view/4366243987")</f>
        <v/>
      </c>
      <c r="F87" t="inlineStr"/>
      <c r="G87" t="inlineStr">
        <is>
          <t>Waltham, MA</t>
        </is>
      </c>
      <c r="H87" t="inlineStr"/>
      <c r="I87" t="inlineStr">
        <is>
          <t>ZoomInfo is where careers accelerate. We move fast, think boldly, and empower you to do the best work of your life. You’ll be surrounded by teammates who care deeply, challenge each other, and celebrate wins. With tools that amplify your impact and a culture that backs your ambition, you won’t just contribute. You’ll make things happen–fast.
 We are looking for a highly skilled Senior Data Engineer to become part of our Enterprise Operations team. This role is ideal for someone who can seamlessly blend technical skills with business acumen \- someone who can get the data, shape the data, and build tools to tell the story. Who proactively drives continuous improvement.
 The ideal candidate has a strong background in big data processing, pipeline orchestration, and data modeling, with a proven track record of delivering scalable and high\-quality data solutions in fast\-paced, data\-centric product environments. Given the dynamic nature of emerging technologies, this role requires an individual who excels at exploration and embraces continuous learning as core responsibilities. You'll constantly research and implement innovative solutions while integrating vast, diverse data sources into our AI\-powered applications, including our industry\-leading LLM\-powered systems.
**What You’ll Do**
* Partner with cross\-functional teams to gather, validate, and translate business requirements into high\-quality data solutions.
* Design, develop, and maintain high\-performance, product\-centric data pipelines using Airflow, DBT, and Python.
* Build and maintain semantic data layers optimized for consumption by LLM\-powered applications.
* Define, monitor, and enforce data quality SLAs across all data pipelines and products, ensuring accuracy, reliability, and lineage.
* Influence Technical Decisions: Apply your experience with data architecture to improve pipelines, table design, and reporting structure in collaboration with engineering.
* Design and develop analytical tools to assess data quality, recommend remediation strategies, implement testing frameworks, and drive continuous improvement.
* Mentor and coach junior engineers, promoting best practices in code quality, data architecture, and operational excellence.
**What You Bring**
* Bachelor’s or Master’s degree in Computer Science, Engineering, or a related field.
* 6\+ years of progressive experience in data engineering and data analytics.
* Expert\-level SQL skills for building performant, scalable queries and transformations on large\-scale datasets.
* Strong Python programming experience.
* Hands\-on experience with dbt (Data Build Tool) for advanced data modeling and transformations in a modern data stack.
* Deep expertise in Snowflake, including data warehouse design, performance optimization, and cost modeling.
* Strong understanding of data architecture concepts such as data lakes, ETL/ELT, event\-driven architectures (e.g., Kafka), and data mesh.
* Proven analytical skills focused on translating business requirements into innovative, scalable solutions; experience with Tableau.
* Proficiency with cloud platforms (GCP and/or AWS) and infrastructure\-as\-code tools (e.g., Terraform).
**Nice to Have**
* Familiarity with LLMOps, LangChain, or RAG (Retrieval Augmented Generation) pipelines.
* Experience implementing Model Context Protocol (MCP) or similar architectures to feed structured and unstructured data into LLM\-powered systems.
* Familiarity with other distributed systems and databases (e.g., Databricks).
* Production experience with large\-scale batch and streaming data processing, including exposure to data science modeling.
* Hands\-on experience with front\-end and back\-end application development.
 Actual compensation offered will be based on factors such as the candidate’s work location, qualifications, skills, experience and/or training. Your recruiter can share more information about the specific salary range for your desired work location during the hiring process. We want our employees and their families to thrive.
 In addition to comprehensive benefits we offer holistic mind, body and lifestyle programs designed for overall well\-being. Learn more about ZoomInfo benefits here.
 Below is the US base salary for this position. Additional compensation such as Bonus, Commission, Equity and other benefits may also apply.
 $143,500—$225,500 USD
**About Us**
 ZoomInfo (NASDAQ: GTM) is the Go\-To\-Market Intelligence Platform that empowers businesses to grow faster with AI\-ready insights, trusted data, and advanced automation. Its solutions provide more than 35,000 companies worldwide with a complete view of their customers, making every seller their best seller.
 ZoomInfo is committed to protecting your privacy when you apply for jobs with us. Please review our Job Applicant Privacy Notice for more details on how we handle your personal information.
 ZoomInfo may use a software\-based assessment as part of the recruitment process. More information about this tool, including the results of the most recent bias audit, is available here.
 ZoomInfo is proud to be an equal opportunity employer, hiring based on qualifications, merit, and business needs, and does not discriminate based on protected status. We welcome all applicants and are committed to providing equal employment opportunities regardless of sex, race, age, color, national origin, sexual orientation, gender identity, marital status, disability status, religion, protected military or veteran status, medical condition, or any other characteristic protected by applicable law. We also consider qualified candidates with criminal histories in accordance with legal requirements.
 For Massachusetts Applicants: It is unlawful in Massachusetts to require or administer a lie detector test as a condition of employment or continued employment. An employer who violates this law shall be subject to criminal penalties and civil liability. ZoomInfo does not administer lie detector tests to applicants in any location.</t>
        </is>
      </c>
    </row>
    <row r="88">
      <c r="A88" t="inlineStr">
        <is>
          <t>li-4368771535</t>
        </is>
      </c>
      <c r="B88" t="inlineStr">
        <is>
          <t>Data Engineer I</t>
        </is>
      </c>
      <c r="C88" t="inlineStr">
        <is>
          <t>Stirista</t>
        </is>
      </c>
      <c r="D88" t="inlineStr">
        <is>
          <t>linkedin</t>
        </is>
      </c>
      <c r="E88">
        <f>HYPERLINK("https://www.linkedin.com/jobs/view/4368771535", "https://www.linkedin.com/jobs/view/4368771535")</f>
        <v/>
      </c>
      <c r="F88" t="inlineStr"/>
      <c r="G88" t="inlineStr">
        <is>
          <t>Pompano Beach, FL</t>
        </is>
      </c>
      <c r="H88" t="inlineStr"/>
      <c r="I88" t="inlineStr">
        <is>
          <t>Job Type
 Full\-time
**Description**
 The Data Engineer modernizes and scales our data infrastructure by architecting robust pipelines that bridge legacy on\-premises systems with modern cloud environments. This role is responsible for the end\-to\-end implementation of the client’s data mart and customer analytics platform, ensuring seamless integration between Microsoft SQL Server and Google Cloud Platform (GCP). You will serve as a technical linchpin, turning raw data into a strategic asset through high\-performance architecture and cloud\-native modernization.
**Core Responsibilities**
* Architect \&amp; Deploy Solutions: Design scalable technical architectures for data marts. Define and implement critical components including data maps, transformation logic, and aggregation strategies.
* Engineer ETL/ELT Pipelines: Build and maintain high\-volume data pipelines using the language of your choice (Python, C\#, Java, etc.) and BigQuery.
* Drive Cloud Modernization: Lead migration initiatives from legacy on\-premises environments to Google Cloud Platform (GCP), ensuring data harmony across hybrid infrastructures.
* Optimize Data Performance: Develop and tune data warehousing solutions to ensure maximum efficiency, reliability, and cost\-effectiveness.
* Collaborate Strategically: Partner with Data Architects and Analysts to translate high\-level business requirements into technical specifications that align with organizational goals.
* Establish Data Governance: Enforce rigorous data quality standards and maintain comprehensive documentation to ensure transparency and system maintainability.
**Requirements**
**Technical Skills \&amp; Experience**
* Experience: 3\+ years in data engineering, data warehousing, and business intelligence.
* Language Mastery: Advanced proficiency in T\-SQL and either Python, C\# or Java.
* Modern Data Stack: Expert\-level experience with Google BigQuery and cloud services (GCP, AWS, Azure, etc.).
* Cloud Expertise: Proven proficiency in GCP services (BigQuery, Cloud Storage) and orchestration tools like Google Cloud Composer.
* Modeling: Deep understanding of dimensional modeling, ETL/ELT best practices, and hybrid data integration.
**Professional Abilities**
* Strategic Execution: Ability to translate complex business needs into technical roadmaps and specific requirements..
* Agility: Proven success in high\-paced environments, managing shifting priorities and ambiguous requirements with poise.
* Communication: Exceptional ability to articulate technical concepts to non\-technical stakeholders and negotiate project scopes.
* Ability to adhere to the company's hybrid work policy. This position requires a minimum of three days per week in one of our offices for employees residing within a 30\-mile radius of the following locations: San Antonio, TX (HQ), Manhattan, NY, Hauppauge, NY, Boston, MA, or Pompano Beach, FL.
**Education**
* Bachelor’s degree in Computer Science, Information Technology, or a related technical field (or equivalent professional experience).
**Compensation And Benefits**
 The estimated salary range for this role is $15,080 \- $100,000\. At Stirista, we provide a good faith estimate of the pay range for this position. The final salary offer for this position will be uniquely determined by the combination of candidate's work location, specialized skills and seniority, and a review of internal salary benchmarks to ensure fair and competitive pay. Our total rewards package includes comprehensive medical/dental/vision insurance, 401K matching, Flexible Time Off Policy and paid parental leave.
 Stirista does not provide visa sponsorship for this role. Please do not apply for this role if at any time (now or in the future) you will need immigration support (i.e., H\-1B, TN, STEM OPT Training Plans, etc.).
 Salary Description
 15,080\-100,000</t>
        </is>
      </c>
    </row>
    <row r="89">
      <c r="A89" t="inlineStr">
        <is>
          <t>li-4373012456</t>
        </is>
      </c>
      <c r="B89" t="inlineStr">
        <is>
          <t>Data Engineer</t>
        </is>
      </c>
      <c r="C89" t="inlineStr">
        <is>
          <t>Marlabs</t>
        </is>
      </c>
      <c r="D89" t="inlineStr">
        <is>
          <t>linkedin</t>
        </is>
      </c>
      <c r="E89">
        <f>HYPERLINK("https://www.linkedin.com/jobs/view/4373012456", "https://www.linkedin.com/jobs/view/4373012456")</f>
        <v/>
      </c>
      <c r="F89" t="inlineStr"/>
      <c r="G89" t="inlineStr"/>
      <c r="H89" t="inlineStr"/>
      <c r="I89" t="inlineStr">
        <is>
          <t>Sr Data Engineer
**Mandatory: Pharma Domain Experience, Azure, ITSM** 
 Onsite – Atlanta / Remote if Consultant is in other states
 Roles \&amp; Responsibilities
* Lead the implementation, and maintenance of scalable and robust analytics platforms.
* Manage IT service operations to ensure high availability, performance, and reliability of the analytics platform.
* Deliver an exceptional user experience by ensuring the platform meets the needs of its users. Implement user feedback to improve platform functionality and usability.
* Collaborate with cross\-functional teams to understand business requirements \&amp; translate them into technical solutions.
* Oversee the integration of various data sources to ensure seamless data flow and accessibility.
* Ensure the platform's performance, security, and reliability through continuous monitoring and optimization.
* Implement and manage IT service management (ITSM) processes, including incident, problems, and change management. Enforce these processes to ensure efficient and effective service delivery.
* Ensure the platform's security and compliance with industry standards and regulations.
* Mentor and guide a team of engineers, fostering a culture of innovation and excellence.
* Manage resources through vendor partners, ensuring they meet performance and service level agreements. Oversee vendor relationships to ensure high\-quality service delivery and cost\-effectiveness.
* Stay up to date with the latest industry trends and technologies to drive continuous improvement.
**Mandatory: Pharma Domain Experience, Azure, ITSM**</t>
        </is>
      </c>
    </row>
    <row r="90">
      <c r="A90" t="inlineStr">
        <is>
          <t>li-4372889357</t>
        </is>
      </c>
      <c r="B90" t="inlineStr">
        <is>
          <t>Data Engineer</t>
        </is>
      </c>
      <c r="C90" t="inlineStr">
        <is>
          <t>Voto Consulting LLC</t>
        </is>
      </c>
      <c r="D90" t="inlineStr">
        <is>
          <t>linkedin</t>
        </is>
      </c>
      <c r="E90">
        <f>HYPERLINK("https://www.linkedin.com/jobs/view/4372889357", "https://www.linkedin.com/jobs/view/4372889357")</f>
        <v/>
      </c>
      <c r="F90" t="inlineStr"/>
      <c r="G90" t="inlineStr">
        <is>
          <t>Jersey City, NJ</t>
        </is>
      </c>
      <c r="H90" t="inlineStr"/>
      <c r="I90" t="inlineStr">
        <is>
          <t>**Responsibilities:** 
* Lead the design, development, and implementation of data solutions using AWS and Snowflake.
* Collaborate with cross\-functional teams to understand business requirements and translate them into technical solutions.
* Develop and maintain data pipelines, ensuring data quality, integrity, and security.
* Optimize data storage and retrieval processes to support data warehousing and analytics.
* Provide technical leadership and mentorship to junior data engineers.
* Ensure compliance with industry standards and best practices in data engineering.
* Utilize knowledge of insurance, particularly claims and loss, to enhance data solutions.
**Must have:** 
* 6\-8 years of relevant experience in Data Engineering and delivery.
* 5\+ years of relevant work experience in Big Data Concepts. Worked on cloud implementations.
* Strong experience with SQL, python and Pyspark
* Good understanding of Data ingestion and data processing frameworks
* Good experience in Snowflake, SQL, AWS (glue, EMR, S3, Aurora, RDS, AWS architecture)
* Good aptitude, strong problem\-solving abilities, analytical skills, and ability to take ownership as appropriate.
* Should be able to do coding, debugging, performance tuning, and deploying the apps to the Production environment.
* Experience working in Agile Methodology
* Proven expertise or certification in Palantir Foundry / Typescript is highly preferred.</t>
        </is>
      </c>
    </row>
    <row r="91">
      <c r="A91" t="inlineStr">
        <is>
          <t>li-4366291882</t>
        </is>
      </c>
      <c r="B91" t="inlineStr">
        <is>
          <t>Data Engineer (Direct To Cell)</t>
        </is>
      </c>
      <c r="C91" t="inlineStr">
        <is>
          <t>SpaceX</t>
        </is>
      </c>
      <c r="D91" t="inlineStr">
        <is>
          <t>linkedin</t>
        </is>
      </c>
      <c r="E91">
        <f>HYPERLINK("https://www.linkedin.com/jobs/view/4366291882", "https://www.linkedin.com/jobs/view/4366291882")</f>
        <v/>
      </c>
      <c r="F91" t="inlineStr"/>
      <c r="G91" t="inlineStr">
        <is>
          <t>Redmond, WA</t>
        </is>
      </c>
      <c r="H91" t="inlineStr"/>
      <c r="I91"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**DATA ENGINEER (DIRECT TO CELL)**
 The Direct to Cell network will expand Starlink’s vision by providing ubiquitous connectivity and seamless access to text, voice, and data for LTE phones and devices across the globe. The Direct to Cell network leverages the infrastructure we’ve built for Starlink over the past several years. Starlink is the world’s largest satellite constellation and is providing fast, reliable internet to 7M\+ users worldwide. As the global leader in rocket and satellite launch and manufacturing, SpaceX is uniquely positioned to rapidly scale our Direct to Cell network and will rapidly launch a constellation of hundreds of satellites.
 As a Data Engineer, you will be responsible for developing the strategy, key metrics, tools, software services, and processes for assessing how well key aspects of Direct to Cell are scaling and how effective the Direct to Cell Network is itself, in serving millions of users around the globe. You will work with operators, engineering leaders, subsystem responsible engineers, software engineers, and network engineers inside the Direct to Cell organization as well as key contacts with various major external partners to help ensure the growth of this program.
**Responsibilities**
* Build and maintain mission\-critical infrastructure, tools, processes, and custom software to objectively assess growth areas for the Direct to Cell program
* Automate the aggregation of metrics and detection of widespread application issues across Direct to Cell
* Establish and maintain relationships with key third\-party application/content owners
* Lead technical investigations about chronic application\-level issues
* Build ground\-based software systems that ingest, transform, and store data
* Apply data analytics, models, and techniques to data products created by space vehicles
* Create catalogs of data and tools that can be used by you and other teams to perform analytics
* Fuse data from multiple sources to create usable information
**Basic Qualifications**
* Bachelor’s degree in computer science, data science, physics, mathematics, or a STEM discipline
* 1\+ years of data/software engineering experience (internship experience is applicable)
* Experience in analytics, data science, or machine learning
**Preferred Skills And Experience**
* Experience handling large (TB\+) datasets
* Experience using SQL,
* Development experience in an object\-oriented programming language (i.e. C, C\+\+, Python)
* Experience building solutions with Parquet, or similar storage formats
* Knowledge of Kubernetes
* Experience building solutions with in\-stream data processing of structured and semi\-structured data
* Experience building predictive models and machine learning pipelines (clustering analysis, prediction, anomaly detection)
* Experience in custom ETL design, implementation, and maintenance
* Experience with developing and deploying tools used for data analysis
* Experience using Spark, Presto, Flink, or Snowflake
* Ability to work effectively in a dynamic environment that includes working with changing needs and requirements
* Ability to take on projects that require taking initiative and developing new expertise
**Additional Requirements**
* Must be willing to work extended hours and weekends as needed
**Compensation And Benefits**
 Pay range:
 Data Engineer/Engineer I: $122,500\.00 \- $145,000\.00/per year
 Data Engineer/Engineer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\&amp; long\-term disability insurance, life insurance, paid parental leave, and various other discounts and perks. You may also accrue 3 weeks of paid vacation \&amp; will be eligible for 10 or more paid holidays per year. Exempt employees are eligible for 5 days of sick leave per year. Company shuttles are offered to employees for round trip travel from select Seattle locations to the SpaceX Redmond office Monday to Friday.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92">
      <c r="A92" t="inlineStr">
        <is>
          <t>li-4354556938</t>
        </is>
      </c>
      <c r="B92" t="inlineStr">
        <is>
          <t>Data Engineer III - REMOTE</t>
        </is>
      </c>
      <c r="C92" t="inlineStr">
        <is>
          <t>E Source</t>
        </is>
      </c>
      <c r="D92" t="inlineStr">
        <is>
          <t>linkedin</t>
        </is>
      </c>
      <c r="E92">
        <f>HYPERLINK("https://www.linkedin.com/jobs/view/4354556938", "https://www.linkedin.com/jobs/view/4354556938")</f>
        <v/>
      </c>
      <c r="F92" t="inlineStr"/>
      <c r="G92" t="inlineStr"/>
      <c r="H92" t="inlineStr"/>
      <c r="I92" t="inlineStr">
        <is>
          <t>Are you an expert in designing, developing, and maintaining data pipelines, infrastructure, and systems to support data products and solutions? Are you a strong communicator who thrives as part of a cross\-functional, collaborative team? If so, we want to talk with you!
 We’re seeking a senior data engineer to join our machine\-learning engineering team and help us design and build scalable, reliable, and secure data pipelines, infrastructure, and systems for our consulting services and software\-as\-a\-service (SaaS) solutions. You’ll work with a cross\-functional team of machine\-learning engineers, software engineers, data scientists, and data analysts to deliver data products and solutions for our clients while also contributing to our internal data practices.
 E Source is a leading provider of software solutions and consulting services for utilities and their customers. We use data science and machine learning to help utilities optimize their operations and achieve their sustainability goals. We process large amounts of data from our clients and uncover insights and patterns they didn’t see before.
 Data engineering is a key function enabling a robust data science environment for our consulting services and as middleware in preparing our client’s data for processing within our SaaS solutions.
**A Little About E Source**
 E Source combines industry\-leading research, data science, and consulting to help utilities make and implement better data\-driven decisions that positively impact their customers, their bottom line, and our planet. Headquartered in Boulder, CO, we have teams across the US and Canada. Learn more at
 **www.esource.com** 
 .
**How You’ll Help**
* Design, develop, and maintain data pipelines, infrastructure, and systems to support data products and solutions using technologies such as AWS, Python, Databricks, Spark, and SQL databases like PostgreSQL
* Work with cross\-functional teams to translate business problems into technical solutions and provide technical guidance and mentorship to junior data engineers
* Develop and implement data engineering strategies and best practices that align with business objectives and customer needs
* Monitor and troubleshoot data pipelines and systems to ensure data quality, integrity, and availability
* Conduct research on industry trends and best practices to improve data engineering capabilities and evaluate new data technologies and tools
* Build and maintain data lakes to support business intelligence needs
* Manage the software development life cycle and DevOps aspects of the code
* Collaborate with data scientists and analysts to understand their data requirements and provide them with optimal data solutions
* Create new data validation methods and data analysis tools
**What Will Make You a Great Fit**
* Bachelor’s degree in computer science, information technology, or a related field
* At least five years of experience in data engineering or a similar role
* Expert\-level skills in Python, SQL databases such as PostgreSQL, and big data technologies such as Databricks and Spark
* Hands\-on experience building cloud resident data pipelines in AWS
* Strong understanding of data governance, security, privacy, and retention policies and procedures
* Strong communication, collaboration, and problem\-solving skills
* High proficiency using agile software tools like Jira and following mature DevOps practices using GIT, Docker, and CI servers like Jenkins
* Passion for data and innovation
**Preferred Qualifications**
* Demonstrated capacity to work autonomously and proactively, with a proven track record of achieving results without constant supervision
* Experience with ETL optimization, designing, coding, and tuning big data processes in Databricks
* Sound knowledge of data lineage and data quality techniques
* Experience in working with data science and machine\-learning models and frameworks
* Previous experience in the energy or utility industry in an analytic role
* Master’s degree in management information systems, computer programming, software engineering, data science, or an equivalent STEM field
**What You Can Expect**
* We offer excellent insurance packages, including medical, dental, and vision plans; company\-paid life insurance; company\-paid long\- and short\-term disability insurance; and medical and dependent\-care flexible spending plans
* We provide a flexible time off (FTO) program; E Source employees can take as many paid days off per year as they need, with manager approval, while fulfilling their work obligations and ensuring proper coverage of their responsibilities.
* We offer flexible schedules, flexible work locations, and a paid parental leave benefit.
* We provide a 401(k)/RRSP plan with a 3% employer match.
 The budgeted salary for this position is
**$105,000 \- $120,000 USD \+ annual bonus.**
**$140,000 \- $155,000 CAD \+ annual bonus.**
 Actual pay will be adjusted based on experience.
 This role will be 100% remote with infrequent travel.
 Applicants must be authorized to work for any employer in the US. We’re unable to sponsor or take over sponsorship of employment visas at this time.
 All qualified applicants will receive consideration for employment without regard to race, color, religion, sex, sexual orientation, gender identity, national origin, disability, or status as a protected veteran.
 Employees of E Source are encouraged to apply. To foster a positive work environment and company culture, we support our employees in their career growth at E Source. Employees who are interested in similar job opportunities in the future should visit the E Source careers page for a listing of all open positions and contact Human Resources to express interest.
**We contact applicants directly via email using only our designated company email addresses with the domain of @esource.com. Please do not provide personal information to anyone over email and be wary of other accounts impersonating businesses.**</t>
        </is>
      </c>
    </row>
    <row r="93">
      <c r="A93" t="inlineStr">
        <is>
          <t>li-4373996145</t>
        </is>
      </c>
      <c r="B93" t="inlineStr">
        <is>
          <t>Data Engineer (Level 3 or Level 4) - R10221101</t>
        </is>
      </c>
      <c r="C93" t="inlineStr">
        <is>
          <t>Northrop Grumman</t>
        </is>
      </c>
      <c r="D93" t="inlineStr">
        <is>
          <t>linkedin</t>
        </is>
      </c>
      <c r="E93">
        <f>HYPERLINK("https://www.linkedin.com/jobs/view/4373996145", "https://www.linkedin.com/jobs/view/4373996145")</f>
        <v/>
      </c>
      <c r="F93" t="inlineStr"/>
      <c r="G93" t="inlineStr">
        <is>
          <t>Virginia, United States</t>
        </is>
      </c>
      <c r="H93" t="inlineStr"/>
      <c r="I93" t="inlineStr">
        <is>
          <t>RELOCATION ASSISTANCE: No relocation assistance available
 CLEARANCE TYPE: None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The Insights \&amp; Intelligence (i2\) organization is looking for individuals to work on fast\-paced special projects to support critical business initiatives with executive sponsorship. The right individuals are engineers that have demonstrated experiences across data engineering and data science, are deeply curious about how businesses operate, and enjoys building scalable products. You will work directly with domain product owners to empower the business and its decision\-making using data.
**This position can be hired as a Level 3 or Level 4, depending upon the selected candidate's experience and education. This role can be performed as a virtual telecommuter.**
**Key Responsibilities**
* Lead the design and development of products for fast\-paced special projects.
* Help shape the evolving data platform within CIDO by building reusable components and sharing ideas on architecture and best practices.
* Partner with business stakeholders, analysts, and data scientists to translate strategic questions into data products and pipelines.
* Design, code, test, and deploy production\-grade data pipelines and models using Python/PySpark and SQL within Databricks.
* Translate business requests into design specifications and requirements to build data engineering models, structures, and machine learning models that help scale our analytics.
**Basic Qualifications for a Level 3:** 
 Bachelor's degree in a related discipline and at least 5 years of relevant professional experience; Master's degree and 3 years of experience.
**Basic Qualifications for a Level 4:** 
 Bachelor's degree in a related discipline and at least 8 years of relevant professional experience; Master's degree and 6 years of experience.
**Additional Basic Qualifications For Both Levels**
* Must have, at minimum, a Bachelor’s degree in Computer Science, Software Engineering, or a related technical field.
* Must have a minimum of 5 years of hands\-on experience in data engineering, data science, or software engineering.
* Must have experience with Python and SQL.
* Must have experience with AWS, containerization, and Git.
* Understand the importance of software engineering best practices in data development.
* Proven ability to tackle ambiguous, cross‑domain business problems and turn them into concrete data solutions.
* Excellent communication skills, with a proven ability to translate technical concepts and data requirements for business partners.
**Preferred Qualifications**
* Strong experience in deploying production software engineering products or data engineering products.
* Experience in technical business consulting, ability to take customer requests from ambiguity to deployable product.
* Knowledge of domain\-driven data ownership concepts
 Primary Level Salary Range: $103,600\.00 \- $155,400\.00
 Secondary Level Salary Range: $129,300\.00 \- $193,900\.00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94">
      <c r="A94" t="inlineStr">
        <is>
          <t>li-4329170262</t>
        </is>
      </c>
      <c r="B94" t="inlineStr">
        <is>
          <t>Sr. BI Engineer</t>
        </is>
      </c>
      <c r="C94" t="inlineStr">
        <is>
          <t>CentralReach</t>
        </is>
      </c>
      <c r="D94" t="inlineStr">
        <is>
          <t>linkedin</t>
        </is>
      </c>
      <c r="E94">
        <f>HYPERLINK("https://www.linkedin.com/jobs/view/4329170262", "https://www.linkedin.com/jobs/view/4329170262")</f>
        <v/>
      </c>
      <c r="F94" t="inlineStr"/>
      <c r="G94" t="inlineStr"/>
      <c r="H94" t="inlineStr"/>
      <c r="I94" t="inlineStr">
        <is>
          <t>CentralReach is a leading provider of autism and IDD care software for Applied Behavior Analysis (ABA), multidisciplinary therapy, and special education. Trusted by more than 200,000 users, we enable therapy providers, educators, and employers to scale the way they deliver ABA and related therapies with innovative technology, market\-leading industry expertise, and world\-class customer satisfaction.
 We are seeking a Senior BI engineer with excellent SQL and Python coding skills and fluent with advanced data modeling and visualization features and who is familiar with BI tools or welcomes learning new tools. This role requires experience designing dashboards for optimal communication working with large volumes of data. Familiarity with web development (CSS, HTML, Javascript) is a plus.
 The ideal candidate will be a natural collaborator and problem solver who possesses a high intellectual curiosity and thrives in a dynamic, fast\-paced environment while playing many roles as situations demand.
**Key Accountabilities**
* The BI Engineer will create and maintain data sources, reports and dashboards with high visual appeal, high data accuracy and high performance for the company’s internal business data. The BI Engineer will facilitate more accurate and automated reporting and analysis. You will need to analyze and address data and performance issues, fix the Sisense dashboards and embedded code as well as work with relevant teams/individuals to address these issues. You will coordinate with team members in key departments (including Product, Application Development, Database Administrators, CR BillMax) to identify information needs and drivers for translation into data visualizations.
**As a Part Of The BI Team, You Will**
* Work within an Agile Development process
* Create and manage analytical and operational dashboards, KPIs, and repeatable reports for external and internal users.
* Acting as the first line of support for Sisense related questions and issues
* Creating and providing training sessions (as needed)
* Facilitate a process for ongoing bidirectional communication with the various functions and departments in the company
* Creating design templates and standards when needed
* Proactively identify and pursue opportunities individually as well as working with members of the Finance team to enhance reporting and to build out data sources and data visualizations to enable self\-service, trend analysis and insight into leading indicators and operational metrics
* Participate in cross\-functional initiatives, including defining KPIs and reporting needs, with finance, sales, operations, marketing, product, engineering, and other teams
**Example Projects You Might Work On**
* Developing new data models/cubes for clinical and financial analytics
* Maintenance, refactoring, and performance optimization of existing dashboards and/or data sources.
* Creating widgets and dashboards that provide aggregate and detailed data from existing data model.
* Use Python to interact with Sisense and SQL to implement automated activities
* Use AI development tools such as Dify.AI or n8n.IO to build AI\-enabled analytics
**Desired Skills And Experience**
* 5\+ years of SQL experience (good ability to read and understand existing SQL code, ability to self\-direct and explore complex data structures, including many\-to\-many and deep\-nested hierarchical structures)
* 3\+ years of a major BI tool experience (Sisense/Tableau/Power BI/etc.), with understanding of advanced calculation and visualization features as well as ability to troubleshoot Tableau and SQL issues related to data or performance
* 2\+ years of Python scripting/development
* Willingness to learn and master Sisense development
* Familiarity with Server\-based reporting and development (publishing, scheduling, user access permissions)
* Strongly preferred: experience with Sisense development
**Personal And Team Skills**
* Excellent attention to detail, strong organizational skills, and ability to prioritize work within a dynamic, deadline\-driven environment
* Experience leading insight and analysis projects from briefing stage through delivery
* Excellent communication skills with the ability to convey financial concepts to both financial and non\-financial audiences
* Team player who achieves corporate objectives while also working efficiently and accurately under tight time constraints
* Superior attention to detail and highly organized with a desire to exceed expectations
* Knowledgeable of dashboard performance optimization techniques
* Ability to work independently, with a proactive, risk\-mitigation approach
* Excellent listening, interpersonal, written, and oral communication skills
* Experience with Quality Assurance
* Experience working within Application Development lifecycle
* Experience working with one or more key departments: Operations, Customer Support, Product Management, Sales, Finance
 Base Salary Range
 $135,000—$150,000 USD
 Backed by Roper Technologies, Inc. (Nasdaq: ROP), and led by award\-winning CEO Chris Sullens, CentralReach is entering an exciting phase of growth, innovation, and scale.
 Recognized as one of the best places to work over 10 times by organizations such as Inc, Built In, and NJBIZ, our culture is centered around impact, inclusion, and flexibility. As a hybrid company with collaborative offices in Ft. Lauderdale, FL; Holmdel, NJ; and Verona, Italy, we foster a workplace where top talent can thrive and make a real difference in the lives of those we serve.
 We offer competitive compensation, comprehensive health benefits, generous PTO, 401(k) matching, and paid parental leave. Our team members also enjoy hybrid work schedules, career development support, wellness programs, and opportunities to give back through CR Cares™, our community engagement initiative.
 Be part of a market leader driving the future of care. Explore opportunities at centralreach.com/careers.</t>
        </is>
      </c>
    </row>
    <row r="95">
      <c r="A95" t="inlineStr">
        <is>
          <t>li-4366263576</t>
        </is>
      </c>
      <c r="B95" t="inlineStr">
        <is>
          <t>Analytics Data Engineer</t>
        </is>
      </c>
      <c r="C95" t="inlineStr">
        <is>
          <t>General Atomics</t>
        </is>
      </c>
      <c r="D95" t="inlineStr">
        <is>
          <t>linkedin</t>
        </is>
      </c>
      <c r="E95">
        <f>HYPERLINK("https://www.linkedin.com/jobs/view/4366263576", "https://www.linkedin.com/jobs/view/4366263576")</f>
        <v/>
      </c>
      <c r="F95" t="inlineStr"/>
      <c r="G95" t="inlineStr">
        <is>
          <t>San Diego, CA</t>
        </is>
      </c>
      <c r="H95" t="inlineStr"/>
      <c r="I95" t="inlineStr">
        <is>
          <t>**Job Summary**
 General Atomics (GA), and its affiliated companies, is one of the world’s leading resources for high\-technology systems development ranging from the nuclear fuel cycle to remotely piloted aircraft, airborne sensors, and advanced electric, electronic, wireless and laser technologies.
 This position is responsible for analyzing business and technical processes to formulate and develop new and modified business processing systems. Represents the business unit to define requirements and business cases for technology developments. Determines system requirements, such as program functions, output requirements, input data acquisition, and system techniques and controls. Performs activities which involve the exercise of independent judgment and discretion about matters of significance.
**Duties And Responsibilities**
* Design, develop, and optimize data pipelines and workflows to support analytics and reporting needs.
* Implement and maintain scalable data architectures, ensuring efficient data integration and processing.
* Collaborate with stakeholders to gather requirements and translate them into technical solutions.
* Develop and maintain data models to support business intelligence and analytics initiatives.
* Ensure data quality, integrity, and security across all data processes.
* Monitor and troubleshoot performance issues in data pipelines and analytics systems.
* Stay updated on industry trends and emerging technologies to continuously improve data engineering practices.
* Additional Functions Other duties as assigned or required.
* We operate on a 9x80 schedule with every other Friday off.
 We recognize and appreciate the value and contributions of individuals with diverse backgrounds and experiences and welcome all qualified individuals to apply.
**Job Qualifications**
* Typically requires a Bachelors degree in Information Technology or related field and five or more years progressive experience in programming and development. Equivalent professional experience may be substituted in lieu of education.
* Proven experience in data warehouse development, data engineering, analytics, or related fields.
* Proficiency in Azure Synapse Data Flow and other Azure data services (e.g., Azure Data Factory, Azure SQL).
* Strong expertise in data warehouse and data modeling techniques (e.g., star schema, snowflake schema) and database design.
* Solid understanding of SQL and other query languages.
* Familiarity with programming languages for data engineering (e.g., Python, Scala, or Java).
* Knowledge of cloud\-based data solutions and services (e.g., Azure).
* Strong communication and collaboration skills to work effectively with cross\-functional teams.
* Must be customer focused and able to work on a self\-initiated basis or in a team environment and able to work extended hours and travel as required.
**Desired Skills:**
* Familiarity with SAP data structures, tables, and processes.
* Experience working with SAP data sources for analytics and reporting.
* Knowledge of big data technologies (e.g., Hadoop, Spark) and distributed computing frameworks.
* Understanding of machine learning pipelines and how to prepare data for AI/ML models.
* Strong knowledge of data statistics, including experience applying statistical methods to analyze, interpret, and visualize data trends (e.g., regression analysis, hypothesis testing, time series analysis).
* Experience with visualization tools (e.g., Power BI, Tableau) and integration with data pipelines.
* Knowledge of DevOps practices for data engineering, including CI/CD pipelines and version control.
 Job Type: Full\-Time Salary
 Salary range: 89,180 \- 155,825</t>
        </is>
      </c>
    </row>
    <row r="96">
      <c r="A96" t="inlineStr">
        <is>
          <t>li-4370695948</t>
        </is>
      </c>
      <c r="B96" t="inlineStr">
        <is>
          <t>Data Engineer</t>
        </is>
      </c>
      <c r="C96" t="inlineStr">
        <is>
          <t>Smart IT Frame LLC</t>
        </is>
      </c>
      <c r="D96" t="inlineStr">
        <is>
          <t>linkedin</t>
        </is>
      </c>
      <c r="E96">
        <f>HYPERLINK("https://www.linkedin.com/jobs/view/4370695948", "https://www.linkedin.com/jobs/view/4370695948")</f>
        <v/>
      </c>
      <c r="F96" t="inlineStr"/>
      <c r="G96" t="inlineStr">
        <is>
          <t>Las Vegas, NV</t>
        </is>
      </c>
      <c r="H96" t="inlineStr"/>
      <c r="I96" t="inlineStr">
        <is>
          <t>**Job Title: Data Engineering Support Lead** 
**Location: Las Vegas, NV (Onsite)** 
**Work Type: Full Time** 
**Primary Skills:\-** 
 Python/SAS, SQL, UAT Production Support and Banking domain
**About Smart IT Frame:**
 At Smart IT Frame, we connect top talent with leading organizations across the USA. With over a decade of staffing excellence, we specialize in IT, healthcare, and professional roles, empowering both clients and candidates to grow together.
**Job Description:**
**Mandatory** 
* Minimum 7\-10 years of Industry experience as a Data engineering
* Good Communication \- build relationships with Business \+ Product \+ Technology teams, work with multiple stakeholders
* Positive Attitude
* Hands on knowledge in Python who can write python scripts from scratch
* Strong SQL Knowledge
* Banking Domain knowledge preferably in Fraud, Risk and Payment Systems
* Prior experience of leading a team of minimum 2\-3 Data Engineers
* flexible to work outside of prescribed working hours \- UAT/Production support experience
* This position is based in Client Office in Vegas, and it is completely WFO (5 days a week)
* Strong Debugging and error handling skills
* Quick learner and have skill to understand existing code base to apply new business logic
**Nice to Have** 
* Someone who knows both Python and SAS will have an advantage
* Worked in live UAT/Prod support environments</t>
        </is>
      </c>
    </row>
    <row r="97">
      <c r="A97" t="inlineStr">
        <is>
          <t>li-4366234573</t>
        </is>
      </c>
      <c r="B97" t="inlineStr">
        <is>
          <t>Senior Data Engineer, People Analytics</t>
        </is>
      </c>
      <c r="C97" t="inlineStr">
        <is>
          <t>Crusoe</t>
        </is>
      </c>
      <c r="D97" t="inlineStr">
        <is>
          <t>linkedin</t>
        </is>
      </c>
      <c r="E97">
        <f>HYPERLINK("https://www.linkedin.com/jobs/view/4366234573", "https://www.linkedin.com/jobs/view/4366234573")</f>
        <v/>
      </c>
      <c r="F97" t="inlineStr"/>
      <c r="G97" t="inlineStr">
        <is>
          <t>Bellevue, WA</t>
        </is>
      </c>
      <c r="H97" t="inlineStr"/>
      <c r="I97" t="inlineStr">
        <is>
          <t>Crusoe's mission is to accelerate the abundance of energy and intelligence. We’re crafting the engine that powers a world where people can create ambitiously with AI — without sacrificing scale, speed, or sustainability.
 Be a part of the AI revolution with sustainable technology at Crusoe. Here, you'll drive meaningful innovation, make a tangible impact, and join a team that’s setting the pace for responsible, transformative cloud infrastructure.
**About the Role:**
 A Data Engineer is a builder, an innovator, and a trusted strategic partner. You will sit at the intersection of data engineering, business consulting, and applied AI.
 In this role, you will do more than just manage pipelines; you will architect and build the infrastructure powering the People Analytics team’s insights and product suite. You will champion the use of practical AI and machine learning to modernize how we understand our workforce—from analyzing unstructured sentiment to predicting talent trends. You will own the full stack—extracting data from HCM and ATS Systems like Rippling and Ashby, modeling it in Google Cloud Platform, and bringing it to life in self\-service products—while partnering with leaders to design innovative workplace solutions that scale our culture
**What You'll Be Working On:**
* Full\-Stack Data Engineering: Build and maintain resilient ETL pipelines to centralize data from our core HCM and ATS systems into Google Cloud Platform, Big Query, and other people analytics products.
* Semantic Modeling \&amp; Self\-Service: Architect a robust semantic data layer (using dbt) that translates raw database schemas into business\-friendly logic. You will enable non\-technical leaders to ask natural language questions and get accurate answers.
* Applied AI \&amp; Predictive Analytics: Leverage AI and LLMs to unlock insights from unstructured data (e.g., engagement survey comments, interview feedback) and build predictive models for attrition and headcount planning.
* Innovative Workplace Solutions: Go beyond dashboards to design data products that solve operational problems. This could mean automating manual HR workflows, building custom apps for internal mobility, or using data to redesign our organizational structure.
* Consultative Partnership: Partner proactively with Talent, Finance, and People leaders. You will translate vague business anxieties into rigorous data questions, consulting on the "art of the possible" with modern analytics.
* Visualization \&amp; Storytelling: Design and deploy high\-impact Sigma workbooks that guide executives through complex narratives, ensuring data is not just viewed, but acted upon.
**What You'll Bring to the Team:**
* The "Hybrid" Skill Set: You are an Engineer who thinks like a Consultant. You love writing clean Python/SQL code, but you are equally passionate about solving human\-centric business problems.
* Core Tech Stack Mastery:
+ Warehouse: Deep experience managing data in Google Cloud Platform
+ Visualization: Expert proficiency in Sigma or similar BI platforms. You know how to use input tables, workbook parameters, and materialized views to build interactive tools.
+ HR/Recruiting Systems: Hands\-on experience with Ashby, Rippling, or similar. You understand their API nuances and schemas.
* Semantic Architecture: Experience building semantic layers that create context based in business logic from raw data, ensuring consistency across all reporting.
* AI/ML Curiosity: Experience or strong interest in applying AI/ML techniques (NLP, regression analysis, etc.) to people data. You want to use the tools Crusoe is empowering the world to build.
* Communication: You can explain complex data architectures to non\-technical stakeholders and act as a trusted advisor on data strategy
**Bonus Skills:**
* Experience deploying or working with People Analytics SaaS platforms
* Experience with Sigma.
**Benefits:**
* Industry competitive pay
* Restricted Stock Units in a fast growing, well\-funded technology company
* Health insurance package options that include HDHP and PPO, vision, and dental for you and your dependents
* Employer contributions to HSA accounts
* Paid Parental Leave
* Paid life insurance, short\-term and long\-term disability
* Teladoc
* 401(k) with a 100% match up to 4% of salary
* Generous paid time off and holiday schedule
* Cell phone reimbursement
* Tuition reimbursement
* Subscription to the Calm app
* MetLife Legal
* Company paid commuter benefit; $300/month
**Compensation Range**
 Compensation will be paid in the range of up to $165,000 \-$200,000 \+ Bonus. Restricted Stock Units are included in all offers. Compensation to be determined by the applicants knowledge, education, and abilities, as well as internal equity and alignment with market data.
 Crusoe is an Equal Opportunity Employer. Employment decisions are made without regard to race, color, religion, disability, genetic information, pregnancy, citizenship, marital status, sex/gender, sexual preference/ orientation, gender identity, age, veteran status, national origin, or any other status protected by law or regulation.</t>
        </is>
      </c>
    </row>
    <row r="98">
      <c r="A98" t="inlineStr">
        <is>
          <t>li-4373968717</t>
        </is>
      </c>
      <c r="B98" t="inlineStr">
        <is>
          <t>Data Engineer</t>
        </is>
      </c>
      <c r="C98" t="inlineStr">
        <is>
          <t>Counsel Stack</t>
        </is>
      </c>
      <c r="D98" t="inlineStr">
        <is>
          <t>linkedin</t>
        </is>
      </c>
      <c r="E98">
        <f>HYPERLINK("https://www.linkedin.com/jobs/view/4373968717", "https://www.linkedin.com/jobs/view/4373968717")</f>
        <v/>
      </c>
      <c r="F98" t="inlineStr"/>
      <c r="G98" t="inlineStr">
        <is>
          <t>Pittsburgh, PA</t>
        </is>
      </c>
      <c r="H98" t="inlineStr"/>
      <c r="I98" t="inlineStr">
        <is>
          <t>**Company Description** 
 Counsel Stack is the top\-performing legal research AI in independent evaluation, ranked \#1 across all participants including legal AI products and industry incumbents.
**Role Description** 
 Contract data engineer. Python and PostgreSQL. Remote, flexible hours. $100/hr or fixed per\-deliverable.
* DM with a GitHub link.</t>
        </is>
      </c>
    </row>
    <row r="99">
      <c r="A99" t="inlineStr">
        <is>
          <t>li-4371116441</t>
        </is>
      </c>
      <c r="B99" t="inlineStr">
        <is>
          <t>Data Engineer</t>
        </is>
      </c>
      <c r="C99" t="inlineStr">
        <is>
          <t>Randstad Digital Americas</t>
        </is>
      </c>
      <c r="D99" t="inlineStr">
        <is>
          <t>linkedin</t>
        </is>
      </c>
      <c r="E99">
        <f>HYPERLINK("https://www.linkedin.com/jobs/view/4371116441", "https://www.linkedin.com/jobs/view/4371116441")</f>
        <v/>
      </c>
      <c r="F99" t="inlineStr"/>
      <c r="G99" t="inlineStr">
        <is>
          <t>Malvern, PA</t>
        </is>
      </c>
      <c r="H99" t="inlineStr"/>
      <c r="I99" t="inlineStr">
        <is>
          <t>**Responsibilities**
 job summary:
 Writes ETL (Extract / Transform / Load) processes, designs database systems, and develops tools for real\-time and offline analytic processing.
 Troubleshoots software and processes for data consistency and integrity. Integrates data from a variety of sources for business partners to generate insight and make decisions.
 Experience building AWS cloud architecture and supporting services and technologies (Eg: ECS, Glue, S3, Glue Crawler, Redshift, Step Functions, Foundational Services like IAM, Cloud Watch, Cloud formation, Lambda, Secrets Manager, Sagemaker).
 Translates business specifications into design specifications and code. Responsible for writing programs, ad hoc queries, and reports. Ensures that all code is well structured, includes sufficient documentation, and is easy to maintain and reuse.
 Partners with internal clients to gain a basic understanding of business functions and informational needs. Gains working knowledge in tools, technologies, and applications/databases in specific business areas and company\-wide systems.
 Participates in all phases of solution development. Explains technical considerations at related meetings, including those with business clients.
 Expert building Spark data processing applications (Python, Pyspark).
 Expert with SQL development and Tableau Reporting.
 Experience with test automation and test\-driven development practices.
 Experience with CI/CD pipeline tools like Github.
 Tests code thoroughly for accuracy of intended purpose. Reviews end product with the client to ensure adequate understanding. Provides data analysis guidance as required.
 Provides tool and data support to business users and fellow team members.
**Qualifications**
 Writes ETL (Extract / Transform / Load) processes, designs database systems, and develops tools for real\-time and offline analytic processing.
 Troubleshoots software and processes for data consistency and integrity. Integrates data from a variety of sources for business partners to generate insight and make decisions.
 Experience building AWS cloud architecture and supporting services and technologies (Eg: ECS, Glue, S3, Glue Crawler, Redshift, Step Functions, Foundational Services like IAM, Cloud Watch, Cloud formation, Lambda, Secrets Manager, Sagemaker).
 Translates business specifications into design specifications and code. Responsible for writing programs, ad hoc queries, and reports. Ensures that all code is well structured, includes sufficient documentation, and is easy to maintain and reuse.
 Partners with internal clients to gain a basic understanding of business functions and informational needs. Gains working knowledge in tools, technologies, and applications/databases in specific business areas and company\-wide systems.
 Participates in all phases of solution development. Explains technical considerations at related meetings, including those with business clients.
 Expert building Spark data processing applications (Python, Pyspark).
 Expert with SQL development and Tableau Reporting.
 Experience with test automation and test\-driven development practices.
 Experience with CI/CD pipeline tools like Github.
 Tests code thoroughly for accuracy of intended purpose. Reviews end product with the client to ensure adequate understanding. Provides data analysis guidance as required.
 Provides tool and data support to business users and fellow team members.
 location: Malvern, Pennsylvania
 job type: Contract
 salary: $56\.33 \- 61\.33 per hour
 work hours: 8am to 5pm
 education: Bachelors
**Responsibilities**
**Responsibilities**
* Writes ETL (Extract / Transform / Load) processes, designs database systems, and develops tools for real\-time and offline analytic processing.
* Troubleshoots software and processes for data consistency and integrity. Integrates data from a variety of sources for business partners to generate insight and make decisions.
* Experience building AWS cloud architecture and supporting services and technologies (Eg: ECS, Glue, S3, Glue Crawler, Redshift, Step Functions, Foundational Services like IAM, Cloud Watch, Cloud formation, Lambda, Secrets Manager, Sagemaker).
* Translates business specifications into design specifications and code. Responsible for writing programs, ad hoc queries, and reports. Ensures that all code is well structured, includes sufficient documentation, and is easy to maintain and reuse.
* Partners with internal clients to gain a basic understanding of business functions and informational needs. Gains working knowledge in tools, technologies, and applications/databases in specific business areas and company\-wide systems.
* Participates in all phases of solution development. Explains technical considerations at related meetings, including those with business clients.
* Expert building Spark data processing applications (Python, Pyspark).
* Expert with SQL development and Tableau Reporting.
* Experience with test automation and test\-driven development practices.
* Experience with CI/CD pipeline tools like Github.
* Tests code thoroughly for accuracy of intended purpose. Reviews end product with the client to ensure adequate understanding. Provides data analysis guidance as required.
* Provides tool and data support to business users and fellow team members.
**Qualifications**
 Qualifications
 Writes ETL (Extract / Transform / Load) processes, designs database systems, and develops tools for real\-time and offline analytic processing.
 Troubleshoots software and processes for data consistency and integrity. Integrates data from a variety of sources for business partners to generate insight and make decisions.
 Experience building AWS cloud architecture and supporting services and technologies (Eg: ECS, Glue, S3, Glue Crawler, Redshift, Step Functions, Foundational Services like IAM, Cloud Watch, Cloud formation, Lambda, Secrets Manager, Sagemaker).
 Translates business specifications into design specifications and code. Responsible for writing programs, ad hoc queries, and reports. Ensures that all code is well structured, includes sufficient documentation, and is easy to maintain and reuse.
 Partners with internal clients to gain a basic understanding of business functions and informational needs. Gains working knowledge in tools, technologies, and applications/databases in specific business areas and company\-wide systems.
 Participates in all phases of solution development. Explains technical considerations at related meetings, including those with business clients.
 Expert building Spark data processing applications (Python, Pyspark).
 Expert with SQL development and Tableau Reporting.
 Experience with test automation and test\-driven development practices.
 Experience with CI/CD pipeline tools like Github.
 Tests code thoroughly for accuracy of intended purpose. Reviews end product with the client to ensure adequate understanding. Provides data analysis guidance as required.
 Provides tool and data support to business users and fellow team members.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HRsupport@randstadusa.com.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
 Any consideration of a background check would be an individualized assessment based on the applicant or employee's specific record and the duties and requirements of the specific job.</t>
        </is>
      </c>
    </row>
    <row r="100">
      <c r="A100" t="inlineStr">
        <is>
          <t>li-4372891694</t>
        </is>
      </c>
      <c r="B100" t="inlineStr">
        <is>
          <t>Senior Data Engineer</t>
        </is>
      </c>
      <c r="C100" t="inlineStr">
        <is>
          <t>Brooksource</t>
        </is>
      </c>
      <c r="D100" t="inlineStr">
        <is>
          <t>linkedin</t>
        </is>
      </c>
      <c r="E100">
        <f>HYPERLINK("https://www.linkedin.com/jobs/view/4372891694", "https://www.linkedin.com/jobs/view/4372891694")</f>
        <v/>
      </c>
      <c r="F100" t="inlineStr"/>
      <c r="G100" t="inlineStr">
        <is>
          <t>California, United States</t>
        </is>
      </c>
      <c r="H100" t="inlineStr"/>
      <c r="I100" t="inlineStr">
        <is>
          <t>**Senior Data Engineer** 
**Your Role** 
 The Data Services and solutions team is responsible for design, development, test ,deployment and operation of large enterprise data warehouse/BI data solutions using cloud technologies. The IT Analyst, Senior will report to the Manager, Data Services and Solutions. In this role you will be the comprehensive subject matter expert in the technology products/platform feature space and apply, learn, and extend your skills beyond formal role boundaries. Having a desire
 to help achieve transformational healthcare improvement should serve as the inspiration behind the ideal candidate’s willingness to participate across many different activities within an agile working model. Our leadership model is about developing great leaders at all levels and creating opportunities for our people to grow – personally, professionally, and financially. We are looking for leaders that are energized by creative and critical thinking, building and sustaining high\-performing teams, getting results the right way, and fostering continuous learning.
**Your Work** 
 In this role, you will:
* Build data pipelines: Create, maintain, and optimize workloads from development to production for specific use cases, with a focus on cloud\-native solutions and modern frameworks.
* Develop the most efficient and cost\-effective implementation, leveraging reusable features where possible
* Drive operational excellence, including but not limited to Incident Management, process automation leveraging AI and ensuring smooth deployments for your technology products/platform features.
* Have the capability to leverage AI across development, testing, and deployment stages to drive innovation, reduce operational overhead, and enhance product quality.
* Monitor and manage software configuration changes to anticipate and address data reliability and customer satisfaction issues, leveraging cloud monitoring tools and practices.
* Coordinate sustaining support for multiple application platforms or business processes, ensuring seamless integration and operation in a cloud environment.
* Apply significant knowledge of IT and healthcare industry trends.
* Work in agile/DevSecOps pod model alongside solution leads, data modelers, analysts, business partners and other developers in delivery of data
* Support of monitoring and tuning application code to assure optimal availability, performance and utilization of resources
* Provide technical expertise working with Analysts and Business Users to implement complex and varied functional specifications into technical designs
**Your Knowledge and Experience** 
* Bachelor’s degree in computer science, Information Technology, Management Information Systems, or a related field (or equivalent experience), with a minimum of
 **5 years** 
 of relevant experience in enterprise application support and cloud\-based solution delivery.
* Strong experience in design, coding, integration, and deployment on Windows and/or Linux platforms.
* Expertise in cloud platforms (preferably Azure; AWS/GCP acceptable) and related services (ADLS, Synapse, Data Factory).
* Proficiency in SQL and Python, with strong scripting/automation skills.
* Hands\-on experience with modern data stack tools: dbt, Snowflake or Databricks, BigQuery, Airflow or Tidal.
* Solid knowledge of data modeling (Data Vault 2\.0\), data integration, data architecture, warehousing, and data quality.
* Familiarity with CI/CD pipelines (Bitbucket, GitHub Actions) and Infrastructure as Code tools (Ansible).
* Familiarity with Collibra for data quality and governance.
* Implement testing frameworks and validation processes for data pipelines.
* Optimize performance and reliability of data workflows across development, testing, and deployment.
* Working knowledge of networking/security protocols (LDAP, Active Directory) and API integrations.
* Unix/Linux command\-line proficiency and shell scripting.
* Understanding of Agile methodologies, and enterprise cloud integration.
* Excellent communication skills for translating technical deliverables.
* Preferred: Healthcare industry experience and Epic software knowledge.
* Awareness of data governance, security standards, and production certification processes.</t>
        </is>
      </c>
    </row>
    <row r="101">
      <c r="A101" t="inlineStr">
        <is>
          <t>li-4372878965</t>
        </is>
      </c>
      <c r="B101" t="inlineStr">
        <is>
          <t>Data Engineer</t>
        </is>
      </c>
      <c r="C101" t="inlineStr">
        <is>
          <t>Haystack</t>
        </is>
      </c>
      <c r="D101" t="inlineStr">
        <is>
          <t>linkedin</t>
        </is>
      </c>
      <c r="E101">
        <f>HYPERLINK("https://www.linkedin.com/jobs/view/4372878965", "https://www.linkedin.com/jobs/view/4372878965")</f>
        <v/>
      </c>
      <c r="F101">
        <f>HYPERLINK("https://us.haystackapp.io/roles/69863d15b8f5fd9cc147129f?src=linkedin&amp;urlHash=WF4c", "https://us.haystackapp.io/roles/69863d15b8f5fd9cc147129f?src=linkedin&amp;urlHash=WF4c")</f>
        <v/>
      </c>
      <c r="G101" t="inlineStr"/>
      <c r="H101" t="inlineStr"/>
      <c r="I101" t="inlineStr">
        <is>
          <t>**Data Engineer \| Remote \| $77,600 \- $176,000** 
 We're working with Booz Allen Hamilton on this exciting opportunity.
 Join Booz Allen Hamilton as a Data Engineer to drive mission\-critical projects using Palantir Foundry. Develop scalable data pipelines, build robust applications with Python and TypeScript, and integrate diverse data sources to empower impactful decision\-making. Make a real difference!
**The Role** 
 • Develop and maintain Palantir Foundry pipelines using Pipeline Builder for data ingestion, transformation, and integration.
 • Build modular applications and workflows leveraging TypeScript, Python, and Foundry AIP.
 • Collaborate with data engineers, analysts, and stakeholders to refine data models and ontology mapping.
 • Utilize Git for version control and manage development efforts.
 • Support testing, debugging, and performance tuning of Foundry applications in an Agile environment.
**What You'll Need** 
 • 2\+ years of hands\-on experience with Palantir Foundry.
 • Proficiency in Python or TypeScript for application development.
 • Experience with Pipeline Builder, AIP, and Foundry's application development ecosystem.
 • Experience with Git\-based code repositories and CI/CD workflows.
 • Active Secret clearance and ability to thrive in fast\-paced, Agile environments.
**What's On Offer** 
 • Opportunity to work on mission\-critical projects with cutting\-edge technology.
 • Collaborative and agile work environment focused on innovation.
 • Comprehensive benefits package including health, financial, and professional development support.
 • Competitive salary range of $77,600 to $176,000 annually.
**Apply via Haystack today!**</t>
        </is>
      </c>
    </row>
    <row r="102">
      <c r="A102" t="inlineStr">
        <is>
          <t>li-4374119989</t>
        </is>
      </c>
      <c r="B102" t="inlineStr">
        <is>
          <t>Azure Data Engineer</t>
        </is>
      </c>
      <c r="C102" t="inlineStr">
        <is>
          <t>Bright Vision Technologies</t>
        </is>
      </c>
      <c r="D102" t="inlineStr">
        <is>
          <t>linkedin</t>
        </is>
      </c>
      <c r="E102">
        <f>HYPERLINK("https://www.linkedin.com/jobs/view/4374119989", "https://www.linkedin.com/jobs/view/4374119989")</f>
        <v/>
      </c>
      <c r="F102" t="inlineStr"/>
      <c r="G102" t="inlineStr">
        <is>
          <t>Bridgewater, NJ</t>
        </is>
      </c>
      <c r="H102" t="inlineStr"/>
      <c r="I102" t="inlineStr">
        <is>
          <t>**Role : Azure Data Engineer**
 Bright Vision Technologies is a forward\-thinking software development company dedicated to building innovative solutions that help businesses automate and optimize their operations.
 We leverage cutting\-edge data engineering technologies to build scalable, reliable, and high\-performance data platforms. As we continue to grow, we’re looking for a skilled
 **Azure Data Engineer** 
 to join our dynamic team and contribute to our mission of transforming business processes through technology.
 This is a fantastic opportunity to join an established and well\-respected organization offering tremendous career growth potential.
 We are looking for
 **OPT/CPT/H4 EAD/TN/E3 or any other Non\-immigrant visa people** 
 who are looking for an
 **H1B sponsorship for the year 2027 quota** 
 .
**Company:** 
 Bright Vision Technologies ( www.bvteck.com )
**Job Title:** 
 Data Engineer
**Job Location:** 
 Bridgewater, New Jersey \- 08807
**Onsite/Hybrid:** 
 Remote
**FULL\-TIME ROLE WITH BRIGHT VISION**
**Job Description:**
**Environment:**
 Python, SQL, Data Warehousing, ETL/ELT pipelines, Apache Spark, Airflow, Kafka, Hadoop ecosystem, Snowflake / Redshift / BigQuery, Data Modeling, RESTful APIs, Cloud Platforms (AWS / Azure / GCP), Docker, Kubernetes (basic), CI/CD pipelines, Git, Linux, Agile methodologies
 For every role, a
 **coding test is required** 
 , so apply only if you are
 **confident and technically strong** 
 .
 We prefer
 **at least 3 to 5 years real time experience** 
 .
 If you are a
 **Data Engineer** 
 with the above skills and are looking for an
 **H\-1 B sponsorship** 
 this year, please send your resume immediately to
 **Sairaj** 
**@bvteck.com** 
 .
**Best Regards,**
**Sairaj Konda**
 Sales Manager
 Bright Vision Technologies
 Cell: \+1
 **(908\) 505\-3454 \| ext 1011**
 Email: Sairaj@bvteck.com
 Address: \#991 Route 22 West, Suite 200,
 Bridgewater, New Jersey – 08807
 we are committed to providing equal employment opportunities and fostering an inclusive work environment. We encourage applications from all qualified individuals regardless of race, ethnicity, religion, gender identity, sexual orientation, age, disability, or any other protected status. If you require accommodations during the recruitment process, please let us know.
**Position offered by “No Fee agency.”**
 Equal Employment Opportunity (EEO) Statement
 Bright Vision Technologies (BV Teck) is committed to equal employment opportunity (EEO) for all employees and applicants without regard to race, color, religion, sex, sexual orientation, gender identity or expression, national origin, age, genetic information, disability, veteran status, or any other protected status as defined by applicable federal, state, or local laws. This commitment extends to all aspects of employment, including recruitment, hiring, training, compensation, promotion, transfer, leaves of absence, termination, layoffs, and recall.
 BV Teck expressly prohibits any form of workplace harassment or discrimination. Any improper interference with employees' ability to perform their job duties may result in disciplinary action up to and including termination of employment.
 Powered by JazzHR
 RutQVJeDS8</t>
        </is>
      </c>
    </row>
    <row r="103">
      <c r="A103" t="inlineStr">
        <is>
          <t>li-4374112209</t>
        </is>
      </c>
      <c r="B103" t="inlineStr">
        <is>
          <t>Lead Data Engineer</t>
        </is>
      </c>
      <c r="C103" t="inlineStr">
        <is>
          <t>Resource 1 LLC</t>
        </is>
      </c>
      <c r="D103" t="inlineStr">
        <is>
          <t>linkedin</t>
        </is>
      </c>
      <c r="E103">
        <f>HYPERLINK("https://www.linkedin.com/jobs/view/4374112209", "https://www.linkedin.com/jobs/view/4374112209")</f>
        <v/>
      </c>
      <c r="F103" t="inlineStr"/>
      <c r="G103" t="inlineStr">
        <is>
          <t>Warrendale, PA</t>
        </is>
      </c>
      <c r="H103" t="inlineStr"/>
      <c r="I103" t="inlineStr">
        <is>
          <t>**Role: Lead Data Engineer (Databricks \&amp; Azure)** 
**Location:** 
 Warrendale, PA (Hybrid)
**Team:** 
 Enterprise Data \&amp; Analytics Capability
 We are looking for a heavy\-hitting
 **Lead Data Engineer.** 
 This isn’t just about moving data; it’s about architecting the future of our Data Lakehouse. You will lead the design and optimization of large\-scale data solutions that power actionable insights across the enterprise.
**What You’ll Do** 
* **Architect the Foundation:** 
 Design and maintain high\-performance, scalable data pipelines on
 **Databricks** 
 using Spark and Delta Lake.
* **Write Elite Code:** 
 Craft clean, maintainable
 **PySpark** 
 and
 **SQL** 
 for complex data transformations.
* **Model the Future:** 
 Build robust relational and
 **Kimball** 
 data models that make reporting seamless.
* **Lead the Standard:** 
 Drive engineering best practices, mentor junior talent, and provide architectural guidance across the team.
* **Optimize Everything:** 
 Monitor Spark jobs and cluster usage to ensure we are running at peak efficiency.
**Who You Are** 
* **A Seasoned Pro:** 
 You have
 **10\+ years** 
 of programming experience, with a deep focus on the data engineering domain.
* **Cloud Fluent:** 
 You’re an expert in
 **Azure** 
 and have a proven track record with big data platforms.
* **Databricks Specialist:** 
 You know your way around a Data Lakehouse. (Bonus points if you’re Databricks certified!)
* **DevOps Minded:** 
 You live by CI/CD pipelines and version control.
* **A Communicator:** 
 You can translate "tech\-speak" into business value for stakeholders.
* **Platform:** 
 Databricks, Azure
* **Languages:** 
 Python (PySpark), SQL
* **Frameworks:** 
 Delta Lake, Spark Streaming, Kimball Modeling
* **Tools:** 
 CI/CD, BI Platforms (Power BI/Tableau)</t>
        </is>
      </c>
    </row>
    <row r="104">
      <c r="A104" t="inlineStr">
        <is>
          <t>li-4373987232</t>
        </is>
      </c>
      <c r="B104" t="inlineStr">
        <is>
          <t>Senior Graph Data Engineer</t>
        </is>
      </c>
      <c r="C104" t="inlineStr">
        <is>
          <t>Jobgether</t>
        </is>
      </c>
      <c r="D104" t="inlineStr">
        <is>
          <t>linkedin</t>
        </is>
      </c>
      <c r="E104">
        <f>HYPERLINK("https://www.linkedin.com/jobs/view/4373987232", "https://www.linkedin.com/jobs/view/4373987232")</f>
        <v/>
      </c>
      <c r="F104" t="inlineStr"/>
      <c r="G104" t="inlineStr"/>
      <c r="H104" t="inlineStr"/>
      <c r="I104" t="inlineStr">
        <is>
          <t>**This position is posted by Jobgether on behalf of a partner company. We are currently looking for a Senior Graph Data Engineer in United States.**
 In this hands\-on engineering role, you will design, build, and maintain advanced data and software platforms that power high\-impact analytical solutions. You will work at the intersection of full\-stack development, graph technologies, and distributed data systems, delivering robust and scalable components for complex, data\-intensive environments. Collaborating closely with multidisciplinary teams, you will help shape modern architectures and contribute to platform evolution. This role offers exposure to cutting\-edge technologies, including graph databases, cloud\-native services, and AI\-driven workflows. You will play a key role in building reliable, secure, and compliant solutions within regulated industries. Operating in a dynamic and innovative environment, you will have the opportunity to make a meaningful impact on mission\-critical systems.
**Accountabilities**
* Design, develop, test, and maintain full\-stack and data platform components using Python, Java, C/C\+\+, and/or C\# in analytical and data\-intensive environments
* Build and optimize graph\-based and relational data models using technologies such as Neo4j, PostgreSQL, Snowflake, Hive, and MongoDB
* Develop and deploy containerized applications using Docker, with exposure to Kubernetes\-based orchestration and cloud\-native environments
* Integrate enterprise systems through secure APIs, implementing authentication, authorization, and reliability patterns
* Implement comprehensive automated testing strategies, including unit, integration, performance, and security testing across the software lifecycle
* Work with distributed data platforms such as Spark or Databricks to process and analyze large\-scale datasets
* Contribute to CI/CD pipelines, platform automation, and infrastructure\-as\-code initiatives
* Collaborate cross\-functionally to deliver validated, compliant, and high\-quality software solutions
**Requirements**
* At least 5 years of hands\-on experience developing full\-stack or data engineering solutions in complex, data\-driven environments
* Strong proficiency in Python and at least one additional language such as Java, C/C\+\+, or C\#
* Experience working with graph, relational, and NoSQL databases, including Neo4j, PostgreSQL, Snowflake, Hive, or MongoDB
* Practical experience with Docker, containerized deployments, and exposure to Kubernetes
* Solid background in API integration, authentication mechanisms, and secure system design
* Demonstrated experience implementing automated testing frameworks and quality assurance practices
* Experience working with distributed data processing platforms such as Spark or Databricks
* Familiarity with machine learning frameworks, agentic AI systems, or regulated industry environments is a strong plus
* Strong problem\-solving, communication, and collaboration skills, with a proactive and quality\-focused mindset
**Benefits**
* Competitive compensation package, available as permanent or contractor engagement
* Fully remote work model with flexible scheduling
* Exposure to innovative, high\-impact projects in data, analytics, and digital transformation
* Opportunities for professional growth, continuous learning, and career advancement
* Collaborative and inclusive work culture with global teams
* Access to cutting\-edge tools, platforms, and technologies
* Supportive environment that values autonomy, ownership, and innovation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5">
      <c r="A105" t="inlineStr">
        <is>
          <t>li-4372858895</t>
        </is>
      </c>
      <c r="B105" t="inlineStr">
        <is>
          <t>Staff Data Engineer</t>
        </is>
      </c>
      <c r="C105" t="inlineStr">
        <is>
          <t>Saige Partners</t>
        </is>
      </c>
      <c r="D105" t="inlineStr">
        <is>
          <t>linkedin</t>
        </is>
      </c>
      <c r="E105">
        <f>HYPERLINK("https://www.linkedin.com/jobs/view/4372858895", "https://www.linkedin.com/jobs/view/4372858895")</f>
        <v/>
      </c>
      <c r="F105" t="inlineStr"/>
      <c r="G105" t="inlineStr">
        <is>
          <t>Eden Prairie, MN</t>
        </is>
      </c>
      <c r="H105" t="inlineStr"/>
      <c r="I105" t="inlineStr">
        <is>
          <t>Position Summary
**Staff Data Engineer** 
 within the Sales and Marketing domain as part of the Data and Analytics team. This is an exciting opportunity to help modernize and scale enterprise analytics while working with a collaborative, business\-focused organization.
 The ideal candidate brings strong technical expertise, excellent communication skills, and the ability to manage multiple initiatives that require creative problem\-solving. You will work closely with Sales and Marketing partners, data scientists, and analytics teams to design and engineer data pipelines, data models, dashboards, and analytics solutions that enable business insight and decision\-making.
 Key Responsibilities
* Collaborate with Sales and Marketing stakeholders, data scientists, BI analysts, and technical teams to understand data needs and deliver scalable analytics solutions
* Develop overall database and data warehouse structures based on functional and technical requirements
* Engineer physical and logical data models for dimensions and facts across staging, warehouse, and semantic layers
* Design, build, and maintain data pipelines using SQL, Python, Google Cloud Platform, Incorta, and Informatica ETL
* Performance tune SQL, Python, Incorta, Informatica ETL pipelines, and Google BigQuery Dataprocs for medium to large data sets
* Engineer scheduling and orchestration for batch and mini\-batch data loads into enterprise data platforms
* Utilize SQL within Google BigQuery, Informatica ETLs, Incorta pipelines, and Oracle SQL views to calculate metrics and derive dimensions
* Provide issue resolution, enhancements, and ongoing maintenance for enterprise data warehouse and analytics solutions
* Engineer dashboards, reports, and visualizations using Oracle Business Intelligence, Power BI, and Tableau with strong user experience and performance
* Ensure data accuracy, performance, and scalability across reporting and analytics solutions
 Core Competencies
**Data Structures and Models** 
* Design and develop database and data warehouse structures to support analytics
* Build data collection frameworks for structured and some unstructured data
**Data Pipelines and ELT** 
* Extract, load, and transform data from multiple sources into dimensional models
**Data Performance** 
* Troubleshoot and resolve performance issues related to querying and data integration
* Proactively test performance scenarios during development
**Visualizations and Dashboards** 
* Design reports and dashboards aligned to business needs
* Use visualization best practices to accelerate insight discovery
 Required Qualifications
* Bachelor’s degree in Computer Science, MIS, or related field
* 4\+ years of experience reading and writing SQL
* 3\+ years of experience engineering within a data warehouse or related dimensional modeling environment
* 3\+ years of experience designing and developing ETLs or pipelines using Python, Google BigQuery Dataprocs, and/or Informatica ETL
* 3\+ years of experience enabling data for Point of Sale or syndicated consumption platforms (Circana preferred)
* Proven ability to gather detailed technical requirements and deliver end\-to\-end data and analytics solutions
* Excellent written and verbal communication skills
* Strong organizational, time management, and problem\-solving skills
* Demonstrated initiative and strong interpersonal skills
* Must be authorized to work in the United States for any employer without current or future sponsorship
 Preferred Qualifications
* Advanced SQL skills, including complex queries and analytical functions
* Experience with Google Cloud Platform, especially BigQuery, Dataflow, Datafusion, Pub/Sub, Cloud SQL, and Cloud Storage
* Experience with Oracle databases and Oracle SQL performance tuning
* Experience tuning complex SQL and ETL processes
* Experience working with Sales, Marketing, and Consumption data
* Experience with syndicated consumption providers or retailer\-focused POS platforms
* Experience working within OBIEE metadata models, including physical, logical, and presentation layers</t>
        </is>
      </c>
    </row>
    <row r="106">
      <c r="A106" t="inlineStr">
        <is>
          <t>li-4371983713</t>
        </is>
      </c>
      <c r="B106" t="inlineStr">
        <is>
          <t>Digital Analytics Engineer</t>
        </is>
      </c>
      <c r="C106" t="inlineStr">
        <is>
          <t>HCLTech</t>
        </is>
      </c>
      <c r="D106" t="inlineStr">
        <is>
          <t>linkedin</t>
        </is>
      </c>
      <c r="E106">
        <f>HYPERLINK("https://www.linkedin.com/jobs/view/4371983713", "https://www.linkedin.com/jobs/view/4371983713")</f>
        <v/>
      </c>
      <c r="F106" t="inlineStr"/>
      <c r="G106" t="inlineStr"/>
      <c r="H106" t="inlineStr"/>
      <c r="I106" t="inlineStr">
        <is>
          <t>🚀
 **We’re Hiring: Digital Analytics Engineer** 
 📍 Web \&amp; Mobile \| Digital Analytics \| Customer Data Platforms
 We’re looking for a
 **Digital Analytics Engineer** 
 to help build and scale best‑in‑class digital analytics across
 **web and mobile experiences** 
 . This role will focus on
 **Quantum Metric** 
 and
 **mParticle** 
 , enabling accurate event tracking, deep customer journey insights, and data‑driven decision‑making across product, engineering, and business teams.
 If you enjoy working at the intersection of
 **data, technology, and digital experience** 
 , this role is for you.
 🔍 What You’ll Do
**Digital Experience Analytics (Quantum Metric)** 
* Implement and maintain Quantum Metric instrumentation across web and mobile platforms
* Configure custom events, user attributes, funnels, dashboards, and alerts
* Validate event accuracy, session replay coverage, and funnel metrics across environments
* Partner with front‑end and back‑end engineers to ensure clean, performant tracking
* Support UAT, release validation, and post‑production monitoring
* Collaborate with Quantum Metric vendor teams on troubleshooting and best practices
**Customer Data Platform (mParticle)** 
* Implement and manage mParticle event schemas and user attributes
* Support identity resolution, workspace strategy, and environment separation (Prod / QA / UAT)
* Ensure reliable data flow to downstream analytics, experimentation, and marketing tools
* Monitor data quality and resolve ingestion or delivery issues
 🤝 Cross‑Functional Collaboration
* Work closely with product managers, engineers, analysts, and marketing partners
* Translate business requirements into clear tracking and measurement plans
* Support onshore and offshore teams with implementation reviews and guidance
 🔐 Data Governance \&amp; Documentation
* Ensure analytics implementations comply with privacy, consent, and data governance requirements
* Support PII handling, event whitelisting, and compliance reviews
* Create and maintain instrumentation guides, data dictionaries, and dashboards
 ✅ What We’re Looking For
**Required** 
* Hands‑on experience with
 **Quantum Metric** 
 (or similar session replay tools)
* Hands‑on experience with
 **mParticle** 
 or other Customer Data Platforms
* Experience with event‑based tracking for web and mobile applications
* Strong understanding of customer journeys, funnels, and conversion analysis
* Experience working with engineering teams in Agile/Scrum environments
**Preferred** 
* Experience in financial services, fintech, or regulated environments
* Familiarity with Adobe Analytics, Amplitude, or Google Analytics
* Understanding of privacy regulations and consent management frameworks
* **Working knowledge of JavaScript for tracking implementations**
* **SQL experience for data validation and analysis**
* **Experience with Snowflake or other cloud data warehouses**
* Exposure to global, multi‑region digital platforms
 🌟 Why Join Us?
* Work on high‑impact digital experiences at scale
* Collaborate with strong product, engineering, and analytics teams
* Influence how data is collected, trusted, and used across the organization
* Grow your expertise in modern digital analytics and CDP ecosystems
 📩
 **Interested?** 
 Apply now or reach out to learn more.
 \#Hiring \#DigitalAnalytics \#AnalyticsEngineer \#QuantumMetric \#mParticle \#CustomerDataPlatform \#ProductAnalytics \#WebAnalytics \#MobileAnalytics
 Pay and Benefits
 Pay Range Minimum: $ 83000 per year
 Pay Range Maximum: $ 105000 per year
 HCLTech is an equal opportunity employer, committed to providing equal employment opportunities to all applicants and employees regardless of race, religion, sex, color, age, national origin, pregnancy, sexual orientation, physical disability or genetic information, military or veteran status, or any other protected classification, in accordance with federal, state, and/or local law. Should any applicant have concerns about discrimination in the hiring process, they should provide a detailed report of those concerns to secure@hcltech.com for investigation.
 A candidate’s pay within the range will depend on their skills, experience, education, and other factors permitted by law. This role may also be eligible for performance\-based bonuses subject to company policies. In addition, this role is eligible for the following benefits subject to company policies: medical, dental, vision, pharmacy, life, accidental death \&amp; dismemberment, and disability insurance; employee assistance program; 401(k) retirement plan; 10 days of paid time off per year (some positions are eligible for need\-based leave with no designated number of leave days per year); and 10 paid holidays per year
 How You’ll Grow
 At HCLTech, we offer continuous opportunities for you to find your spark and grow with us. We want you to be happy and satisfied with your role and to really learn what type of work sparks your brilliance the best. Throughout your time with us, we offer transparent communication with senior\-level employees, learning and career development programs at every level, and opportunities to experiment in different roles or even pivot industries. We believe that you should be in control of your career with unlimited opportunities to find the role that fits you best.</t>
        </is>
      </c>
    </row>
    <row r="107">
      <c r="A107" t="inlineStr">
        <is>
          <t>li-4373991688</t>
        </is>
      </c>
      <c r="B107" t="inlineStr">
        <is>
          <t>Data Engineer</t>
        </is>
      </c>
      <c r="C107" t="inlineStr">
        <is>
          <t>Liberty Mutual Insurance</t>
        </is>
      </c>
      <c r="D107" t="inlineStr">
        <is>
          <t>linkedin</t>
        </is>
      </c>
      <c r="E107">
        <f>HYPERLINK("https://www.linkedin.com/jobs/view/4373991688", "https://www.linkedin.com/jobs/view/4373991688")</f>
        <v/>
      </c>
      <c r="F107">
        <f>HYPERLINK("https://searchjobs.libertymutualgroup.com/careers/job/618515408530?utm_source=linkedin&amp;domain=libertymutual.com&amp;utm_source=Job+Board&amp;utm_campaign=LinkedIn+Jobs&amp;extcmp=bof-paid-text-lkin-aljb&amp;urlHash=-PQu", "https://searchjobs.libertymutualgroup.com/careers/job/618515408530?utm_source=linkedin&amp;domain=libertymutual.com&amp;utm_source=Job+Board&amp;utm_campaign=LinkedIn+Jobs&amp;extcmp=bof-paid-text-lkin-aljb&amp;urlHash=-PQu")</f>
        <v/>
      </c>
      <c r="G107" t="inlineStr">
        <is>
          <t>Columbus, OH</t>
        </is>
      </c>
      <c r="H107" t="inlineStr"/>
      <c r="I107" t="inlineStr">
        <is>
          <t>**Description**
***You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**Data Engineer**
 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US Retail Markets (USRM)
 **Data and Analytics Engineering** 
 team is actively searching for a highly productive
 **Data Engineer** 
 for a distributed, dynamic agile team to serve as a technical expert designing, developing, analyzing \&amp; testing innovative data warehouse solutions. This candidate will join an energetic and engaged Business Data Solutions Engineering team focused on leveraging our customer data to deliver exceptional value to our business partners. You will work collaboratively in an agile squad to design and build data pipelines \&amp; workflows, ingest, curate \&amp; provision data workflows in a Cloud\-based environment as well as own responsibility of thorough end\-to\-end testing.
 This is a fast\-paced environment providing rapid delivery for our business partners. You will be working in a highly collaborative environment that values speed and quality, with a strong desire to drive change and foster a positive work environment. You will have the opportunity to help with this change as we grow this culture, mindset, and capability.
**We Encourage You To Apply If This Interests You**
* Work as ONE team committed to excellence
* Model and promote a Data First attitude
* Help advance Data Engineering operations into the future
* Work with a modern data tech stack
**About The Job**
* Collaborate in a fast\-moving Agile environment with Scrum Masters, Product Owners, and cross\-functional teammates to design and deliver data\-driven solutions that advance both business and technical goals.
* Build, maintain, and optimize ingestion pipelines and data integrations to manage the full information lifecycle — from acquisition and curation to provisioning for analytics and reporting.
* Design and implement ETL pipelines, API\-based microservices, physical data models, and transformation logic to make data reliable, accessible, and performant.
* Work on data architectures and applications (warehouses, data vault structures) that enable reporting, analytics, machine learning, and improved data governance and quality.
* Participate in peer code reviews and sprint ceremonies, CI/CD best practices, and automated testing to ensure robust, production\-ready releases.
* Accelerate speed to market while building long\-term, scalable solutions using modern technologies such as AWS, Snowflake, Kafka, Data Vault methodology, and other cloud\-native tools.
* Create tools and programs to automate ingestion, curation, and provisioning of complex enterprise data to support analytics, reporting, and data science use cases.
* Collaborate with senior team members and your manager to improve your skills, code quality, and engineering practices.
* Troubleshoot and resolve technical issues, proactively improvements that increase reliability, reduce latency, and improve data quality.
* Maintain a continuous learning mindset — evaluate modern technologies, share findings with the team, and adopt approaches that improve delivery and business outcomes.
**Qualifications**
* Bachelor or Master\`s degree in technical or business discipline or equivalent experience, technical degree preferred. 2\+ years of Data Engineering experience.
* Experience developing back end, data warehouse technology solutions, data modeling, and data vault methodology.
* Knowledge of a variety of data platforms including Snowflake, Teradata, SQL, DB2 (Cloud based DB a plus).
* Experience with AWS (such as S3, Snowflake, Athena), Unix, Informatica (IDMC) and strong SQL skillset.
* Extensive knowledge of IT concepts, strategies, methodologies.
* Experience working with agile methodologies (Scrum, Kanban, XP) and cross\-functional teams (Product Owners, Scrum Masters, Developers, Test Engineers).
* Well versed in diverse technologies and new technical architecture principles and concepts.
* Demonstrates leadership and active pursuit of optimizing CI/CD process and tools, testing frameworks and practices.
* Strong negotiation, facilitation, and consensus building skills.
* Strong oral and written communication skills; presentation skills; Extensive knowledge of the following: IT concepts, strategies, methodologies.
* Extensive consultative skills, including the ability to understand and apply customer requirements, including drawing out unforeseen implications and making recommendations for design, the ability to define design reasoning, understanding potential impacts of design requirements.
* Understanding of backlog tracking, burndown metrics, and incremental delivery
* Strong collaboration, prioritization, and adaptability skills required.
**Additional Qualifications**
* Java, Kafka, NoSQL, Python development experience.
* Understanding of Cloud / Hybrid data architecture concepts.
* Understanding of insurance industry and products.
* Excited by trying new technology and learning new tools.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08">
      <c r="A108" t="inlineStr">
        <is>
          <t>li-4365906065</t>
        </is>
      </c>
      <c r="B108" t="inlineStr">
        <is>
          <t>Lead Analytics Engineer</t>
        </is>
      </c>
      <c r="C108" t="inlineStr">
        <is>
          <t>Eventus WholeHealth</t>
        </is>
      </c>
      <c r="D108" t="inlineStr">
        <is>
          <t>linkedin</t>
        </is>
      </c>
      <c r="E108">
        <f>HYPERLINK("https://www.linkedin.com/jobs/view/4365906065", "https://www.linkedin.com/jobs/view/4365906065")</f>
        <v/>
      </c>
      <c r="F108" t="inlineStr"/>
      <c r="G108" t="inlineStr"/>
      <c r="H108" t="inlineStr"/>
      <c r="I108" t="inlineStr">
        <is>
          <t>**Position Summary**
 The Lead Analytics Engineer develops data and analytic tools, strategies, and insights to improve healthcare outcomes, reduce costs, and enhance overall value.
***Quali***
***fications:***
**Education, Licensure and Certifications, Related Work Experience**
* Bachelor's degree in analytics, statistics, healthcare administration, computer science, finance, or a related field
* Previous experience in value\-based care programs supporting large physician groups and demonstrated proficiency with data analysis tools and software
***Other specialized skills and knowledge necessary to perform this job. (e.g., basic accounting principles, computer skills and software, specific healthcare processes, interpersonal, communication, etc.***
 Strong understanding of value\-based care models, claims and EHR data, HCC RAF, MA Stars, quality and surveys and predictive
 modeling
 Use of common software and computer/technology
 Strategic thinker who takes initiative through excellent communication, collaboration, and
 leadership
**Essential Job Duties/Responsibilities**
 Leverage data infrastructure, utilize data mining, statistical, and machine learning techniques to understand patient populations, care pathways, and the impact of VBC initiatives
 Collaborate with physicians, facilities, and health plans to align VBC goals and strategies
 Ensure data integrity to support operational and clinical initiatives.
 Analyzes data to identify discrepancies and patterns.
 Prepare accurate reports on trends and cost evaluation.
 Provides recommendations on ways to improve quality and minimize costs.
 Effectively communicate complex findings and recommendations to a diverse audience, including technical and non\-technical audiences in a clear and concise manner
 Other related duties as assigned.
**Compliance Requirements**
**Adherence to Laws, Rules, Regulations, Standards, Guidelines, Policies and Procedures:**
* Ensure compliance with all federal, state, and local laws, regulations, standards, guidelines, and Eventus WholeHealth policies and procedures pertaining to the job.
* Remain informed of any changes to federal, state, and local laws, regulations, standards,guidelines, and Eventus WholeHealth policies and procedures that impact the job and the company.
* Promptly report any non\-compliant conduct and/or practices to Eventus WholeHealth’s Chief
 Compliance and Risk Officer.
**Ethical Conduct**
* Ensure adherence to Eventus WholeHealth's Code of Ethics and Business Conduct.
* Perform the job duties with integrity and professionalism.
* Promptly report any unethical conduct and/or practices to Eventus WholeHealth’s Chief Compliance and Risk Officer.
**Patient Privacy And Confidentiality**
* Strictly protect patient information in accordance with all federal and state privacy laws and Eventus WholeHealth policies and procedures.
* Promptly report any violations of federal and state privacy laws and Eventus WholeHealth
* policies and procedures to Eventus WholeHealth’s Chief Compliance and Risk Officer.
**Documentation And Record Keeping**
* Maintain accurate and complete documentation when performing the job duties.
* Ensure that all Eventus WholeHealth information, data, documentation, and records are always safeguarded and maintained confidentially.
**Training And Education**
* Participate in all assigned training.
* Complete all assigned training by the deadline for completion.
**Risk Management And Incident Reporting**
* Engage in regular risk assessments to identify potential risks and work proactively with a supervisor
 and Eventus WholeHealth’s Chief Compliance and Risk Officer to mitigate any identified risks.
* Promptly report any incidents (as defined in the “Incident Report Policy”) to the Chief Compliance
 and Risk Officer.
**About Eventus WholeHealth**
 Eventus WholeHealth was founded in 2012 to provide physician\-led healthcare services for residents and patients of skilled nursing and assisted living facilities. With our highly\-trained team of physicians, psychiatrists, nurse practitioners, physician assistants, psychotherapists, podiatrists, and support staff, our comprehensive, evidence\-based model provides collaborative interdisciplinary care with the seamless and vital integration of a wide range of specialties. Our differentiated approach not only empowers the facilities to reach their own goals and objectives but also ensures better patient outcomes. For more information, please visit www.eventuswholehealth.com</t>
        </is>
      </c>
    </row>
    <row r="109">
      <c r="A109" t="inlineStr">
        <is>
          <t>li-4314655869</t>
        </is>
      </c>
      <c r="B109" t="inlineStr">
        <is>
          <t>Cleared Data Engineer</t>
        </is>
      </c>
      <c r="C109" t="inlineStr">
        <is>
          <t>Accenture Federal Services</t>
        </is>
      </c>
      <c r="D109" t="inlineStr">
        <is>
          <t>linkedin</t>
        </is>
      </c>
      <c r="E109">
        <f>HYPERLINK("https://www.linkedin.com/jobs/view/4314655869", "https://www.linkedin.com/jobs/view/4314655869")</f>
        <v/>
      </c>
      <c r="F109" t="inlineStr"/>
      <c r="G109" t="inlineStr">
        <is>
          <t>Washington, DC</t>
        </is>
      </c>
      <c r="H109" t="inlineStr"/>
      <c r="I109" t="inlineStr">
        <is>
          <t>At Accenture Federal Services, nothing matters more than helping the US federal government make the nation stronger and safer and life better for people. Our 13,000\+ people are united in a shared purpose to pursue the limitless potential of technology and ingenuity for clients across defense, national security, public safety, civilian, and military health organizations.
 Join Accenture Federal Services, a technology company within global Accenture. Recognized as a Glassdoor Top 100 Best Place to Work, we offer a collaborative and caring community where you feel like you belong and are empowered to grow, learn and thrive through hands\-on experience, certifications, industry training and more.
 Join us to drive positive, lasting change that moves missions and the government forward!
**The work:**
* Pipeline Architect: Design, build, and maintain scalable end\-to\-end data pipelines using Databricks, Spark, and related technologies.
* Transformation Titan: Develop efficient data processing and transformation workflows to support analytics and reporting needs.
* Integration Hero: Integrate diverse data sources including APIs, databases, and cloud storage into unified datasets.
* Collaboration Champion: Work closely with cross\-functional teams (data science, analytics, business units) to design and implement data solutions that align with business goals.
* Quality Guardian: Implement robust validation, monitoring, and observability processes to ensure data accuracy, completeness, and reliability.
* Automation Avenger: Contribute to data governance, security, and automation initiatives within the data ecosystem.
* Cloud Commander: Leverage AWS services (e.g., S3, Glue, Lambda, Redshift) to build and deploy data solutions in a cloud\-native environment.
**Here’s what you need:**
* Experience with cloud\-based ETL services (e.g. AWS Glue, Google Cloud Dataflow, Azure Data Factory)
* Experience with Cloud data warehousing technologies (e.g. Amazon Redshift, Google BigQuery, Snowflake)
* Experience with Python, SQL, Spark, and PySpark
* Experience with data platforms like Databricks, Palantir, and Snowflake
* Familiarity with data orchestration and data quality processes
**Bonus points if you have:**
* Experience working with federal clients
* Experience with Docker/Kubernetes Hadoop/Spark, NiFi, ELK stack
* Experience with Agile / Scrum
* Experience with COTS and open\-source data engineering tools such as ElasticSearch and NiFi
* Data engineering certification such as Palantir Foundry Data Engineer, Azure Data Engineer Associate, Google Professional Data Engineer, IBM Certified Data Engineer, or similar
**Security Clearance:**
* Active Top Secret or TS/SCI or TS/SCI with polygraph clearance
 As required by local law, Accenture Federal Services provides reasonable ranges of compensation for hired roles based on labor costs in the states of
 **California, Colorado, Hawaii, Illinois, Maryland, Massachusetts, Minnesota, New Jersey, New York, Washington, Vermont, the District of Columbia, and the city of Cleveland** 
 . The base pay range for this position in these locations is shown below. Compensation for roles at Accenture Federal Services varies depending on a wide array of factors, including but not limited to office location, role, skill set, and level of experience. Accenture Federal Services offers a wide variety of benefits. You can find more information on benefits here. We accept applications on an on\-going basis and there is no fixed deadline to apply.
 The pay range for the states of California, Colorado, Hawaii, Illinois, Maryland, Massachusetts, Minnesota, New Jersey, New York, Washington, Vermont, the District of Columbia, and the city of Cleveland is:
 $93,400—$176,200 USD
***What We Believe***
*As a company wholly dedicated to serving the US federal government, we bring together the best talent to help reinvent how federal agencies operate and deliver greater value for their mission and the American people. We have an unwavering commitment to creating a culture in which all our people are respected, feel a sense of belonging, and have equal opportunity. As a business imperative, every person at Accenture Federal Services has the responsibility to create and sustain a culture where everyone feels welcomed and included. This is grounded in our core values and our experience that hiring and developing great people who reflect different perspectives, experiences, and backgrounds is key to driving innovation and delivering the results that our clients and the country count on.*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Federal Services Equal Opportunity Policy Statement.*
*Accenture Federal Services is an Equal Employment Opportunity employer. Additionally, as an Affirmative Action Employer for Veterans and Individuals with Disabilities, Accenture Federal Services is committed to providing veteran employment opportunities to our service men and women.*
***Requesting An Accommodation***
*Accenture Federal Services is committed to providing equal employment opportunities for persons with disabilities or religious observances, including reasonable accommodation when needed. If you are hired by Accenture Federal Services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are being considered for employment opportunities with Accenture Federal Services and need an accommodation for a disability or religious observance during the interview process or for the job you are interviewing for, please speak with your recruiter.*
**Other Employment Statements**
*Applicants for employment in the US must have work authorization that does not now or in the future require sponsorship of a visa for employment authorization in the United States.*
*Candidates who are currently employed by a client of Accenture Federal Services or an affiliated Accenture business may not be eligible for consideration.*
*Job candidates will not be obligated to disclose sealed or expunged records of conviction or arrest as part of the hiring process.*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t>
        </is>
      </c>
    </row>
    <row r="110">
      <c r="A110" t="inlineStr">
        <is>
          <t>li-4373995391</t>
        </is>
      </c>
      <c r="B110" t="inlineStr">
        <is>
          <t>Data Engineer</t>
        </is>
      </c>
      <c r="C110" t="inlineStr">
        <is>
          <t>Liberty Mutual Insurance</t>
        </is>
      </c>
      <c r="D110" t="inlineStr">
        <is>
          <t>linkedin</t>
        </is>
      </c>
      <c r="E110">
        <f>HYPERLINK("https://www.linkedin.com/jobs/view/4373995391", "https://www.linkedin.com/jobs/view/4373995391")</f>
        <v/>
      </c>
      <c r="F110" t="inlineStr"/>
      <c r="G110" t="inlineStr">
        <is>
          <t>Portsmouth, NH</t>
        </is>
      </c>
      <c r="H110" t="inlineStr"/>
      <c r="I110" t="inlineStr">
        <is>
          <t>**Description**
***You must be authorized to work in the United States without employer sponsorship now or in the future. We will not sponsor employment visas. Candidates who will require future sponsorship, including candidates on CPT/OPT/STEMOPT who will require future sponsorship, are not eligible to apply.***
**Data Engineer**
 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US Retail Markets (USRM)
 **Data and Analytics Engineering** 
 team is actively searching for a highly productive
 **Data Engineer** 
 for a distributed, dynamic agile team to serve as a technical expert designing, developing, analyzing \&amp; testing innovative data warehouse solutions. This candidate will join an energetic and engaged Business Data Solutions Engineering team focused on leveraging our customer data to deliver exceptional value to our business partners. You will work collaboratively in an agile squad to design and build data pipelines \&amp; workflows, ingest, curate \&amp; provision data workflows in a Cloud\-based environment as well as own responsibility of thorough end\-to\-end testing.
 This is a fast\-paced environment providing rapid delivery for our business partners. You will be working in a highly collaborative environment that values speed and quality, with a strong desire to drive change and foster a positive work environment. You will have the opportunity to help with this change as we grow this culture, mindset, and capability.
**We Encourage You To Apply If This Interests You**
* Work as ONE team committed to excellence
* Model and promote a Data First attitude
* Help advance Data Engineering operations into the future
* Work with a modern data tech stack
**About The Job**
* Collaborate in a fast\-moving Agile environment with Scrum Masters, Product Owners, and cross\-functional teammates to design and deliver data\-driven solutions that advance both business and technical goals.
* Build, maintain, and optimize ingestion pipelines and data integrations to manage the full information lifecycle — from acquisition and curation to provisioning for analytics and reporting.
* Design and implement ETL pipelines, API\-based microservices, physical data models, and transformation logic to make data reliable, accessible, and performant.
* Work on data architectures and applications (warehouses, data vault structures) that enable reporting, analytics, machine learning, and improved data governance and quality.
* Participate in peer code reviews and sprint ceremonies, CI/CD best practices, and automated testing to ensure robust, production\-ready releases.
* Accelerate speed to market while building long\-term, scalable solutions using modern technologies such as AWS, Snowflake, Kafka, Data Vault methodology, and other cloud\-native tools.
* Create tools and programs to automate ingestion, curation, and provisioning of complex enterprise data to support analytics, reporting, and data science use cases.
* Collaborate with senior team members and your manager to improve your skills, code quality, and engineering practices.
* Troubleshoot and resolve technical issues, proactively improvements that increase reliability, reduce latency, and improve data quality.
* Maintain a continuous learning mindset — evaluate modern technologies, share findings with the team, and adopt approaches that improve delivery and business outcomes.
**Qualifications**
* Bachelor or Master\`s degree in technical or business discipline or equivalent experience, technical degree preferred. 2\+ years of Data Engineering experience.
* Experience developing back end, data warehouse technology solutions, data modeling, and data vault methodology.
* Knowledge of a variety of data platforms including Snowflake, Teradata, SQL, DB2 (Cloud based DB a plus).
* Experience with AWS (such as S3, Snowflake, Athena), Unix, Informatica (IDMC) and strong SQL skillset.
* Extensive knowledge of IT concepts, strategies, methodologies.
* Experience working with agile methodologies (Scrum, Kanban, XP) and cross\-functional teams (Product Owners, Scrum Masters, Developers, Test Engineers).
* Well versed in diverse technologies and new technical architecture principles and concepts.
* Demonstrates leadership and active pursuit of optimizing CI/CD process and tools, testing frameworks and practices.
* Strong negotiation, facilitation, and consensus building skills.
* Strong oral and written communication skills; presentation skills; Extensive knowledge of the following: IT concepts, strategies, methodologies.
* Extensive consultative skills, including the ability to understand and apply customer requirements, including drawing out unforeseen implications and making recommendations for design, the ability to define design reasoning, understanding potential impacts of design requirements.
* Understanding of backlog tracking, burndown metrics, and incremental delivery
* Strong collaboration, prioritization, and adaptability skills required.
**Additional Qualifications**
* Java, Kafka, NoSQL, Python development experience.
* Understanding of Cloud / Hybrid data architecture concepts.
* Understanding of insurance industry and products.
* Excited by trying new technology and learning new tools.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111">
      <c r="A111" t="inlineStr">
        <is>
          <t>li-4371972584</t>
        </is>
      </c>
      <c r="B111" t="inlineStr">
        <is>
          <t>Analytics Engineer 5 - Corporate Finance</t>
        </is>
      </c>
      <c r="C111" t="inlineStr">
        <is>
          <t>Ladders</t>
        </is>
      </c>
      <c r="D111" t="inlineStr">
        <is>
          <t>linkedin</t>
        </is>
      </c>
      <c r="E111">
        <f>HYPERLINK("https://www.linkedin.com/jobs/view/4371972584", "https://www.linkedin.com/jobs/view/4371972584")</f>
        <v/>
      </c>
      <c r="F111">
        <f>HYPERLINK("https://www.theladders.com/linkedin/85214151?src=LinkedIn&amp;urlHash=cNcn", "https://www.theladders.com/linkedin/85214151?src=LinkedIn&amp;urlHash=cNcn")</f>
        <v/>
      </c>
      <c r="G111" t="inlineStr"/>
      <c r="H111" t="inlineStr"/>
      <c r="I111" t="inlineStr">
        <is>
          <t>For our client, we are seeking a Analytics Engineer 5 \- Corporate Finance to join the team of a leader in the Hospitality \&amp; Recreation space. You’ll build and maintain systems that power mission\-critical Hospitality \&amp; Recreation workflows. You’ll collaborate with product and peers to design clean, scalable solutions. This role values craftsmanship, impact, and ownership.
 Location: Remote \- US based candidates only, no visa sponsorship available
 Compensation: $170,000 – $720,000 annually.
**Responsibilities**
* Champion a data\-as\-a\-product mindset with documentation and modeling standards
* Mentor team members on best practices in analytics engineering
* Partner with various stakeholders to define the vision for revenue data products
* Improve analytics workflows for revenue, ensuring reliability and transparency
* Conduct root\-cause analysis to identify and address data issues
* Implement orchestration best practices for revenue data pipelines
* Utilize AI tools to enhance workflow efficiency and developer productivity
**Qualifications**
* 8\+ years in analytics/data engineering, ideally in high\-stakes environments
* Ability to drive cross\-functional change with a 'data\-as\-a\-product' mindset
* Proven mentor and influencer in technical and product standards
* Strong ownership, curiosity, and analytical skills in data design
* Excellent communication for technical and non\-technical audiences
**Benefits**
* Comprehensive health plans and mental health support
* 401(k) retirement plan with employer matching
* Flexible time off policy for full\-time salaried employees
* Paid leave for vacation, holidays, and sick leave for hourly employees
* Family\-forming benefits and life injury benefits
 Our client is an equal opportunity employer. We encourage you to apply even if you don’t meet every qualification—your background could be exactly what this team needs.</t>
        </is>
      </c>
    </row>
    <row r="112">
      <c r="A112" t="inlineStr">
        <is>
          <t>li-4370995448</t>
        </is>
      </c>
      <c r="B112" t="inlineStr">
        <is>
          <t>Senior Snowflake Data Engineer | Large New York City Hospital | Full Time Position!</t>
        </is>
      </c>
      <c r="C112" t="inlineStr">
        <is>
          <t>Integris Group</t>
        </is>
      </c>
      <c r="D112" t="inlineStr">
        <is>
          <t>linkedin</t>
        </is>
      </c>
      <c r="E112">
        <f>HYPERLINK("https://www.linkedin.com/jobs/view/4370995448", "https://www.linkedin.com/jobs/view/4370995448")</f>
        <v/>
      </c>
      <c r="F112" t="inlineStr"/>
      <c r="G112" t="inlineStr"/>
      <c r="H112" t="inlineStr"/>
      <c r="I112" t="inlineStr">
        <is>
          <t>Integris Group is partnering with a large New York City hospital who has an immediate need to hire
 **(2\) Senior Snowflake Data Engineers** 
 for a full time, permanent position (Salary \+ Bonus).
 This is a
 **Hybrid position
 *(4 days Onsite, 1 Day Remote – no exceptions)***
 offering a competitive salary, annual bonus, 401(k), PTO, and top\-tier medical, dental, and vision benefits, along with additional excellent company perks.
**Job Title:** 
**2\-Senior Data Engineer's** 
 (last two spots left on the team).
**Location:** 
 New York, NY
**Position Type:** 
***Full\-Time, Hybrid (4 day's Onsite \| 1 day Remote)***
**About the Role:** 
 Our client is seeking 2 highly motivated and experienced Senior Data Engineer to join their data team and help design, build, and optimize their modern data platform. You will work with tools such as
 **Snowflake, Fivetran, and DBT** 
 to create scalable, high\-performance data pipelines and analytics solutions. This role will be instrumental in enabling advanced analytics, machine learning, and data\-driven decision\-making across the organization. The job itself is not just architecture (these senior engineers will do some as they are designing the data models, pipelines, version control, governance, etc.), but then they will also execute (engineer) \&amp; deliver that work.
**Key Responsibilities:** 
* Design, build, and maintain robust, scalable, and secure ETL/ELT pipelines.
* Develop and optimize data models to support analytics, BI, and machine learning use cases.
* Partner closely with data analysts, scientists, and business stakeholders to translate requirements into technical solutions.
* Monitor, tune, and optimize data processing workflows for efficiency, scalability, and cost\-effectiveness.
* Troubleshoot pipeline failures and performance issues quickly and effectively.
* Support production workflows through CI/CD pipelines and version control (Git).
* Ensure data quality, integrity, and governance across the data lifecycle.
* Prototype and research new tools, technologies, and architectures for improving the existing data infrastructure.
**The ideal candidate has:** 
* Bachelor’s or Master’s degree in Computer Science, Engineering, Information Systems, or equivalent experience.
* Hands\-on experience with cloud\-based data warehouse platforms (e.g.
 **Snowflake** 
 ).
* Experience designing and deploying data pipelines using orchestration tools like
 **DBT** 
*or* 
**Airflow.**
* 5\+ years’ experience supporting data\-driven or ML applications in production environments.
* Understanding of modern data architecture, ELT/ETL best practices, and cloud data platforms i.e. (Azure or AWS or GCP).
* Ability to analyze large datasets to identify data quality issues and other contextual insights.
* Experience in developing data models for integration and analysis that support business intelligence and data analytics initiatives.
* Experience with CI/CD and version control tools (e.g. Git).
* Proficiency with SQL and experience in at least one programming language (e.g., Python, Scala).
* A proven ability to operate in a fast\-paced work environment.
* Excellent communication and organizational skills with a demonstrated team orientation with strong ability to drive projects autonomously as needed.
**We’d like to see:** 
* Familiarity with Infrastructure as Code (IaC), and containerization (Docker, Kubernetes).
* Knowledge of data governance, security, and compliance frameworks.
* Experience in data modeling for large\-scale distributed data warehouses with a strong understanding of design trade\-offs and best practices.</t>
        </is>
      </c>
    </row>
    <row r="113">
      <c r="A113" t="inlineStr">
        <is>
          <t>li-4354607476</t>
        </is>
      </c>
      <c r="B113" t="inlineStr">
        <is>
          <t>Senior Power BI Engineer</t>
        </is>
      </c>
      <c r="C113" t="inlineStr">
        <is>
          <t>Addison Group</t>
        </is>
      </c>
      <c r="D113" t="inlineStr">
        <is>
          <t>linkedin</t>
        </is>
      </c>
      <c r="E113">
        <f>HYPERLINK("https://www.linkedin.com/jobs/view/4354607476", "https://www.linkedin.com/jobs/view/4354607476")</f>
        <v/>
      </c>
      <c r="F113" t="inlineStr"/>
      <c r="G113" t="inlineStr">
        <is>
          <t>Coppell, TX</t>
        </is>
      </c>
      <c r="H113" t="inlineStr"/>
      <c r="I113" t="inlineStr">
        <is>
          <t>**Title: Senior Power BI Engineer**
**Location: Coppell, TX**
**Salary Range: $125K\-$140K**
 We are looking to bring on a Senior Power BI Engineer to our team due to growth. What we need is someone who comes 8\+ years of experience owning all things Power BI and handling technical aptitude through the full lifecycle. This will require someone who can sit down with different BUs (Data Engineering, Sales, F\&amp;A, Ops, etc.) gathering requirements, assessing/building out architecture, coding, and then automating/enhancing reports after deployment. A true technical SME is what will be successful \- this includes DAX coding, PBI architecture/schemas, SQL (ETL/SSIS), and Python (PySpark).
 Personality\-wise we need an Engineer who is able to assess, breakdown, and complete tasks without them needing too much direction. There is a lot of ambiguous data that they need to help with define, uncover, and resolve. Most of the work will be done from a solo capacity but collaboration for the data and what defines success is crucial.
**Top Skills:**
* 8\+ Years of Power BI experience
* DAX Coding
* PBI Architecture
* SQL
* Automation (Python (PySpark), Scala)
* Strong communication and Stakeholder Management
**Pluses:**
* Azure DevOps
* Azure Databricks</t>
        </is>
      </c>
    </row>
    <row r="114">
      <c r="A114" t="inlineStr">
        <is>
          <t>li-4372877512</t>
        </is>
      </c>
      <c r="B114" t="inlineStr">
        <is>
          <t>Fabric Data Engineer | 8+ years exp</t>
        </is>
      </c>
      <c r="C114" t="inlineStr">
        <is>
          <t>Precision Technologies</t>
        </is>
      </c>
      <c r="D114" t="inlineStr">
        <is>
          <t>linkedin</t>
        </is>
      </c>
      <c r="E114">
        <f>HYPERLINK("https://www.linkedin.com/jobs/view/4372877512", "https://www.linkedin.com/jobs/view/4372877512")</f>
        <v/>
      </c>
      <c r="F114" t="inlineStr"/>
      <c r="G114" t="inlineStr"/>
      <c r="H114" t="inlineStr"/>
      <c r="I114" t="inlineStr">
        <is>
          <t>**Title:** 
 Microsoft Fabric Data Engineer
**Location:** 
 Multiple client locations across USA (Open to relocation)
**Employment Type:** 
 Full\-time (W2 only, No C2C)
**Experience:** 
 8–10\+ Years
**Visa:** 
 All visa types accepted
**About the Role** 
 We are seeking an experienced
 **Microsoft Fabric Data Engineer** 
 to design and build scalable enterprise data platforms using Microsoft’s modern analytics ecosystem. The ideal candidate has strong experience in
 **Fabric, Azure Data Engineering, ETL pipelines, and data warehousing** 
 .
**Key Responsibilities** 
* Build and manage data pipelines using
 **Microsoft Fabric**
* Develop solutions using
 **Data Factory, Synapse, and Lakehouse architecture**
* Design and optimize
 **ETL/ELT workflows**
* Work with
 **Power BI datasets and semantic models**
* Implement scalable data ingestion from multiple sources
* Optimize performance, storage, and data governance
* Collaborate with analytics, BI, and engineering teams
**Required Skills** 
* Strong hands\-on experience with
 **Microsoft Fabric**
* Experience with
 **Azure Data Factory / Synapse Analytics**
* Knowledge of
 **Lakehouse architecture**
* Strong SQL and Python/PySpark experience
* Experience with
 **Power BI integration**
* Knowledge of
 **data modeling \&amp; performance tuning**
**Preferred** 
* Experience migrating legacy data platforms to Fabric
* Experience with large enterprise data environments
* Familiarity with DevOps \&amp; CI/CD pipelines</t>
        </is>
      </c>
    </row>
    <row r="115">
      <c r="A115" t="inlineStr">
        <is>
          <t>li-4373990861</t>
        </is>
      </c>
      <c r="B115" t="inlineStr">
        <is>
          <t>Senior Clinical Data Engineer</t>
        </is>
      </c>
      <c r="C115" t="inlineStr">
        <is>
          <t>McKesson</t>
        </is>
      </c>
      <c r="D115" t="inlineStr">
        <is>
          <t>linkedin</t>
        </is>
      </c>
      <c r="E115">
        <f>HYPERLINK("https://www.linkedin.com/jobs/view/4373990861", "https://www.linkedin.com/jobs/view/4373990861")</f>
        <v/>
      </c>
      <c r="F115" t="inlineStr"/>
      <c r="G115" t="inlineStr">
        <is>
          <t>Irving, TX</t>
        </is>
      </c>
      <c r="H115" t="inlineStr"/>
      <c r="I115"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***This role offers location flexibility and is open to candidates across the United States.***
***Candidates based in the Dallas–Fort Worth (DFW) area will be hired in a hybrid capacity and are expected to work onsite at our Las Colinas office a minimum of two (2\) days per week, with the remaining days worked remotely. Specific in‑office days may be designated based on team needs and business priorities.***
**Current Need:**
 As Senior Clinical Data Engineer, you will play a pivotal role in designing, implementing and managing our data solutions and advanced analytics. This role requires multi\-focus expertise in both clinical areas and data engineering. This role will include activities such as analyzing data, designing solutions, partnering with other data experts to architect complex solutions, implementing data systems, and development of scalable solutions that support business goals.
**Key Responsibilities:**
* Bridge the gap of clinical and technical for the Data Enablement team as we interface and meet the goals of various clinical teams within US Oncology.
* Collaborate with subject matter experts, department leaders and stakeholders, leveraging expertise to help drive better solutions
* Drives development of ETL code, metadata definitions and models, queries and reports, schedules, work processes and maintenance procedures.
* Basic data set analytics to support review of data quality, understanding of KPIs, and associations with other 3rd party data sets
* Task automation with a focus on limiting risk by limiting manual activities
* Leverage clinical subject matter expertise to enhance data sets
* Self\-start who can work independently and prioritize development and enhancement requests
* Assist with various documentation tasks supporting data solutions
* Ensures compliance with regulatory requirements for data transmission, storage, and data access including documentation, testing, and remediation.
**Minimum Requirement:**
* Degree or equivalent and typically requires 7\+ years of relevant experience.
**Education:**
* Bachelor’s degree in Computer Science (or related) with clinical work experience or Pharmaceutical Sciences (or related) with data analytics work experience.
**Critical Skills:**
* 7\+ years of experience in data analytics, ETL development, computer science or related field.
* 7\+ years of experience working with clinical data
* 7\+ years’ experience in database systems
* Experience with modern database systems such as Snowflake or Databricks
* Experience in dashboard creation in systems like Tableau and PowerBI
* Experience working with clinical data sets such as claims data, in\-office dispensing data, or EHR data
**Additional Knowledge \&amp; Skills:**
* Must be comfortable and proficient working with large and/or complex databases
* Ability to manage and prioritize many diverse technical tasks
* Self\-starter with proven care for managing sensitive data assets
* Ability to interface with both technical and business resources
* Ability to translate clinical requirements into technical solutions
* Experience with Databricks a plus.
* Knowledge of HIPAA, deidentification or other health informatics areas a plus.
* Up to 10% travel.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 click here.
**Our Base Pay Range for this position**
 $118,200 \- $197,000
 McKesson has become aware of online recruiting\-related scams in which individuals who are not affiliated with or authorized by McKesson are using McKesson’s (or affiliated entities, like CoverMyMeds or RxCrossroads) name in fraudulent emails, job postings or social media messages. In light of these scams, please bear the following in mind:
 McKesson Talent Advisors will never solicit money or credit card information in connection with a McKesson job application.
 McKesson Talent Advisors do not communicate with candidates via online chatrooms or using email accounts such as Gmail or Hotmail. Note that McKesson does rely on a virtual assistant (Gia) for certain recruiting\-related communications with candidates.
 McKesson job postings are posted on our career site: careers.mckesson.com.
**McKesson is an Equal Opportunity Employer**
 McKesson provides equal employment opportunities to applicants and employees, without regard to race, color, religion, sex, sexual orientation, gender identity, national origin, protected veteran status, disability, age, genetic information, or any other legally protected category. For additional information on McKesson’s full Equal Employment Opportunity policies, visit our Equal Employment Opportunity page.
 McKesson welcomes and encourages applications from people with disabilities. Accommodations are available on request for candidates taking part in all aspects of the selection process. If you require accommodation please contact us by sending an email to Disability\_Accommodation@McKesson.com.
**Join us at McKesson!**</t>
        </is>
      </c>
    </row>
    <row r="116">
      <c r="A116" t="inlineStr">
        <is>
          <t>li-4373015364</t>
        </is>
      </c>
      <c r="B116" t="inlineStr">
        <is>
          <t>Data Platform Engineering - Devops</t>
        </is>
      </c>
      <c r="C116" t="inlineStr">
        <is>
          <t>Jobs via Dice</t>
        </is>
      </c>
      <c r="D116" t="inlineStr">
        <is>
          <t>linkedin</t>
        </is>
      </c>
      <c r="E116">
        <f>HYPERLINK("https://www.linkedin.com/jobs/view/4373015364", "https://www.linkedin.com/jobs/view/4373015364")</f>
        <v/>
      </c>
      <c r="F116">
        <f>HYPERLINK("https://click.appcast.io/t/OMjjpab1WL5DzSH5LXcwooZsR-MUypM9_oyMMSEIh1A=&amp;urlHash=vehN", "https://click.appcast.io/t/OMjjpab1WL5DzSH5LXcwooZsR-MUypM9_oyMMSEIh1A=&amp;urlHash=vehN")</f>
        <v/>
      </c>
      <c r="G116" t="inlineStr">
        <is>
          <t>Boston, MA</t>
        </is>
      </c>
      <c r="H116" t="inlineStr"/>
      <c r="I116" t="inlineStr">
        <is>
          <t>Dice is the leading career destination for tech experts at every stage of their careers. Our client, Integrass, is seeking the following. Apply via Dice today!
 The Data Platform Engineering team supports CI/CD and infrastructure for our integrated Data Fabric platform. This Data Fabric is a strategic core asset underpinning the operational success of our Firm.
 The Data Platform Engineer will design and implement efficient procedures and pipelines for software development and infrastructure deployment, manage and deploy various key data systems and services.
 The Data Platform Engineer will work with cloud engineers, data engineers, system administrators, data administrators and architects to find opportunities to leverage DevOps technologies to process large volumes of data.
 The Data Platform Engineer will implement CI/CD workflows for Infrastructure as Code (IaC) and automated deployments. This role requires a motivated individual with strong technical ability, data capability, excellent communication, and collaboration skills including the ability to develop and troubleshoot a diverse range of problems.
**Responsibilities**
* Implement continuous integration, continuous development, and constant deployment pipeline (CI/CD Pipeline) for data infrastructure using Terraform and GitHub Actions.
* Implement and deploy GitHub Actions tools and workflows.
* Implement various development, testing, automation, and data infrastructure tools
**Qualifications**
* Bachelor s degree in computer science or engineering
* Minimum of 10 years of experience in DevOps engineering
* Git version control
* Minimum of 5 years of experience with GitHub Actions
* Minimum of 5 years of experience with Terraform
* Minimum of 5 years of AWS Cloud experience that includes: Lambda, EC2, and VPC
* Experience with big data platforms such as Amazon Redshift, Snowflake, Apache Iceberg, Apache Spark, AWS Glue, RDS
* Experience with containers: Docker, Amazon ECS, and/or Kubernetes
* Experience with data engineering, data analysis, and/or ETL
* Experience with programming languages such as Python
* Experience with OS\-level scripting languages such as Bash and PowerShell
* Experience with use of advanced features of AI tools: ChatGPT, custom GPTs, and/or other models such as Claude Sonnet</t>
        </is>
      </c>
    </row>
    <row r="117">
      <c r="A117" t="inlineStr">
        <is>
          <t>li-4373026144</t>
        </is>
      </c>
      <c r="B117" t="inlineStr">
        <is>
          <t>Need Data Engineer with Java, Python and Sqoop - Columbus, OH / Jersey City, NJ</t>
        </is>
      </c>
      <c r="C117" t="inlineStr">
        <is>
          <t>Jobs via Dice</t>
        </is>
      </c>
      <c r="D117" t="inlineStr">
        <is>
          <t>linkedin</t>
        </is>
      </c>
      <c r="E117">
        <f>HYPERLINK("https://www.linkedin.com/jobs/view/4373026144", "https://www.linkedin.com/jobs/view/4373026144")</f>
        <v/>
      </c>
      <c r="F117" t="inlineStr"/>
      <c r="G117" t="inlineStr">
        <is>
          <t>Jersey City, NJ</t>
        </is>
      </c>
      <c r="H117" t="inlineStr"/>
      <c r="I117" t="inlineStr">
        <is>
          <t>Dice is the leading career destination for tech experts at every stage of their careers. Our client, Radiantze, is seeking the following. Apply via Dice today!
**ob Title: Data Engineer / Big Data Engineer**
**Location: Jersey City, NJ**
**Duration: Long Term**
**Job Description**
 We are looking for a skilled
 **Data Engineer** 
 with strong experience in
 **Java, Python, Sqoop, and AWS** 
 to design, build, and maintain scalable data pipelines and data processing systems. The ideal candidate will work closely with analytics, data science, and business teams to deliver reliable and high\-performance data solutions.
**Key Responsibilities**
* Design and develop data ingestion and ETL pipelines using Sqoop, Python, and Java
* Extract data from relational databases and load it into Hadoop/HDFS or cloud\-based data stores
* Build and optimize batch and near\-real\-time data processing workflows
* Deploy and manage data solutions on AWS (S3, EC2, EMR, Glue, Lambda, Redshift, etc.)
* Write clean, efficient, and scalable code in Java and Python
* Monitor, troubleshoot, and optimize data pipelines for performance and reliability
* Collaborate with cross\-functional teams to understand data requirements
* Ensure data quality, security, and compliance best practices
**Required Skills**
* Strong programming experience in Java and Python
* Hands\-on experience with Sqoop for data ingestion
* Solid understanding of Hadoop ecosystem (HDFS, Hive, etc.)
* Experience working with AWS services (S3, EMR, Glue, EC2, Redshift)
* Knowledge of SQL and relational databases
* Familiarity with Linux/Unix environments
**Preferred Qualifications**
* Experience with Spark or PySpark
* Knowledge of workflow orchestration tools (Airflow, Oozie, etc.)
* Exposure to CI/CD and DevOps practices
 AWS Certification (preferred, not mandatory)
 Regards,
 Radiantze Inc</t>
        </is>
      </c>
    </row>
    <row r="118">
      <c r="A118" t="inlineStr">
        <is>
          <t>li-4373030099</t>
        </is>
      </c>
      <c r="B118" t="inlineStr">
        <is>
          <t>Data Engineer _Chicago/Dallas/Peoria (Hybrid – Local Only)</t>
        </is>
      </c>
      <c r="C118" t="inlineStr">
        <is>
          <t>Jobs via Dice</t>
        </is>
      </c>
      <c r="D118" t="inlineStr">
        <is>
          <t>linkedin</t>
        </is>
      </c>
      <c r="E118">
        <f>HYPERLINK("https://www.linkedin.com/jobs/view/4373030099", "https://www.linkedin.com/jobs/view/4373030099")</f>
        <v/>
      </c>
      <c r="F118">
        <f>HYPERLINK("https://click.appcast.io/t/LrA3jK0z0VYiu22DqtxlX_eC4ikIMJfA2aSBAslsaF8=&amp;urlHash=6ehp", "https://click.appcast.io/t/LrA3jK0z0VYiu22DqtxlX_eC4ikIMJfA2aSBAslsaF8=&amp;urlHash=6ehp")</f>
        <v/>
      </c>
      <c r="G118" t="inlineStr">
        <is>
          <t>Chicago, IL</t>
        </is>
      </c>
      <c r="H118" t="inlineStr"/>
      <c r="I118" t="inlineStr">
        <is>
          <t>Dice is the leading career destination for tech experts at every stage of their careers. Our client, Shiro Technologies, is seeking the following. Apply via Dice today!
 We are seeking a highly experienced
 **Data Engineer** 
 to support enterprise data initiatives. This role involves leading data pipeline enhancements, logical and physical data modeling, and driving data design improvements while collaborating with cross\-functional teams including architects, solution leads, and business stakeholders.
 The ideal candidate will bring strong leadership experience, deep technical expertise in data systems, and the ability to mentor team members while working in a hybrid environment.
**Key Responsibilities:**
 Direct developers and analysts in enhancing existing pipelines, databases, and data processes
 Provide technical direction in coding logical data objects
 Perform investigations and deliver analytical insights to improve data design
 Develop and maintain standards and guidelines for data engineering practices
 Collaborate with data architects, solution leads, engineering teams, and business/product groups
 Lead and mentor team members, providing constructive performance feedback
 Work independently while managing priorities effectively
**Required Qualifications:**
 Bachelor’s degree in Computer Programming or related field
 10\+ years of professional experience in data engineering
 Expert knowledge of logical and physical data modeling
 Strong expertise in SQL, Snowflake, and related data technologies
 Experience working with enterprise\-scale data systems
**Required Soft Skills:**
 Strong verbal and written communication skills
 Excellent problem\-solving abilities
 Strong customer service and interpersonal skills
 Ability to work independently and manage time effectively
 Proven leadership and mentoring experience
**Important Notes:**
 Candidates must be currently local to Chicago, Dallas, or Peoria
 Candidates with frequent job changes (choppy tenure) will not be considered</t>
        </is>
      </c>
    </row>
    <row r="119">
      <c r="A119" t="inlineStr">
        <is>
          <t>li-4343930198</t>
        </is>
      </c>
      <c r="B119" t="inlineStr">
        <is>
          <t>Software Engineer II - Data Engineer</t>
        </is>
      </c>
      <c r="C119" t="inlineStr">
        <is>
          <t>The Trade Desk</t>
        </is>
      </c>
      <c r="D119" t="inlineStr">
        <is>
          <t>linkedin</t>
        </is>
      </c>
      <c r="E119">
        <f>HYPERLINK("https://www.linkedin.com/jobs/view/4343930198", "https://www.linkedin.com/jobs/view/4343930198")</f>
        <v/>
      </c>
      <c r="F119" t="inlineStr"/>
      <c r="G119" t="inlineStr">
        <is>
          <t>Seattle, WA</t>
        </is>
      </c>
      <c r="H119" t="inlineStr"/>
      <c r="I119" t="inlineStr">
        <is>
          <t>The Trade Desk is a global technology company with a mission to create a better, more open internet for everyone through principled, intelligent advertising. Handling over 1 trillion queries per day, our platform operates at an unprecedented scale. We have also built something even stronger and more valuable: an award\-winning culture based on trust, ownership, empathy, and collaboration. We value the unique experiences and perspectives that each person brings to The Trade Desk, and we are committed to fostering inclusive spaces where everyone can bring their authentic selves to work every day.
 Do you have a passion for solving hard problems at scale? Are you eager to join a dynamic, globally\- connected team where your contributions will make a meaningful difference in building a better media ecosystem? Come and see why Fortune magazine consistently ranks The Trade Desk among the best small\- to medium\-sized workplaces globally.
**What We Do**
 This specialized role is within the Technology operations group of The Trade Desk’s Engineering. This group is focused on delivering world\-class solutions for Enterprise needs within The Trade Desk.
 We are seeking a skilled and motivated Software Engineer II \- Data Engineer to join our growing data team. In this mid\-level role, you will be instrumental in developing, building, and maintaining the data pipelines and architecture that enable our organization to turn raw data into actionable insights. You will work on complex data problems, collaborate with cross\-functional teams, and help ensure the reliability, efficiency, and quality of our data systems.
**What you’ll do:**
* Data Pipeline Development: Design, build, and optimize scalable ETL/ELT pipelines for both batch and real\-time data processing from disparate sources.
* Infrastructure Management: Assist in the design and implementation of data storage solutions, including data warehouses and data lakes (e.g., Snowflake, S3, Spark), ensuring they are optimized for performance and cost efficiency.
* Data Quality and Governance: Implement data quality checks, monitor data pipeline performance, and troubleshoot issues to ensure data accuracy, reliability, and security, adhering to compliance standards (e.g., GDPR, CCPA).
* Collaboration: Work closely with product managers, data scientists, business intelligence analysts, and other software engineers to understand data requirements and deliver robust solutions.
* Automation and Optimization: Automate data engineering workflows using orchestration tools (e.g., Apache Airflow, Dagster, Azure Data Factory) and implement internal process improvements for greater scalability.
* Mentorship: Participate in code reviews and provide guidance or mentorship to junior team members on best practices and technical skills.
* Documentation: Produce comprehensive and usable documentation for datasets, data models, and pipelines to ensure transparency and knowledge sharing across teams.
**Who you are:**
* Bachelor's degree in computer science, information security, or a related field, or equivalent work experience. Masters degree preferred.
* 4\+ years of experience in a Data engineering role and have a broad understanding of Data Modeling, SQL, OLAP, and ETL required. Experience working with data pipelines including data modeling at petabyte scale is a bonus.
* 4\+ years of experience working with multiple database platforms by designing and implementing data and analytics solutions using technologies such as Snowflake, Databricks, Vertica, SQL Server, andMySQL required.
* 4\+ years of experience required in one or more programming languages,particularly SQL. Proficiency in the following programming languages also required: PL/SQL, Python, C\#, Scala or Java.
* Experience with workflow technologies like Spark, Airflow, Glue, Prefect or Dagster required
* Experience with version control systems, specifically Git required.
* Familiarity with DevOps best practices and automation of processes like building, configuration, deployment, documentation, testing, and monitoring.
* Understanding BI and reporting platforms required, awareness of industry trends in the BI/reporting space, and how it can apply to an organization’s product strategies.
* AdTech industry and its trends preferred.
* Experience with containerization tools like Docker and Kubernetes preferred.
* Familiarity with data modeling and data warehousing concepts preferred.
* Basic understanding of machine learning concepts and how models work.
* Strong analytical and problem\-solving skills with attention to detail.
* Excellent communication and collaboration skills to work effectively with diverse teams and stakeholders.
* A proactive and continuous learning mindset.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sales\-based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$103,200—$189,200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2026-02-17T19:51:32Z</dcterms:created>
  <dcterms:modified xsi:type="dcterms:W3CDTF">2026-02-17T19:51:32Z</dcterms:modified>
</cp:coreProperties>
</file>