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7"/>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in-e60bbaa4c4a6d4c8</t>
        </is>
      </c>
      <c r="B2" t="inlineStr">
        <is>
          <t>Compass Program Manager</t>
        </is>
      </c>
      <c r="C2" t="inlineStr">
        <is>
          <t>City of Huntington</t>
        </is>
      </c>
      <c r="D2" t="inlineStr">
        <is>
          <t>indeed</t>
        </is>
      </c>
      <c r="E2" t="inlineStr"/>
      <c r="F2" t="inlineStr"/>
      <c r="G2" t="inlineStr">
        <is>
          <t>Huntington, WV, US</t>
        </is>
      </c>
      <c r="H2" s="1" t="n">
        <v>46070</v>
      </c>
      <c r="I2" t="inlineStr">
        <is>
          <t>**NATURE OF WORK**
This is a highly responsible administrative position focused on the sustainability of the Compass Program. The program serves City of Huntington police and fire sworn personnel. The employee is responsible for program execution and evaluation, direction of project support staff, and the maintenance of required records and quarterly reports. Work entails the performance of managerial duties related to coordinating and evaluating operational and special services programs for the City.
Work is performed under the general supervision of the Human Resources Director with considerable latitude for initiative and individual judgment within established policies and regulations. The position works in collaboration with the Compass Advisory Board and interacts with City leadership, including the Mayor, City Manager and City Council, as needed, regarding program matters.
The Program Manager is a mission\-driven professional with a demonstrated commitment to supporting first responders. This individual will guide the City through the generation of ideas, development of detailed implementation plans, and delivery of solutions to meet specific program objectives while fostering an environment of collaboration and positive change. This role focuses on program administration, coordination, and oversight and does not provide clinical mental health services.
**MINIMUM QUALIFICATIONS \&amp; SPECIAL REQUIREMENTS**
Graduation from an accredited college or university with a bachelor’s degree in public administration, communication studies, education or related field. Preferred master’s degree from a regionally accredited college or university; minimum of five (5\) years of professional experience in project management, direct experience working with government or private sector leaders and experience working on a high\-performing team; or any equivalent combination of education and experience.
Valid driver’s license from state in which employee resides.
**ESSENTIAL DUTIES AND RESPONSIBILITIES**
Manages the Wellness Center and Compass wellness programming for sworn police and fire personnel.
Oversees a specialized, trauma\-informed wellness initiative addressing compassion fatigue, cumulative stress, and occupational trauma associated with first responder work, including office operations, staff supervision, and day\-to\-day program management.
Coordinates assigned tasks and goals to ensure they are completed according to specifications, budgets, and timelines.
Regularly communicates with management regarding the program’s status and any problems or potential problems. Assists in the development of policies and procedures in the program specialty.
Develops and implements specialized programs and activities.
Develops and devises the scope and sequence of specialized staff training.
Prepares regular and special grant reports.
Manages and maintains strong relationships with a broad set of stakeholders and coordinates the program or grant area with agency departments and other local agencies.
Consults with internal and external experts to generate innovative solutions and assess their feasibility.
Assists in collecting and interpreting data throughout the course of the project and makes changes when necessary, based on the results to work toward sustainability of the program.
Leads grant writing efforts, including identifying funding opportunities, preparing proposals, and ensuring compliance with grant requirements.
Develops and executes community outreach and fundraising strategies to build partnerships and secure financial support for program sustainability.
Oversees grant compliance activities, including tracking outcomes, maintaining required documentation, and preparing reports for funding agencies.
Tracks program participation, outreach activities, and service utilization to support continuous improvement and funding requirements.
Other duties as assigned.
Promotes courtesy and professionalism throughout the City of Huntington.
**NECESSARY KNOWLEDGE SKILLS AND ABILITIES**
General knowledge of city government and of the internal structure of first responder organizations.
Knowledge of modem theories of compassion fatigue and burnout for individuals dealing with stress.
Strong knowledge of grant writing processes and fundraising principles, including donor engagement and stewardship.
Understanding of trauma\-informed practices and the occupational stressors unique to law enforcement and fire service professions.
Excellent time management skills with a proven ability to meet deadlines.
Strong analytical and problem\-solving skills with an ability to anticipate problems and develop solutions on a deadline.
Strong supervisory and leadership skills.
Skill in the operation of assigned office equipment. Proficiency in Word and Excel.
Ability to cultivate relationships with community stakeholders, philanthropic organizations, and funding agencies.
Ability to develop policies and procedures.
Ability to supervise and evaluate the work of staff.
Ability to create comprehensive plans that identify all tasks, resources, and deliverables required to achieve the desired results.
Ability to simultaneously balance a process and protocol that is critical to delivery of services to first responders and think creatively and bring abstract concepts to practical implementation in a very time\-constrained environment.
Ability to measure large\-scale change across multiple stakeholders and maintain records in program area.
Ability to deliver results in a high\-pressure environment with multiple work streams. Ability to maintain records of program operations.
Ability to communicate effectively, both verbally and in writing.
Ability to make presentations in a public setting providing program updates.
Ability to develop and maintain effective working relationships with educational, health, first responder, and counseling services.
Ability to handle confidential information and matters in a discreet and professional manner.
**TOOLS AND EQUIPMENT USED**
Motor vehicle, telephone, computer, calculator, copy machine and fax machine.
**PHYSICAL DEMANDS**
The physical demands described here are representative of those that must be met by an employee to successfully perform the essential functions of this job. Reasonable accommodation may be made to enable individuals with disabilities to perform the essential functions.
While performing the duties of this Job, the employee is regularly required to use hands to finger, handle, feel or operate objects and to reach with hands and arms. The employee is frequently required to sit, stand, walk, talk, see, hear and smell.
The employee may occasionally lift and/or move up to 40 pounds.
**WORK ENVIRONMENT**
The work environment characteristics described here are representative of those an employee encounters while performing the essential functions of this Job. Reasonable accommodation may be made to enable individuals with disabilities to perform the essential functions.
Work is performed in the office and outdoors in all weather conditions, including temperature extremes and wet and/or humid conditions. Work is occasionally performed in emergency and stressful situations.
The noise level in the office environment is usually moderately quiet in the office and moderately loud in the field.
**SUMMARY**
The duties listed above are intended only as illustrations of the various types of work that may be performed. The omission of specific statements of duties does not exclude them from the position if the work is similar, related or a logical assignment to the position.
The job description does not constitute an employment agreement between the City of Huntington and the employee and is subject to change by the City as the need arises.
Job Type: Full\-time
Pay: $51,157\.00 \- $57,929\.00 per year
Benefits:
* Employee assistance program
* Health insurance
* Life insurance
* Paid time off
* Retirement plan
Work Location: In person</t>
        </is>
      </c>
    </row>
    <row r="3">
      <c r="A3" t="inlineStr">
        <is>
          <t>in-bf1aa1bf76883744</t>
        </is>
      </c>
      <c r="B3" t="inlineStr">
        <is>
          <t>Assistant Program Manager</t>
        </is>
      </c>
      <c r="C3" t="inlineStr">
        <is>
          <t>CMNTY Sports</t>
        </is>
      </c>
      <c r="D3" t="inlineStr">
        <is>
          <t>indeed</t>
        </is>
      </c>
      <c r="E3" t="inlineStr"/>
      <c r="F3" t="inlineStr"/>
      <c r="G3" t="inlineStr">
        <is>
          <t>Dallas, TX, US</t>
        </is>
      </c>
      <c r="H3" s="1" t="n">
        <v>46070</v>
      </c>
      <c r="I3" t="inlineStr">
        <is>
          <t>**Job Overview**  
The Assistant Program Manager supports the daily operations and programming of the CMNTY Academy SEL \&amp; Movement Afterschool Program. This role works closely with the Program Manager and site staff to ensure a safe, structured, and engaging afterschool experience for students.
The Assistant Program Manager helps deliver high\-quality programming that integrates Social\-Emotional Learning (SEL) and movement\-based activities, while reinforcing CMNTY Academy’s core values: Confidence, Communication, and Compassion for Others.
This position is ideal for someone who enjoys working with youth, is highly organized, and can balance leadership, structure, and fun in an afterschool environment.
**Responsibilities**
* Assist with daily afterschool operations, schedules, and activity transitions
* Support implementation of SEL lessons and movement\-based programming
* Help maintain a structured, positive, and inclusive environment
* Ensure student safety, supervision, and adherence to program guidelines
* Assist with setup, cleanup, and organization of materials and equipment
**Experience**
* 1\+ year experience working with children in afterschool, school\-day, camp, or youth programs preferred
* Interest or experience in Social\-Emotional Learning, youth development, or movement\-based activities
* Strong communication and organizational skills
* Ability to manage groups of students in a structured and positive manner
* Comfortable working with families, school staff, and program leadership
* Background in education, coaching, recreation, or youth services is a plus
* Bilingual (English/Spanish) is a bonus
**What We’re Looking For**
* A dependable, calm, and positive leader
* Someone who enjoys being active and engaging with students
* Strong role model who values structure, consistency, and care
* Passion for youth development beyond academics
**Join Our Team**
Join CMNTY Academy and help create an afterschool environment where students grow emotionally, socially, and physically. This role is a great opportunity to build leadership experience while making a meaningful impact in the lives of children.
Pay: $12\.00 \- $15\.00 per hour
Benefits:
* Employee discount
Work Location: In person</t>
        </is>
      </c>
    </row>
    <row r="4">
      <c r="A4" t="inlineStr">
        <is>
          <t>in-b682175d0f1b8183</t>
        </is>
      </c>
      <c r="B4" t="inlineStr">
        <is>
          <t>Program Manager</t>
        </is>
      </c>
      <c r="C4" t="inlineStr">
        <is>
          <t>Youthworks</t>
        </is>
      </c>
      <c r="D4" t="inlineStr">
        <is>
          <t>indeed</t>
        </is>
      </c>
      <c r="E4" t="inlineStr"/>
      <c r="F4" t="inlineStr"/>
      <c r="G4" t="inlineStr">
        <is>
          <t>Fargo, ND, US</t>
        </is>
      </c>
      <c r="H4" s="1" t="n">
        <v>46070</v>
      </c>
      <c r="I4" t="inlineStr">
        <is>
          <t>**Agency Overview**
Youthworks is a nonprofit organization whose mission is helping ensure that all youth have a safe place to belong and be heard. For 40 years, Youthworks has walked alongside young people ages 12 to 24 across North Dakota and western Minnesota as they navigate challenges, build stability, and shape their futures.
We believe every young person has the capacity to grow, lead, and contribute when provided safety, connection, and opportunity, and our work is grounded in that belief. Through a strengths based and relational approach, Youthworks partners with youth to create spaces where they feel supported, respected, and valued.
Youthworks is committed to being a safe and inclusive community for all youth, regardless of race, ethnicity, national origin, religion class, educational background, sexual orientation, gender identity, or ability status.
Our programs are rooted in trauma informed care and Positive Youth Development and are designed to respond to both immediate needs and long\-term stability. We support youth experiencing housing instability, family conflict, system involvement, exploitation, and other challenges, while also providing prevention and engagement opportunities that help build belonging and possibility before a crisis occurs.
**Job Summary**
The Program Manager provides leadership and coordination to ensure the Youthworks human trafficking navigation and education programs operate consistently, effectively support staff, and align with the organization’s mission and values. This role is responsible for guiding program implementation, strengthening team practice, and supporting accountability across services.
This position will assist in the development, implementation, and provision of human trafficking education to schools and communities. It will also supervise human trafficking staff at Youthworks, as well as provide navigation services in the eastern part of North Dakota.
Developing and maintaining strong relationships with community partners and other anti\-trafficking leaders across the state is essential to the success of this position. Collaboration is key to delivering education and navigation services and will require participating in local multidisciplinary teams, and local and statewide initiatives and meetings.
Approximately 60% of this role is dedicated to working directly alongside staff, and providing navigation and education, with the remaining time focused on program oversight and administrative responsibilities.
As a member of the Youthworks Leadership Team, the Program Manager contributes to organizational planning and decision\-making while maintaining day\-to\-day oversight of assigned programs. This position plays a critical role in fostering a collaborative workplace culture and ensuring the delivery of high\-quality services for youth and families.
**Qualifications**
* Bachelor’s degree in social work, human services, management, or a related field, or equivalent experience
* Experience working in youth\-serving or community\-based settings
* Strong communication, organizational, and problem\-solving skills
* Ability to maintain high levels of confidentiality.
* Valid driver’s license and insurance
**Job Duties**
*Program Leadership and Oversight* 
* Provide leadership that supports consistent, mission\-aligned program implementation
* Support staff in applying Youthworks’ mission, values, and approaches in daily practice
* Ensure programs operate consistently in alignment with Youthworks’ mission, values, and the best interests of youth and families
* Participate in clinical staffing to support staff learning, reflection, and consistent practice
*Education and Navigation* 
* Developing and implementing human trafficking education in schools and communities.
* Collaborating with agencies, partners, and communities to support anti\-trafficking efforts and to implement best practices
* Provide navigation services to ensure the delivery of a coordinated response between agencies when responding to human trafficking
*Staff Supervision and Development*
* Provide purposeful supervision that supports professional growth, ethical practice, and accountability
* Support staff in meeting expectations through clear communication, feedback, and coaching
* Promote reflective practice and professional development within a supportive team environment
*Operation, Compliance, and Accountability*
* Ensure accurate and timely documentation to meet grant, contract, and ethical standards and support service quality
* Support staff in maintaining required records and service documentation
* Monitor program compliance with policies, procedures, and funding requirements in ways that reinforce purpose and consistency
*Leadership, Collaboration, and Representation*
* Participate as a member of the Leadership Team in planning, decision\-making, and organizational learning
* Representing Youthworks in community settings is a way that reflects the agency’s mission, values, and commitment to youth and families
* Support collaboration across programs and departments to strengthen organizational practice
**Work Schedule**
This is a full\-time position. The typical work schedule is Monday through Friday from 8:30 AM – 5:00 PM with flexibility to meet program needs, including occasional evening or on\-call responsibilities. Travel is required.
**Compensation \&amp; Benefits** 
Starting salary $65,000 dependent on experience. Benefits discussed during interview.
**To Apply**
Submit cover letter, resume, application, and three references to:
Youthworks
ATTN: Anita Bohner, Director of Operations – Western ND  
anita@youthworksnd.org Subject: Program Manager
**Youthworks is an equal opportunity employer and seeks a diverse pool of applicants.**
Job Type: Full\-time
Pay: From $65,000\.00 per year
Benefits:
* Dental insurance
* Employee assistance program
* Health insurance
* Health savings account
* Life insurance
* Retirement plan
Work Location: In person</t>
        </is>
      </c>
    </row>
    <row r="5">
      <c r="A5" t="inlineStr">
        <is>
          <t>in-0843f80b2866223d</t>
        </is>
      </c>
      <c r="B5" t="inlineStr">
        <is>
          <t>Deputy Program Manager</t>
        </is>
      </c>
      <c r="C5" t="inlineStr">
        <is>
          <t>BDO</t>
        </is>
      </c>
      <c r="D5" t="inlineStr">
        <is>
          <t>indeed</t>
        </is>
      </c>
      <c r="E5" t="inlineStr"/>
      <c r="F5" t="inlineStr"/>
      <c r="G5" t="inlineStr">
        <is>
          <t>Clearwater, FL, US</t>
        </is>
      </c>
      <c r="H5" s="1" t="n">
        <v>46070</v>
      </c>
      <c r="I5" t="inlineStr">
        <is>
          <t>This role is responsible for overseeing the development, administration, and monitoring of federally funded programs and projects being implemented in Pinellas County Florida. The primary responsibility will be to ensure that programs are eligible under local, state and federal regulations, adhere to the outlined program guidelines and procedures, and maintain proper documentation to support all eligible expenses incurred by the County agency. The Deputy Program Manager is expected to provide high\-level expertise across a broad range of subject matter areas including project management, compliance and monitoring, federal reporting, procurement, construction and eligibility standards applicable for each project.
**Job Duties**
* Manages and tracks agency spends and project progress
* Interfaces with client agency, as well as senior program staff
* Ensures the delivery of timely, effective, and high\-quality results to support the goals of Pinellas County.
* Ensures provision of high\-quality service to all clients, taking action as necessary to maintain the firm's high reputation for superior client services
* Other duties as required
**Supervisory Responsibilities:**
* Leads Team Leads and Case Managers
**Qualifications, Knowledge, Skills and Abilities**
**Education:**
* Bachelor’s degree, required
**Experience:**
* Three or more years’ experience with state and local governments, and the types of initiatives necessary to help them build their economy and culture, required
**License/Certifications:**
* N/A
**Software:**
* Proficiency with Microsoft Office (Word, Excel, PowerPoint and Project Management Software), required
**Language:**
* N/A
**Other Knowledge, Skills \&amp; Abilities:**
* Demonstrated ability to internally monitor all program and project activities to ensure quality control and quality assurance and be prepared for Federal audits of program activities
* Demonstrated success managing complex cross\-functional teams to achieve high levels of production, meet tight deadlines, and deliver compliant, quality work products
* Demonstrated success in program execution, client relationships, and profitability
* Proven track record of leading a team and accomplishing successful business results
* Strong analytical, problem\-solving, and decision\-making capabilities
* Strong written and verbal communication skills, emotional intelligence, critical thinking skills, and integrity and ethics.
* Team player with the demonstrated ability to build organizational capability, motivate teaming partners/staff to ensure high levels of engagement, and work in a dynamic, fast\-paced environment</t>
        </is>
      </c>
    </row>
    <row r="6">
      <c r="A6" t="inlineStr">
        <is>
          <t>in-3688a27b6993673e</t>
        </is>
      </c>
      <c r="B6" t="inlineStr">
        <is>
          <t>Program Manager, Facilities Design Services</t>
        </is>
      </c>
      <c r="C6" t="inlineStr">
        <is>
          <t>EASi</t>
        </is>
      </c>
      <c r="D6" t="inlineStr">
        <is>
          <t>indeed</t>
        </is>
      </c>
      <c r="E6" t="inlineStr"/>
      <c r="F6" t="inlineStr"/>
      <c r="G6" t="inlineStr">
        <is>
          <t>Bellevue, WA, US</t>
        </is>
      </c>
      <c r="H6" s="1" t="n">
        <v>46070</v>
      </c>
      <c r="I6" t="inlineStr">
        <is>
          <t>Actalent Services LLC (formerly EASi LLC) is hiring a Program Manager with strong industrial facilities design experience for a permanent leadership position that offers hybrid flexibility to candidates in the greater Seattle area.
The Program Manager is responsible for the successful management and delivery of engineering operations managing a large and growing team supporting a large client program in the Seattle marketplace. The Program Manager will work closely with Actalent's internal support functions to deliver a great customer experience while providing leadership and direction to our project teams and ensures that all projects meet their cost, quality and timing requirements. This role requires maintaining and growing relationships with key customer stakeholders and Actalent's engineering and design consultants to continually enhance program performance in support of client business goals.
**Essential Functions:**
* Manage employees and engineering consultants in the program including interviewing and hiring, performance management, providing direction and resolving project issues
* Ensure compliance to customer specifications, quality standards, regulatory requirements, company work rules and procedures and safety requirements
* Develop and manage program plans, budgets, schedules and documentation including change management, risk mitigation and reporting
* Distribute workflow from customer to internal supervisors to allocate to their teams (all projects filter through manager)
* Maintain a high level of relationships with all customer stakeholders
* Utilize program management skills of communication, presentation, time management, organization and planning to successfully achieve program goals and objectives and service agreements
* Identify resource requirements by working closely with the customer stakeholders
* Conduct periodic status meetings with customers and team to assess progress against the plan
* Prepare and deliver weekly and monthly status reports to Actalent's Senior Management and appropriate client recipients
* Resolve all program issues with customer and suppliers as appropriate while working with Actalent's internal teams
* Work with Actalent's Business Development, Pre\-Sales and Delivery Leadership to pursue opportunities and win new bids
**Additional Skills \&amp; Qualifications**:
* Bachelor's degree in Architecture, Building Science, Engineering, Construction Management or related technical discipline
* Minimum 6 years of experience in construction and facilities design required; specific experience in warehouse/distribution facility layout a plus
* Minimum 2 years of management experience overseeing project, design teams, mid\-size programs and/or brownfield/greenfield engagements
* PMP Certification a plus; proven knowledge of project management methods required
* OSHA 10 Certified a plus; knowledge is required.
* Working knowledge of AutoCAD and/or Revit
* Demonstrated leadership abilities with managing large dispersed teams with diverse technical skillsets
* Highly proficient in PC applications \- MS Office suite of tools.
* Excellent verbal and written communication skills
* Ability to manage customer expectations, present to large customer groups and navigate political landscape within large and global organizations
* Strong organizational and time management skills
* Team player with ability to work in a highly cross\-functional and virtual environment
* Ability to travel when needed.
**About Actalent**:
Actalent (formerly EASi LLC \- founded in 1981\) is one of the fastest\-growing global leaders providing critical services in engineering and sciences. By adapting to the constantly evolving needs of our customers, we have built specialized expertise and a multidisciplinary perspective — leveraging cutting\-edge technology and processes — to constantly improve and deliver innovation. Headquartered in Hanover, Maryland, Actalent serves more than 4,000 clients in the U.S., Canada, Asia Pacific and Europe with 4,000 permanent employees and 25,000 engineering and sciences consultants.
Job Type: Full\-time
Pay: $100,000\.00 \- $140,000\.00 per year
Benefits:
* 401(k)
* 401(k) matching
* Dental insurance
* Flexible schedule
* Health insurance
* Health savings account
* Paid time off
* Parental leave
* Vision insurance
Work Location: Hybrid remote in Bellevue, WA 98004</t>
        </is>
      </c>
    </row>
    <row r="7">
      <c r="A7" t="inlineStr">
        <is>
          <t>in-f1856452f99f7103</t>
        </is>
      </c>
      <c r="B7" t="inlineStr">
        <is>
          <t>Program Manager -Residential Services (Waiver/IDD Experience Required)</t>
        </is>
      </c>
      <c r="C7" t="inlineStr">
        <is>
          <t>Gray Residential Services</t>
        </is>
      </c>
      <c r="D7" t="inlineStr">
        <is>
          <t>indeed</t>
        </is>
      </c>
      <c r="E7" t="inlineStr"/>
      <c r="F7" t="inlineStr"/>
      <c r="G7" t="inlineStr">
        <is>
          <t>Carmel, IN, US</t>
        </is>
      </c>
      <c r="H7" s="1" t="n">
        <v>46070</v>
      </c>
      <c r="I7" t="inlineStr">
        <is>
          <t>**IMMEDIATE HIRE: CALL OR TEXT "PM" TO 812\-530\-6901 TO SCHEDULE YOUR INTERVIEW TODAY!**
***Join a premier, high\-standard agency where your leadership is valued and supported. We are looking for a powerhouse "Go\-Getter" to join our elite team!***
Gray Residential Services is seeking an elite "Go\-Getter" **Program Manager** to lead residential operations across Indianapolis, Noblesville, and Greenwood. This is not a "desk job"—we are looking for a visible leader who ensures our clients receive the highest quality person\-centered care while maintaining rigorous state compliance. You will be the primary bridge between direct care staff, families, and state consultants. You must be a master of Indiana Medicaid Waiver compliance while possessing the grit to work directly alongside your team in the field.
**CORE LEADERSHIP STANDARDS**
* **Field\-First Mentality:** You must work a **minimum of 2 full shifts per week in the field as a DSP**. This ensures you are personally connected to client needs and staff performance.
* **On\-Call Accountability:** You are the primary point of contact for your sites. You must have the flexibility to handle after\-hours staffing crises or clinical emergencies.
* **Proactive Initiative:** We need a leader who identifies a problem during a site audit and fixes it immediately before it reaches the Director level.
**FULL RESPONSIBILITIES**
**1\. Operational Leadership \&amp; Excellence**
* **Caseload Management:** Oversee all daily operations for residential sites, ensuring 24/7 coverage, staffing stability, and a "Zero\-Gap" master schedule.
* **Mentorship:** Directly mentor Team Leads and DSPs to follow agency policies and procedures.
* **Site Environment:** Conduct weekly site visits to ensure total site cleanliness and that the home is "audit\-ready" at all times.
**2\. Regulatory Compliance \&amp; Medicaid Auditing**
* **Zero\-Deficiency Standards:** Ensure 100% adherence to **460 IAC 6 (Indiana Medicaid Waiver)** and DDRS guidelines. Prepare for and lead state audits/surveys.
* **Clinical Auditing:** Conduct weekly site visits to audit **Paper Medication Administration Records (MARs)**, Financial Folders, and Daily Service Records (DSRs) with 100% precision.
* **Administrative Reporting:** Submit weekly accountability checklists to the Director. Audit all staff timecards daily and ensure all monthly site reports are submitted by the 12th of each month.
**3\. Person\-Centered Planning \&amp; Clinical Advocacy**
* **Meeting Leadership:** Facilitate all IST and Quarterly meetings. Act as the professional liaison between the agency, families, medical providers, and state consultants.
* **Goal Tracking:** Translate PCISP goals into actionable daily data tracking for DSP staff, ensuring goals are tracked with clinical precision.
**4\. Staff Accountability \&amp; Performance Management**
* **Performance Tracking:** You are directly responsible for the performance of your DSPs. You must document **all** staff interactions (call\-offs, tardies, successes, or errors) in the Provide system.
* **Disciplinary Action:** Issue formal **Letters of Correction (LOCs)** and conduct immediate on\-site retraining for any documentation errors or performance issues.
**5\. Financial Management**
* **Financial Integrity:** Manage house budgets and client personal funds. Oversee checkbook balancing and financial summaries with 100% transparency and zero errors.
**QUALIFICATIONS**
* **Experience:** Minimum 2\-3 years of management experience in an Indiana Waiver/Residential setting is **mandatory**.
* **Education:** BS in Psychology, Human Services, or related field preferred.
* **Mindset:** A "Go\-Getter" who takes initiative and works independently.
* **Initiative:** Proven track record of taking initiative without constant supervision.
* **Technical:** Proficiency in Microsoft Office, SharePoint, and electronic documentation systems.
* **Mobility:** Valid DL, active insurance, and a reliable vehicle for travel between Indy, Noblesville, and Greenwood.
Company Description:
Gray Residential Services is a premier provider of residential support for individuals with intellectual and developmental disabilities throughout Central Indiana. We operate with a clear mission: Quality Service with Vision. Unlike "big box" agencies, we focus on high\-acuity clinical excellence and person\-centered advocacy. We pride ourselves on a "Zero\-Error" standard of compliance and a culture of professional respect. At Gray Residential, we don't just provide care; we provide a high\-standard living environment where clinical accuracy, community integration, and the dignity of our residents are the top priorities. We are a "team\-first" organization where leadership is visible, management is supportive, and every employee is treated as a professional healthcare partner.
Job Type: Full\-time
Pay: $43,888\.00 per year
Experience:
* Management: 3 years (Required)
License/Certification:
* Driver's License (Required)
Ability to Commute:
* Carmel, IN 46032 (Required)
Work Location: In person</t>
        </is>
      </c>
    </row>
    <row r="8">
      <c r="A8" t="inlineStr">
        <is>
          <t>in-cc7607da2dfe28ca</t>
        </is>
      </c>
      <c r="B8" t="inlineStr">
        <is>
          <t>Program Manager, Construction Systems</t>
        </is>
      </c>
      <c r="C8" t="inlineStr">
        <is>
          <t>Cushman &amp; Wakefield</t>
        </is>
      </c>
      <c r="D8" t="inlineStr">
        <is>
          <t>indeed</t>
        </is>
      </c>
      <c r="E8" t="inlineStr"/>
      <c r="F8" t="inlineStr"/>
      <c r="G8" t="inlineStr">
        <is>
          <t>Minneapolis, MN, US</t>
        </is>
      </c>
      <c r="H8" s="1" t="n">
        <v>46069</v>
      </c>
      <c r="I8" t="inlineStr">
        <is>
          <t>**Job Title**
Program Manager, Construction Systems**Job Description Summary**
The Program Manager, Construction Systems is responsible for overseeing ongoing construction tool maintenance initiatives, driving new construction technology expansion projects, and providing daily support to teams utilizing client construction and data‑collection systems. This role ensures seamless integration of these tools into the system of record and supports operational excellence across all programs.**Job Description**
**Systems Management \&amp; Integration**
* Lead ongoing maintenance and enhancement of construction technology tools and platforms.
* Oversee new construction tool expansion projects from planning through execution.
* Support daily team operations and ensure proper utilization of client systems for construction and data collection.
* Develop, manage, and maintain API integrations between Procore data and other systems, collaborating closely with cross‑functional teams.
* Coordinate system touchpoints with platforms such as **Tririga**, **Smartsheet**, and other enterprise systems.
**Procore Administration**
* Manage company‑level permission templates, ensuring accuracy, security, and compliance.
* Oversee directory management, including user creation, onboarding, and access maintenance.
* Create and maintain company‑level project templates tailored to unique program needs.
* Lead efforts related to the merger and consolidation of multiple Procore account instances.
* Write, update, and maintain Standard Operating Procedures (SOPs) related to system usage and governance.
* Leverage **Analytics 2\.0** for advanced reporting and system insights.
**Business Intelligence \&amp; Data Management**
* Build Power BI business intelligence reports and deliver ongoing analytics support.
* Conduct data cleansing activities to ensure consistency, continuity, and system accuracy.
* Use metadata to automate workflows, tasks, and system activities.
* Create and conduct training sessions for all active tool users to ensure platform adoption and competency.
**Dashboards, Reporting \&amp; Communication Tools**
* Design, implement, and maintain dashboards and reporting tools aligned with GRE goals and cross‑functional team needs.
* Ensure user permissions are properly aligned to maximize dashboard usability.
* Develop and deploy Procore correspondence tools that support client communication objectives.
* Create configurable templates—including custom fields—to support specific client initiatives.
* Maintain templates and workflows to ensure alignment with evolving communication cadences and organizational requirements.
Cushman \&amp; Wakefield also provides eligible employees with an opportunity to enroll in a variety of benefit programs, generally including health, vision, and dental insurance, flexible spending accounts, health savings accounts, retirement savings plans, life, and disability insurance programs, and paid and unpaid time away from work. In addition to a comprehensive benefits package, Cushman and Wakefield provide eligible employees with competitive pay, which may vary depending on eligibility factors such as geographic location, date of hire, total hours worked, job type, business line, and applicability of collective bargaining agreements.  
The compensation that will be offered to the successful candidate will depend on factors such as whether the position is covered by a collective bargaining agreement, the geographic area in which the work will be performed, market pay rates in that area, and the candidate’s experience and qualifications.  
The company will not pay less than minimum wage for this role.  
The compensation for the position is: $ 102,000\.00 \- $120,000\.00
Cushman \&amp; Wakefield is an Equal Opportunity employer to all protected groups, including protected veterans and individuals with disabilities. Discrimination of any type will not be tolerated.
In compliance with the Americans with Disabilities Act Amendments Act (ADAAA), if you have a disability and would like to request an accommodation in order to apply for a position at Cushman \&amp; Wakefield, please call the ADA line at **1\-888\-365\-5406** or email **HRServices@cushwake.com**. Please refer to the job title and job location when you contact us.
INCO: “Cushman \&amp; Wakefield”</t>
        </is>
      </c>
    </row>
    <row r="9">
      <c r="A9" t="inlineStr">
        <is>
          <t>in-5831b3aa169c9bfe</t>
        </is>
      </c>
      <c r="B9" t="inlineStr">
        <is>
          <t>Product Manager - Boston, MA</t>
        </is>
      </c>
      <c r="C9" t="inlineStr">
        <is>
          <t>Lumeris</t>
        </is>
      </c>
      <c r="D9" t="inlineStr">
        <is>
          <t>indeed</t>
        </is>
      </c>
      <c r="E9" t="inlineStr"/>
      <c r="F9" t="inlineStr"/>
      <c r="G9" t="inlineStr">
        <is>
          <t>MA, US</t>
        </is>
      </c>
      <c r="H9" s="1" t="n">
        <v>46069</v>
      </c>
      <c r="I9" t="inlineStr">
        <is>
          <t>Your Future is our Future
At Lumeris, we believe that our greatest achievements are made possible by the talent and commitment of our team members. That's why we are actively seeking talented and collaborative individuals who are passionate about making a difference in the healthcare industry. Join us today as we strive to create a system of care that every doctor wants for their own family and become part of a community that values its people and empowers you to make an impact.
Position:
Product Manager \- Boston, MA
Position Summary:
Responsible for working cross\-functionally to interpret customer/client needs, define product strategy and maintain multi\-year product roadmap. In this role you will take a product and/or concept and guide it from inception to execution while prioritizing key activities that impact bottom\-line performance. Additionally, you will evaluate complex and connected business needs and processes, interpret needs, bring resolution by utilizing various data types and appropriate tools in order to help build a tailored and sustainable product, or engage with 3rd party vendors to identify and integrate their product into Lumeris system.
Job Description:
Primary Responsibilities* Works across an assigned value stream or business unit to interpret and define a product or concept and oversee the product life cycle process including identification, assessment, design, and delivery of new Integration, Interface, MDM, ETL data offerings as well as manage existing product enhancements.
* Develops a deep understanding of product or product family and serves as subject matter expert of respective product or product family to business owners.
* Defines and delivers clear expectations for quality of products, services, and processes.
* Develops strong relationships across all levels of the organization while articulating and negotiating complex information that is tailored to the level of the audience for whom it is intended.
* Partners cross\-functionally to initiate and execute vendor engagements and agreements to deliver third party products and/or concepts.
* Cultivates a network of internal and external relationships. Serves as a value\-add business partner across diverse teams, external clients, and multiple concurrent projects.
* Ensures collaboration and ownership of current solution analysis within the lenses of technical context and vision of architecture with the needs of business as focal point.
* Analyzes ongoing market needs and document customer requirements.
* Interprets complex information related to barriers within an assigned business unit and implements a direction to help solve or alleviate issues.
* Promotes products and helps to educate sales teams and prospective customers and markets on features and benefits of product or concept.
Qualifications* Bachelor's Degree in a technology or business\-related field or equivalent
* 5\+ of relevant experience or the knowledge, skills, and abilities to succeed in the role
* Solid understanding of the healthcare industry
* Ability to impact results in a highly dynamic and fast\-paced environment
* Demonstrate critical thinking and sound judgment under short timelines
* Strong knowledge of platform technologies, software architectures., APIs, integration techniques, mobile data management, and extract, transform and load processes
* Strong project management skills with the ability to guide cross\-functional project teams and deliver complex solutions
* Strong communication and presentation skills, both written and verbal, with the ability to effectively influence and impact results at all levels internally and externally
* Ability to create results, prioritize workload, and respond to changing demands/timelines in a high\-performing and high\-growth environment
* Ability to commute into Cambridge office 3 times per week.
Preferred:* Prior experience with software as a service delivery model
* Agile development methodology experience
* Exposure and understand of Accountable Care
Working Conditions* While performing the duties of this job, the employee works in normal office working conditions.
Disclaimer* The job description describes the general nature and level of work being performed by people assigned to this job and is not intended to be an exhaustive list of all responsibilities, duties and skills required. The physical activities, demands and working conditions represent those an employee encounters while performing the essential functions of this job. Reasonable accommodations may be made to enable individuals with disabilities to perform the essential job duties and responsibilities.
Pay Transparency:
Factors that may be used to determine your actual pay rate include your specific skills, experience, qualifications, location, and comparison to other employees already in this role. In addition to the base salary, certain roles may qualify for a performance\-based incentive and/or equity, with eligibility depending on the position. These rewards are based on a combination of company performance and individual achievements.
The hiring range for this position is:
$113,800\.00\-$154,525\.00
Benefits of working at Lumeris* Medical, Vision and Dental Plans
* Tax\-Advantage Savings Accounts (FSA \&amp; HSA)
* Life Insurance and Disability Insurance
* Paid Time Off (PTO, Sick Time, Paid Leave, Volunteer \&amp; Wellness Days)
* Employee Assistance Program
* 401k with company match
* Employee Resource Groups
* Employee Discount Program
* Learning and Development Opportunities
* And much more...
Be part of a team that is changing healthcare!
Member Facing Position:
No\- Not Member or Patient Facing Position
Location:
Massachusetts
Time Type:
Full time
Lumeris and its partners are committed to protecting our high\-risk members \&amp; prospects when conducting business in\-person. All personnel who interact with at\-risk members or prospects are required to have completed, at a minimum, the initial series of an approved COVID\-19 vaccine. If this role has been identified as member\-facing, proof of vaccination will be required as a condition of employment.
Disclaimer:* The job description describes the general nature and level of work being performed by people assigned to this job and is not intended to be an exhaustive list of all responsibilities, duties and skills required. The physical activities, demands and working conditions represent those an employee encounters while performing the essential functions of this job. Reasonable accommodations may be made to enable individual with disabilities to perform the essential job duties and responsibilities.
Lumeris is an EEO/AA employer M/F/V/D.</t>
        </is>
      </c>
    </row>
    <row r="10">
      <c r="A10" t="inlineStr">
        <is>
          <t>in-ec1f0a73dd71df6c</t>
        </is>
      </c>
      <c r="B10" t="inlineStr">
        <is>
          <t>Product Manager II, Healthcare</t>
        </is>
      </c>
      <c r="C10" t="inlineStr">
        <is>
          <t>Whoop</t>
        </is>
      </c>
      <c r="D10" t="inlineStr">
        <is>
          <t>indeed</t>
        </is>
      </c>
      <c r="E10" t="inlineStr"/>
      <c r="F10" t="inlineStr"/>
      <c r="G10" t="inlineStr">
        <is>
          <t>Boston, MA, US</t>
        </is>
      </c>
      <c r="H10" s="1" t="n">
        <v>46069</v>
      </c>
      <c r="I10" t="inlineStr">
        <is>
          <t>At WHOOP, we're on a mission to unlock human performance and extend healthspan. WHOOP empowers its members to perform at a higher level through a deeper understanding of their bodies and daily lives.  
WHOOP is seeking a Product Manager II to join the Healthcare Product team. This role is focused on executing high\-impact health experiences that help members interpret their data and take meaningful action toward improved health outcomes.  
As a PM II, you will be deeply embedded in day\-to\-day product execution — partnering closely with Engineering, UX Design, Data Science, Clinical, and Regulatory teams to ship high\-quality, behavior\-changing features. You will take complex health problems and translate them into clear, actionable product requirements and development plans.  
This role is ideal for a product manager with 3–4 years of experience who has shipped consumer products before, thrives in ambiguity, and wants to grow into broader strategic ownership over time.### **RESPONSIBILITIES**
+ Lead execution of healthcare\-related features through launch and iteration
+ Translate high\-level product direction into clear requirements, user stories, and engineering\-ready specifications
+ Proactively identify risks, clarify ambiguity, and remove blockers to ensure high\-quality, on\-time delivery
+ Drive clear timelines and documentation, manage dependencies, and ensure high\-quality delivery without losing focus on product outcomes
+ Break down complex, ambiguous health challenges into clear problem statements and phased development plans
+ Balance member value, business impact, and technical feasibility when making tradeoffs
+ Ensure features are intuitive, simple, and behaviorally effective — especially when working with complex physiological data
+ Define KPIs and success metrics for features and experiments
+ Partner with Product Analytics to analyze performance data and member feedback
+ Use quantitative and qualitative insights to inform new feature development, iteration, and continuous improvement
+ Work closely with Engineering, UX Design, Data Science, Clinical, Regulatory, and other stakeholders to deliver cohesive health experiences
+ Translate diverse stakeholder input into clear, aligned product decisions
+ Maintain crisp documentation and strong communication across teams
+ Advocate for high\-quality member experiences that are clear, trustworthy, and actionable
+ Apply strong product principles to ensure features solve real problems in simple, elegant ways
+ Sweat the details to ensure clarity, usability, and polish
### **QUALIFICATIONS**
+ 3–4 years of experience as a Product Manager with a demonstrated track record of shipping consumer\-facing products
+ Demonstrated ability to own features end\-to\-end in agile development environments
+ Strong product judgment and ability to articulate clear reasoning behind prioritization decisions
+ Experience defining KPIs and measuring product impact
+ Excellent organizational skills and ability to lead cross\-functional teams
+ Strong analytical and problem\-solving abilities with a data\-driven, member\-centric mindset
+ Entrepreneurial mindset with comfort operating in ambiguous problem spaces
+ Excellent communication skills, with the ability to clearly articulate complex concepts and tradeoffs
+ Experience in digital health or regulated environments is a strong plus, but not required
+ Passion for health, performance, and alignment with WHOOP’s mission and values
***This role is based in the WHOOP office located in Boston, MA. The successful candidate must be prepared to relocate if necessary to work out of the Boston, MA office.*** *Interested in the role, but don’t meet every qualification? We encourage you to still apply! At WHOOP, we believe there is much more to a candidate than what is written on paper, and we value character as much as experience. As we continue to build a diverse and inclusive environment, we encourage anyone who is interested in this role to apply.* *WHOOP is an Equal Opportunity Employer and participates in* *E\-verify* *to determine employment eligibility. It is unlawful in Massachusetts to require or administer a lie detector test as a condition of employment or continued employment. An employer who violates this law shall be subject to criminal penalties and civil liability.* *The WHOOP compensation philosophy is designed to attract, motivate, and retain exceptional talent by offering competitive base salaries, meaningful equity, and consistent pay practices that reflect our mission and core values.* *At WHOOP, we view total compensation as the combination of base salary, equity, and benefits, with equity serving as a key differentiator that aligns our employees with the long\-term success of the company and allows every member of our corporate team to own part of WHOOP and share in the company’s long\-term growth and success.* *The U.S. base salary range for this full\-time position is $125,000 \- $170,000\. Salary ranges are determined by role, level, and location. Within each range, individual pay is based on factors such as job\-related skills, experience, performance, and relevant education or training.* *In addition to the base salary, the successful candidate will also receive benefits and a generous equity package.* *These ranges may be modified in the future to reflect evolving market conditions and organizational needs. While most offers will typically fall toward the starting point of the range, total compensation will depend on the candidate’s specific qualifications, expertise, and alignment with the role’s requirements.*</t>
        </is>
      </c>
    </row>
    <row r="11">
      <c r="A11" t="inlineStr">
        <is>
          <t>in-11fe95741ea7b7f7</t>
        </is>
      </c>
      <c r="B11" t="inlineStr">
        <is>
          <t>Retirement Benefits Program Manager</t>
        </is>
      </c>
      <c r="C11" t="inlineStr">
        <is>
          <t>Pacific Life</t>
        </is>
      </c>
      <c r="D11" t="inlineStr">
        <is>
          <t>indeed</t>
        </is>
      </c>
      <c r="E11" t="inlineStr"/>
      <c r="F11" t="inlineStr"/>
      <c r="G11" t="inlineStr">
        <is>
          <t>Newport Beach, CA, US</t>
        </is>
      </c>
      <c r="H11" s="1" t="n">
        <v>46069</v>
      </c>
      <c r="I11" t="inlineStr">
        <is>
          <t>**Job Description:**  
Providing for loved ones, planning rewarding retirements, saving enough for whatever lies ahead – our policyholders count on us to be there when it matters most. It’s a big ask, but it’s one that we have the power to deliver when we work together. We collaborate and innovate – pushing one another to transform not just Pacific Life, but the entire industry for the better. Why? Because it’s the right thing to do. Pacific Life is more than a job, it’s a career with purpose. It’s a career where you have the support, balance, and resources to make a positive impact on the future – including your own.
We’re actively seeking a talented Retirement Benefits Program Manager to join our Benefits team within Total Rewards, based in Newport Beach, CA, Omaha, NE or Charlotte, NC.
As the Benefits Retirement Program Manager , you will lead the end\-to\-end framework and administration of Pacific Life’s US\-based retirement benefits, deliver deep operational and analytical support, and contribute to the long term strategy that guides our plans.
The ideal candidate is highly\-skilled, self\-driven, and capable of leading initiatives independently while contributing to the overall success of the retirement programs.
**How you’ll help move us forward:**  
Lead the U.S. framework, administration and analysis of retirement plan benefits, including compliance with plan documents and regulations for the 401(k), Deferred Compensation Plan (DCP), and Supplemental Executive Retirement Plan (SERP).
Monitor retirement plan vendors to ensure performance aligns with agreed upon scope and service levels.
Understanding and using best practices and knowledge of industry and business/customer needs, provide analysis, make recommendations, and lead the implementation of changes or enhancements to benefit programs.
Contribute to the annual budget process by forecasting retirement plan expenses and tracking budget vs. actual costs.
Oversee and administer a variety of ancillary benefit programs, such as the financial wellbeing programs and other related offerings.
Collaborate with the Internal Communications team on the creation of communication tools that enhance employee understanding of our retirement benefits. This includes developing presentations, FAQ guides, and other resources.
Manage the DCP annual enrollment event, as well as annual and ad\-hoc Non\-Qualified (NQ) distributions.
Complete benefits compliance activities, such as the 401(k) annual audit, reconciling and filing required forms ( e.g. Form 5500/8955\-SSA), conducting non\-discrimination testing, updating and distributing plan documents and required disclosures.
Oversee retirement plan Investment Committee meetings by scheduling meetings, establishing agendas, preparing meeting materials, reviewing notes, and ensuring compliance with Committee guidelines .
Resolve escalated benefits inquiries from employees, retirees, and other HR stakeholders, ensuring timely and satisfactory resolution of each issue.
Manage actuarial valuation data requests by working with external consultants and PL’s Finance team.
Collaborate with employees, advisors, auditors, leaders and benefit vendors.
Partner with International Benefits to support the governance and administration of global pension plans, ensuring alignment on plan design, regulatory requirements, and ongoing operational needs.
Resolve retirement plan (401(k), DCP, SERP) corrections as necessary.
Stay current on retirement plan regulations.
Participate in internal process improvement initiatives and team projects.
Support additional ad\-hoc benefits projects as they emerge .
**The experience you bring:**  
7\+ years of experience in end\-to\-end U.S. retirement benefits (401(k) and NQ plans); international retirement or global pension experience is a plus.
Bachelor’s degree in Business Administration , Human Resources, or a related field;
Strong analytical skills that drive data\-driven decisions and comprehensive problem\-solving;
Excellent vendor management and communication skills;
Strong project management skills to effectively plan, prioritize, and deliver initiatives on time and within scope.
Strong attention to detail and highly organized, with the ability to multi\-task, meet deadlines and effectively prioritize work;
Proficiency in Microsoft Office suite, especially Excel, ensuring streamlined data management and analysis;
Understanding of benefits, general HR processes, regulations, and compliance;
Hands\-on experience with platforms like Workday or similar HRIS systems
You can be who you are.
People come first here. We’re committed to an inclusive workforce. Learn more about how we create a welcoming work environment at www.pacificlife.com . What’s life like at Pacific Life? Visit Instagram.com/lifeatpacificlife.
**Base Pay Range:**  
The base pay range noted represents the company’s good faith minimum and maximum range for this role at the time of posting. The actual compensation offered to a candidate will be dependent upon several factors, including but not limited to experience, qualifications and geographic location. Also, most employees are eligible for additional incentive pay.
$124,830\.00 \- $152,570\.00
Your Benefits Start Day 1
Your wellbeing is important to Pacific Life, and we’re committed to providing you with flexible benefits that you can tailor to meet your needs. Whether you are focusing on your physical, financial, emotional, or social wellbeing, we’ve got you covered.
Prioritization of your health and well\-being including Medical, Dental, Vision, and Wellbeing Reimbursement Account that can be used on yourself or your eligible dependents
**Generous paid time off options including:** Paid Time Off, Holiday Schedules, and Financial Planning Time Off
Paid Parental Leave as well as an Adoption Assistance Program
Competitive 401k savings plan with company match and an additional contribution regardless of participation
You Can Be Who You Are
We are committed to a culture of diversity and inclusion that embraces the authenticity of all employees, partners and communities. We support all employees to thrive and achieve their fullest potential.
What’s life like at Pacific Life? Visit Instagram.com/lifeatpacificlife
**EEO Statement:**  
Pacific Life Insurance Company is an Equal Opportunity /Affirmative Action Employer, M/F/D/V. If you are a qualified individual with a disability or a disabled veteran, you have the right to request an accommodation if you are unable or limited in your ability to use or access our career center as a result of your disability. To request an accommodation, contact a Human Resources Representative at Pacific Life Insurance Company.</t>
        </is>
      </c>
    </row>
    <row r="12">
      <c r="A12" t="inlineStr">
        <is>
          <t>in-878885ef1d39608e</t>
        </is>
      </c>
      <c r="B12" t="inlineStr">
        <is>
          <t>Product Manager - Multi-D</t>
        </is>
      </c>
      <c r="C12" t="inlineStr">
        <is>
          <t>CentralReach</t>
        </is>
      </c>
      <c r="D12" t="inlineStr">
        <is>
          <t>indeed</t>
        </is>
      </c>
      <c r="E12" t="inlineStr"/>
      <c r="F12" t="inlineStr"/>
      <c r="G12" t="inlineStr">
        <is>
          <t>Holmdel, NJ, US</t>
        </is>
      </c>
      <c r="H12" s="1" t="n">
        <v>46069</v>
      </c>
      <c r="I12" t="inlineStr">
        <is>
          <t>CentralReach is a leading provider of autism and IDD care software for Applied Behavior Analysis (ABA), multidisciplinary therapy, and special education. Trusted by more than 200,000 users, we enable therapy providers, educators, and employers to scale the way they deliver ABA and related therapies with innovative technology, market\-leading industry expertise, and world\-class customer satisfaction.
CentralReach is expanding beyond its ABA foundation to support multi\-disciplinary pediatric therapy, including Speech\-Language Pathology (SLP), Occupational Therapy (OT), and Physical Therapy (PT). We're seeking a senior individual\-contributor Product Manager to help shape and deliver this next phase of the platform.
This role is designed for a Product Manager who is comfortable operating at the intersection of strategy and hands\-on execution. You will contribute to Multi\-D product direction while owning end\-to\-end delivery of complex initiatives across scheduling, authorizations, billing, documentation, and reporting. Success in this role requires navigating ambiguity, deeply understanding real\-world clinic workflows, and building solutions that work across disciplines without compromising CentralReach's ABA strengths. This role plays a critical part in ensuring CentralReach delivers true multi\-disciplinary support, not just incremental extensions of ABA workflows.
**Key Accountabilities:**
* Partner with Product Leadership to help define and evolve the Multi\-Disciplinary product strategy
* Own execution for key areas of the Multi\-D roadmap, from discovery through delivery
* Help balance near\-term needs of ABA\-first organizations expanding into Multi\-D with longer\-term platform investments that enable true Multi\-Disciplinary care
* Translate complex clinical, operational, and billing workflows into clear, scalable product solutions
* Collaborate closely with Engineering, Design, Clinical, Billing, Customer Success, and Support teams
* Define and track success metrics focused on operational efficiency, accuracy, and customer impact
**Desired Skills and Experience:**
* Bachelor's degree or equivalent work experience
* 5\+ years of experience in product management, preferably in healthcare or workflow\-intensive B2B software
* Strong understanding of practice management and care delivery workflows, including scheduling, authorizations, billing, and reporting
* Experience supporting or designing for multi\-service or multi\-disciplinary environments
* Proven ability to operate effectively in ambiguous problem spaces and influence outcomes through strong product judgment and execution
\#LI\-Remote
Backed by Roper Technologies, Inc. (Nasdaq: ROP), and led by award\-winning CEO Chris Sullens, CentralReach is entering an exciting phase of growth, innovation, and scale.
Recognized as one of the best places to work over 10 times by organizations such as Inc, Built In, and NJBIZ, our culture is centered around impact, inclusion, and flexibility. As a hybrid company with collaborative offices in Ft. Lauderdale, FL; Holmdel, NJ; and Verona, Italy, we foster a workplace where top talent can thrive and make a real difference in the lives of those we serve.  
We offer competitive compensation, comprehensive health benefits, generous PTO, 401(k) matching, and paid parental leave. Our team members also enjoy hybrid work schedules, career development support, wellness programs, and opportunities to give back through CR Cares™, our community engagement initiative.
Be part of a market leader driving the future of care. Explore opportunities at centralreach.com/careers.</t>
        </is>
      </c>
    </row>
    <row r="13">
      <c r="A13" t="inlineStr">
        <is>
          <t>in-413ded428393383b</t>
        </is>
      </c>
      <c r="B13" t="inlineStr">
        <is>
          <t>Program Manager-Quality</t>
        </is>
      </c>
      <c r="C13" t="inlineStr">
        <is>
          <t>Northwestern Medicine</t>
        </is>
      </c>
      <c r="D13" t="inlineStr">
        <is>
          <t>indeed</t>
        </is>
      </c>
      <c r="E13" t="inlineStr"/>
      <c r="F13" t="inlineStr"/>
      <c r="G13" t="inlineStr">
        <is>
          <t>Chicago, IL, US</t>
        </is>
      </c>
      <c r="H13" s="1" t="n">
        <v>46068</v>
      </c>
      <c r="I13" t="inlineStr">
        <is>
          <t>The salary range for this position is $50\.60 \- $65\.78 (Hourly Rate)  
Placement within the salary range is dependent on several factors such as relevant work experience and internal equity. For positions represented by a labor union, placement within the salary range is guided by the rules outlined in the collective bargaining agreement.  
We offer a wide range of benefits that provide employees with tools and resources to improve their physical, emotional, and financial well\-being while providing protection for unexpected life events. Please visit our Benefits section located at jobs.nm.org/benefits to learn more.  
Northwestern Medicine is powered by a community of colleagues who are purpose\-driven and committed to our mission to deliver world\-class care. Here, you'll work alongside some of the best clinical talent in the nation leading the way in medical innovation and breakthrough research with Northwestern University Feinberg School of Medicine.  
We recognize where you've been, and we support where you're headed. We celebrate diverse perspectives and experiences, which fuel our commitment to equity and culture of service.  
Grow your career with comprehensive training and development opportunities, mentorship programs, educational support and student loan repayment.  
Create the life you envision for yourself with flexible work options, a Reimbursable Well\-Being Fund and a Total Rewards package that support your physical, mental, emotional, and financial well\-being.  
Make a difference through volunteer opportunities we offer in local communities and drive inclusive change through our workforce\-led resource groups.  
From discovery to delivery, come help us shape the future of medicine.  
**Benefits:**
* $10,000 Tuition Reimbursement per year ($5,700 part\-time)
* $10,000 Student Loan Repayment ($5,000 part\-time)
* $1,000 Professional Development per year ($500 part\-time)
* $250 Wellbeing Fund per year ($125 for part\-time)
* Matching 401(k)
* Excellent medical, dental and vision coverage
* Life insurance
* Annual Employee Salary Increase and Incentive Bonus
* Paid time off and Holiday pay
**Description**
The **Program Manager, Quality** reflects the mission, vision, and values of Northwestern Medicine, adheres to the organization’s Code of Ethics and Corporate Compliance Program, and complies with all relevant policies, procedures, guidelines and all other regulatory and accreditation standards.
The Program Manager, Quality is responsible for planning and coordinating all or a portion of the overall operations of the Quality program for a specific operating unit at the direction of the Director of Quality. This role coordinates and leads the quality endeavor, coordinates with peers, and is responsible for implementation and follow up as outlined in the annual quality plan, ongoing priorities of leadership and quality committees, and compliance with relevant standards monitored by The Joint Commission (TJC) and other agencies. This position will advance the use of quality evaluation and improvement strategies to achieve key organizational goals in quality and patient safety. The Program Manager partners with administrative, physician, nursing, ancillary leadership and other system function teams to advance the quality agenda through the development and implementation of plans and strategies that facilitate the achievement of strategic organizational goals.
**Responsibilities:**
* **Implement effective quality planning**
	+ Design quality plans, programs and policies, peer review, and best practices in partnership with senior medical and operational leaders.
	+ Lead the department to identify quality opportunities and concerns, in collaboration with the Director of Quality.
	+ Facilitate the implementation of systems and processes that promote a fair and just culture, and improve patient care.
* **Provide leadership and operational implementation of assigned Clinical Quality activities**
	+ Conduct detailed, sophisticated, accurate and creative analyses of data at NMHC and outside NMHC (e.g. benchmarks, comparative data) to identify quality opportunities.
	+ Develop, conduct, implement and improve process improvement activities to improve high quality \&amp; high\-reliability healthcare.
	+ Identify and utilize appropriate quality metrics to evaluate project or performance success based on stated purpose and needed outcomes.
	+ Advance performance compared to appropriate external benchmarks and optimize process and outcome metrics.
	+ Coordinate organizational responses to regulatory standards related to quality such as Joint Commission, CMS QAPI, etc.
	+ Provide oversight for CMS data submission and ensure compliance with all CMS data requirements (e.g. validation, etc.)
* **Support NM quality program**
	+ Share quality activities across NMHC and coordinate collaborative NMHC quality efforts as assigned.
	+ Participate in the development, review, and revision of policies and procedures that affect quality.
	+ Maintain collaborative relationships with other departments including, but not limited to, Accreditation and Compliance, Risk Management, Patient Safety, Process Improvement, Clinical Documentation, and Nursing, Medical Staff, Pharmacy, and other disciplines.
	+ Continuously evaluate and improve the quality program based on internal needs and external requirements and standards.
* **Support effective department operations and growth, and personal development**
	+ Support, coach, teach, mentor, monitor and evaluate the work of others conducting quality work (as directed) and personally conduct, coordinate, facilitate, and participate in quality assessments, improvement efforts, committees, etc.
	+ Assist Director to recruit, manage, mentor, coach, and develop staff to optimal professional effectiveness and engagement.
	+ Oversee effective use of budget and other resources as delegated. Will supervise projects with organizational impact, and intermittent staff assignments.
	+ Responsible for self\-development and professional engagement, including knowledge of the literature and attendance at professional meetings, preparation of manuscripts, posters and presentations, involvement of with local and national task forces as relevant.
 **Qualifications**
**Required:**
* Bachelor’s degree in Nursing or Allied Health Profession or a Master’s degree in a healthcare related field
* 5\+ years of work experience, with 4\+ years in a healthcare setting, and 3\+ years of quality, patient safety, or relevant experience
* Advanced competence with Excel and data analysis
* Mastery of performance improvement methodologies (i.e. DMAIC), analytic tools and methods, including implementation with measurable results
* Highly effective and experienced at facilitation of teams including complex multi\-disciplinary projects
* Knowledgeable and skilled at managing disparate perspectives and conflict
* Excellent writing and presentation skills
* Expert knowledge of quality and patient safety, quality measures and measurement, relevant statistical tools, and associated methodologies (e.g., RCA, FMEA, DMAIC, and NM Toolkit).
**Preferred****:**
* Master’s degree
* Certified Professional in Healthcare Quality (CPHQ) or Certified Professional in Patient Safety (CPPS) or other evidence of advanced commitment to profession.
* Familiarity with major sources of measures, literature, and quality\- and patient\-safety\-related federal and state policy.
* Experience with clinical outcomes, safety, and patient satisfaction data
**Equal Opportunity**
Northwestern Medicine is an equal opportunity employer (disability, VETS) and does not discriminate in hiring or employment on the basis of age, sex, race, color, religion, national origin, gender identity, veteran status, disability, sexual orientation or any other protected status.
**Background Check**
Northwestern Medicine conducts a background check that includes criminal history on newly hired team members and, at times, internal transfers. If you are offered a position with us, you will be required to complete an authorization and disclosure form that gives Northwestern Medicine permission to run the background check. Results are evaluated on a case\-by\-case basis, and we follow all local, state, and federal laws, including the Illinois Health Care Worker Background Check Act.
**Artificial Intelligence Disclosure**
Artificial Intelligence (AI) tools may be used in some portions of the candidate review process for this position, however, all employment decisions will be made by a person.
**Benefits**
We offer a wide range of benefits that provide employees with tools and resources to improve their physical, emotional, and financial well\-being while providing protection for unexpected life events. Please visit our Benefits section to learn more.
**Sign\-on Bonus Eligibility:** Internal employees and rehires who left Northwestern Medicine within 1 year are not eligible for the sign on bonus. Exception: New graduate internal employees seeking their first licensed clinical position at NM may be eligible depending upon the job family.</t>
        </is>
      </c>
    </row>
    <row r="14">
      <c r="A14" t="inlineStr">
        <is>
          <t>in-e02b2d3cbd25aec0</t>
        </is>
      </c>
      <c r="B14" t="inlineStr">
        <is>
          <t>Product Owner</t>
        </is>
      </c>
      <c r="C14" t="inlineStr">
        <is>
          <t>Liberty Mutual Insurance</t>
        </is>
      </c>
      <c r="D14" t="inlineStr">
        <is>
          <t>indeed</t>
        </is>
      </c>
      <c r="E14" t="inlineStr"/>
      <c r="F14" t="inlineStr"/>
      <c r="G14" t="inlineStr">
        <is>
          <t>Plano, TX, US</t>
        </is>
      </c>
      <c r="H14" s="1" t="n">
        <v>46065</v>
      </c>
      <c r="I14" t="inlineStr">
        <is>
          <t>**Description**Join Liberty Mutual’s US Retail Markets Servicing Solutions portfolio as a Product Owner III supporting our servicing platform — the internal application used by service representatives and independent agents to manage and service their customers. You will own UI/experience specific capabilities our employees and independent agents rely on every day to view customer information, service policies, manage updates, and take action across the customer lifecycle. You will lead strategy and delivery for core customer management capabilities — including customer data integration, 360° customer overview experiences, profile and information management, and intelligent alerting — ensuring our servicing professionals have accurate, actionable, and streamlined tools to support customers efficiently. This is a high\-impact role operating at the center of our US retail servicing ecosystem, balancing near\-term delivery with long\-term modernization as we simplify systems and retire legacy applications.
 **Why This Role Matters**
* Critical to daily operations: The platform you support is used every day by service representatives and independent agents across US Retail Markets.
* Employee \&amp; agent experience focus: Improve the tools that power servicing workflows — reducing friction, improving data visibility, and driving efficiency.
* Strategic modernization: Help unify customer data experiences and accelerate retirement of legacy systems.
* High visibility: Regular interaction with senior leaders to align roadmap priorities and outcomes.
* Cross\-functional leadership: Partner closely with engineering, UX, research, data \&amp; analytics, architecture, and business stakeholders across Service and Distribution.
**What You’ll Own**
You will own a portfolio of customer\-centric capabilities within the servicing platform, including:
* Customer data ingestion and integration across systems
* 360° customer overview experiences
* Customer profile and information management
* Enterprise/global alerting and notifications
* Workflow enhancements that improve agent and employee productivity
* KPI definition and product health monitoring
 **Key Responsibilities**
 **Product Strategy \&amp; Roadmap**
* Define and communicate a clear product vision and multi\-quarter roadmap aligned to US Retail Markets priorities.
* Balance persona needs (internal employees and independent agents) while driving platform convergence where possible.
* Establish measurable value hypotheses and success metrics for major initiatives.
**Agile Product Ownership**
* Own and prioritize a complex backlog focused on delivering measurable operational and experience outcomes.
* Translate servicing and distribution needs into clear, testable user stories and acceptance criteria.
* Collaborate daily with engineering, design, and research to ensure delivery aligns with strategic intent.
* Participate in quarterly planning and sprint ceremonies to drive transparency and commitment alignment.
**Data \&amp; Performance Management**
* Define and monitor product\-level KPIs tied to efficiency, usability, and servicing outcomes.
* Partner with analytics teams to measure value realization and inform prioritization decisions.
* Proactively identify ecosystem risks and opportunities across interconnected systems.
**Stakeholder Engagement**
* Represent the voice of service representatives and independent agents within the Agile team.
* Lead alignment conversations across Service, Distribution, and Technology stakeholders.
* Communicate roadmap trade\-offs, dependencies, and impacts clearly to technical and executive audiences.
 **Ideal Candidate Must Have**
* 5\+ years product management or product owner experience working directly with Agile delivery teams.
* Demonstrated experience owning end\-to\-end product lifecycle: vision, roadmap, backlog, and KPIs.
* Strong stakeholder management: proven ability to align cross\-functional teams and influence business and technical leaders.
* Able to write clear, testable user stories and acceptance criteria; hands\-on backlog management.
* Data\-driven decision making: experience defining product KPIs and using analytics to measure outcomes.
* Comfortable operating in ambiguity and high\-complexity environments; ability to make trade\-offs.
* Excellent written and verbal communication skills, including presenting to senior leadership.
* Experience working with research, design, and engineering to translate customer needs into intuitive UI experiences.
**Qualifications*** Advanced knowledge of Agile development methodologies as typically acquired through a Bachelors’ degree in relevant field (business, computer science, humanities etc.), 7 years in business, technology, or consulting with 5 to 7 years direct experience with agile teams
* Master's degree preferred
* High level of proven business expertise needed to set clear priorities for product and understand business value impacts
* Develops strong stakeholder relationships and influencing across multiple organizational boundaries
* Demonstrated experience leading varied audiences through the development of complex ideas, issues and designs
* Ability to lead varied audiences through census building
* Proven experience with Agile practices and expectations
* Comfortable with making decisions with some level of uncertainty
* Strong communication skills, both written and verbal
* Knowledge of insurance industry preferred
* Knowledge of relevant products and portfolio strongly preferred
* Strong experimental mindset to drive innovation amongst uncertainty and exploit market opportunities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15">
      <c r="A15" t="inlineStr">
        <is>
          <t>in-f84611fbefea73ba</t>
        </is>
      </c>
      <c r="B15" t="inlineStr">
        <is>
          <t>Product Owner</t>
        </is>
      </c>
      <c r="C15" t="inlineStr">
        <is>
          <t>Liberty Mutual Insurance</t>
        </is>
      </c>
      <c r="D15" t="inlineStr">
        <is>
          <t>indeed</t>
        </is>
      </c>
      <c r="E15" t="inlineStr"/>
      <c r="F15" t="inlineStr"/>
      <c r="G15" t="inlineStr">
        <is>
          <t>Boston, MA, US</t>
        </is>
      </c>
      <c r="H15" s="1" t="n">
        <v>46065</v>
      </c>
      <c r="I15" t="inlineStr">
        <is>
          <t>**Description**Join Liberty Mutual’s US Retail Markets Servicing Solutions portfolio as a Product Owner III supporting our servicing platform — the internal application used by service representatives and independent agents to manage and service their customers. You will own UI/experience specific capabilities our employees and independent agents rely on every day to view customer information, service policies, manage updates, and take action across the customer lifecycle. You will lead strategy and delivery for core customer management capabilities — including customer data integration, 360° customer overview experiences, profile and information management, and intelligent alerting — ensuring our servicing professionals have accurate, actionable, and streamlined tools to support customers efficiently. This is a high\-impact role operating at the center of our US retail servicing ecosystem, balancing near\-term delivery with long\-term modernization as we simplify systems and retire legacy applications.
 **Why This Role Matters**
* Critical to daily operations: The platform you support is used every day by service representatives and independent agents across US Retail Markets.
* Employee \&amp; agent experience focus: Improve the tools that power servicing workflows — reducing friction, improving data visibility, and driving efficiency.
* Strategic modernization: Help unify customer data experiences and accelerate retirement of legacy systems.
* High visibility: Regular interaction with senior leaders to align roadmap priorities and outcomes.
* Cross\-functional leadership: Partner closely with engineering, UX, research, data \&amp; analytics, architecture, and business stakeholders across Service and Distribution.
**What You’ll Own**
You will own a portfolio of customer\-centric capabilities within the servicing platform, including:
* Customer data ingestion and integration across systems
* 360° customer overview experiences
* Customer profile and information management
* Enterprise/global alerting and notifications
* Workflow enhancements that improve agent and employee productivity
* KPI definition and product health monitoring
 **Key Responsibilities**
 **Product Strategy \&amp; Roadmap**
* Define and communicate a clear product vision and multi\-quarter roadmap aligned to US Retail Markets priorities.
* Balance persona needs (internal employees and independent agents) while driving platform convergence where possible.
* Establish measurable value hypotheses and success metrics for major initiatives.
**Agile Product Ownership**
* Own and prioritize a complex backlog focused on delivering measurable operational and experience outcomes.
* Translate servicing and distribution needs into clear, testable user stories and acceptance criteria.
* Collaborate daily with engineering, design, and research to ensure delivery aligns with strategic intent.
* Participate in quarterly planning and sprint ceremonies to drive transparency and commitment alignment.
**Data \&amp; Performance Management**
* Define and monitor product\-level KPIs tied to efficiency, usability, and servicing outcomes.
* Partner with analytics teams to measure value realization and inform prioritization decisions.
* Proactively identify ecosystem risks and opportunities across interconnected systems.
**Stakeholder Engagement**
* Represent the voice of service representatives and independent agents within the Agile team.
* Lead alignment conversations across Service, Distribution, and Technology stakeholders.
* Communicate roadmap trade\-offs, dependencies, and impacts clearly to technical and executive audiences.
 **Ideal Candidate Must Have**
* 5\+ years product management or product owner experience working directly with Agile delivery teams.
* Demonstrated experience owning end\-to\-end product lifecycle: vision, roadmap, backlog, and KPIs.
* Strong stakeholder management: proven ability to align cross\-functional teams and influence business and technical leaders.
* Able to write clear, testable user stories and acceptance criteria; hands\-on backlog management.
* Data\-driven decision making: experience defining product KPIs and using analytics to measure outcomes.
* Comfortable operating in ambiguity and high\-complexity environments; ability to make trade\-offs.
* Excellent written and verbal communication skills, including presenting to senior leadership.
* Experience working with research, design, and engineering to translate customer needs into intuitive UI experiences.
**Qualifications*** Advanced knowledge of Agile development methodologies as typically acquired through a Bachelors’ degree in relevant field (business, computer science, humanities etc.), 7 years in business, technology, or consulting with 5 to 7 years direct experience with agile teams
* Master's degree preferred
* High level of proven business expertise needed to set clear priorities for product and understand business value impacts
* Develops strong stakeholder relationships and influencing across multiple organizational boundaries
* Demonstrated experience leading varied audiences through the development of complex ideas, issues and designs
* Ability to lead varied audiences through census building
* Proven experience with Agile practices and expectations
* Comfortable with making decisions with some level of uncertainty
* Strong communication skills, both written and verbal
* Knowledge of insurance industry preferred
* Knowledge of relevant products and portfolio strongly preferred
* Strong experimental mindset to drive innovation amongst uncertainty and exploit market opportunities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16">
      <c r="A16" t="inlineStr">
        <is>
          <t>in-b72dfa21cf6968dd</t>
        </is>
      </c>
      <c r="B16" t="inlineStr">
        <is>
          <t>Product Owner</t>
        </is>
      </c>
      <c r="C16" t="inlineStr">
        <is>
          <t>Liberty Mutual Insurance</t>
        </is>
      </c>
      <c r="D16" t="inlineStr">
        <is>
          <t>indeed</t>
        </is>
      </c>
      <c r="E16" t="inlineStr"/>
      <c r="F16" t="inlineStr"/>
      <c r="G16" t="inlineStr">
        <is>
          <t>Seattle, WA, US</t>
        </is>
      </c>
      <c r="H16" s="1" t="n">
        <v>46065</v>
      </c>
      <c r="I16" t="inlineStr">
        <is>
          <t>**Description**Join Liberty Mutual’s US Retail Markets Servicing Solutions portfolio as a Product Owner III supporting our servicing platform — the internal application used by service representatives and independent agents to manage and service their customers. You will own UI/experience specific capabilities our employees and independent agents rely on every day to view customer information, service policies, manage updates, and take action across the customer lifecycle. You will lead strategy and delivery for core customer management capabilities — including customer data integration, 360° customer overview experiences, profile and information management, and intelligent alerting — ensuring our servicing professionals have accurate, actionable, and streamlined tools to support customers efficiently. This is a high\-impact role operating at the center of our US retail servicing ecosystem, balancing near\-term delivery with long\-term modernization as we simplify systems and retire legacy applications.
 **Why This Role Matters**
* Critical to daily operations: The platform you support is used every day by service representatives and independent agents across US Retail Markets.
* Employee \&amp; agent experience focus: Improve the tools that power servicing workflows — reducing friction, improving data visibility, and driving efficiency.
* Strategic modernization: Help unify customer data experiences and accelerate retirement of legacy systems.
* High visibility: Regular interaction with senior leaders to align roadmap priorities and outcomes.
* Cross\-functional leadership: Partner closely with engineering, UX, research, data \&amp; analytics, architecture, and business stakeholders across Service and Distribution.
**What You’ll Own**
You will own a portfolio of customer\-centric capabilities within the servicing platform, including:
* Customer data ingestion and integration across systems
* 360° customer overview experiences
* Customer profile and information management
* Enterprise/global alerting and notifications
* Workflow enhancements that improve agent and employee productivity
* KPI definition and product health monitoring
 **Key Responsibilities**
 **Product Strategy \&amp; Roadmap**
* Define and communicate a clear product vision and multi\-quarter roadmap aligned to US Retail Markets priorities.
* Balance persona needs (internal employees and independent agents) while driving platform convergence where possible.
* Establish measurable value hypotheses and success metrics for major initiatives.
**Agile Product Ownership**
* Own and prioritize a complex backlog focused on delivering measurable operational and experience outcomes.
* Translate servicing and distribution needs into clear, testable user stories and acceptance criteria.
* Collaborate daily with engineering, design, and research to ensure delivery aligns with strategic intent.
* Participate in quarterly planning and sprint ceremonies to drive transparency and commitment alignment.
**Data \&amp; Performance Management**
* Define and monitor product\-level KPIs tied to efficiency, usability, and servicing outcomes.
* Partner with analytics teams to measure value realization and inform prioritization decisions.
* Proactively identify ecosystem risks and opportunities across interconnected systems.
**Stakeholder Engagement**
* Represent the voice of service representatives and independent agents within the Agile team.
* Lead alignment conversations across Service, Distribution, and Technology stakeholders.
* Communicate roadmap trade\-offs, dependencies, and impacts clearly to technical and executive audiences.
 **Ideal Candidate Must Have**
* 5\+ years product management or product owner experience working directly with Agile delivery teams.
* Demonstrated experience owning end\-to\-end product lifecycle: vision, roadmap, backlog, and KPIs.
* Strong stakeholder management: proven ability to align cross\-functional teams and influence business and technical leaders.
* Able to write clear, testable user stories and acceptance criteria; hands\-on backlog management.
* Data\-driven decision making: experience defining product KPIs and using analytics to measure outcomes.
* Comfortable operating in ambiguity and high\-complexity environments; ability to make trade\-offs.
* Excellent written and verbal communication skills, including presenting to senior leadership.
* Experience working with research, design, and engineering to translate customer needs into intuitive UI experiences.
**Qualifications*** Advanced knowledge of Agile development methodologies as typically acquired through a Bachelors’ degree in relevant field (business, computer science, humanities etc.), 7 years in business, technology, or consulting with 5 to 7 years direct experience with agile teams
* Master's degree preferred
* High level of proven business expertise needed to set clear priorities for product and understand business value impacts
* Develops strong stakeholder relationships and influencing across multiple organizational boundaries
* Demonstrated experience leading varied audiences through the development of complex ideas, issues and designs
* Ability to lead varied audiences through census building
* Proven experience with Agile practices and expectations
* Comfortable with making decisions with some level of uncertainty
* Strong communication skills, both written and verbal
* Knowledge of insurance industry preferred
* Knowledge of relevant products and portfolio strongly preferred
* Strong experimental mindset to drive innovation amongst uncertainty and exploit market opportunities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17">
      <c r="A17" t="inlineStr">
        <is>
          <t>in-2c2a50806c6d648f</t>
        </is>
      </c>
      <c r="B17" t="inlineStr">
        <is>
          <t>Product Owner</t>
        </is>
      </c>
      <c r="C17" t="inlineStr">
        <is>
          <t>Liberty Mutual Insurance</t>
        </is>
      </c>
      <c r="D17" t="inlineStr">
        <is>
          <t>indeed</t>
        </is>
      </c>
      <c r="E17" t="inlineStr"/>
      <c r="F17" t="inlineStr"/>
      <c r="G17" t="inlineStr">
        <is>
          <t>Indianapolis, IN, US</t>
        </is>
      </c>
      <c r="H17" s="1" t="n">
        <v>46065</v>
      </c>
      <c r="I17" t="inlineStr">
        <is>
          <t>**Description**Join Liberty Mutual’s US Retail Markets Servicing Solutions portfolio as a Product Owner III supporting our servicing platform — the internal application used by service representatives and independent agents to manage and service their customers. You will own UI/experience specific capabilities our employees and independent agents rely on every day to view customer information, service policies, manage updates, and take action across the customer lifecycle. You will lead strategy and delivery for core customer management capabilities — including customer data integration, 360° customer overview experiences, profile and information management, and intelligent alerting — ensuring our servicing professionals have accurate, actionable, and streamlined tools to support customers efficiently. This is a high\-impact role operating at the center of our US retail servicing ecosystem, balancing near\-term delivery with long\-term modernization as we simplify systems and retire legacy applications.
 **Why This Role Matters**
* Critical to daily operations: The platform you support is used every day by service representatives and independent agents across US Retail Markets.
* Employee \&amp; agent experience focus: Improve the tools that power servicing workflows — reducing friction, improving data visibility, and driving efficiency.
* Strategic modernization: Help unify customer data experiences and accelerate retirement of legacy systems.
* High visibility: Regular interaction with senior leaders to align roadmap priorities and outcomes.
* Cross\-functional leadership: Partner closely with engineering, UX, research, data \&amp; analytics, architecture, and business stakeholders across Service and Distribution.
**What You’ll Own**
You will own a portfolio of customer\-centric capabilities within the servicing platform, including:
* Customer data ingestion and integration across systems
* 360° customer overview experiences
* Customer profile and information management
* Enterprise/global alerting and notifications
* Workflow enhancements that improve agent and employee productivity
* KPI definition and product health monitoring
 **Key Responsibilities**
 **Product Strategy \&amp; Roadmap**
* Define and communicate a clear product vision and multi\-quarter roadmap aligned to US Retail Markets priorities.
* Balance persona needs (internal employees and independent agents) while driving platform convergence where possible.
* Establish measurable value hypotheses and success metrics for major initiatives.
**Agile Product Ownership**
* Own and prioritize a complex backlog focused on delivering measurable operational and experience outcomes.
* Translate servicing and distribution needs into clear, testable user stories and acceptance criteria.
* Collaborate daily with engineering, design, and research to ensure delivery aligns with strategic intent.
* Participate in quarterly planning and sprint ceremonies to drive transparency and commitment alignment.
**Data \&amp; Performance Management**
* Define and monitor product\-level KPIs tied to efficiency, usability, and servicing outcomes.
* Partner with analytics teams to measure value realization and inform prioritization decisions.
* Proactively identify ecosystem risks and opportunities across interconnected systems.
**Stakeholder Engagement**
* Represent the voice of service representatives and independent agents within the Agile team.
* Lead alignment conversations across Service, Distribution, and Technology stakeholders.
* Communicate roadmap trade\-offs, dependencies, and impacts clearly to technical and executive audiences.
 **Ideal Candidate Must Have**
* 5\+ years product management or product owner experience working directly with Agile delivery teams.
* Demonstrated experience owning end\-to\-end product lifecycle: vision, roadmap, backlog, and KPIs.
* Strong stakeholder management: proven ability to align cross\-functional teams and influence business and technical leaders.
* Able to write clear, testable user stories and acceptance criteria; hands\-on backlog management.
* Data\-driven decision making: experience defining product KPIs and using analytics to measure outcomes.
* Comfortable operating in ambiguity and high\-complexity environments; ability to make trade\-offs.
* Excellent written and verbal communication skills, including presenting to senior leadership.
* Experience working with research, design, and engineering to translate customer needs into intuitive UI experiences.
**Qualifications*** Advanced knowledge of Agile development methodologies as typically acquired through a Bachelors’ degree in relevant field (business, computer science, humanities etc.), 7 years in business, technology, or consulting with 5 to 7 years direct experience with agile teams
* Master's degree preferred
* High level of proven business expertise needed to set clear priorities for product and understand business value impacts
* Develops strong stakeholder relationships and influencing across multiple organizational boundaries
* Demonstrated experience leading varied audiences through the development of complex ideas, issues and designs
* Ability to lead varied audiences through census building
* Proven experience with Agile practices and expectations
* Comfortable with making decisions with some level of uncertainty
* Strong communication skills, both written and verbal
* Knowledge of insurance industry preferred
* Knowledge of relevant products and portfolio strongly preferred
* Strong experimental mindset to drive innovation amongst uncertainty and exploit market opportunities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18">
      <c r="A18" t="inlineStr">
        <is>
          <t>in-6832307e99961676</t>
        </is>
      </c>
      <c r="B18" t="inlineStr">
        <is>
          <t>Product Owner</t>
        </is>
      </c>
      <c r="C18" t="inlineStr">
        <is>
          <t>Liberty Mutual Insurance</t>
        </is>
      </c>
      <c r="D18" t="inlineStr">
        <is>
          <t>indeed</t>
        </is>
      </c>
      <c r="E18" t="inlineStr"/>
      <c r="F18" t="inlineStr"/>
      <c r="G18" t="inlineStr">
        <is>
          <t>Portsmouth, NH, US</t>
        </is>
      </c>
      <c r="H18" s="1" t="n">
        <v>46065</v>
      </c>
      <c r="I18" t="inlineStr">
        <is>
          <t>**Description**Join Liberty Mutual’s US Retail Markets Servicing Solutions portfolio as a Product Owner III supporting our servicing platform — the internal application used by service representatives and independent agents to manage and service their customers. You will own UI/experience specific capabilities our employees and independent agents rely on every day to view customer information, service policies, manage updates, and take action across the customer lifecycle. You will lead strategy and delivery for core customer management capabilities — including customer data integration, 360° customer overview experiences, profile and information management, and intelligent alerting — ensuring our servicing professionals have accurate, actionable, and streamlined tools to support customers efficiently. This is a high\-impact role operating at the center of our US retail servicing ecosystem, balancing near\-term delivery with long\-term modernization as we simplify systems and retire legacy applications.
 **Why This Role Matters**
* Critical to daily operations: The platform you support is used every day by service representatives and independent agents across US Retail Markets.
* Employee \&amp; agent experience focus: Improve the tools that power servicing workflows — reducing friction, improving data visibility, and driving efficiency.
* Strategic modernization: Help unify customer data experiences and accelerate retirement of legacy systems.
* High visibility: Regular interaction with senior leaders to align roadmap priorities and outcomes.
* Cross\-functional leadership: Partner closely with engineering, UX, research, data \&amp; analytics, architecture, and business stakeholders across Service and Distribution.
**What You’ll Own**
You will own a portfolio of customer\-centric capabilities within the servicing platform, including:
* Customer data ingestion and integration across systems
* 360° customer overview experiences
* Customer profile and information management
* Enterprise/global alerting and notifications
* Workflow enhancements that improve agent and employee productivity
* KPI definition and product health monitoring
 **Key Responsibilities**
 **Product Strategy \&amp; Roadmap**
* Define and communicate a clear product vision and multi\-quarter roadmap aligned to US Retail Markets priorities.
* Balance persona needs (internal employees and independent agents) while driving platform convergence where possible.
* Establish measurable value hypotheses and success metrics for major initiatives.
**Agile Product Ownership**
* Own and prioritize a complex backlog focused on delivering measurable operational and experience outcomes.
* Translate servicing and distribution needs into clear, testable user stories and acceptance criteria.
* Collaborate daily with engineering, design, and research to ensure delivery aligns with strategic intent.
* Participate in quarterly planning and sprint ceremonies to drive transparency and commitment alignment.
**Data \&amp; Performance Management**
* Define and monitor product\-level KPIs tied to efficiency, usability, and servicing outcomes.
* Partner with analytics teams to measure value realization and inform prioritization decisions.
* Proactively identify ecosystem risks and opportunities across interconnected systems.
**Stakeholder Engagement**
* Represent the voice of service representatives and independent agents within the Agile team.
* Lead alignment conversations across Service, Distribution, and Technology stakeholders.
* Communicate roadmap trade\-offs, dependencies, and impacts clearly to technical and executive audiences.
 **Ideal Candidate Must Have**
* 5\+ years product management or product owner experience working directly with Agile delivery teams.
* Demonstrated experience owning end\-to\-end product lifecycle: vision, roadmap, backlog, and KPIs.
* Strong stakeholder management: proven ability to align cross\-functional teams and influence business and technical leaders.
* Able to write clear, testable user stories and acceptance criteria; hands\-on backlog management.
* Data\-driven decision making: experience defining product KPIs and using analytics to measure outcomes.
* Comfortable operating in ambiguity and high\-complexity environments; ability to make trade\-offs.
* Excellent written and verbal communication skills, including presenting to senior leadership.
* Experience working with research, design, and engineering to translate customer needs into intuitive UI experiences.
**Qualifications*** Advanced knowledge of Agile development methodologies as typically acquired through a Bachelors’ degree in relevant field (business, computer science, humanities etc.), 7 years in business, technology, or consulting with 5 to 7 years direct experience with agile teams
* Master's degree preferred
* High level of proven business expertise needed to set clear priorities for product and understand business value impacts
* Develops strong stakeholder relationships and influencing across multiple organizational boundaries
* Demonstrated experience leading varied audiences through the development of complex ideas, issues and designs
* Ability to lead varied audiences through census building
* Proven experience with Agile practices and expectations
* Comfortable with making decisions with some level of uncertainty
* Strong communication skills, both written and verbal
* Knowledge of insurance industry preferred
* Knowledge of relevant products and portfolio strongly preferred
* Strong experimental mindset to drive innovation amongst uncertainty and exploit market opportunities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19">
      <c r="A19" t="inlineStr">
        <is>
          <t>in-b8585378c1128ed4</t>
        </is>
      </c>
      <c r="B19" t="inlineStr">
        <is>
          <t>Product Owner</t>
        </is>
      </c>
      <c r="C19" t="inlineStr">
        <is>
          <t>Liberty Mutual Insurance</t>
        </is>
      </c>
      <c r="D19" t="inlineStr">
        <is>
          <t>indeed</t>
        </is>
      </c>
      <c r="E19" t="inlineStr"/>
      <c r="F19" t="inlineStr"/>
      <c r="G19" t="inlineStr">
        <is>
          <t>Remote, US</t>
        </is>
      </c>
      <c r="H19" s="1" t="n">
        <v>46065</v>
      </c>
      <c r="I19" t="inlineStr">
        <is>
          <t>**Description**Join Liberty Mutual’s US Retail Markets Servicing Solutions portfolio as a Product Owner III supporting our servicing platform — the internal application used by service representatives and independent agents to manage and service their customers. You will own UI/experience specific capabilities our employees and independent agents rely on every day to view customer information, service policies, manage updates, and take action across the customer lifecycle. You will lead strategy and delivery for core customer management capabilities — including customer data integration, 360° customer overview experiences, profile and information management, and intelligent alerting — ensuring our servicing professionals have accurate, actionable, and streamlined tools to support customers efficiently. This is a high\-impact role operating at the center of our US retail servicing ecosystem, balancing near\-term delivery with long\-term modernization as we simplify systems and retire legacy applications.
 **Why This Role Matters**
* Critical to daily operations: The platform you support is used every day by service representatives and independent agents across US Retail Markets.
* Employee \&amp; agent experience focus: Improve the tools that power servicing workflows — reducing friction, improving data visibility, and driving efficiency.
* Strategic modernization: Help unify customer data experiences and accelerate retirement of legacy systems.
* High visibility: Regular interaction with senior leaders to align roadmap priorities and outcomes.
* Cross\-functional leadership: Partner closely with engineering, UX, research, data \&amp; analytics, architecture, and business stakeholders across Service and Distribution.
**What You’ll Own**
You will own a portfolio of customer\-centric capabilities within the servicing platform, including:
* Customer data ingestion and integration across systems
* 360° customer overview experiences
* Customer profile and information management
* Enterprise/global alerting and notifications
* Workflow enhancements that improve agent and employee productivity
* KPI definition and product health monitoring
 **Key Responsibilities**
 **Product Strategy \&amp; Roadmap**
* Define and communicate a clear product vision and multi\-quarter roadmap aligned to US Retail Markets priorities.
* Balance persona needs (internal employees and independent agents) while driving platform convergence where possible.
* Establish measurable value hypotheses and success metrics for major initiatives.
**Agile Product Ownership**
* Own and prioritize a complex backlog focused on delivering measurable operational and experience outcomes.
* Translate servicing and distribution needs into clear, testable user stories and acceptance criteria.
* Collaborate daily with engineering, design, and research to ensure delivery aligns with strategic intent.
* Participate in quarterly planning and sprint ceremonies to drive transparency and commitment alignment.
**Data \&amp; Performance Management**
* Define and monitor product\-level KPIs tied to efficiency, usability, and servicing outcomes.
* Partner with analytics teams to measure value realization and inform prioritization decisions.
* Proactively identify ecosystem risks and opportunities across interconnected systems.
**Stakeholder Engagement**
* Represent the voice of service representatives and independent agents within the Agile team.
* Lead alignment conversations across Service, Distribution, and Technology stakeholders.
* Communicate roadmap trade\-offs, dependencies, and impacts clearly to technical and executive audiences.
 **Ideal Candidate Must Have**
* 5\+ years product management or product owner experience working directly with Agile delivery teams.
* Demonstrated experience owning end\-to\-end product lifecycle: vision, roadmap, backlog, and KPIs.
* Strong stakeholder management: proven ability to align cross\-functional teams and influence business and technical leaders.
* Able to write clear, testable user stories and acceptance criteria; hands\-on backlog management.
* Data\-driven decision making: experience defining product KPIs and using analytics to measure outcomes.
* Comfortable operating in ambiguity and high\-complexity environments; ability to make trade\-offs.
* Excellent written and verbal communication skills, including presenting to senior leadership.
* Experience working with research, design, and engineering to translate customer needs into intuitive UI experiences.
**Qualifications*** Advanced knowledge of Agile development methodologies as typically acquired through a Bachelors’ degree in relevant field (business, computer science, humanities etc.), 7 years in business, technology, or consulting with 5 to 7 years direct experience with agile teams
* Master's degree preferred
* High level of proven business expertise needed to set clear priorities for product and understand business value impacts
* Develops strong stakeholder relationships and influencing across multiple organizational boundaries
* Demonstrated experience leading varied audiences through the development of complex ideas, issues and designs
* Ability to lead varied audiences through census building
* Proven experience with Agile practices and expectations
* Comfortable with making decisions with some level of uncertainty
* Strong communication skills, both written and verbal
* Knowledge of insurance industry preferred
* Knowledge of relevant products and portfolio strongly preferred
* Strong experimental mindset to drive innovation amongst uncertainty and exploit market opportunities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20">
      <c r="A20" t="inlineStr">
        <is>
          <t>in-df813964a9bf3404</t>
        </is>
      </c>
      <c r="B20" t="inlineStr">
        <is>
          <t>Senior Product Manager, Tech, Partner-Branded FTV, FireTV Devices</t>
        </is>
      </c>
      <c r="C20" t="inlineStr">
        <is>
          <t>Amazon.com</t>
        </is>
      </c>
      <c r="D20" t="inlineStr">
        <is>
          <t>indeed</t>
        </is>
      </c>
      <c r="E20" t="inlineStr"/>
      <c r="F20" t="inlineStr"/>
      <c r="G20" t="inlineStr">
        <is>
          <t>San Francisco, CA, US</t>
        </is>
      </c>
      <c r="H20" s="1" t="n">
        <v>46008</v>
      </c>
      <c r="I20" t="inlineStr">
        <is>
          <t>**DESCRIPTION**
---------------
Are you passionate about building scaling platforms to power millions of smart TVs from many leading global brands? Amazon's Fire TV organization is seeking an experienced Senior Product Manager to join our team driving reference solutions and platform product\-tech.  
Join us as we set the scene for what's next in TV.  
Key job responsibilities  
* Understand the needs and related trends for customers, TV partners, and offline consumer electronics retailers
* Keep abreast with the technologies and trends related to TVs
* Define the product strategy for the region accounting for customers, partner and business needs
* Define the roadmap for TVs including TV line\-up, specifications, software features working backwards from customers, partners, industry and business needs
* Develop detailed, crisp business requirements and user stories that can be used to create product specifications and architecture for each product and application
* Work closely with engineering, program management, and QA teams to implement and deliver the product, on\-time and exceeding a high quality bar
* Drive decisions across cross\-functional teams that include engineering, UX and commercial teams.
* Drive product launches in concert with Engineering, Go to Market, operations, PR and other teams
A day in the life  
* Work with TV partners on defining the product roadmap, product requirements
* Understand business requirements and write product requirementss (BRDs/PRDs), strategy docs, and PRFAQs
* Work with engineering and other tech teams to build the product and see them through launch
* Work with go\-to\-market, business development, finance, PR and other internal teams on the launch of TVs
About the team  
We power Fire TV's expansion across the global smart TV landscape by building the enterprise tools and services that enable TV manufacturers to bring Fire TV to millions of customers. Our diverse, international team embodies Amazon's "Day 1" mindset – we're scrappy problem\-solvers who find creative ways to deliver results, but we never lose our sense of humor along the way. Whether we're streamlining factory processes in China or debugging validation tools in Bengaluru, we're laser focused on our partners' success. If you're energized by complex challenges and passionate about building tools that scale, we'd love to have you join us.**BASIC QUALIFICATIONS**
------------------------
* Bachelor's degree in computer science, engineering, math, finance, or economics
* 3\+ years of technical (software development, network development, IT, other related) experience
* Experience in taking a product from conception \&amp; definition phase through engineering design and taking it to market
* Experience working with customers, technical teams, and management to collect requirements, describe software product features, and technical designs
* 5\+ years of product management experience
**PREFERRED QUALIFICATIONS**
----------------------------
* Knowledge of engineering practices and patterns for the full software/hardware/networks development life cycle, including coding standards, code reviews, source control management, build processes, testing, certification, and livesite operations
* Experience working within teams delivering software products and features using agile methodologies
* Knowledge of the semiconductor industry, processes, technologies and key suppliers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$137,000/year in our lowest geographic market up to $236,800/year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in-94edfc75fe9e5b57</t>
        </is>
      </c>
      <c r="B21" t="inlineStr">
        <is>
          <t>Senior Product Manager, Tech, Partner-Branded FTV, FireTV Devices</t>
        </is>
      </c>
      <c r="C21" t="inlineStr">
        <is>
          <t>Amazon.com</t>
        </is>
      </c>
      <c r="D21" t="inlineStr">
        <is>
          <t>indeed</t>
        </is>
      </c>
      <c r="E21" t="inlineStr"/>
      <c r="F21" t="inlineStr"/>
      <c r="G21" t="inlineStr">
        <is>
          <t>Sunnyvale, CA, US</t>
        </is>
      </c>
      <c r="H21" s="1" t="n">
        <v>46008</v>
      </c>
      <c r="I21" t="inlineStr">
        <is>
          <t>**DESCRIPTION**
---------------
Are you passionate about building scaling platforms to power millions of smart TVs from many leading global brands? Amazon's Fire TV organization is seeking an experienced Senior Product Manager to join our team driving reference solutions and platform product\-tech.  
Join us as we set the scene for what's next in TV.  
Key job responsibilities  
* Understand the needs and related trends for customers, TV partners, and offline consumer electronics retailers
* Keep abreast with the technologies and trends related to TVs
* Define the product strategy for the region accounting for customers, partner and business needs
* Define the roadmap for TVs including TV line\-up, specifications, software features working backwards from customers, partners, industry and business needs
* Develop detailed, crisp business requirements and user stories that can be used to create product specifications and architecture for each product and application
* Work closely with engineering, program management, and QA teams to implement and deliver the product, on\-time and exceeding a high quality bar
* Drive decisions across cross\-functional teams that include engineering, UX and commercial teams.
* Drive product launches in concert with Engineering, Go to Market, operations, PR and other teams
A day in the life  
* Work with TV partners on defining the product roadmap, product requirements
* Understand business requirements and write product requirementss (BRDs/PRDs), strategy docs, and PRFAQs
* Work with engineering and other tech teams to build the product and see them through launch
* Work with go\-to\-market, business development, finance, PR and other internal teams on the launch of TVs
About the team  
We power Fire TV's expansion across the global smart TV landscape by building the enterprise tools and services that enable TV manufacturers to bring Fire TV to millions of customers. Our diverse, international team embodies Amazon's "Day 1" mindset – we're scrappy problem\-solvers who find creative ways to deliver results, but we never lose our sense of humor along the way. Whether we're streamlining factory processes in China or debugging validation tools in Bengaluru, we're laser focused on our partners' success. If you're energized by complex challenges and passionate about building tools that scale, we'd love to have you join us.**BASIC QUALIFICATIONS**
------------------------
* Bachelor's degree in computer science, engineering, math, finance, or economics
* 3\+ years of technical (software development, network development, IT, other related) experience
* Experience in taking a product from conception \&amp; definition phase through engineering design and taking it to market
* Experience working with customers, technical teams, and management to collect requirements, describe software product features, and technical designs
* 5\+ years of product management experience
**PREFERRED QUALIFICATIONS**
----------------------------
* Knowledge of engineering practices and patterns for the full software/hardware/networks development life cycle, including coding standards, code reviews, source control management, build processes, testing, certification, and livesite operations
* Experience working within teams delivering software products and features using agile methodologies
* Knowledge of the semiconductor industry, processes, technologies and key suppliers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$137,000/year in our lowest geographic market up to $236,800/year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in-5e8c8ed633997ee9</t>
        </is>
      </c>
      <c r="B22" t="inlineStr">
        <is>
          <t>Data Center Delivery - Technical Infrastructure Program Manager, One-Intake Program Team</t>
        </is>
      </c>
      <c r="C22" t="inlineStr">
        <is>
          <t>Amazon.com</t>
        </is>
      </c>
      <c r="D22" t="inlineStr">
        <is>
          <t>indeed</t>
        </is>
      </c>
      <c r="E22" t="inlineStr"/>
      <c r="F22" t="inlineStr"/>
      <c r="G22" t="inlineStr">
        <is>
          <t>Herndon, VA, US</t>
        </is>
      </c>
      <c r="H22" s="1" t="n">
        <v>46007</v>
      </c>
      <c r="I22"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In this position, you will play a key role in operational and process improvement within Amazon Web Services, where we have a history and tradition of innovative technologies and services. Reporting to the Data Center Community (DCC) organization, you will have the opportunity to partner across the global AWS Infrastructure Services organization to shape the future of the AWS profile and tempo to which we deliver.  
Data Center Community is growing the One\-Intake Program team function in scale and complexity in order to deliver NPI Readiness Milestones On Time for New Products to meet customer business requirements. The team is seeking a highly\-skilled \&amp; driven Technical Program Manager who will help drive the team toward our mission of building durable and reliable data\-informed processes within AWS Infrastructure. The ideal candidate has experience managing global Infrastructure projects/programs; developing, monitoring, and reporting project/program health metrics; leading cross\-functional teams; developing and implementing change management plans; training and mentoring performance; and driving position readiness improvement. As a Technical Program Manager within this team focused on new product launch preparation, you will work with cross\-organizational teams from Services, Hardware Engineering, Network Engineering, Software development, Capacity Planning and Data Center Operation teams to prepare for new product end to end launch readiness.  
The primary responsibilities from the Technical Program Manager include, but are not limited to, the following:
* Lead planning, execution, and delivery tasks of multiple project/programs simultaneously
* Determine process health metrics and key performance indicators and develop data visualization reports illustrating process health.
* Identify process improvement opportunities and gather user requirements with key internal customers.
* Develop and implement scalable, data\-driven process improvement/automated solutions
* Develop standard operating procedures, change/communication plans, and project/program\-level status updates
* Drive adoption with internal customers through effective change management
* Anticipate potential issues and risks, and escalate appropriately and in a timely manner
* Remain flexible to changing priorities and open to new ideas
* Keep the customer experience as the primary focus
Key job responsibilities  
Data Center Planning and Delivery is growing the One\-Intake Program function in scale and complexity in order to deliver NPI Readiness Milestones On Time for New Products to meet customer business requirements. This role will work with cross\-functional teams from Services, Engineering and Capacity Planning teams to prepare for new product launch readiness with automation and operational process in place.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The mission of the One\-Intake Program is to prepare for new product launches to the Infra ecosystem that will enable us to meet on\-time delivery to customers and not negatively impact established business and operational metrics. Through this program, we will enable Infra to close existing intake gaps, improve the ownership of new products, and enhance support from engineering, planning, and operational teams when new instances, racks, and tools are being introduced to Infra.  
**BASIC QUALIFICATIONS**
------------------------
* 3\+ years of technical infrastructure management experience
* Knowledge of best practices and emerging technologies, related to infrastructure (i.e. network, data center, hardware, software)
* Experience with varying scenarios of infrastructure builds
**PREFERRED QUALIFICATIONS**
----------------------------
* Experience with new product introduction (NPI) and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in-45640091bd44c0af</t>
        </is>
      </c>
      <c r="B23" t="inlineStr">
        <is>
          <t>Data Center Delivery - Technical Infrastructure Program Manager, One-Intake Program Team</t>
        </is>
      </c>
      <c r="C23" t="inlineStr">
        <is>
          <t>Amazon.com</t>
        </is>
      </c>
      <c r="D23" t="inlineStr">
        <is>
          <t>indeed</t>
        </is>
      </c>
      <c r="E23" t="inlineStr"/>
      <c r="F23" t="inlineStr"/>
      <c r="G23" t="inlineStr">
        <is>
          <t>Seattle, WA, US</t>
        </is>
      </c>
      <c r="H23" s="1" t="n">
        <v>46007</v>
      </c>
      <c r="I2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In this position, you will play a key role in operational and process improvement within Amazon Web Services, where we have a history and tradition of innovative technologies and services. Reporting to the Data Center Community (DCC) organization, you will have the opportunity to partner across the global AWS Infrastructure Services organization to shape the future of the AWS profile and tempo to which we deliver.  
Data Center Community is growing the One\-Intake Program team function in scale and complexity in order to deliver NPI Readiness Milestones On Time for New Products to meet customer business requirements. The team is seeking a highly\-skilled \&amp; driven Technical Program Manager who will help drive the team toward our mission of building durable and reliable data\-informed processes within AWS Infrastructure. The ideal candidate has experience managing global Infrastructure projects/programs; developing, monitoring, and reporting project/program health metrics; leading cross\-functional teams; developing and implementing change management plans; training and mentoring performance; and driving position readiness improvement. As a Technical Program Manager within this team focused on new product launch preparation, you will work with cross\-organizational teams from Services, Hardware Engineering, Network Engineering, Software development, Capacity Planning and Data Center Operation teams to prepare for new product end to end launch readiness.  
The primary responsibilities from the Technical Program Manager include, but are not limited to, the following:
* Lead planning, execution, and delivery tasks of multiple project/programs simultaneously
* Determine process health metrics and key performance indicators and develop data visualization reports illustrating process health.
* Identify process improvement opportunities and gather user requirements with key internal customers.
* Develop and implement scalable, data\-driven process improvement/automated solutions
* Develop standard operating procedures, change/communication plans, and project/program\-level status updates
* Drive adoption with internal customers through effective change management
* Anticipate potential issues and risks, and escalate appropriately and in a timely manner
* Remain flexible to changing priorities and open to new ideas
* Keep the customer experience as the primary focus
Key job responsibilities  
Data Center Planning and Delivery is growing the One\-Intake Program function in scale and complexity in order to deliver NPI Readiness Milestones On Time for New Products to meet customer business requirements. This role will work with cross\-functional teams from Services, Engineering and Capacity Planning teams to prepare for new product launch readiness with automation and operational process in place.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The mission of the One\-Intake Program is to prepare for new product launches to the Infra ecosystem that will enable us to meet on\-time delivery to customers and not negatively impact established business and operational metrics. Through this program, we will enable Infra to close existing intake gaps, improve the ownership of new products, and enhance support from engineering, planning, and operational teams when new instances, racks, and tools are being introduced to Infra.  
**BASIC QUALIFICATIONS**
------------------------
* 3\+ years of technical infrastructure management experience
* Knowledge of best practices and emerging technologies, related to infrastructure (i.e. network, data center, hardware, software)
* Experience with varying scenarios of infrastructure builds
**PREFERRED QUALIFICATIONS**
----------------------------
* Experience with new product introduction (NPI) and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in-ff40c8383a2160e7</t>
        </is>
      </c>
      <c r="B24" t="inlineStr">
        <is>
          <t>Senior Product Manager Tech, EFS</t>
        </is>
      </c>
      <c r="C24" t="inlineStr">
        <is>
          <t>Amazon Web Services</t>
        </is>
      </c>
      <c r="D24" t="inlineStr">
        <is>
          <t>indeed</t>
        </is>
      </c>
      <c r="E24" t="inlineStr"/>
      <c r="F24" t="inlineStr"/>
      <c r="G24" t="inlineStr">
        <is>
          <t>Boston, MA, US</t>
        </is>
      </c>
      <c r="H24" s="1" t="n">
        <v>46001</v>
      </c>
      <c r="I24" t="inlineStr">
        <is>
          <t>**DESCRIPTION**
---------------
Amazon EFS (Elastic File System) is looking for a dynamic and seasoned product leader to help define and build the future of cloud\-based file storage. Customers around the world rely on Amazon EFS to provide scalable, elastic, high\-performance, secure, and cost\-effective shared file storage to support their growing infrastructure needs. Within EFS, you will work with a team that delivers fully managed, cloud\-native file storage services with diverse customers ranging from startups to well\-known enterprises. As a member of the broader Storage Services Product Management team, you'll join other highly respected product and engineering leaders to create the future of cloud file storage.  
Key job responsibilities  
We are looking for a senior product manager who will own and drive product management across the Amazon EFS portfolio, including performance modes, throughput modes, storage classes, lifecycle management, and integration with other AWS services. You will be responsible for end\-to\-end ownership of current and new features targeting a broad spectrum of file storage workloads (ex: content management, web serving, data analytics, machine learning training, home directories, container storage, etc.) across mission critical, enterprise, machine learning, and emerging domains. You will work on defining the roadmap for new products and features at the intersection of file storage and cloud technologies (ex: NFS protocol enhancements, performance optimization, data durability, replication, encryption, intelligent tiering, etc.) to help meet critical customer requirements, incentivize new migrations to AWS, and help drive the overall business. You will have strong ownership over portfolio strategy, product definition, feature prioritization, messaging, pricing, adoption, customer interaction, sales enablement, and team development. You will also identify and drive operational improvements and cost reductions.  
Working closely with and across agile teams, you will be able to see and feel the impact of your work on our customers. This is a high visibility and high impact role that will interact with all levels of AWS leadership.  
The ideal candidate is excited about the incredible opportunity cloud computing represents and is deeply passionate about working with great teams that deliver the highest quality services. You are naturally customer centric and thrive in a fast\-paced environment that requires strong technical and business judgment and solid communication skills.  
About the team  
About AWS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of technical product management with internet business experience
* 5\+ years of technical (software development, network development, IT, other related) experience
* 5\+ years of working as a Technical Product Manager experience
* 7\+ years of full product life cycle experience
* 5\+ years of P\&amp;L management and pricing experience
* 5\+ years of creating written docs for development of new products experience
* Bachelor's degree in a quantitative/technical field such as computer science, engineering, statistics
* Experience in taking a product from conception \&amp; definition phase through engineering design and taking it to market
* Experience delivering large\-scale SaaS, PaaS or LaaS products where you are responsible for the full product lifecycle, from concept through GTM (go to market)
**PREFERRED QUALIFICATIONS**
----------------------------
* Knowledge of engineering practices and patterns for the full software/hardware/networks development life cycle, including coding standards, code reviews, source control management, build processes, testing, certification, and livesite operations
* Experience working within teams delivering software products and features using agile methodologies
* Experience working with customers, technical teams, and management to collect requirements, describe software product features, and technical designs
* product management experience preferably with IT Infrastructure including storage, file systems, networking and/or Internet business experience.
* · Knowledge of file storage workloads, file system protocols (NFS, SMB), distributed file systems, and cloud storage architectures
* · Knowledge of file storage performance optimization, caching strategies, and storage tiering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$137,000/year in our lowest geographic market up to $236,800/year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in-b7e5add2b6335387</t>
        </is>
      </c>
      <c r="B25" t="inlineStr">
        <is>
          <t>Global Signage &amp; Wayfinding Designer Program Manager, Workplace Design &amp; Construction (WD&amp;C)</t>
        </is>
      </c>
      <c r="C25" t="inlineStr">
        <is>
          <t>Amazon.com</t>
        </is>
      </c>
      <c r="D25" t="inlineStr">
        <is>
          <t>indeed</t>
        </is>
      </c>
      <c r="E25" t="inlineStr"/>
      <c r="F25" t="inlineStr"/>
      <c r="G25" t="inlineStr">
        <is>
          <t>Arlington, VA, US</t>
        </is>
      </c>
      <c r="H25" s="1" t="n">
        <v>45998</v>
      </c>
      <c r="I25"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in-986936de6b71544d</t>
        </is>
      </c>
      <c r="B26" t="inlineStr">
        <is>
          <t>Global Signage &amp; Wayfinding Designer Program Manager, Workplace Design &amp; Construction (WD&amp;C)</t>
        </is>
      </c>
      <c r="C26" t="inlineStr">
        <is>
          <t>Amazon.com</t>
        </is>
      </c>
      <c r="D26" t="inlineStr">
        <is>
          <t>indeed</t>
        </is>
      </c>
      <c r="E26" t="inlineStr"/>
      <c r="F26" t="inlineStr"/>
      <c r="G26" t="inlineStr">
        <is>
          <t>Seattle, WA, US</t>
        </is>
      </c>
      <c r="H26" s="1" t="n">
        <v>45998</v>
      </c>
      <c r="I26"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in-8b9e72e9b64708d5</t>
        </is>
      </c>
      <c r="B27" t="inlineStr">
        <is>
          <t>Senior Product Manager, Ads</t>
        </is>
      </c>
      <c r="C27" t="inlineStr">
        <is>
          <t>Amazon.com</t>
        </is>
      </c>
      <c r="D27" t="inlineStr">
        <is>
          <t>indeed</t>
        </is>
      </c>
      <c r="E27" t="inlineStr"/>
      <c r="F27" t="inlineStr"/>
      <c r="G27" t="inlineStr">
        <is>
          <t>Los Angeles, CA, US</t>
        </is>
      </c>
      <c r="H27" s="1" t="n">
        <v>45994</v>
      </c>
      <c r="I2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in-f0efc832ac199f08</t>
        </is>
      </c>
      <c r="B28" t="inlineStr">
        <is>
          <t>Senior Product Manager, Ads</t>
        </is>
      </c>
      <c r="C28" t="inlineStr">
        <is>
          <t>Amazon.com</t>
        </is>
      </c>
      <c r="D28" t="inlineStr">
        <is>
          <t>indeed</t>
        </is>
      </c>
      <c r="E28" t="inlineStr"/>
      <c r="F28" t="inlineStr"/>
      <c r="G28" t="inlineStr">
        <is>
          <t>Irvine, CA, US</t>
        </is>
      </c>
      <c r="H28" s="1" t="n">
        <v>45994</v>
      </c>
      <c r="I2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in-210037edd5d39764</t>
        </is>
      </c>
      <c r="B29" t="inlineStr">
        <is>
          <t>Senior Product Manager, Ads</t>
        </is>
      </c>
      <c r="C29" t="inlineStr">
        <is>
          <t>Amazon.com</t>
        </is>
      </c>
      <c r="D29" t="inlineStr">
        <is>
          <t>indeed</t>
        </is>
      </c>
      <c r="E29" t="inlineStr"/>
      <c r="F29" t="inlineStr"/>
      <c r="G29" t="inlineStr">
        <is>
          <t>San Francisco, CA, US</t>
        </is>
      </c>
      <c r="H29" s="1" t="n">
        <v>45994</v>
      </c>
      <c r="I2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in-dcab229297771ae5</t>
        </is>
      </c>
      <c r="B30" t="inlineStr">
        <is>
          <t>Senior Product Manager, Ads</t>
        </is>
      </c>
      <c r="C30" t="inlineStr">
        <is>
          <t>Amazon.com</t>
        </is>
      </c>
      <c r="D30" t="inlineStr">
        <is>
          <t>indeed</t>
        </is>
      </c>
      <c r="E30" t="inlineStr"/>
      <c r="F30" t="inlineStr"/>
      <c r="G30" t="inlineStr">
        <is>
          <t>San Francisco, CA, US</t>
        </is>
      </c>
      <c r="H30" s="1" t="n">
        <v>45994</v>
      </c>
      <c r="I3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in-8ea4fc46abc7fc45</t>
        </is>
      </c>
      <c r="B31" t="inlineStr">
        <is>
          <t>Senior Product Manager, Ads</t>
        </is>
      </c>
      <c r="C31" t="inlineStr">
        <is>
          <t>Amazon.com</t>
        </is>
      </c>
      <c r="D31" t="inlineStr">
        <is>
          <t>indeed</t>
        </is>
      </c>
      <c r="E31" t="inlineStr"/>
      <c r="F31" t="inlineStr"/>
      <c r="G31" t="inlineStr">
        <is>
          <t>New York, NY, US</t>
        </is>
      </c>
      <c r="H31" s="1" t="n">
        <v>45994</v>
      </c>
      <c r="I3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in-70a3d803064adff7</t>
        </is>
      </c>
      <c r="B32" t="inlineStr">
        <is>
          <t>Senior Product Manager, Ads</t>
        </is>
      </c>
      <c r="C32" t="inlineStr">
        <is>
          <t>Amazon.com</t>
        </is>
      </c>
      <c r="D32" t="inlineStr">
        <is>
          <t>indeed</t>
        </is>
      </c>
      <c r="E32" t="inlineStr"/>
      <c r="F32" t="inlineStr"/>
      <c r="G32" t="inlineStr">
        <is>
          <t>Seattle, WA, US</t>
        </is>
      </c>
      <c r="H32" s="1" t="n">
        <v>45994</v>
      </c>
      <c r="I3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in-b97428c663b2bea4</t>
        </is>
      </c>
      <c r="B33" t="inlineStr">
        <is>
          <t>Senior Product Manager, Ads</t>
        </is>
      </c>
      <c r="C33" t="inlineStr">
        <is>
          <t>Amazon.com</t>
        </is>
      </c>
      <c r="D33" t="inlineStr">
        <is>
          <t>indeed</t>
        </is>
      </c>
      <c r="E33" t="inlineStr"/>
      <c r="F33" t="inlineStr"/>
      <c r="G33" t="inlineStr">
        <is>
          <t>Irvine, CA, US</t>
        </is>
      </c>
      <c r="H33" s="1" t="n">
        <v>45994</v>
      </c>
      <c r="I3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in-9242937ebfa0c875</t>
        </is>
      </c>
      <c r="B34" t="inlineStr">
        <is>
          <t>Senior Product Manager, Ads</t>
        </is>
      </c>
      <c r="C34" t="inlineStr">
        <is>
          <t>Amazon.com</t>
        </is>
      </c>
      <c r="D34" t="inlineStr">
        <is>
          <t>indeed</t>
        </is>
      </c>
      <c r="E34" t="inlineStr"/>
      <c r="F34" t="inlineStr"/>
      <c r="G34" t="inlineStr">
        <is>
          <t>New York, NY, US</t>
        </is>
      </c>
      <c r="H34" s="1" t="n">
        <v>45994</v>
      </c>
      <c r="I3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in-afd1ac5df5f5fbf1</t>
        </is>
      </c>
      <c r="B35" t="inlineStr">
        <is>
          <t>Senior Product Manager, Ads</t>
        </is>
      </c>
      <c r="C35" t="inlineStr">
        <is>
          <t>Amazon.com</t>
        </is>
      </c>
      <c r="D35" t="inlineStr">
        <is>
          <t>indeed</t>
        </is>
      </c>
      <c r="E35" t="inlineStr"/>
      <c r="F35" t="inlineStr"/>
      <c r="G35" t="inlineStr">
        <is>
          <t>Seattle, WA, US</t>
        </is>
      </c>
      <c r="H35" s="1" t="n">
        <v>45994</v>
      </c>
      <c r="I3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in-b492912a696a12e4</t>
        </is>
      </c>
      <c r="B36" t="inlineStr">
        <is>
          <t>Senior Product Manager, Ads</t>
        </is>
      </c>
      <c r="C36" t="inlineStr">
        <is>
          <t>Amazon.com</t>
        </is>
      </c>
      <c r="D36" t="inlineStr">
        <is>
          <t>indeed</t>
        </is>
      </c>
      <c r="E36" t="inlineStr"/>
      <c r="F36" t="inlineStr"/>
      <c r="G36" t="inlineStr">
        <is>
          <t>Los Angeles, CA, US</t>
        </is>
      </c>
      <c r="H36" s="1" t="n">
        <v>45994</v>
      </c>
      <c r="I3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in-dd570785e6f4d3a2</t>
        </is>
      </c>
      <c r="B37" t="inlineStr">
        <is>
          <t>Sr. Product Manager</t>
        </is>
      </c>
      <c r="C37" t="inlineStr">
        <is>
          <t>Amazon.com</t>
        </is>
      </c>
      <c r="D37" t="inlineStr">
        <is>
          <t>indeed</t>
        </is>
      </c>
      <c r="E37" t="inlineStr"/>
      <c r="F37" t="inlineStr"/>
      <c r="G37" t="inlineStr">
        <is>
          <t>Los Angeles, CA, US</t>
        </is>
      </c>
      <c r="H37" s="1" t="n">
        <v>45979</v>
      </c>
      <c r="I3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in-8044aae3ab6fa00d</t>
        </is>
      </c>
      <c r="B38" t="inlineStr">
        <is>
          <t>Sr. Product Manager</t>
        </is>
      </c>
      <c r="C38" t="inlineStr">
        <is>
          <t>Amazon.com</t>
        </is>
      </c>
      <c r="D38" t="inlineStr">
        <is>
          <t>indeed</t>
        </is>
      </c>
      <c r="E38" t="inlineStr"/>
      <c r="F38" t="inlineStr"/>
      <c r="G38" t="inlineStr">
        <is>
          <t>San Francisco, CA, US</t>
        </is>
      </c>
      <c r="H38" s="1" t="n">
        <v>45979</v>
      </c>
      <c r="I3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in-a7dd12d53bac6342</t>
        </is>
      </c>
      <c r="B39" t="inlineStr">
        <is>
          <t>Sr. Product Manager</t>
        </is>
      </c>
      <c r="C39" t="inlineStr">
        <is>
          <t>Amazon.com</t>
        </is>
      </c>
      <c r="D39" t="inlineStr">
        <is>
          <t>indeed</t>
        </is>
      </c>
      <c r="E39" t="inlineStr"/>
      <c r="F39" t="inlineStr"/>
      <c r="G39" t="inlineStr">
        <is>
          <t>Seattle, WA, US</t>
        </is>
      </c>
      <c r="H39" s="1" t="n">
        <v>45979</v>
      </c>
      <c r="I3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in-3ba44508cac2dda2</t>
        </is>
      </c>
      <c r="B40" t="inlineStr">
        <is>
          <t>Sr. Product Manager</t>
        </is>
      </c>
      <c r="C40" t="inlineStr">
        <is>
          <t>Amazon.com</t>
        </is>
      </c>
      <c r="D40" t="inlineStr">
        <is>
          <t>indeed</t>
        </is>
      </c>
      <c r="E40" t="inlineStr"/>
      <c r="F40" t="inlineStr"/>
      <c r="G40" t="inlineStr">
        <is>
          <t>New York, NY, US</t>
        </is>
      </c>
      <c r="H40" s="1" t="n">
        <v>45979</v>
      </c>
      <c r="I4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in-7b5e4159cd1e4732</t>
        </is>
      </c>
      <c r="B41" t="inlineStr">
        <is>
          <t>Sr. Product Manager</t>
        </is>
      </c>
      <c r="C41" t="inlineStr">
        <is>
          <t>Amazon.com</t>
        </is>
      </c>
      <c r="D41" t="inlineStr">
        <is>
          <t>indeed</t>
        </is>
      </c>
      <c r="E41" t="inlineStr"/>
      <c r="F41" t="inlineStr"/>
      <c r="G41" t="inlineStr">
        <is>
          <t>Irvine, CA, US</t>
        </is>
      </c>
      <c r="H41" s="1" t="n">
        <v>45979</v>
      </c>
      <c r="I4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in-2eefa78faa5da5c1</t>
        </is>
      </c>
      <c r="B42" t="inlineStr">
        <is>
          <t>Program Manager, Executive Content and Programs, Global Executive Marketing</t>
        </is>
      </c>
      <c r="C42" t="inlineStr">
        <is>
          <t>Amazon Web Services</t>
        </is>
      </c>
      <c r="D42" t="inlineStr">
        <is>
          <t>indeed</t>
        </is>
      </c>
      <c r="E42" t="inlineStr"/>
      <c r="F42" t="inlineStr"/>
      <c r="G42" t="inlineStr">
        <is>
          <t>Seattle, WA, US</t>
        </is>
      </c>
      <c r="H42" s="1" t="n">
        <v>45970</v>
      </c>
      <c r="I42"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in-4eab2927b83558f4</t>
        </is>
      </c>
      <c r="B43" t="inlineStr">
        <is>
          <t>Program Manager, Executive Content and Programs, Global Executive Marketing</t>
        </is>
      </c>
      <c r="C43" t="inlineStr">
        <is>
          <t>Amazon Web Services</t>
        </is>
      </c>
      <c r="D43" t="inlineStr">
        <is>
          <t>indeed</t>
        </is>
      </c>
      <c r="E43" t="inlineStr"/>
      <c r="F43" t="inlineStr"/>
      <c r="G43" t="inlineStr">
        <is>
          <t>Arlington, VA, US</t>
        </is>
      </c>
      <c r="H43" s="1" t="n">
        <v>45970</v>
      </c>
      <c r="I43"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in-bbf4c0ca02d57061</t>
        </is>
      </c>
      <c r="B44" t="inlineStr">
        <is>
          <t>Sr. EHS Program Manager, Safety Learning and Development</t>
        </is>
      </c>
      <c r="C44" t="inlineStr">
        <is>
          <t>Amazon.com</t>
        </is>
      </c>
      <c r="D44" t="inlineStr">
        <is>
          <t>indeed</t>
        </is>
      </c>
      <c r="E44" t="inlineStr"/>
      <c r="F44" t="inlineStr"/>
      <c r="G44" t="inlineStr">
        <is>
          <t>Nashville, TN, US</t>
        </is>
      </c>
      <c r="H44" s="1" t="n">
        <v>45910</v>
      </c>
      <c r="I44"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in-a18e126da8f66389</t>
        </is>
      </c>
      <c r="B45" t="inlineStr">
        <is>
          <t>Sr. EHS Program Manager, Safety Learning and Development</t>
        </is>
      </c>
      <c r="C45" t="inlineStr">
        <is>
          <t>Amazon.com</t>
        </is>
      </c>
      <c r="D45" t="inlineStr">
        <is>
          <t>indeed</t>
        </is>
      </c>
      <c r="E45" t="inlineStr"/>
      <c r="F45" t="inlineStr"/>
      <c r="G45" t="inlineStr">
        <is>
          <t>Bellevue, WA, US</t>
        </is>
      </c>
      <c r="H45" s="1" t="n">
        <v>45910</v>
      </c>
      <c r="I45"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in-b3975e0f4979337e</t>
        </is>
      </c>
      <c r="B46" t="inlineStr">
        <is>
          <t>Sr. Product Manager Technical, Deal Tooling &amp; Insights, Strategic Customer Engagements</t>
        </is>
      </c>
      <c r="C46" t="inlineStr">
        <is>
          <t>Amazon Web Services</t>
        </is>
      </c>
      <c r="D46" t="inlineStr">
        <is>
          <t>indeed</t>
        </is>
      </c>
      <c r="E46" t="inlineStr"/>
      <c r="F46" t="inlineStr"/>
      <c r="G46" t="inlineStr">
        <is>
          <t>Austin, TX, US</t>
        </is>
      </c>
      <c r="H46" s="1" t="n">
        <v>45994</v>
      </c>
      <c r="I4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47">
      <c r="A47" t="inlineStr">
        <is>
          <t>in-b2f12f5e7e08ef55</t>
        </is>
      </c>
      <c r="B47" t="inlineStr">
        <is>
          <t>Sr. Product Manager Technical, Deal Tooling &amp; Insights, Strategic Customer Engagements</t>
        </is>
      </c>
      <c r="C47" t="inlineStr">
        <is>
          <t>Amazon Web Services</t>
        </is>
      </c>
      <c r="D47" t="inlineStr">
        <is>
          <t>indeed</t>
        </is>
      </c>
      <c r="E47" t="inlineStr"/>
      <c r="F47" t="inlineStr"/>
      <c r="G47" t="inlineStr">
        <is>
          <t>Arlington, VA, US</t>
        </is>
      </c>
      <c r="H47" s="1" t="n">
        <v>45994</v>
      </c>
      <c r="I4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48">
      <c r="A48" t="inlineStr">
        <is>
          <t>in-edba93295dab68fb</t>
        </is>
      </c>
      <c r="B48" t="inlineStr">
        <is>
          <t>Sr. Product Manager Technical, Deal Tooling &amp; Insights, Strategic Customer Engagements</t>
        </is>
      </c>
      <c r="C48" t="inlineStr">
        <is>
          <t>Amazon Web Services</t>
        </is>
      </c>
      <c r="D48" t="inlineStr">
        <is>
          <t>indeed</t>
        </is>
      </c>
      <c r="E48" t="inlineStr"/>
      <c r="F48" t="inlineStr"/>
      <c r="G48" t="inlineStr">
        <is>
          <t>Dallas, TX, US</t>
        </is>
      </c>
      <c r="H48" s="1" t="n">
        <v>45994</v>
      </c>
      <c r="I4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49">
      <c r="A49" t="inlineStr">
        <is>
          <t>in-9301b531d9b89fc6</t>
        </is>
      </c>
      <c r="B49" t="inlineStr">
        <is>
          <t>Sr. Product Manager Technical, Deal Tooling &amp; Insights, Strategic Customer Engagements</t>
        </is>
      </c>
      <c r="C49" t="inlineStr">
        <is>
          <t>Amazon Web Services</t>
        </is>
      </c>
      <c r="D49" t="inlineStr">
        <is>
          <t>indeed</t>
        </is>
      </c>
      <c r="E49" t="inlineStr"/>
      <c r="F49" t="inlineStr"/>
      <c r="G49" t="inlineStr">
        <is>
          <t>New York, NY, US</t>
        </is>
      </c>
      <c r="H49" s="1" t="n">
        <v>45994</v>
      </c>
      <c r="I4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50">
      <c r="A50" t="inlineStr">
        <is>
          <t>in-c78981e76df9dd69</t>
        </is>
      </c>
      <c r="B50" t="inlineStr">
        <is>
          <t>Sr. Product Manager Technical, Deal Tooling &amp; Insights, Strategic Customer Engagements</t>
        </is>
      </c>
      <c r="C50" t="inlineStr">
        <is>
          <t>Amazon Web Services</t>
        </is>
      </c>
      <c r="D50" t="inlineStr">
        <is>
          <t>indeed</t>
        </is>
      </c>
      <c r="E50" t="inlineStr"/>
      <c r="F50" t="inlineStr"/>
      <c r="G50" t="inlineStr">
        <is>
          <t>Herndon, VA, US</t>
        </is>
      </c>
      <c r="H50" s="1" t="n">
        <v>45994</v>
      </c>
      <c r="I50"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51">
      <c r="A51" t="inlineStr">
        <is>
          <t>in-eeb006fca5196b92</t>
        </is>
      </c>
      <c r="B51" t="inlineStr">
        <is>
          <t>Sr. Product Manager Technical, Deal Tooling &amp; Insights, Strategic Customer Engagements</t>
        </is>
      </c>
      <c r="C51" t="inlineStr">
        <is>
          <t>Amazon Web Services</t>
        </is>
      </c>
      <c r="D51" t="inlineStr">
        <is>
          <t>indeed</t>
        </is>
      </c>
      <c r="E51" t="inlineStr"/>
      <c r="F51" t="inlineStr"/>
      <c r="G51" t="inlineStr">
        <is>
          <t>Seattle, WA, US</t>
        </is>
      </c>
      <c r="H51" s="1" t="n">
        <v>45994</v>
      </c>
      <c r="I5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52">
      <c r="A52" t="inlineStr">
        <is>
          <t>in-f6cbce77c4ac32bf</t>
        </is>
      </c>
      <c r="B52" t="inlineStr">
        <is>
          <t>Sr. Product Manager - Tech, WHS Data-Tech</t>
        </is>
      </c>
      <c r="C52" t="inlineStr">
        <is>
          <t>Amazon.com</t>
        </is>
      </c>
      <c r="D52" t="inlineStr">
        <is>
          <t>indeed</t>
        </is>
      </c>
      <c r="E52" t="inlineStr"/>
      <c r="F52" t="inlineStr"/>
      <c r="G52" t="inlineStr">
        <is>
          <t>Arlington, VA, US</t>
        </is>
      </c>
      <c r="H52" s="1" t="n">
        <v>45836</v>
      </c>
      <c r="I52"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53">
      <c r="A53" t="inlineStr">
        <is>
          <t>in-1deab4e182fe620e</t>
        </is>
      </c>
      <c r="B53" t="inlineStr">
        <is>
          <t>Sr. Product Manager - Tech, WHS Data-Tech</t>
        </is>
      </c>
      <c r="C53" t="inlineStr">
        <is>
          <t>Amazon.com</t>
        </is>
      </c>
      <c r="D53" t="inlineStr">
        <is>
          <t>indeed</t>
        </is>
      </c>
      <c r="E53" t="inlineStr"/>
      <c r="F53" t="inlineStr"/>
      <c r="G53" t="inlineStr">
        <is>
          <t>Bellevue, WA, US</t>
        </is>
      </c>
      <c r="H53" s="1" t="n">
        <v>45836</v>
      </c>
      <c r="I53"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54">
      <c r="A54" t="inlineStr">
        <is>
          <t>in-12056beca227508f</t>
        </is>
      </c>
      <c r="B54" t="inlineStr">
        <is>
          <t>Sr. Product Manager - Tech, WHS Data-Tech</t>
        </is>
      </c>
      <c r="C54" t="inlineStr">
        <is>
          <t>Amazon.com</t>
        </is>
      </c>
      <c r="D54" t="inlineStr">
        <is>
          <t>indeed</t>
        </is>
      </c>
      <c r="E54" t="inlineStr"/>
      <c r="F54" t="inlineStr"/>
      <c r="G54" t="inlineStr">
        <is>
          <t>Nashville, TN, US</t>
        </is>
      </c>
      <c r="H54" s="1" t="n">
        <v>45836</v>
      </c>
      <c r="I54"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55">
      <c r="A55" t="inlineStr">
        <is>
          <t>in-70b31921710d08b9</t>
        </is>
      </c>
      <c r="B55" t="inlineStr">
        <is>
          <t>Senior Product Manager - Technical, GenAI Evaluation Media (GEM)</t>
        </is>
      </c>
      <c r="C55" t="inlineStr">
        <is>
          <t>Amazon.com</t>
        </is>
      </c>
      <c r="D55" t="inlineStr">
        <is>
          <t>indeed</t>
        </is>
      </c>
      <c r="E55" t="inlineStr"/>
      <c r="F55" t="inlineStr"/>
      <c r="G55" t="inlineStr">
        <is>
          <t>New York, NY, US</t>
        </is>
      </c>
      <c r="H55" s="1" t="n">
        <v>46007</v>
      </c>
      <c r="I55" t="inlineStr">
        <is>
          <t>**DESCRIPTION**
---------------
Passionate about creating visual customer experiences that push the boundaries at the forefront of GenAI?
The North America Stores GenAI Evaluation Media (GEM) team is seeking an experienced Senior Product Manager \- Technical to help shape the future of visual shopping experiences. We're building CXs and foundational capabilities to understand, enhance, and generate high\-quality GenAI imagery, videos, and CXs that inspire customers and drive purchase confidence, towards our vision to be the leader in visual media and tools. We are looking for builders and disruptors who are not afraid to innovate for customers, business and technical acumen, exemplary interpersonal and communication skills, and a passion for GenAI technologies.
To succeed in this role, you need to be a self\-starter who enjoys bringing clarity, simplicity, and direction to highly ambiguous challenges. You enjoy building partnerships and alignment with peers and senior leaders. You dive deeply into data and openly welcome debate to form high\-judgement views. You know when to go slow because you need to learn more and build trust, and when to move fast to bring decisions to a close. Once a direction has been set, you guide and influence on executing with speed and rigor in designing experiments, building with applied scientists and engineers, analyzing results, and flexibly iterating towards success to better serve the overall vision.  
You will be successful in this role if:  
* You exhibit strong business and technical acumen
* You are able to take a complex customer need and transform it into the right product strategy, roadmap, and requirements
* You love diving deep into data and can roll up your sleeves to get the job done
* You have good interpersonal skills and you can influence cross\-functional teams and dependencies to achieve goals
* You are comfortable making smart CX vs. time\-to\-market trade\-offs, and ruthlessly prioritize roadmaps to deliver results
Key job responsibilities  
We work backwards from the needs of customers to bring structure to ambiguous problems. As a Senior Product Manager Technical on this team, you will:  
* Define the vision for your product space and outline a roadmap that has the potential to significantly impact Amazon’s business and customer experience.
* Gain support for your strategy and roadmap from stakeholders by writing narratives and influencing senior leadership, peers and partner teams.
* Partner with scientists, engineers and UX designers to translate business and functional requirements into concrete deliverables, including the design, development, testing, and deployment of customer\-facing experiences at scale.
* Drive data\-informed decisions through customer research, behavior analysis, and performance metrics
* Manage prioritization and trade\-offs for speed to market, performance, and features.
* Stay abreast with industry trends and GenAI offerings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in-02071a41ac0e26f6</t>
        </is>
      </c>
      <c r="B56" t="inlineStr">
        <is>
          <t>Senior Product Manager - Technical, GenAI Evaluation Media (GEM)</t>
        </is>
      </c>
      <c r="C56" t="inlineStr">
        <is>
          <t>Amazon.com</t>
        </is>
      </c>
      <c r="D56" t="inlineStr">
        <is>
          <t>indeed</t>
        </is>
      </c>
      <c r="E56" t="inlineStr"/>
      <c r="F56" t="inlineStr"/>
      <c r="G56" t="inlineStr">
        <is>
          <t>Seattle, WA, US</t>
        </is>
      </c>
      <c r="H56" s="1" t="n">
        <v>46007</v>
      </c>
      <c r="I56" t="inlineStr">
        <is>
          <t>**DESCRIPTION**
---------------
Passionate about creating visual customer experiences that push the boundaries at the forefront of GenAI?
The North America Stores GenAI Evaluation Media (GEM) team is seeking an experienced Senior Product Manager \- Technical to help shape the future of visual shopping experiences. We're building CXs and foundational capabilities to understand, enhance, and generate high\-quality GenAI imagery, videos, and CXs that inspire customers and drive purchase confidence, towards our vision to be the leader in visual media and tools. We are looking for builders and disruptors who are not afraid to innovate for customers, business and technical acumen, exemplary interpersonal and communication skills, and a passion for GenAI technologies.
To succeed in this role, you need to be a self\-starter who enjoys bringing clarity, simplicity, and direction to highly ambiguous challenges. You enjoy building partnerships and alignment with peers and senior leaders. You dive deeply into data and openly welcome debate to form high\-judgement views. You know when to go slow because you need to learn more and build trust, and when to move fast to bring decisions to a close. Once a direction has been set, you guide and influence on executing with speed and rigor in designing experiments, building with applied scientists and engineers, analyzing results, and flexibly iterating towards success to better serve the overall vision.  
You will be successful in this role if:  
* You exhibit strong business and technical acumen
* You are able to take a complex customer need and transform it into the right product strategy, roadmap, and requirements
* You love diving deep into data and can roll up your sleeves to get the job done
* You have good interpersonal skills and you can influence cross\-functional teams and dependencies to achieve goals
* You are comfortable making smart CX vs. time\-to\-market trade\-offs, and ruthlessly prioritize roadmaps to deliver results
Key job responsibilities  
We work backwards from the needs of customers to bring structure to ambiguous problems. As a Senior Product Manager Technical on this team, you will:  
* Define the vision for your product space and outline a roadmap that has the potential to significantly impact Amazon’s business and customer experience.
* Gain support for your strategy and roadmap from stakeholders by writing narratives and influencing senior leadership, peers and partner teams.
* Partner with scientists, engineers and UX designers to translate business and functional requirements into concrete deliverables, including the design, development, testing, and deployment of customer\-facing experiences at scale.
* Drive data\-informed decisions through customer research, behavior analysis, and performance metrics
* Manage prioritization and trade\-offs for speed to market, performance, and features.
* Stay abreast with industry trends and GenAI offerings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in-3f0ce678bd0b5c88</t>
        </is>
      </c>
      <c r="B57" t="inlineStr">
        <is>
          <t>Principal Product Manager - Tech, Recommender Systems, Prime Video Personalization &amp; Discovery</t>
        </is>
      </c>
      <c r="C57" t="inlineStr">
        <is>
          <t>Amazon.com</t>
        </is>
      </c>
      <c r="D57" t="inlineStr">
        <is>
          <t>indeed</t>
        </is>
      </c>
      <c r="E57" t="inlineStr"/>
      <c r="F57" t="inlineStr"/>
      <c r="G57" t="inlineStr">
        <is>
          <t>Washington, DC, US</t>
        </is>
      </c>
      <c r="H57" s="1" t="n">
        <v>45753</v>
      </c>
      <c r="I5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in-449900177c572466</t>
        </is>
      </c>
      <c r="B58" t="inlineStr">
        <is>
          <t>Principal Product Manager - Tech, Recommender Systems, Prime Video Personalization &amp; Discovery</t>
        </is>
      </c>
      <c r="C58" t="inlineStr">
        <is>
          <t>Amazon.com</t>
        </is>
      </c>
      <c r="D58" t="inlineStr">
        <is>
          <t>indeed</t>
        </is>
      </c>
      <c r="E58" t="inlineStr"/>
      <c r="F58" t="inlineStr"/>
      <c r="G58" t="inlineStr">
        <is>
          <t>Seattle, WA, US</t>
        </is>
      </c>
      <c r="H58" s="1" t="n">
        <v>45753</v>
      </c>
      <c r="I5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in-95a5cf820053a4ae</t>
        </is>
      </c>
      <c r="B59" t="inlineStr">
        <is>
          <t>Program Manager II, Relo Ops Integration</t>
        </is>
      </c>
      <c r="C59" t="inlineStr">
        <is>
          <t>Amazon.com</t>
        </is>
      </c>
      <c r="D59" t="inlineStr">
        <is>
          <t>indeed</t>
        </is>
      </c>
      <c r="E59" t="inlineStr"/>
      <c r="F59" t="inlineStr"/>
      <c r="G59" t="inlineStr">
        <is>
          <t>Bellevue, WA, US</t>
        </is>
      </c>
      <c r="H59" s="1" t="n">
        <v>46035</v>
      </c>
      <c r="I59"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deliver on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KY, LOUISVILLE \- 74,200\.00 \- 129,800\.00 USD annually  
USA, KY, Louisville \- 66,800\.00 \- 116,800\.00 USD annually  
USA, KY, Louisville \- 74,200\.00 \- 129,800\.00 USD annually  
USA, TN, NASHVILLE \- 66,800\.00 \- 116,800\.00 USD annually  
USA, TN, Nashville \- 66,800\.00 \- 116,800\.00 USD annually  
USA, TN, Nashville \- 74,200\.00 \- 129,800\.00 USD annually  
USA, TX, DALLAS \- 74,200\.00 \- 129,800\.00 USD annually  
USA, TX, Dallas \- 74,200\.00 \- 129,800\.00 USD annually  
USA, WA, BELLEVUE \- 82,700\.00 \- 129,800\.00 USD annually  
USA, WA, Bellevue \- 82,700\.00 \- 129,800\.00 USD annually</t>
        </is>
      </c>
    </row>
    <row r="60">
      <c r="A60" t="inlineStr">
        <is>
          <t>in-1261ace342c87e14</t>
        </is>
      </c>
      <c r="B60" t="inlineStr">
        <is>
          <t>Program Manager II, Relo Ops Integration</t>
        </is>
      </c>
      <c r="C60" t="inlineStr">
        <is>
          <t>Amazon.com</t>
        </is>
      </c>
      <c r="D60" t="inlineStr">
        <is>
          <t>indeed</t>
        </is>
      </c>
      <c r="E60" t="inlineStr"/>
      <c r="F60" t="inlineStr"/>
      <c r="G60" t="inlineStr">
        <is>
          <t>Dallas, TX, US</t>
        </is>
      </c>
      <c r="H60" s="1" t="n">
        <v>46035</v>
      </c>
      <c r="I60"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deliver on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KY, LOUISVILLE \- 74,200\.00 \- 129,800\.00 USD annually  
USA, KY, Louisville \- 66,800\.00 \- 116,800\.00 USD annually  
USA, KY, Louisville \- 74,200\.00 \- 129,800\.00 USD annually  
USA, TN, NASHVILLE \- 66,800\.00 \- 116,800\.00 USD annually  
USA, TN, Nashville \- 66,800\.00 \- 116,800\.00 USD annually  
USA, TN, Nashville \- 74,200\.00 \- 129,800\.00 USD annually  
USA, TX, DALLAS \- 74,200\.00 \- 129,800\.00 USD annually  
USA, TX, Dallas \- 74,200\.00 \- 129,800\.00 USD annually  
USA, WA, BELLEVUE \- 82,700\.00 \- 129,800\.00 USD annually  
USA, WA, Bellevue \- 82,700\.00 \- 129,800\.00 USD annually</t>
        </is>
      </c>
    </row>
    <row r="61">
      <c r="A61" t="inlineStr">
        <is>
          <t>in-86355eb518ca28e5</t>
        </is>
      </c>
      <c r="B61" t="inlineStr">
        <is>
          <t>Program Manager II, Relo Ops Integration</t>
        </is>
      </c>
      <c r="C61" t="inlineStr">
        <is>
          <t>Amazon.com</t>
        </is>
      </c>
      <c r="D61" t="inlineStr">
        <is>
          <t>indeed</t>
        </is>
      </c>
      <c r="E61" t="inlineStr"/>
      <c r="F61" t="inlineStr"/>
      <c r="G61" t="inlineStr">
        <is>
          <t>Phoenix, AZ, US</t>
        </is>
      </c>
      <c r="H61" s="1" t="n">
        <v>46035</v>
      </c>
      <c r="I61"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deliver on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KY, LOUISVILLE \- 74,200\.00 \- 129,800\.00 USD annually  
USA, KY, Louisville \- 66,800\.00 \- 116,800\.00 USD annually  
USA, KY, Louisville \- 74,200\.00 \- 129,800\.00 USD annually  
USA, TN, NASHVILLE \- 66,800\.00 \- 116,800\.00 USD annually  
USA, TN, Nashville \- 66,800\.00 \- 116,800\.00 USD annually  
USA, TN, Nashville \- 74,200\.00 \- 129,800\.00 USD annually  
USA, TX, DALLAS \- 74,200\.00 \- 129,800\.00 USD annually  
USA, TX, Dallas \- 74,200\.00 \- 129,800\.00 USD annually  
USA, WA, BELLEVUE \- 82,700\.00 \- 129,800\.00 USD annually  
USA, WA, Bellevue \- 82,700\.00 \- 129,800\.00 USD annually</t>
        </is>
      </c>
    </row>
    <row r="62">
      <c r="A62" t="inlineStr">
        <is>
          <t>in-00c767576859b59d</t>
        </is>
      </c>
      <c r="B62" t="inlineStr">
        <is>
          <t>Program Manager II, Relo Ops Integration</t>
        </is>
      </c>
      <c r="C62" t="inlineStr">
        <is>
          <t>Amazon.com</t>
        </is>
      </c>
      <c r="D62" t="inlineStr">
        <is>
          <t>indeed</t>
        </is>
      </c>
      <c r="E62" t="inlineStr"/>
      <c r="F62" t="inlineStr"/>
      <c r="G62" t="inlineStr">
        <is>
          <t>Nashville, TN, US</t>
        </is>
      </c>
      <c r="H62" s="1" t="n">
        <v>46035</v>
      </c>
      <c r="I62"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deliver on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KY, LOUISVILLE \- 74,200\.00 \- 129,800\.00 USD annually  
USA, KY, Louisville \- 66,800\.00 \- 116,800\.00 USD annually  
USA, KY, Louisville \- 74,200\.00 \- 129,800\.00 USD annually  
USA, TN, NASHVILLE \- 66,800\.00 \- 116,800\.00 USD annually  
USA, TN, Nashville \- 66,800\.00 \- 116,800\.00 USD annually  
USA, TN, Nashville \- 74,200\.00 \- 129,800\.00 USD annually  
USA, TX, DALLAS \- 74,200\.00 \- 129,800\.00 USD annually  
USA, TX, Dallas \- 74,200\.00 \- 129,800\.00 USD annually  
USA, WA, BELLEVUE \- 82,700\.00 \- 129,800\.00 USD annually  
USA, WA, Bellevue \- 82,700\.00 \- 129,800\.00 USD annually</t>
        </is>
      </c>
    </row>
    <row r="63">
      <c r="A63" t="inlineStr">
        <is>
          <t>in-02e9334cb85b4d66</t>
        </is>
      </c>
      <c r="B63" t="inlineStr">
        <is>
          <t>Program Manager II, Relo Ops Integration</t>
        </is>
      </c>
      <c r="C63" t="inlineStr">
        <is>
          <t>Amazon.com</t>
        </is>
      </c>
      <c r="D63" t="inlineStr">
        <is>
          <t>indeed</t>
        </is>
      </c>
      <c r="E63" t="inlineStr"/>
      <c r="F63" t="inlineStr"/>
      <c r="G63" t="inlineStr">
        <is>
          <t>Louisville, KY, US</t>
        </is>
      </c>
      <c r="H63" s="1" t="n">
        <v>46035</v>
      </c>
      <c r="I63"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deliver on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KY, LOUISVILLE \- 74,200\.00 \- 129,800\.00 USD annually  
USA, KY, Louisville \- 66,800\.00 \- 116,800\.00 USD annually  
USA, KY, Louisville \- 74,200\.00 \- 129,800\.00 USD annually  
USA, TN, NASHVILLE \- 66,800\.00 \- 116,800\.00 USD annually  
USA, TN, Nashville \- 66,800\.00 \- 116,800\.00 USD annually  
USA, TN, Nashville \- 74,200\.00 \- 129,800\.00 USD annually  
USA, TX, DALLAS \- 74,200\.00 \- 129,800\.00 USD annually  
USA, TX, Dallas \- 74,200\.00 \- 129,800\.00 USD annually  
USA, WA, BELLEVUE \- 82,700\.00 \- 129,800\.00 USD annually  
USA, WA, Bellevue \- 82,700\.00 \- 129,800\.00 USD annually</t>
        </is>
      </c>
    </row>
    <row r="64">
      <c r="A64" t="inlineStr">
        <is>
          <t>in-33442bb1498b3a67</t>
        </is>
      </c>
      <c r="B64" t="inlineStr">
        <is>
          <t>Program Manager, ReLo Ops Excellence, Relo Ops Integration</t>
        </is>
      </c>
      <c r="C64" t="inlineStr">
        <is>
          <t>Amazon.com</t>
        </is>
      </c>
      <c r="D64" t="inlineStr">
        <is>
          <t>indeed</t>
        </is>
      </c>
      <c r="E64" t="inlineStr"/>
      <c r="F64" t="inlineStr"/>
      <c r="G64" t="inlineStr">
        <is>
          <t>Bellevue, WA, US</t>
        </is>
      </c>
      <c r="H64" s="1" t="n">
        <v>46020</v>
      </c>
      <c r="I64"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65">
      <c r="A65" t="inlineStr">
        <is>
          <t>in-0948cd2722ef5380</t>
        </is>
      </c>
      <c r="B65" t="inlineStr">
        <is>
          <t>Program Manager, ReLo Ops Excellence, Relo Ops Integration</t>
        </is>
      </c>
      <c r="C65" t="inlineStr">
        <is>
          <t>Amazon.com</t>
        </is>
      </c>
      <c r="D65" t="inlineStr">
        <is>
          <t>indeed</t>
        </is>
      </c>
      <c r="E65" t="inlineStr"/>
      <c r="F65" t="inlineStr"/>
      <c r="G65" t="inlineStr">
        <is>
          <t>Dallas, TX, US</t>
        </is>
      </c>
      <c r="H65" s="1" t="n">
        <v>46020</v>
      </c>
      <c r="I65"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66">
      <c r="A66" t="inlineStr">
        <is>
          <t>in-fad9c92f284edfd5</t>
        </is>
      </c>
      <c r="B66" t="inlineStr">
        <is>
          <t>Program Manager, ReLo Ops Excellence, Relo Ops Integration</t>
        </is>
      </c>
      <c r="C66" t="inlineStr">
        <is>
          <t>Amazon.com</t>
        </is>
      </c>
      <c r="D66" t="inlineStr">
        <is>
          <t>indeed</t>
        </is>
      </c>
      <c r="E66" t="inlineStr"/>
      <c r="F66" t="inlineStr"/>
      <c r="G66" t="inlineStr">
        <is>
          <t>Phoenix, AZ, US</t>
        </is>
      </c>
      <c r="H66" s="1" t="n">
        <v>46020</v>
      </c>
      <c r="I66"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67">
      <c r="A67" t="inlineStr">
        <is>
          <t>in-92b17292355958da</t>
        </is>
      </c>
      <c r="B67" t="inlineStr">
        <is>
          <t>Program Manager, ReLo Ops Excellence, Relo Ops Integration</t>
        </is>
      </c>
      <c r="C67" t="inlineStr">
        <is>
          <t>Amazon.com</t>
        </is>
      </c>
      <c r="D67" t="inlineStr">
        <is>
          <t>indeed</t>
        </is>
      </c>
      <c r="E67" t="inlineStr"/>
      <c r="F67" t="inlineStr"/>
      <c r="G67" t="inlineStr">
        <is>
          <t>Nashville, TN, US</t>
        </is>
      </c>
      <c r="H67" s="1" t="n">
        <v>46020</v>
      </c>
      <c r="I67"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68">
      <c r="A68" t="inlineStr">
        <is>
          <t>in-489ae109dec883db</t>
        </is>
      </c>
      <c r="B68" t="inlineStr">
        <is>
          <t>Principal Product Manager Technical, Creative X - RAPID</t>
        </is>
      </c>
      <c r="C68" t="inlineStr">
        <is>
          <t>Amazon.com</t>
        </is>
      </c>
      <c r="D68" t="inlineStr">
        <is>
          <t>indeed</t>
        </is>
      </c>
      <c r="E68" t="inlineStr"/>
      <c r="F68" t="inlineStr"/>
      <c r="G68" t="inlineStr">
        <is>
          <t>Seattle, WA, US</t>
        </is>
      </c>
      <c r="H68" s="1" t="n">
        <v>45939</v>
      </c>
      <c r="I68"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row r="69">
      <c r="A69" t="inlineStr">
        <is>
          <t>in-82f9cd4677dfd704</t>
        </is>
      </c>
      <c r="B69" t="inlineStr">
        <is>
          <t>Principal Product Manager Technical, Creative X - RAPID</t>
        </is>
      </c>
      <c r="C69" t="inlineStr">
        <is>
          <t>Amazon.com</t>
        </is>
      </c>
      <c r="D69" t="inlineStr">
        <is>
          <t>indeed</t>
        </is>
      </c>
      <c r="E69" t="inlineStr"/>
      <c r="F69" t="inlineStr"/>
      <c r="G69" t="inlineStr">
        <is>
          <t>New York, NY, US</t>
        </is>
      </c>
      <c r="H69" s="1" t="n">
        <v>45939</v>
      </c>
      <c r="I69"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row r="70">
      <c r="A70" t="inlineStr">
        <is>
          <t>in-34cb561b727ead05</t>
        </is>
      </c>
      <c r="B70" t="inlineStr">
        <is>
          <t>Cybersecurity Program Manager (PMP/CRISC/ITIL)</t>
        </is>
      </c>
      <c r="C70" t="inlineStr">
        <is>
          <t>The LDM Group</t>
        </is>
      </c>
      <c r="D70" t="inlineStr">
        <is>
          <t>indeed</t>
        </is>
      </c>
      <c r="E70" t="inlineStr"/>
      <c r="F70" t="inlineStr"/>
      <c r="G70" t="inlineStr">
        <is>
          <t>Alexandria, VA, US</t>
        </is>
      </c>
      <c r="H70" s="1" t="n">
        <v>46070</v>
      </c>
      <c r="I70" t="inlineStr">
        <is>
          <t>**Company Overview**
The LDM Group is a distinguished provider of IT, Cybersecurity, and Project Management services to Federal, State, and DoW. With over 30 years of collective experience, we are committed to delivering excellence through our stellar team of experts.
**Summary**
The **Program Manager** (PM) serves as the senior executive responsible for overall contract performance, technical direction, cost control, schedule adherence, and quality management for the Cybersecurity and Program Support contract. The PM is the primary interface with the Contracting Officer’s Representative (COR) and provides executive oversight across all task areas.
**Roles and Responsibilities**
* Provide leadership and oversight for all cybersecurity program support activities.
* Develop, implement, and maintain the Program Management Plan (PMP).
* Oversee execution of the Continual Service Improvement (CSI) Plan.
* Manage integrated cost, schedule, performance, and risk across all FFP and T\&amp;M task areas.
* Ensure compliance with FISMA, NIST Risk Management Framework (RMF), CDM requirements, and other federal cybersecurity mandates.
* Lead monthly status meetings, executive briefings, and reporting activities.
* Oversee SLA compliance, performance metrics, and corrective action implementation.
* Direct transition\-in and transition\-out planning and execution.
* Manage subcontractors and ensure staffing continuity.
* Maintain accountability for deliverable quality, timeliness, and contractual compliance.
**Minimum Qualifications**
* Master of Science in Management or related business discipline.
* Minimum 10 years managing federal information security programs.
* Experience leading enterprise cybersecurity teams supporting cloud, network, and application security.
* Demonstrated experience managing programs of similar size and complexity within a federal agency environment.
**Required Certifications**
* Project Management Professional (**PMP**)
* **ITIL**
* Certified in Risk and Information Systems Control (**CRISC**)
* Preferred: **CISSP**
**Qualifications**
* Proven experience in program management within cybersecurity or related IT fields.
* Strong knowledge of federal cybersecurity standards and compliance requirements.
* Expertise in project management methodologies such as Agile, SAFe, Waterfall.
* Proficiency with project management tools like Microsoft Project, Jira, and SharePoint.
* Excellent leadership, communication, and organizational skills.
* Ability to manage multiple priorities effectively.
* Relevant certifications such as PMP or CISSP are preferred.
* Bachelor’s degree in Computer Science, Information Technology, or related discipline.
**Call\-To\-Action**
Embark on a journey with The LDM Group where your expertise will make a tangible difference. If you are ready to lead innovative cybersecurity programs that protect vital assets and advance government missions, we want to hear from you—apply today to become part of our dedicated team.
Pay: $100,904\.20 \- $121,519\.03 per year
Benefits:
* Dental insurance
* Employee assistance program
* Flexible schedule
* Health insurance
* Health savings account
* Life insurance
* Paid time off
* Professional development assistance
* Referral program
* Vision insurance
Work Location: Hybrid remote in Alexandria, VA 22314</t>
        </is>
      </c>
    </row>
    <row r="71">
      <c r="A71" t="inlineStr">
        <is>
          <t>in-cbe11a1a4818d858</t>
        </is>
      </c>
      <c r="B71" t="inlineStr">
        <is>
          <t>Program Manager – Product &amp; Client Delivery</t>
        </is>
      </c>
      <c r="C71" t="inlineStr">
        <is>
          <t>Actalent</t>
        </is>
      </c>
      <c r="D71" t="inlineStr">
        <is>
          <t>indeed</t>
        </is>
      </c>
      <c r="E71" t="inlineStr"/>
      <c r="F71" t="inlineStr"/>
      <c r="G71" t="inlineStr">
        <is>
          <t>Bellevue, WA, US</t>
        </is>
      </c>
      <c r="H71" s="1" t="n">
        <v>46070</v>
      </c>
      <c r="I71" t="inlineStr">
        <is>
          <t>**About the Role**
We are seeking a **Program Manager** to lead and support engineering consultants embedded within large enterprise technology programs. This is a **client‑facing role** focused on delivery excellence, people leadership, and operational execution across complex, high‑visibility initiatives.
This role is **not a pure project manager position**. The ideal candidate brings a strong foundation in program or project management **combined with direct people‑management experience**, ideally within engineering, technology, or professional services environments.
You will manage multiple client programs simultaneously while coaching and developing engineering consultants to ensure successful delivery, compliance, and client satisfaction.
**What You’ll Do**
* Serve as the **primary program lead** for enterprise client engagements (e.g., large tech organizations).
* Manage and support **engineering consultants** assigned to client programs.
* Provide **day‑to‑day leadership, mentorship, and coaching** to direct reports.
* Ensure project tasks are completed **accurately, on time, and in compliance** with internal and client requirements.
* Act as a liaison between **clients, consultants, and internal support teams**.
* Oversee **2–3 client programs** at a time as the business continues to grow.
* Build strong, trusted relationships with client stakeholders.
* Identify opportunities to **improve processes and operational efficiency**.
* Support onboarding and ramp‑up of new consultants and programs.
**First 30 Days – What Success Looks Like**
* Learn internal processes, tools, and compliance requirements.
* Shadow existing program leadership before fully owning programs.
* Build rapport with direct reports, internal teams, and client stakeholders.
* Gain a strong understanding of how programs are currently run—and where improvements may exist.
**What We’re Looking For**
* Experience as a **Program Manager or Project Manager** in a client‑facing environment.
* **Direct people‑management experience** (required).
* Experience supporting or managing **engineering or technical teams**.
* Strong communication and stakeholder‑management skills.
* Ability to operate in fast‑paced, multi‑program environments.
* Comfort working with large enterprise clients.
* Engineering degree or technical background is a strong plus.
* PMP, Agile, or similar certifications are helpful but not required.
**Why Join Us**
* Work on **high‑impact programs** with leading technology organizations.
* Opportunity to shape how programs and teams operate as the business grows.
* Strong emphasis on leadership, development, and continuous improvement.
* Competitive compensation with flexibility based on experience.
Job Type: Full\-time
Pay: $120,000\.00 \- $140,000\.00 per year
Benefits:
* 401(k)
* 401(k) matching
* Dental insurance
* Employee assistance program
* Employee discount
* Flexible schedule
* Flexible spending account
* Health insurance
* Health savings account
* Life insurance
* Paid time off
* Parental leave
* Professional development assistance
* Referral program
* Retirement plan
* Tuition reimbursement
* Vision insurance
Application Question(s):
* Tell me about your experience managing client‑facing programs or projects.
* Have you managed direct reports? If yes, how many and in what capacity?
* How have you supported, coached, or mentored engineers or technical consultants to ensure successful delivery?
* What is your background working with engineering or technical teams?
* Have you supported more than one client or stakeholder group at the same time?
* This role is primarily focused in the Washington area and may require local travel. Are you comfortable with this?
* Salary expectation?
Work Location: Hybrid remote in Bellevue, WA 98004</t>
        </is>
      </c>
    </row>
    <row r="72">
      <c r="A72" t="inlineStr">
        <is>
          <t>in-8db212de8bb527ce</t>
        </is>
      </c>
      <c r="B72" t="inlineStr">
        <is>
          <t>Residential Program Manager</t>
        </is>
      </c>
      <c r="C72" t="inlineStr">
        <is>
          <t>Grow ministries</t>
        </is>
      </c>
      <c r="D72" t="inlineStr">
        <is>
          <t>indeed</t>
        </is>
      </c>
      <c r="E72" t="inlineStr"/>
      <c r="F72" t="inlineStr"/>
      <c r="G72" t="inlineStr">
        <is>
          <t>Cambridge, IL, US</t>
        </is>
      </c>
      <c r="H72" s="1" t="n">
        <v>46070</v>
      </c>
      <c r="I72" t="inlineStr">
        <is>
          <t>**Job Summary**  
We are seeking a dedicated female Residential Program Manager to oversee operations within our shelter. The ideal candidate will possess strong leadership skills.
The residential program manage position is ideally a live in position. As program manager you can have an outside job or preferably you can raise your support like a missionary. Responsibilities are as follows: Manager is the liaison between clients and director, never keeping secrets, main concern is help manage clients and influencing them for Christ.
**Responsibilities**
* Oversee daily operations of smooth running of the shelter, supervising the clients, making sure all rules are followed by clients.
* Overseeing the clients weekly chores. (cleaning building, mowing, shoveling snow etc.) making charts for those chores, dividing work, and making sure chores are completed each week. Overseeing performance of general housekeeping/cleaning of facility.
* Prepare rooms for incoming residents or cleaning the room after a client leaves.
* Leading/Conducting daily Bible studies, always encouraging clients to grow spiritually.
* Overseeing video watching. Encouraging positive videos and preaching/teaching videos.
* Provide rides to church, and Bible studies. (Company Van).
* Ensure adherence of program rules and chors, document any violations report problems to director.
* Occasionally, participate with clients for "fun time" (approved by director)
* Responsible for making sure all utilities are not wasted and manage heat and AC, door locked.
* House Manager is a member of the Grow Ministries board, reporting monthly on clients.
* House manager oversees all client medication an distribution.
* House Manager is able to show/teach good communication to clients, help clients set goals, room cleanliness. Encouraging clients to not horde items, while maintaining professional relationships with clients.
* Encouraged to use EBP, Evidence Based Practices, looking for the positive in the clients and praising them for their changes.
* Oversee any drug screenings performed.
* The house manager is the "example" of how to honor Christ with ones life, no cussing, no drug usage, no alcohol, honoring God with ones life style.
**Qualifications**
* Having a heart to help women in crisis.
* Strong leadership skills with supervisory experience managing individuals.
* Familiarity with developing and managing care plans tailored to residents’ individual needs.
* Compassionate approach to working with individuals.
* Ability to handle sensitive situations professionally while maintaining confidentiality.
* The ability to teach Bible studies.
Pay: $1\.00 \- $1,000\.00 per month
Work Location: In person</t>
        </is>
      </c>
    </row>
    <row r="73">
      <c r="A73" t="inlineStr">
        <is>
          <t>in-1be4da1ab2a5d36e</t>
        </is>
      </c>
      <c r="B73" t="inlineStr">
        <is>
          <t>Associate Product Manager/Retail Buyer</t>
        </is>
      </c>
      <c r="C73" t="inlineStr">
        <is>
          <t>Camping World</t>
        </is>
      </c>
      <c r="D73" t="inlineStr">
        <is>
          <t>indeed</t>
        </is>
      </c>
      <c r="E73" t="inlineStr"/>
      <c r="F73" t="inlineStr"/>
      <c r="G73" t="inlineStr">
        <is>
          <t>Bowling Green, KY, US</t>
        </is>
      </c>
      <c r="H73" s="1" t="n">
        <v>46069</v>
      </c>
      <c r="I73" t="inlineStr">
        <is>
          <t>**Position Summary:**
The Associate Product Manager (Retail Buyer) is responsible for developing, managing, and optimizing the product assortment for their designated department(s), ensuring alignment with Camping World’s strategic goals and customer demands. The ideal candidate will combine strong analytical skills, keen market insights, and a customer\-centric approach to drive growth, achieve sales goals, and deliver an exceptional shopping experience.
**Key Responsibilities:**
**Product Selection \&amp; Assortment Planning:**
* Own and manage product assortments for designated department(s), with a focus on creating a compelling and trend\-driven selection of products that appeal to Camping World's customers.
* Develop and execute monthly close\-out and hot\-buy promotional assortments that balance deep customer value with strong sales performance and margin profitability.
* Develop product lineups that reflect customer needs, market trends, and competitive analysis.
**Sales \&amp; Profitability Goals:**
* Achieve department sales, margin, and inventory turn goals through effective assortment planning, vendor negotiations, and pricing strategies.
* Work closely with inventory planning, finance, and analytics teams to monitor performance and adjust strategy as needed to maximize profitability.
**Vendor Relations \&amp; Negotiations:**
* Support product managers with analyzing and reconciliating vendor co\-op agreements
* Build and maintain strong vendor partnerships to secure favorable terms, maintain consistent product quality, and negotiate pricing, delivery, and marketing support.
* Assess and select new vendors to enhance the product lineup and drive competitive advantage.
**Market \&amp; Competitive Analysis:**
* Conduct regular market research to understand industry trends, customer preferences, and competitor activities.
* Adjust assortments based on consumer behavior insights and market trends, balancing innovation with core product offerings.
**Cross\-Functional Collaboration:**
* Work closely with marketing, ecommerce, inventory, and store operations teams to drive sales and ensure cohesive product representation across channels.
* Collaborate with the planning and allocation teams to maintain optimal inventory levels and improve in\-stock positions.
**Promotion \&amp; Pricing Strategy:**
* Assist with pricing analysis and promotional performance reviews
* Develop promotional strategies and pricing models that drive demand while ensuring profitability and competitive positioning.
**Qualifications:**
* Bachelor’s degree in Business, Marketing, Retail Management, or a related field.
* 1\-3 years of experience in product management, buying, merchandising, or related field, preferably in outdoor, camping, or sporting goods retail.
* Proven track record of developing and managing successful product assortments that meet or exceed sales goals.
* Strong understanding of retail math and experience working with margin, sales, and inventory metrics.
* Excellent negotiation and vendor management skills.
* Analytical and data\-driven with proficiency in tools like Excel, ERP systems, and relevant retail analytics software.
* Passion for outdoor activities and knowledge of the camping/outdoor industry is highly desirable.
* Ability to travel, 25%
**Key Skills:**
* Strategic Thinking \&amp; Planning
* Creative Vision \&amp; Strategic Ideation
* Strong Communication Skills
* Data Analysis \&amp; Problem Solving
* Adaptability \&amp; Resilience in a Fast\-Paced Environment
* Customer\-Centric Mindset
* Collaboration \&amp; Relationship Building
**Why Join Camping World?**
Camping World offers an exciting opportunity to shape the product landscape in the outdoor and camping space, surrounded by a team that shares your passion for the great outdoors. We provide competitive compensation, comprehensive benefits, and career growth opportunities in an organization that values innovation and customer satisfaction.
**Apply today and help shape the next chapter of outdoor adventures for our customers!**
**Pay Range:**
$54,055\.00\-$78,945\.00 Annual
In addition to competitive pay, we offer Paid Time Off, 401(k), an Employee Assistance Program, Good Sam Roadside Assistance, discounts, paid parental leave (if eligibility is met), Tuition Reimbursement (if eligibility is met), and on the job training opportunities. Full\-time associates are offered a comprehensive benefit package including medical, dental, vision and more! Part\-time associates are offered access to dental \&amp; vision coverage! For more information please visit: www.mycampingworldbenefits.com
We are an equal employment opportunity employer. The Company's policy is not to discriminate against any applicant or employee based on race, color, sex, sexual orientation, gender identity, religion, national origin, age (40 and over), disability, veteran or uniformed service\-member status, genetic information, or any other basis protected by applicable federal, state, or local laws.</t>
        </is>
      </c>
    </row>
    <row r="74">
      <c r="A74" t="inlineStr">
        <is>
          <t>in-1183155d2d50872b</t>
        </is>
      </c>
      <c r="B74" t="inlineStr">
        <is>
          <t>ServiceNow Product Manager – Core Platform</t>
        </is>
      </c>
      <c r="C74" t="inlineStr">
        <is>
          <t>Raytheon</t>
        </is>
      </c>
      <c r="D74" t="inlineStr">
        <is>
          <t>indeed</t>
        </is>
      </c>
      <c r="E74" t="inlineStr"/>
      <c r="F74" t="inlineStr"/>
      <c r="G74" t="inlineStr">
        <is>
          <t>Denver, CO, US</t>
        </is>
      </c>
      <c r="H74" s="1" t="n">
        <v>46069</v>
      </c>
      <c r="I74" t="inlineStr">
        <is>
          <t>**Date Posted:**
2026\-02\-16**Country:**
United States of America**Location:**
US\-CO\-REMOTE**Position Role Type:**
Remote**U.S. Citizen, U.S. Person, or Immigration Status Requirements:**
Must be authorized to work in the U.S. without the company’s immigration sponsorship now or in the future. The company will not offer immigration sponsorship for this position. The company will not seek an export authorization for this role.**Security Clearance Type:**
None/Not Required**Security Clearance Status:**
Not Required
RTX Corporation is an Aerospace and Defense company that provides advanced systems and services for commercial, military and government customers worldwide. It comprises three industry\-leading businesses – Collins Aerospace Systems, Pratt \&amp; Whitney, and Raytheon. Its 185,000 employees enable the company to operate at the edge of known science as they imagine and deliver solutions that push the boundaries in quantum physics, electric propulsion, directed energy, hypersonics, avionics and cybersecurity. The company, formed in 2020 through the combination of Raytheon Company and the United Technologies Corporation aerospace businesses, is headquartered in Arlington, VA.
**The following position is to join our RTX Enterprise Services team:**
The ServiceNow Product Manager is responsible for the strategic ownership, evolution, and delivery of ServiceNow capabilities. This role blends product management discipline, hands\-on business analysis, and delivery oversight to ensure solutions drive measurable business value, strong adoption, and scalable governance in a complex enterprise environment.
This role serves as the primary bridge between business stakeholders, platform teams, developers, and vendors—owning the product lifecycle from demand intake through roadmap execution and post\-release optimization.
**Qualifications You Must Have:**
* A University Degree or equivalent experience and minimum 10 years prior relevant experience, including 5 years of experience as a Product Manager.
* Hands\-on experience with ServiceNow
* Strong understanding of product management practices, including roadmap planning, prioritization, and value measurement
* Proven ability to perform business analysis, write high\-quality requirements, and support delivery teams
* Experience working in Agile or hybrid delivery models
* Excellent stakeholder management and communication skills
**Qualifications We Prefer:**
* ServiceNow certifications (CSA, CIS, or domain\-specific certifications)
* Experience in large, highly regulated, or global organizations
* Experience with ServiceNow platform
* Experience partnering with system integrators or managed service providers
* Experience or certification with Agile or Scaled Agile Framework
**Learn More \&amp; Apply Now**
**What We Offer:**
Whether you’re just starting out on your career journey or are an experienced professional, we offer a robust total rewards package with compensation; healthcare, wellness, retirement and work/life benefits; career development and recognition programs. Some of the benefits we offer include parental (including paternal) leave, flexible work schedules, achievement awards, educational assistance and child/adult backup care.
**Work Location:**
Remote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132,400 USD \- 251,600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75">
      <c r="A75" t="inlineStr">
        <is>
          <t>in-2684375d54c30c48</t>
        </is>
      </c>
      <c r="B75" t="inlineStr">
        <is>
          <t>Tomahawk Development Execution Program Manager</t>
        </is>
      </c>
      <c r="C75" t="inlineStr">
        <is>
          <t>Raytheon</t>
        </is>
      </c>
      <c r="D75" t="inlineStr">
        <is>
          <t>indeed</t>
        </is>
      </c>
      <c r="E75" t="inlineStr"/>
      <c r="F75" t="inlineStr"/>
      <c r="G75" t="inlineStr">
        <is>
          <t>Tucson, AZ, US</t>
        </is>
      </c>
      <c r="H75" s="1" t="n">
        <v>46069</v>
      </c>
      <c r="I75" t="inlineStr">
        <is>
          <t>**Date Posted:**
2026\-02\-16**Country:**
United States of America**Location:**
US\-AZ\-TUCSON\-9020 \~ 9020 S Rita Rd \~ BLDG 9020**Position Role Type:**
Onsite**U.S. Citizen, U.S. Person, or Immigration Status Requirements:**
The ability to obtain and maintain a U.S. government issued security clearance is required. U.S. citizenship is required, as only U.S. citizens are eligible for a security clearance**Security Clearance Type:**
Secret \- Current**Security Clearance Status:**
Active and existing security clearance required after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Tomahawk Development is seeking multiple Execution Program Managers to join the Tomahawk Portfolio Program Management team. Responsibly for coordinating one or more development program teams in their proposal and execution efforts on various Govt contracts. Coordination with multiple stakeholders to maximize consistency and implementation of program management best practices. Will assist with providing tactical directions for program execution and maintain program cadence to ensure contract and company requirements, deliverables, and reporting are met using the approved business model and management tools using EVMS, RLPM, PRISM, etc.
In addition, this person will also be expected to work closely with and influence PMOs and functional contributors to ensure alignment and consistency through key portfolio initiatives. Work through various stages of proposals \&amp; program execution. In addition to the internal responsibilities, you may also interface with customers for various topics to include technical interface meetings, contracts meetings, program management meetings and business growth meetings.
**\*\*This is an onsite position at our Tucson, AZ facility.**
**\*\*Relocation assistance is NOT currently available.**
**Will You Will Do:**
* Act as the delegate to the Program Manager; assist in meeting contractual commitments, including financial, technical, and schedule performance of assigned program(s) within contractual boundaries and company expectations.
* Lead/assist with the daily program cadence (battle rhythm), such as risk and opportunity boards, schedule performance management, customer reviews, program management reviews, preparation for customer visits, execution reviews, staffing reviews, and decision reviews to achieve contract commitments.
* Prepare, revise, and monitor required documentation and analysis in compliance with contract requirements, RTX Lifecycle Program Management (RLPM), corporate, and business policies and procedures.
* Act as the Cost Account Manager (CAM) for the PMO and coordinate the broader functional team during EAC development, with the potential to oversee the entire EAC process.
* Develop program\-enhancing partnerships with internal functional organizations (typically organized into Integrated Product Teams (IPTs) and/or Cross Product Teams (CPTs)), including but not limited to Engineering, Contracts, Finance, Procurement/Supply Chain, Manufacturing/Operations, Quality Management, Logistics, Data Management (CDRL support), and administrative functions.
* Display strong communication, influence management, and presentation skills, and comfortably interact with both internal and external stakeholders at all levels of leadership.
* Lead proposal and startup activities
**What You Will Learn:**
* Raytheon and RTX Business Acumen
* SBU \&amp; SSBU organizational structure, responsibilities amongst the programs and the functional areas, and deliverables
**Qualifications You Must Have:**
* Typically requires a University Degree or equivalent experience and a minimum of 8 years prior relevant experience, or An Advanced Degree in a related field and a minimum of 5 years’ experience
* Prior experience in program, or project management
* Prior experience with or as a IPTL (Integrated Product Team Lead) Lead or similar position
* Experience preparing cost proposals and/or gate packages for management review
* Prior experience with program and project management tools (***ex: IPDS/RLPM etc***.)
* Prior experience with any of the following: EVMS, Risk \&amp; Opportunity Management, IMP and/or IMS development or similar program/system
**Qualifications We Prefer:**
* Program Management Level 6 Certification or ability to achieve within 6 months
* Certified BOE developer / approver
* Prior experience interacting with USG program and contracting agencies
* Product lifecycle management experience
* Raytheon Earned Value Certification
* Experience with supplier management and/or subcontract management
* Experience with Risk and Opportunity Management
**What We Offer:**
* Our values drive our actions, behaviors, and performance with a vision for a safer, more connected world. At RTX we value: Safety, Trust, Respect, Accountability, Collaboration, and Innovation.
* *Relocation – NOT AVAILABLE*
Please consider the following role type definition as you apply for this role:
* Onsite: Employees who are working in Onsite roles will work primarily onsite. This includes all production and maintenance employees, as they are essential to the development of our products.
* Location: Tucson, AZ
*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*Learn More \&amp; Apply Now!*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107,500 USD \- 204,500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76">
      <c r="A76" t="inlineStr">
        <is>
          <t>in-7ef820c64c6599e3</t>
        </is>
      </c>
      <c r="B76" t="inlineStr">
        <is>
          <t>Senior Program Manager - Counter-Unmanned Aircraft Systems (C-UAS) (Tucson / Abu Dhabi)</t>
        </is>
      </c>
      <c r="C76" t="inlineStr">
        <is>
          <t>Raytheon</t>
        </is>
      </c>
      <c r="D76" t="inlineStr">
        <is>
          <t>indeed</t>
        </is>
      </c>
      <c r="E76" t="inlineStr"/>
      <c r="F76" t="inlineStr"/>
      <c r="G76" t="inlineStr">
        <is>
          <t>Tucson, AZ, US</t>
        </is>
      </c>
      <c r="H76" s="1" t="n">
        <v>46069</v>
      </c>
      <c r="I76" t="inlineStr">
        <is>
          <t>**Date Posted:**
2026\-02\-16**Country:**
United States of America**Location:**
US\-AZ\-TUCSON\-M07 \~ 3292 E Hemisphere Loop \~ BLDG M07**Position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Secret**Security Clearance Status:**
Active and existing security clearance required on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 is seeking a **Senior Program Manager** to support the Counter\-Unmanned Aircraft Systems (C\-UAS) portfolio. In this critical role you will focus on establishing and strengthening supplier quality and production capabilities in a rapidly evolving and strategically important international environment.
This is a high\-visibility role reporting directly to senior leadership, with opportunities to work closely with Executive Raytheon Leadership and other key stakeholders.
This strategic role is designed for an expert in program management who is seeking to enhance their career with international experience and strategic exposure in a complex, high\-stakes environment.
This accompanied position will be onsite in Tucson, AZ, with future move to Abu Dhabi, UAE for a 2\-year long\-term international assignment, with potential extension.
Employment is contingent upon meeting all medical requirements for overseas assignments including comprehensive post\-offer medical examination.
**What You Will Do**
**Supplier Quality and Production Start\-Up:**
* Lead efforts to establish and ramp up supplier quality and production capabilities to support the C\-UAS portfolio.
* Collaborate with suppliers to ensure adherence to Raytheon’s quality standards and production timelines.
* Troubleshoot and resolve supply chain or production challenges, ensuring seamless project execution.
**Supply Chain and Supplier Management:**
* Develop and maintain strong relationships with suppliers, ensuring alignment with Raytheon’s strategic objectives.
* Oversee supply chain operations, including onboarding new suppliers and optimizing existing supplier performance.
* Drive supplier compliance with international and U.S. export/import (EX/IM) regulations.
**Program Management:**
* Serve as the primary point of contact for internal and external stakeholders, including Raytheon leadership, suppliers, and customers.
* Manage program schedules, budgets, and resources in accordance with Earned Value Management (EVM) principles.
* Regularly assess program performance and provide updates to senior leadership.
**Leadership and Collaboration:**
* Provide leadership and direction to cross\-functional teams, fostering collaboration and accountability.
* Act as a liaison between UAE\-based operations and U.S. headquarters, ensuring alignment of goals and objectives.
* Mentor and guide team members, sharing expertise to build local team capabilities.
**Strategic Impact:**
* Drive the successful execution of key C\-UAS initiatives, contributing to Raytheon’s broader strategic objectives in the region.
* Leverage international experience to identify opportunities for process improvements and operational efficiencies.
* Represent Raytheon in high\-visibility engagements with customers and leadership.
**Qualifications You Must Have**
* Typically requires a Bachelor’s and a minimum of 12\+ years prior relevant experience, or an Advance Degree in a related field and a minimum of 10\+ years’ experience.
* Experience to include managing LRIP / Production programs that either transitioned or in the process of transitioning to production program.
* Experience in military production, supplier quality, supply chain management, and international licensing (EX/IM).
* Experience interfacing with customers and industry partners.
* Experience managing, tracking, and/or reporting through EAC review and customer Program Management Reviews (PMR) or similar metrics.
* The ability to obtain and maintain a U.S. government issued Secret security clearance is required.
* U.S. citizenship is required, as only U.S. citizens are eligible for a security clearance.
**Qualifications We Prefer**
* Bachelor’s degree in Engineering, Business, Science or Mathematics.
* Program Management Certified Level 5 or equivalent.
* EVMS Certification.
* Proven team building \- demonstrated strong leadership, coordination, and people/interpersonal skills.
* Excellent presentation and communication skills to senior executives and external international customers.
* Excellent record of progressively more responsible leadership roles.
* Demonstrated ability to formulate relationships and influence customer requirements.
**What We Offer**
Our values drive our actions, behaviors, and performance with a vision for a safer, more connected world. At RTX, we value: Safety, Trust, Respect, Accountability, Collaboration, and Innovation.
**Clearance Information:** This position requires a security clearance. DCSA Consolidated Adjudication Services (DCSA), an agency of the Department of Defense, handles and adjudicates the security clearance process. More information about Security Clearances can be found on the US Department of State government website here: https://www.state.gov/m/ds/clearances/c10978\.htm
\#LI\-FR1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157,200 USD \- 298,800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77">
      <c r="A77" t="inlineStr">
        <is>
          <t>in-89da15a1017a6863</t>
        </is>
      </c>
      <c r="B77" t="inlineStr">
        <is>
          <t>Chief Product Owner - Radar Product Line</t>
        </is>
      </c>
      <c r="C77" t="inlineStr">
        <is>
          <t>Raytheon</t>
        </is>
      </c>
      <c r="D77" t="inlineStr">
        <is>
          <t>indeed</t>
        </is>
      </c>
      <c r="E77" t="inlineStr"/>
      <c r="F77" t="inlineStr"/>
      <c r="G77" t="inlineStr">
        <is>
          <t>Marlborough, MA, US</t>
        </is>
      </c>
      <c r="H77" s="1" t="n">
        <v>46069</v>
      </c>
      <c r="I77" t="inlineStr">
        <is>
          <t>**Date Posted:**
2026\-02\-16**Country:**
United States of America**Location:**
US\-MA\-MARLBOROUGH\-MA2 \~ 1001 Boston Post Rd \~ BLDG 2**Position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Secret**Security Clearance Status:**
Active and existing security clearance required on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 is seeking a highly motivated and experienced Chief Product Owner (CPO) to lead the Radar Digital Product Line (RDPL) SPY\-6 Enterprise Air Surveillance Radar (EASR) effort. This critical role involves providing strategic technical and programmatic oversight for the SPY\-6(V)2 and SPY\-6(V)3 radar configurations, supporting program execution, and driving alignment with broader RDPL objectives. The Chief Product Owner will play a key role in delivering high\-quality radar systems to the U.S. Navy and contributing to the growth and success of RDPL.
**What You Will Do**
* Serve as the technical and programmatic leader for the SPY\-6 EASR effort within the product line, overseeing the development, integration, and delivery of SPY\-6(V)2 and SPY\-6(V)3 radar configurations.
* Manage technical baselines and ensure alignment across multiple shipsets and platforms to meet customer requirements.
* Coordinate with SPY\-6(V)1 teams to manage dependencies, mitigate risks, and ensure seamless integration across the SPY\-6 radar family.
* Lead a matrixed engineering team, fostering collaboration across disciplines to meet program objectives and exceed customer expectations.
* Drive the execution of RDPL’s productivity and velocity goals through innovative engineering and process improvements.
* Act as the primary interface with internal stakeholders and external customers, ensuring alignment of technical execution with programmatic goals.
* Influence customer perceptions and maintain strong relationships with key stakeholders.
* Support risk management, schedule adherence, and cost control to meet program deliverables and financial objectives.
**Qualifications You Must Have**
* Typically requires a Bachelor’s in Science, Technology, Engineering, or Mathematics (STEM) and a minimum of 10 years of prior engineering experience.
* Experience in managing multidisciplinary engineering teams.
* Experience managing technical baselines and delivering mission\-critical systems to customers.
* Active and transferable U.S. government issued Secret security clearance is required prior to start date. U.S. citizenship is required, as only U.S. citizens are eligible for a security clearance.
**Qualifications We Prefer**
* Experience with U.S. Navy radar systems and understanding of mission\-critical requirements.
* Experience with Raytheon’s RDPL objectives and processes, including productivity and velocity improvement initiatives.
* Excellent communication, negotiation, and stakeholder management skills.
* Strong technical background in radar systems.
**What We Offer**
* Our values drive our actions, behaviors, and performance with a vision for a safer, more connected world. At RTX we value: Safety, Trust, Respect, Accountability, Collaboration, and Innovation.
* Relocation eligible.
**Learn More \&amp; Apply Now!**
Please consider the following role type definition as you apply for this role.
Onsite: Employees who are working in Onsite roles will work primarily onsite. This includes all production and maintenance employees, as they are essential to the development of our products.
This position requires a security clearance. DCSA Consolidated Adjudication Services (DCSA ,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132,400 USD \- 251,600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78">
      <c r="A78" t="inlineStr">
        <is>
          <t>in-4f74f11a78935300</t>
        </is>
      </c>
      <c r="B78" t="inlineStr">
        <is>
          <t>ServiceNow Product Manager Accounts Payable &amp; Finance</t>
        </is>
      </c>
      <c r="C78" t="inlineStr">
        <is>
          <t>Raytheon</t>
        </is>
      </c>
      <c r="D78" t="inlineStr">
        <is>
          <t>indeed</t>
        </is>
      </c>
      <c r="E78" t="inlineStr"/>
      <c r="F78" t="inlineStr"/>
      <c r="G78" t="inlineStr">
        <is>
          <t>Hartford, CT, US</t>
        </is>
      </c>
      <c r="H78" s="1" t="n">
        <v>46069</v>
      </c>
      <c r="I78" t="inlineStr">
        <is>
          <t>**Date Posted:**
2026\-02\-16**Country:**
United States of America**Location:**
US\-CT\-REMOTE**Position Role Type:**
Remote**U.S. Citizen, U.S. Person, or Immigration Status Requirements:**
Must be authorized to work in the U.S. without the company’s immigration sponsorship now or in the future. The company will not offer immigration sponsorship for this position. The company will not seek an export authorization for this role.**Security Clearance Type:**
None/Not Required**Security Clearance Status:**
Not Required
RTX Corporation is an Aerospace and Defense company that provides advanced systems and services for commercial, military and government customers worldwide. It comprises three industry\-leading businesses – Collins Aerospace Systems, Pratt \&amp; Whitney, and Raytheon. Its 185,000 employees enable the company to operate at the edge of known science as they imagine and deliver solutions that push the boundaries in quantum physics, electric propulsion, directed energy, hypersonics, avionics and cybersecurity. The company, formed in 2020 through the combination of Raytheon Company and the United Technologies Corporation aerospace businesses, is headquartered in Arlington, VA.
**The following position is to join our RTX Enterprise Services team:**
The ServiceNow Product Manager is responsible for the strategic ownership, evolution, and delivery of ServiceNow capabilities. This role blends product management discipline, hands\-on business analysis, and delivery oversight to ensure solutions drive measurable business value, strong adoption, and scalable governance in a complex enterprise environment.
This role serves as the primary bridge between business stakeholders, platform teams, developers, and vendors—owning the product lifecycle from demand intake through roadmap execution and post\-release optimization.
The scope for this role is to support Finance, Legal, Procurement, and Real Estate.
**What You Will Do:**
**Product Strategy \&amp; Vision**
* Own and articulate the product vision and strategy for ServiceNow solutions across the product area.
* Conduct market research, internal benchmarking, and platform analysis to identify best practices, new ServiceNow capabilities, and opportunities for improvement
* Define and maintain a multi\-year product roadmap aligned to enterprise priorities, regulatory requirements, and platform strategy
* Establish and enforce product governance, including intake standards, prioritization frameworks, lifecycle management, and value tracking
* Business Partnership \&amp; Leadership
* Serve as the primary executive\-facing owner for how the business owner deliver services through ServiceNow
* Serve as the primary executive\-facing point of contact overseeing how the business delivers services through ServiceNow.
* Build and sustain trusted partnerships with senior business leaders, acting as a strategic advisor rather than an order taker
* Lead strategic discovery and consultative conversations to identify opportunities for automation, standardization, risk reduction, and experience improvement
* Act as a thought partner on ServiceNow capabilities, platform strategy, and industry best practices, helping leaders make informed investment decisions
**Demand, Stakeholder \&amp; Value Management**
* Lead demand management and prioritization, balancing operational needs, compliance requirements, technical health, and strategic initiatives
* Partner closely with business and technology stakeholders to ensure transparent trade\-offs and outcome\-driven prioritization
* Define and track product success metrics, including adoption, efficiency gains, cycle time reduction, risk mitigation, and user satisfaction
* Report regularly on outcomes, risks, and value delivered to senior leadership
* Use data, insights, and analytics to continuously refine priorities and improve service delivery
**Product Development \&amp; Backlog Ownership**
* Translate product strategy into epics, features, and a prioritized product backlog
* Define feature\-level functional requirements, business rules, and service design in partnership with architects and platform teams
* Lead backlog refinement to ensure stories are well\-defined, estimated, sequenced, and ready for development
* Maintain clear, high\-quality functional documentation to support development, testing, and ongoing operations
* Platform Stewardship \&amp; Continuous Improvement
* Stay current on ServiceNow releases, capabilities, and roadmap relevant to enterprise business services
* Identify opportunities to simplify, standardize, retire, or modernize legacy workflows and customizations
* Promote employee\-centered, intuitive design and consistent user experiences
* Ensure solutions align to platform standards, architectural principles, and long\-term scalability
**Business Analysis, Delivery \&amp; Project Oversight**
* Perform hands\-on business analysis, translating business needs into story\-level functional and technical requirements with clear acceptance criteria
* Partner with developers throughout story development, providing clarification and iterative solution design support
* Lead or coordinate functional testing, test case management, and defect resolution
* Coordinate and support User Acceptance Testing (UAT) with business stakeholders
* Oversee story implementation, release readiness, and post\-deployment validation
* Provide lightweight project oversight, managing risks, dependencies, timelines, and cross\-team coordination
**What Success Looks Like:**
Clear, outcome\-driven roadmaps aligned to business priorities
Predictable delivery with minimal rework due to strong upfront analysis
High stakeholder confidence and engagement
Strong product adoption and reduced off\-platform or manual work
Well\-governed, transparent backlog and intake process
**Qualifications You Must Have:**
* University Degree or equivalent experience and minimum 10 years prior relevant experience, including 5 years of experience as a Product Manager.
* Hands\-on experience with ServiceNow, preferably in Finance, Legal, Procurement, or Real Estate domains
* Strong understanding of product management practices, including roadmap planning, prioritization, and value measurement
* Proven ability to perform business analysis, write high\-quality requirements, and support delivery teams
* Experience working in Agile or hybrid delivery models
* Excellent stakeholder management and communication skills
**Qualifications We Prefer:**
* ServiceNow certifications (CSA, CIS, or domain\-specific certifications)
* Experience in large, highly regulated, or global organizations
* Experience with ServiceNow platform
* Experience partnering with system integrators or managed service providers
* Experience or certification with Agile or Scaled Agile Framework
Learn More \&amp; Apply Now
**What We Offer:**
Whether you’re just starting out on your career journey or are an experienced professional, we offer a robust total rewards package with compensation; healthcare, wellness, retirement and work/life benefits; career development and recognition programs. Some of the benefits we offer include parental (including paternal) leave, flexible work schedules, achievement awards, educational assistance and child/adult backup care.
**Work Location:**
Remote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132,400 USD \- 251,600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79">
      <c r="A79" t="inlineStr">
        <is>
          <t>in-89b93d4a719f988f</t>
        </is>
      </c>
      <c r="B79" t="inlineStr">
        <is>
          <t>BSOC Program Manager</t>
        </is>
      </c>
      <c r="C79" t="inlineStr">
        <is>
          <t>Fifth Third Bank</t>
        </is>
      </c>
      <c r="D79" t="inlineStr">
        <is>
          <t>indeed</t>
        </is>
      </c>
      <c r="E79" t="inlineStr"/>
      <c r="F79" t="inlineStr"/>
      <c r="G79" t="inlineStr">
        <is>
          <t>Cincinnati, OH, US</t>
        </is>
      </c>
      <c r="H79" s="1" t="n">
        <v>46069</v>
      </c>
      <c r="I79" t="inlineStr">
        <is>
          <t>Make banking a Fifth Third better®  
We connect great people to great opportunities. Are you ready to take the next step? Discover a career in banking at Fifth Third Bank.
GENERAL FUNCTION: Responsible for implementation and execution of defined programs and processes within EWS. This role works closely with all areas of Enterprise Workplace services and Fifth Third partner groups to plan and execute on assigned programs and strategies. Will act as a change agent on behalf of EWS as assigned programs are matured and disseminated throughout the organization. This includes making recommendations, educating and enforcing policies/standards, procedures, protocols.
Responsible and accountable for risk by openly exchanging ideas and opinions, elevating concerns, and personally following policies and procedures as defined. Accountable for always doing the right thing for customers and colleagues, and ensures that actions and behaviors drive
a positive customer experience. While operating within the Bank’s risk appetite, achieves results by consistently identifying, assessing, managing, monitoring, and reporting risks of all types.
ESSENTIAL DUTIES AND RESPONSIBILITIES:* Develops and maintains performance metrics to ensure procedures and programs are meeting the needs of Fifth Third Bank and have produced the anticipated return on investment.
* Coordinates effectively across EWS work groups to ensure the completion of multiple projects simultaneously on schedule and within budget.
* Collaborates with EWS and support partners such as strategic sourcing, technology and
* human capital on key initiatives to create the best value proposition for the organization.
* Key contributor to change management efforts in support of assigned programs and initiatives.
* Maintain awareness and establish employee involvement and ownership for relevant EWS programs.
* May act as a corporate liaison to applicable government and/or private agencies.
* Presents information and respond to questions from various business partners.
* Obtains assistance from outside agencies/consultants as needed and works seamlessly with OSPs.
* Ensure planning is aligned with corporate guidelines and that all scenarios drive efficiency in workplace planning both from a functionality and utilization standpoint.
* Works closely with project managers to ensure the EWS programs are implemented per organization standards, including relevant safety requirements.
* Prepare and maintain written policies and procedures in support of applicable programs.
* Conducts benchmarking activities to identify best practices
* Guide internal workplace planning personnel through project phases of implementation.
* May implement and maintain training programs
* Maintain accurate record keeping of all activities requiring documentation and/or associated records.
* Assume additional related responsibilities as assigned.
MINIMUM KNOWLEDGE AND SKILLS REQUIRED:* Bachelor's degree in relevant discipline (Business, Applied Science, Construction Mgt. etc.) or equivalent combination of education and experience
* Minimum of 5 years' experience required
* Experience in managing multiple, complex projects, with proven track record for results
* Proficient in Microsoft Office 10 applications (Word, Excel, Access, PowerPoint, Outlook, WebEx)
* Ability to synthesize vast amounts of information to guide decisions.
* Strong interpersonal, verbal and written communication skills
* Exceptional organizational and time management skills
* Maintain relevant certifications as required
\#LI\-EG1
BSOC Program Manager
At Fifth Third, we understand the importance of recognizing our employees for the role they play in improving the lives of our customers, communities and each other. Our Total Rewards include comprehensive benefits and differentiated compensation offerings to give each employee the opportunity to be their best every day.
The base salary for this position is reflective of the range of salary levels for all roles within this pay grade across the U.S. Individual salaries within this range will vary based on factors such as role, relevant skillset, relevant experience, education and geographic location. In addition to the base salary, this role is eligible to participate in an incentive compensation plan, with any such payment based upon company, line of business and/or individual performance.
Our extensive benefits programs are designed to support the individual needs of our employees and their families, encompassing physical, financial, emotional and social well\-being. You can learn more about those programs on our 53\.com Careers page at: https://www.53\.com/content/fifth\-third/en/careers/benefits.html or by consulting with your talent acquisition partner.
LOCATION \- Cincinnati, Ohio 45202
Attention search firms and staffing agencies: do not submit unsolicited resumes for this posting. Fifth Third does not accept resumes from any agency that does not have an active agreement with Fifth Third. Any unsolicited resumes – no matter how they are submitted – will be considered the property of Fifth Third and Fifth Third will not be responsible for any associated fee.
Fifth Third Bank, National Association is proud to have an engaged and inclusive culture and to promote and ensure equal employment opportunity in all employment decisions regardless of race, color, gender, national origin, religion, age, disability, sexual orientation, gender identity, military status, veteran status or any other legally protected status.</t>
        </is>
      </c>
    </row>
    <row r="80">
      <c r="A80" t="inlineStr">
        <is>
          <t>in-3940b310013250c0</t>
        </is>
      </c>
      <c r="B80" t="inlineStr">
        <is>
          <t>Product Manager</t>
        </is>
      </c>
      <c r="C80" t="inlineStr">
        <is>
          <t>Owens Corning</t>
        </is>
      </c>
      <c r="D80" t="inlineStr">
        <is>
          <t>indeed</t>
        </is>
      </c>
      <c r="E80" t="inlineStr"/>
      <c r="F80" t="inlineStr"/>
      <c r="G80" t="inlineStr">
        <is>
          <t>Tampa, FL, US</t>
        </is>
      </c>
      <c r="H80" s="1" t="n">
        <v>46069</v>
      </c>
      <c r="I80" t="inlineStr">
        <is>
          <t>\#
The Product Manager is responsible for leading product strategy, execution, and performance across building industry market segments and customers. The role drives channel\-specific product planning, innovation, and lifecycle management to ensure growth, differentiation, and operational excellence in the retail or wholesale environment.  
Ideal candidate brings a strong understanding of the building materials industry, through a market back lens and creating opportunities throughout the value chain while having a technical product knowledge and the ability to lead cross\-functional teams. **Reports to**: Director, Exterior/Interior Doors **Span of Control**: Individual Contributor  
JOB RESPONSIBILITIES **PRODUCT STRATEGY and LIFECYCLE MANAGEMENT*** Own the product portfolio of the doors business across retail or wholesale distribution channels
* Develop and execute channel\-specific product strategies, including new product introductions, line refreshes and discontinuations for select product category.
* Ensure alignment with brand positioning, customer needs, and competitive landscape that increases consumer willingness to pay to drive margin accretive plans.
 **CHANNEL EXEUCTION*** Partner with sales, marketing, and operations to deliver compelling assortments that enhance shopper \&amp; customer journey and drive sales, while improving mix.
* Work with cross\-functional teams to ensure product setup, data accuracy, and content delivery across retail or wholesale distribution systems.
* Monitor performance metrics and drive actions to improve sales and margins.
 **CROSS\-FUNCTIONAL COLLABORATION*** Collaborate with engineering, supply chain, finance, and customer service to ensure product readiness and support.
* Work closely with marketing to develop product positioning, messaging, packaging, signage, and promotional materials tailored to each customer as needed.
* Serve as the voice of customer in product development and commercialization processes.
 **MARKET \&amp; CUSTOMER INSIGHTS*** Analyze market trends, consumer preferences, and competitive activity to inform product decisions.
* Conduct field visits, customer interviews, and performance reviews to identify opportunities and gaps.
* Translate insights into actional product enhancements and channel strategies.
JOB REQUIREMENTS **MINIMUM QUALIFICATIONS**:* Bachelor’s degree in business, marketing, or related field (MBA preferred
* 5\+ years of experience in product management, building materials or home improvement retailer
* Proven success of managing product lifecycles
* Strong analytical, project management, and organizational skills
* Ability to travel as needed to customer meetings, trade shows, manufacturing locations and field visits
 **KNOWLEDGE, SKILLS \&amp; ABILITIES**:* **Channel Knowledge**: Deep understanding of retail and/or wholesale distribution operations, systems and customer base.
* **Product Management**: Experience in managing product portfolios, launches, and lifecycle strategies.
* **Cross\-Functional Leadership**: Ability to lead and influence across sales, marketing, engineering, and operations.
* **Systems and Data Knowledge:** Familiarity with product information management systems, erp, and customer portals.
* **Customer\-Centric Mindset**: Focused on delivering value and ease of selling through retail and wholesale channels.
* **Analytical Thinking**: Strong skills in performance analysis and business case development.
The base salary range for this position is $92K to $119K, with the potential for up to an additional 25% if the applicant hired has additional related qualifications. We also offer a substantial benefits package including insurance (medical/dental/vision/life/disability/supplemental offerings), 401k (company contribution regardless of employee participation – plus match), liberal paid time off (vacation, personal floating and standard holidays), Employee Assistance Services, Stock Purchase Program – and more.”
\#LI\-DB1 \#LI\-ONSITE
**About Owens Corning**
Owens Corning is a residential and commercial building products leader committed to building a sustainable future through material innovation. Our products provide durable, sustainable, energy\-efficient solutions that leverage our unique capabilities and market\-leading positions to help our customers win and grow. We are global in scope, human in scale with more than 25,000 employees in 31 countries dedicated to generating value for our customers and shareholders and making a difference in the communities where we work and live. Founded in 1938 and based in Toledo, Ohio, USA, Owens Corning posted 2024 sales of $11\.0 billion. For more information, visit www.owenscorning.com.
Owens Corning is an equal opportunity employer. Except in limited circumstances such as formal apprenticeship programs, Owens Corning does not employ anyone under the age of 18\.</t>
        </is>
      </c>
    </row>
    <row r="81">
      <c r="A81" t="inlineStr">
        <is>
          <t>in-b4af88d80f29fcdf</t>
        </is>
      </c>
      <c r="B81" t="inlineStr">
        <is>
          <t>Product Manager</t>
        </is>
      </c>
      <c r="C81" t="inlineStr">
        <is>
          <t>Highmark Health</t>
        </is>
      </c>
      <c r="D81" t="inlineStr">
        <is>
          <t>indeed</t>
        </is>
      </c>
      <c r="E81" t="inlineStr"/>
      <c r="F81" t="inlineStr"/>
      <c r="G81" t="inlineStr">
        <is>
          <t>PA, US</t>
        </is>
      </c>
      <c r="H81" s="1" t="n">
        <v>46069</v>
      </c>
      <c r="I81" t="inlineStr">
        <is>
          <t>**Company :**
-------------
Highmark Health
**Job Description :**
---------------------
**JOB SUMMARY**
This role defines the fundamental value proposition of clinical products within the wellness and social determinants of health (SDOH space). This includes outlining the product vision and execution plan, securing alignment and support from key strategic partners and stakeholders, and overseeing the execution of that vision. The incumbent will focus predominantly on clinical products in the wellness and social determinants of health space for Highmark Health Plan members.
**This role can be hybrid or remote \- if you live within 50 miles of an office you are required to be onsite 3 days a week (T,W,Th). Remote outside of the 50 miles.**
**ESSENTIAL RESPONSIBILITIES**
* Understand the department's and the company's strategic roadmap and competitive position, and develops a holistic product vision and the corresponding product strategy to drive maximum value. Clearly set and communicate roadmaps, priorities, experiments, and decisions across audiences, from product team to executive levels.
* Actively anticipates future needs and utilizes metrics and qualitative input to identify asset improvement opportunities.
* Represent the product in all governance meetings.
* Clearly sets and communicates roadmaps, priorities, experiments, and decisions across audiences, from product team to executive levels.
* Serve as accountable owner for the sets of products/tools within the designated portfolio.
* Identify and drives both cross\-product and cross\-customer value and shared learnings.
* Own the product backlog and uses input from internal and partner teams to frequently refresh and re\-prioritize the backlog.
* Other duties as assigned.
**EDUCATION**
Required
* Bachelor's Degree in science, technology, mathematics or related field OR relevant experience and/or education as determined by the company in lieu of bachelor’s degree
Preferred
* None
**EXPERIENCE**
Required
* 3 years of Product experience
To Include:
* 3 years with the Software Lifecycle
* 1 year of Advanced domain experience
Preferred
* 1 year with the Agile process
**LICENSES or CERTIFICATIONS**
Required
* None
Preferred
* None
**SKILLS**
* Business Acumen for P\&amp;Ls
* Communication
* Conflict Management
**Language (Other than English):**
None
**Travel Requirement:**
0% \- 25%
**PHYSICAL, MENTAL DEMANDS and WORKING CONDITIONS**
**Position Type**
Office\-based or Remote
Teaches / trains others regularly
Frequently
Travel regularly from the office to various work sites or from site\-to\-site
Occasionally
Works primarily out\-of\-the office selling products/services (sales employees)
Never
Physical work site required
Yes
Lifting: up to 10 pounds
Constantly
Lifting: 10 to 25 pounds
Rarely
Lifting: 25 to 50 pounds
Never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**Pay Range Minimum:**
$78,900\.00
**Pay Range Maximum:**
$147,500\.00
*Base pay is determined by a variety of factors including a candidate’s qualifications, experience, and expected contributions, as well as internal peer equity, market, and business considerations. The displayed salary range does not reflect any geographic differential Highmark may apply for certain locations based upon comparative markets.*
Highmark Health and its affiliates prohibit discrimination against qualified individuals based on their status as protected veterans or individuals with disabilities and prohibit discrimination against all individuals based on any category protected by applicable federal, state, or local law.
We endeavor to make this site accessible to any and all users. If you would like to contact us regarding the accessibility of our website or need assistance completing the application process, please contact the email below.
For accommodation requests, please contact HR Services Online at HRServices@highmarkhealth.org
California Consumer Privacy Act Employees, Contractors, and Applicants Notice</t>
        </is>
      </c>
    </row>
    <row r="82">
      <c r="A82" t="inlineStr">
        <is>
          <t>in-75bc6ef0ee752dfd</t>
        </is>
      </c>
      <c r="B82" t="inlineStr">
        <is>
          <t>ABA Program Manager</t>
        </is>
      </c>
      <c r="C82" t="inlineStr">
        <is>
          <t>EXPERT ABA CONSULTING</t>
        </is>
      </c>
      <c r="D82" t="inlineStr">
        <is>
          <t>indeed</t>
        </is>
      </c>
      <c r="E82">
        <f>HYPERLINK("https://www.indeed.com/viewjob?jk=75bc6ef0ee752dfd", "https://www.indeed.com/viewjob?jk=75bc6ef0ee752dfd")</f>
        <v/>
      </c>
      <c r="F82">
        <f>HYPERLINK("http://www.indeed.com/job/aba-program-manager-75bc6ef0ee752dfd", "http://www.indeed.com/job/aba-program-manager-75bc6ef0ee752dfd")</f>
        <v/>
      </c>
      <c r="G82" t="inlineStr">
        <is>
          <t>Victorville, CA, US</t>
        </is>
      </c>
      <c r="H82" s="2" t="n">
        <v>46070</v>
      </c>
      <c r="I82" t="inlineStr">
        <is>
          <t>The ABA Program Manager is responsible for implementing and maintaining the ABA program developed by the Clinical Director (BCBA\-D, BCBA) and works under their supervision. The Program Manager is also responsible for maintaining appropriate targets and goals, updating the client’s programs on a weekly basis, meeting with parents to ensure treatment is effective, supervising Registered Behavior Technicians (RBTs) assigned to their team, and ensuring the overall progress of the client.
**RESPONSIBILITIES:**
* Work closely with the BCBAs and RBTs to provide intervention, conduct assessments, write progress reports and develop programs for assigned cases.
* Maintain data reliability and fidelity checks regularly. Plans and leads monthly progress updates for each family served with program team.
* Assists in creating and delivering specific intervention activities and provides parent education according to treatment plan or other individualized assessments.
* Monitors the skill acquisition of individuals diagnosed with Autism Spectrum Disorder and related disorders.
* Completes necessary documentation including evaluations, treatment notes, progress reports and exit summaries, and keeps updated with other programs, and participant\-related documents and reports.
* Provides and coordinates on\-going competency\-based staff training. Attends staff meetings, in\-services, treatment planning, and other meetings as requested.
* Remains current regarding new research, current trends and developments in Autism, ABA, special education and related fields.
* Maintains frequent, professional and courteous communications with participants and families. Communicates parental concerns and needs immediately to the case supervisor.
* Performs other duties as assigned.
**QUALIFICATIONS:**
* Masters degree or higher from an accredited university in Applied Behavior Analysis (ABA).
* Bachelors degree in a related field and currently enrolled in a BCBA Program
* BCaBA with a Masters degree Preferred.
* Along with Two (2\) years of professional experience working with children with Autism Spectrum Disorders (ASD).
* Motivated, professional, creative, positive, reliable, and caring individual with effective communication skills (oral and written), and the ability to provide feedback in a constructive manner.
* Knowledgeable of evidence\-based practices and scientifically validated methodologies and approaches found to benefit children with ASD; familiar with current research findings.
* Familiar with the approaches to intervention based on the science of Applied Behavior Analysis. Competent in employing and directing behavior analytic methodologies including Pivotal Response Training (PRT), Natural Environment Teaching (NET), Picture Exchange Communication System (PECS), Behavior Skills Training (BST), Functional Communication Training (FCT), and Experimental Functional Analysis (EFA). Competent in employing and directing behavior analytic methodologies.
* Strong clinical, administrative, and leadership skills; customer service orientated and professional.
* Ability to consistently demonstrate good judgment, decision\-making, and communication skills with a variety of individuals and groups. Exercise discretion and maintain confidentiality.
* Ability to communicate effectively, through oral and written skills, and work cooperatively with a variety of individuals and groups.
* Ability to exercise discretion and maintain a high level of confidentiality to handle sensitive and confidential situations and documentation.
* Demonstrate good working knowledge of Microsoft Office (Outlook, Word, Excel, etc.) and related computer software.
* Valid CPR and First Aid Certification
* Ability to pass background/fingerprint clearance and obtain immunizations (TB clearance).
* Reliable transportation, proof of valid California driver's license, safe driving record, proper auto insurance and vehicle registration
* Must be willing to travel to assigned work sites (30\-45 minutes from home).
Job Type: Part\-time
Pay: $35\.00 \- $45\.00 per hour
Benefits:
* Professional development assistance
Work Location: In person</t>
        </is>
      </c>
    </row>
    <row r="83">
      <c r="A83" t="inlineStr">
        <is>
          <t>in-704f210cf98fe8d4</t>
        </is>
      </c>
      <c r="B83" t="inlineStr">
        <is>
          <t>Program Manager- AMIkids Multi Service Home - ALBQ</t>
        </is>
      </c>
      <c r="C83" t="inlineStr">
        <is>
          <t>AMIkids</t>
        </is>
      </c>
      <c r="D83" t="inlineStr">
        <is>
          <t>indeed</t>
        </is>
      </c>
      <c r="E83">
        <f>HYPERLINK("https://www.indeed.com/viewjob?jk=704f210cf98fe8d4", "https://www.indeed.com/viewjob?jk=704f210cf98fe8d4")</f>
        <v/>
      </c>
      <c r="F83">
        <f>HYPERLINK("https://recruiting.ultipro.com/AMI1003AMIK/JobBoard/132b6065-9187-4e0f-a292-4f67e675d1d0/OpportunityDetail?opportunityId=732b4874-8732-44dc-afd3-a2a4309d6135&amp;postingId=7ea5928e-5e48-4f11-8c0d-e2e6f194367d", "https://recruiting.ultipro.com/AMI1003AMIK/JobBoard/132b6065-9187-4e0f-a292-4f67e675d1d0/OpportunityDetail?opportunityId=732b4874-8732-44dc-afd3-a2a4309d6135&amp;postingId=7ea5928e-5e48-4f11-8c0d-e2e6f194367d")</f>
        <v/>
      </c>
      <c r="G83" t="inlineStr">
        <is>
          <t>Albuquerque, NM, US</t>
        </is>
      </c>
      <c r="H83" s="2" t="n">
        <v>46070</v>
      </c>
      <c r="I83" t="inlineStr">
        <is>
          <t>**WHY AMIkids?**
AMIkids makes a positive difference in kids' lives and families every day. Many of our kids have faced challenges in school and are involved with the legal system; we are giving them the opportunity to turn their lives around. For over 50 years, we have encouraged kids to make positive changes in their lives. We seek an experienced Program Manager to provide supportive leadership and management team members with a passion for providing quality services to young males in a residential setting. Key success attributes are leadership, organization, training and effective communication. If this "WHY" resonates with you, you may have a place on our AMIkids team as the AMIkids Farmington Program Manager.
**What you will be doing:**
As the Program Manager you will manage and oversee all program operations in the absence of the Executive Director. You will manage all program administrative and human resource systems in an effective and efficient manner, direct and coordinate performance management including coaching and future performance development. You will be responsible for assisting with the recruitment process for Program Team Members, e.g., conducting interviews, coordinating tours and pre\-employment assessments, and the hiring process. In addition, collaborate with Executive Director and agency stakeholders in contract compliance to include student intake, discipline, transfer and or release and general reporting requirements.
**Qualifications:**
* Bachelor’s Degree in Business Administration, Education, or related field,
* Minimum one (1\) year supervisory experience, two (2\) years preferred,
* Minimum of one (1\) year experience within an educational or youth service program, preferably working with troubled youth
**What's in it for you?**  
As well as gain an opportunity to make an exceptional difference in kids' lives, AMIkids offers a comprehensive benefits package including:
* Growth opportunities – we pride ourselves on developing our leaders from within
* Health Benefits – Medical, Dental, Vision, \&amp; Prescription Drug plan options; Health Spending Account, Company paid Life Insurance and AD\&amp;D
* PTO \&amp; Paid Holidays
* Wellness Benefits – EAP, Health Coaching, Stress Management Programs, etc.
* Employer Funded Pension Plan, Voluntary 403(B) Retirement Plan, Student Loan Forgiveness Program
* Pet Insurance, World Travel Assistance, Car Rental discounts, Gym Membership discounts, and more.</t>
        </is>
      </c>
    </row>
    <row r="84">
      <c r="A84" t="inlineStr">
        <is>
          <t>in-4d8eb2a01ede456e</t>
        </is>
      </c>
      <c r="B84" t="inlineStr">
        <is>
          <t>Assistant COMPASS Program Manager (Nurse)</t>
        </is>
      </c>
      <c r="C84" t="inlineStr">
        <is>
          <t>Seniority Healthcare</t>
        </is>
      </c>
      <c r="D84" t="inlineStr">
        <is>
          <t>indeed</t>
        </is>
      </c>
      <c r="E84">
        <f>HYPERLINK("https://www.indeed.com/viewjob?jk=4d8eb2a01ede456e", "https://www.indeed.com/viewjob?jk=4d8eb2a01ede456e")</f>
        <v/>
      </c>
      <c r="F84">
        <f>HYPERLINK("http://www.indeed.com/job/assistant-compass-program-manager-nurse-4d8eb2a01ede456e", "http://www.indeed.com/job/assistant-compass-program-manager-nurse-4d8eb2a01ede456e")</f>
        <v/>
      </c>
      <c r="G84" t="inlineStr">
        <is>
          <t>PA, US</t>
        </is>
      </c>
      <c r="H84" s="2" t="n">
        <v>46070</v>
      </c>
      <c r="I84" t="inlineStr">
        <is>
          <t>**Job Description**
**Location**: Remote role, but the individual must be located in Delaware County/Philadelphia area
The Assistant Program Manager (APM) supports the effective and efficient operation of nursing services by overseeing daily staff productivity, ensuring high\-quality patient and client care, and promoting continuous improvement in healthcare delivery. This role works closely with clinical leadership and interdisciplinary teams to support operational excellence, staff development, and quality outcomes, with a primary focus on geriatric and palliative care populations. The APM is expected to travel regionally for site evaluations, staff support, and client engagement as needed.
Qualifications
* Bachelor of Science in Nursing (BSN) required; Master of Science in Nursing (MSN) preferred
* Minimum of three (3\) years of experience in home health care, with a strong preference for geriatric and/or palliative care populations
* Demonstrated clinical expertise in home health nursing and case management
* Excellent verbal and written communication skills, with the ability to engage effectively with staff, patients, families, and stakeholders
* Proven problem\-solving abilities and strong interpersonal and relationship\-building skills
* Highly organized and detail\-oriented, with the ability to manage multiple priorities and projects simultaneously
* Willingness and ability to travel regionally, including the NYC area (White Plains and Long Island), for site visits and client meetings
**Primary Responsibilities**
* Monitor daily productivity of nursing staff to ensure performance targets are met
* Support optimization of scheduling and coverage to align staffing with patient needs
* Review and manage flagged referrals in coordination with clinical leadership
* Identify patients who would benefit from increased visit frequency to enhance outcomes through nurse case management
* Audit nursing documentation for accuracy, completeness, and timeliness; ensure charting is completed within 24 hours
* Oversee documentation of Chronic Care Management (CCM) minutes and resolve discrepancies
* Review and assess cases exceeding 300 minutes of care to validate time justification and ensure documentation supports services provided
* Provide day\-to\-day support to nursing staff and respond to operational and clinical workflow questions
* Facilitate training initiatives to promote ongoing development and consistent practice standards
* Support onboarding and orientation of new hires within their assigned territories, ensuring readiness and consistency across teams
* Identify operational inefficiencies and recommend actionable solutions, including workflow and system improvements
* Participate in leadership discussions, providing operational insights and field\-based feedback
* Support assigned projects and initiatives, including implementation tasks, follow\-ups, and progress tracking
**Additional Duties (Data\-Driven Reporting Focus)**
* Conduct structured site visits to systematically evaluate nursing performance using standardized assessment tools and measurable performance indicators.
* Perform daily monitoring and analysis of nursing schedules and visit completion data to ensure productivity benchmarks and staffing requirements are consistently met.
* Compile, analyze, and report operational and performance metrics to senior leadership, providing timely, objective insights to support decision\-making and continuous improvement.
Job Type: Full\-time
Pay: $85,000\.00 \- $95,000\.00 per year
Benefits:
* 401(k) matching
* Dental insurance
* Health insurance
* Paid time off
* Vision insurance
Work Location: Hybrid remote in Delaware County, PA</t>
        </is>
      </c>
    </row>
    <row r="85">
      <c r="A85" t="inlineStr">
        <is>
          <t>in-b40c891e74b0bf72</t>
        </is>
      </c>
      <c r="B85" t="inlineStr">
        <is>
          <t>Program Manager - Flight School Next (FSN)</t>
        </is>
      </c>
      <c r="C85" t="inlineStr">
        <is>
          <t>V2X</t>
        </is>
      </c>
      <c r="D85" t="inlineStr">
        <is>
          <t>indeed</t>
        </is>
      </c>
      <c r="E85">
        <f>HYPERLINK("https://www.indeed.com/viewjob?jk=b40c891e74b0bf72", "https://www.indeed.com/viewjob?jk=b40c891e74b0bf72")</f>
        <v/>
      </c>
      <c r="F85">
        <f>HYPERLINK("https://recruiting2.ultipro.com/VER1018VALLC/JobBoard/ea4d56d0-a413-48c6-87f7-32d00fd2eef4/OpportunityDetail?opportunityId=105643d9-4a5d-45bb-825b-219d19de4c46&amp;postingId=98eb112c-ef95-48cc-8b5f-2b83a088a0a9", "https://recruiting2.ultipro.com/VER1018VALLC/JobBoard/ea4d56d0-a413-48c6-87f7-32d00fd2eef4/OpportunityDetail?opportunityId=105643d9-4a5d-45bb-825b-219d19de4c46&amp;postingId=98eb112c-ef95-48cc-8b5f-2b83a088a0a9")</f>
        <v/>
      </c>
      <c r="G85" t="inlineStr">
        <is>
          <t>Fort Rucker, AL, US</t>
        </is>
      </c>
      <c r="H85" s="2" t="n">
        <v>46070</v>
      </c>
      <c r="I85" t="inlineStr">
        <is>
          <t>**This position is Contingent Upon Contract Award.**
The Flight School Next (FSN) Program Manager will be responsible for the overall cost, schedule, and technical performance of the FSN program at Fort Rucker, AL. Serving as the primary interface between V2X and the client, this role ensures successful execution of all contractual obligations. The Program Manager will lead strategic planning, resource allocation, and performance management to achieve program objectives while maintaining compliance and fostering collaboration.
**Key Responsibilities**
* Serve as the primary point of contact for the client and internal stakeholders.
* Drive program execution to meet cost, schedule, and technical requirements.
* Develop and manage program budgets, forecasts, and resource plans.
* Define long\-term program goals and implement strategies to achieve them.
* Establish and enforce program procedures, standards, and best practices.
* Foster a culture of collaboration, accountability, and continuous improvement.
* Provide regular program status updates and executive\-level briefings.
**Required Qualifications**
* Bachelor’s degree in Business, Aviation Management, or related field (Master’s preferred).
* Proven experience managing complex aviation or training programs.
* Strong background in cost, schedule, and technical performance management.
* Exceptional leadership and communication skills.
* Ability to operate effectively in high\-pressure environments.
**Preferred Background**
* Experience with military or government aviation training programs.
* Familiarity with Flight School Next (FSN) or similar pilot training initiatives.
* Project Management Professional (PMP) or equivalent program management certification.
**Skills \&amp; Competencies**
* Excellent communication and customer service; able to coordinate across multiple teams and disciplines.
* Detail oriented with high accuracy in data entry and documentation.
* Strong organizational, time management and follow up skills. Able to prioritize competing demands.
* Problem\-solving mindset; budgetary management.
* Professional judgement, discretion, and results oriented.
**Certifications \&amp; Training**
* Project Management Professional (PMP) or equivalent program management certification (preferred).
* FAA regulatory / compliance training (preferred).
* Production control / logistics certification (e.g., APICS / CPIM, or equivalent) (preferred).
* OSHA 10 or Safety training (preferred).
**Clearance Requirement**
* Ability to obtain and maintain a U.S. Government security clearance as required by the contract (Public Trust or Secret level, as applicable).
**Work Conditions**
* Contingent upon contract award.
* Primarily office / production\-support setting with frequent interaction with multiple departments and shared services.</t>
        </is>
      </c>
    </row>
    <row r="86">
      <c r="A86" t="inlineStr">
        <is>
          <t>in-a5a4e97afce488b4</t>
        </is>
      </c>
      <c r="B86" t="inlineStr">
        <is>
          <t>Technical Product Manager</t>
        </is>
      </c>
      <c r="C86" t="inlineStr">
        <is>
          <t>FourteenIP</t>
        </is>
      </c>
      <c r="D86" t="inlineStr">
        <is>
          <t>indeed</t>
        </is>
      </c>
      <c r="E86">
        <f>HYPERLINK("https://www.indeed.com/viewjob?jk=a5a4e97afce488b4", "https://www.indeed.com/viewjob?jk=a5a4e97afce488b4")</f>
        <v/>
      </c>
      <c r="F86">
        <f>HYPERLINK("http://www.indeed.com/job/technical-product-manager-a5a4e97afce488b4", "http://www.indeed.com/job/technical-product-manager-a5a4e97afce488b4")</f>
        <v/>
      </c>
      <c r="G86" t="inlineStr">
        <is>
          <t>Remote, US</t>
        </is>
      </c>
      <c r="H86" s="2" t="n">
        <v>46070</v>
      </c>
      <c r="I86" t="inlineStr">
        <is>
          <t>**Job Overview:**
The Technical Product Manager is responsible for ensuring that product features and platform capabilities are delivered within defined requirements, technical standards, and customer needs. Acting as a bridge between Product, Engineering, and Customer Experience, this role translates product intent into clear, actionable technical specifications and validates that delivered solutions meet expectations.
With a continuous improvement mindset, the Technical Product Manager works closely with engineering teams throughout the development lifecycle and remains accountable for post\-release evaluation, refinement, and quality improvements based on usage data and customer feedback.
The TPM combines strong technical fluency with product judgment to guide development teams, evaluate implementations, and help evolve the product portfolio while maintaining consistency and quality across releases.
**Key Responsibilities:**
● Support engineering teams with required product resources, validation criteria, and clear specifications during the development cycle.
● Evaluate progress and feature implementation to help improve adherence to design intent, technical standards, and customer requirements.
● Lead continuous improvement by gathering feedback, proactively testing, analyzing usage data, and recommending refinements post\-release.
● Collaborate across Product, Engineering, and Customer Experience to ensure quality, usability, and consistency across work.
**Qualifications:**
● Bachelor’s degree in Computer Science, Engineering, or related field (or equivalent experience).
● 5\+ years in a product\-focused technical role (e.g., Product Manager, Software Engineer, QA Lead, or similar).
● Strong understanding of software architecture, development practices, and platforms (e.g., APIs, mobile, web).
● Excellent analytical and communication skills with the ability to translate between technical and business perspectives.
Experience working cross\-functionally to validate product performance and drive improvements
Job Type: Full\-time
Pay: $100,000\.00 \- $150,000\.00 per year
Benefits:
* 401(k)
* 401(k) matching
* Dental insurance
* Health insurance
* Paid time off
* Referral program
* Vision insurance
Work Location: Remote</t>
        </is>
      </c>
    </row>
    <row r="87">
      <c r="A87" t="inlineStr">
        <is>
          <t>in-562549cde8c5eaaa</t>
        </is>
      </c>
      <c r="B87" t="inlineStr">
        <is>
          <t>Senior Product Manager</t>
        </is>
      </c>
      <c r="C87" t="inlineStr">
        <is>
          <t>FourteenIP</t>
        </is>
      </c>
      <c r="D87" t="inlineStr">
        <is>
          <t>indeed</t>
        </is>
      </c>
      <c r="E87">
        <f>HYPERLINK("https://www.indeed.com/viewjob?jk=562549cde8c5eaaa", "https://www.indeed.com/viewjob?jk=562549cde8c5eaaa")</f>
        <v/>
      </c>
      <c r="F87">
        <f>HYPERLINK("http://www.indeed.com/job/senior-product-manager-562549cde8c5eaaa", "http://www.indeed.com/job/senior-product-manager-562549cde8c5eaaa")</f>
        <v/>
      </c>
      <c r="G87" t="inlineStr">
        <is>
          <t>Remote, US</t>
        </is>
      </c>
      <c r="H87" s="2" t="n">
        <v>46070</v>
      </c>
      <c r="I87" t="inlineStr">
        <is>
          <t>**Job Overview:**
As a Senior Product Manager at ClearlyIP, you will work closely with other members of the team to help define and execute the product vision. You write specifications, organize resources and communicate progress to stakeholders, as well as contribute content to important product collateral.
**Key Responsibilities:**
● Contribute to product strategies and roadmaps, manage their implementation.
● Conduct market research and analyze customer feedback to identify opportunities for new products and features.
● Write clear and concise product requirements and specifications, creating tickets and managing tasks.
● Meet with key customers and partners regarding feature needs and communicate roadmap updates.
● Work with engineering, design, and marketing teams to coordinate deliverables and ensure objectives are being met.
● Monitor product performance and user feedback to drive continuous improvement.
**Qualifications:**
● Track record of success in product management within a software company.
● Strong analytical and problem\-solving skills.
● Excellent communication and interpersonal skills.
● Ability to work collaboratively in a cross\-functional team environment.
● Basic understanding of software development processes and methodologies.
● Experience with product management tools such as JIRA, Productboard, or similar preferred.
● Telecommunications industry experience is a plus.
● Passion for technology and a strong desire to learn and grow in the product management field.
Job Type: Full\-time
Pay: $100,000\.00 \- $150,000\.00 per year
Benefits:
* 401(k)
* 401(k) matching
* Dental insurance
* Health insurance
* Paid time off
* Vision insurance
Work Location: Remote</t>
        </is>
      </c>
    </row>
    <row r="88">
      <c r="A88" t="inlineStr">
        <is>
          <t>in-e168885e88b4e34b</t>
        </is>
      </c>
      <c r="B88" t="inlineStr">
        <is>
          <t>Technical Program Manager (Automotive)</t>
        </is>
      </c>
      <c r="C88" t="inlineStr">
        <is>
          <t>Spanidea Systems</t>
        </is>
      </c>
      <c r="D88" t="inlineStr">
        <is>
          <t>indeed</t>
        </is>
      </c>
      <c r="E88">
        <f>HYPERLINK("https://www.indeed.com/viewjob?jk=e168885e88b4e34b", "https://www.indeed.com/viewjob?jk=e168885e88b4e34b")</f>
        <v/>
      </c>
      <c r="F88">
        <f>HYPERLINK("http://www.indeed.com/job/technical-program-manager-automotive-e168885e88b4e34b", "http://www.indeed.com/job/technical-program-manager-automotive-e168885e88b4e34b")</f>
        <v/>
      </c>
      <c r="G88" t="inlineStr">
        <is>
          <t>Newark, CA, US</t>
        </is>
      </c>
      <c r="H88" s="2" t="n">
        <v>46070</v>
      </c>
      <c r="I88" t="inlineStr">
        <is>
          <t>**Role:**
* Create and maintain comprehensive Gantt charts to manage multiple design programs simultaneously.
* Monitor project progress and foster collaboration to ensure milestone adherence.
* Coordinate with the test organization and interior trim suppliers to keep validation programs aligned with vehicle production timelines.
* Use Jira to manage, track, and communicate engineering tasks and status updates.
* Leverage Confluence to publish and maintain critical documentation and project communications.
* Deliver regular status updates to management and executive leadership.
* Drive design releases and manage engineering change requests through Lucid’s ECR system.
* Provide technical direction to address mechanical engineering challenges.
* Proactively collaborate across teams to resolve complex launch issues while maintaining strong stakeholder relationships.
* Travel occasionally to the Arizona manufacturing facility to support build and launch activities.
* Present project updates and key insights to executive leadership as required.
* Support part cost analysis and partner cross\-functionally to define should\-cost targets, aligning internal teams and suppliers accordingly.
**Qualifications:**
* Minimum of 5 years of relevant experience, preferably within the automotive industry.
* Foundational knowledge and hands\-on exposure to CAD tools.
* Experience working with Atlassian tools such as Jira and Confluence, along with reporting platforms like Tableau or similar systems.
* Strong background in interior trim systems and familiarity with manufacturing processes such as injection molding, die casting, thixomolding, surface covering, mechanical assembly, welding, post\-processing, and weakening techniques.
* Excellent written and verbal communication skills in English.
* Demonstrated ability to develop strategic project plans addressing schedule, cost, and technical requirements.
* Practical experience developing and managing Gantt charts.
* A proactive, positive mindset with a strong willingness to learn and contribute effectively.
Job Types: Full\-time, Contract
Pay: $65\.00 \- $80\.00 per hour
Benefits:
* Dental insurance
* Health insurance
* Vision insurance
Experience:
* Automotive: 5 years (Required)
* Project management: 8 years (Required)
* Automotive Interiors: 3 years (Required)
Ability to Commute:
* Newark, CA 94560 (Required)
Work Location: In person</t>
        </is>
      </c>
    </row>
    <row r="89">
      <c r="A89" t="inlineStr">
        <is>
          <t>in-4a730a86c78d70d6</t>
        </is>
      </c>
      <c r="B89" t="inlineStr">
        <is>
          <t>Aging Services &amp; Compliance Program Manager</t>
        </is>
      </c>
      <c r="C89" t="inlineStr">
        <is>
          <t>Washington County Commission on Aging, Inc.</t>
        </is>
      </c>
      <c r="D89" t="inlineStr">
        <is>
          <t>indeed</t>
        </is>
      </c>
      <c r="E89">
        <f>HYPERLINK("https://www.indeed.com/viewjob?jk=4a730a86c78d70d6", "https://www.indeed.com/viewjob?jk=4a730a86c78d70d6")</f>
        <v/>
      </c>
      <c r="F89">
        <f>HYPERLINK("http://www.indeed.com/job/aging-services-compliance-program-manager-4a730a86c78d70d6", "http://www.indeed.com/job/aging-services-compliance-program-manager-4a730a86c78d70d6")</f>
        <v/>
      </c>
      <c r="G89" t="inlineStr">
        <is>
          <t>Hagerstown, MD, US</t>
        </is>
      </c>
      <c r="H89" s="2" t="n">
        <v>46070</v>
      </c>
      <c r="I89" t="inlineStr">
        <is>
          <t>Associate's**Job Title:** Aging Services \&amp; Compliance Manager
**Employment Type:** Full\-Time, Salaried Exempt Position \| 40\+ hours per week  
Monday – Friday, 8:30 am – 5:00 pm
Washington County Commission on Aging, Inc.  
535 East Franklin Street  
Hagerstown, MD 21740
**Make a Difference in Your Community!**  
The Washington County Commission on Aging, Inc. (WCCOA) supports older adults in our community with programs that promote independence, health, and well\-being. We are looking for a dedicated professional to lead key programs, ensure quality, and support staff development.
**Role Overview:**  
Oversee the case management programs and select local programs, supervise staff, co\-teach courses, manage grants and budgets, and implement quality assurance processes. Clinical experience (LPN, RN or LSW required) and strong Excel/budgeting skills are highly valued.
**Key Responsibilities:**
· Supervise program staff and daily operations.
· Co\-teach courses and trainings.
· Track grants, manage budgets, and ensure compliance.
· Implement quality assurance processes and evaluate program outcomes.
· Collaborate with community partners and state agencies.
**Qualifications:**
· LPN, RN or LSW required
· Associate's degree required; Bachelor’s degree preferred.
· 3–5 years of program management, case management, or QA experience.
· Supervisory experience required.
· Proficient in Excel and budgeting.
· Excellent communication skills both verbal and written.
**Compensation \&amp; Benefits:**
Salary Range: $58,000 \- $61,000
* Health, dental, and vision insurance (single \&amp; family coverage available).
* Life insurance and 403B Retirement Plan with up to 5% employer match after one year.
* Paid time off including vacation, sick leave, personal days, and holidays.
WCCOA is an equal opportunity employer.
Job Type: Full\-time
Pay: $58,000\.00 \- $61,000\.00 per year
Benefits:
* 403(b)
* Dental insurance
* Employee assistance program
* Health insurance
* Life insurance
* Paid time off
* Retirement plan
* Vision insurance
Education:
* Associate (Preferred)
License/Certification:
* LPN (Required)
* Driver's License (Required)
Work Location: In person</t>
        </is>
      </c>
    </row>
    <row r="90">
      <c r="A90" t="inlineStr">
        <is>
          <t>in-f095a9c42b0e0232</t>
        </is>
      </c>
      <c r="B90" t="inlineStr">
        <is>
          <t>Therapy Program Manager</t>
        </is>
      </c>
      <c r="C90" t="inlineStr">
        <is>
          <t>BLUEGRASS CONSULTING</t>
        </is>
      </c>
      <c r="D90" t="inlineStr">
        <is>
          <t>indeed</t>
        </is>
      </c>
      <c r="E90">
        <f>HYPERLINK("https://www.indeed.com/viewjob?jk=f095a9c42b0e0232", "https://www.indeed.com/viewjob?jk=f095a9c42b0e0232")</f>
        <v/>
      </c>
      <c r="F90">
        <f>HYPERLINK("https://jobs.apploi.com/view/14g5f8633a785?utm_campaign=integration&amp;utm_medium=job-board-feed&amp;utm_source=indeed-apply-feed", "https://jobs.apploi.com/view/14g5f8633a785?utm_campaign=integration&amp;utm_medium=job-board-feed&amp;utm_source=indeed-apply-feed")</f>
        <v/>
      </c>
      <c r="G90" t="inlineStr">
        <is>
          <t>Owensboro, KY, US</t>
        </is>
      </c>
      <c r="H90" s="2" t="n">
        <v>46070</v>
      </c>
      <c r="I90" t="inlineStr">
        <is>
          <t>**Therapy Program Manager**
Wellington Parc Nursing \&amp; Rehab is looking for a Therapy Program Manager to join our teams’ mission and believe in our core values! Our mission: Through the hearts of our Care Team Members, we provide excellent healthcare to those we serve.
Our Core Values...
L \- Listening
E \- Empathy
A \- Accountability
D \- Decisiveness
This is how we create a culture to LEAD with Love.
**Leadership and Operations**
* Provide direct supervision and support to therapy team members including PTs, OTs, SLPs, and assistants.
* Oversee daily therapy operations including staffing, scheduling, and productivity management.
* Monitor clinical performance and outcomes to ensure excellence in therapy service delivery.
* Coordinate therapy care planning with interdisciplinary teams to support resident\-centered outcomes.
* Serve as liaison between therapy services, nursing, administration, and external partners.
* Participate in census development efforts through effective therapy programming and marketing support.
* Ensure compliance with all applicable federal, state, and facility regulations, including Medicare/Medicaid and PDPM guidelines.
* Support accurate and timely documentation, billing, and coding practices.
* Maintain proficiency in EMR systems and ensure documentation meets regulatory standards.
* Participate in quality assurance and performance improvement initiatives within the rehab department.
**Education**
* Master’s or Doctorate degree from an accredited institution
* Current state licensure as an Occupational Therapist, Physical Therapist, or Speech\-Language Pathologist.
* Certified Occupational Therapy Assistant or Physical Therapy Assistant may be considered.
**Experience**
* Minimum 2 years of experience in occupational therapy, preferably in a long\-term care or geriatric setting.
**Bluegrass Benefits**
* Quarterly Pay Increase
* Daily Pay
* Company\-Paid Life Insurance
* Telehealth Services
* Double Pay on Holiday
* Care Team Member Relief Fund
Join the Wellington Care team where compassion meets excellence!</t>
        </is>
      </c>
    </row>
    <row r="91">
      <c r="A91" t="inlineStr">
        <is>
          <t>in-4269bc50c6f48c17</t>
        </is>
      </c>
      <c r="B91" t="inlineStr">
        <is>
          <t>Senior Product Manager</t>
        </is>
      </c>
      <c r="C91" t="inlineStr">
        <is>
          <t>Purpledrive technologies</t>
        </is>
      </c>
      <c r="D91" t="inlineStr">
        <is>
          <t>indeed</t>
        </is>
      </c>
      <c r="E91">
        <f>HYPERLINK("https://www.indeed.com/viewjob?jk=4269bc50c6f48c17", "https://www.indeed.com/viewjob?jk=4269bc50c6f48c17")</f>
        <v/>
      </c>
      <c r="F91">
        <f>HYPERLINK("http://www.indeed.com/job/senior-product-manager-4269bc50c6f48c17", "http://www.indeed.com/job/senior-product-manager-4269bc50c6f48c17")</f>
        <v/>
      </c>
      <c r="G91" t="inlineStr">
        <is>
          <t>New York, NY, US</t>
        </is>
      </c>
      <c r="H91" s="2" t="n">
        <v>46070</v>
      </c>
      <c r="I91" t="inlineStr">
        <is>
          <t>**Overview**  
We are seeking an energetic and strategic Senior Product Manager to lead the development and execution of innovative product solutions that drive business growth and enhance user experience. In this pivotal role, you will oversee the entire product lifecycle, from requirements gathering to launch, ensuring alignment with organizational goals and customer needs. Your leadership will inspire cross\-functional teams to deliver high\-impact products, leveraging cutting\-edge technologies and industry best practices. This is an exciting opportunity for a dynamic professional passionate about shaping the future of digital products and services.
**Responsibilities**
* Define and communicate a compelling product vision, strategy, and roadmap aligned with business objectives and customer insights.
* Lead cross\-functional teams through Agile methodologies, including SAFe frameworks, to ensure timely delivery of high\-quality products.
* Gather and analyze requirements from stakeholders, translating them into detailed specifications, wireframes using Balsamiq, and user stories in Jira or VersionOne.
* Collaborate with development teams to design scalable solutions utilizing APIs, SQL databases, and cloud services such as AWS.
* Oversee the entire Software Development Life Cycle (SDLC), including planning, development, testing (user acceptance testing), deployment, and maintenance.
* Prioritize product features based on analytics insights from Looker and other BI tools to optimize user engagement and operational efficiency.
* Facilitate communication across teams using Microsoft Office tools like PowerPoint and Excel to present progress updates, project plans, and strategic recommendations.
* Ensure IT governance standards are maintained throughout product development processes while managing risks associated with IT infrastructure and SaaS solutions.
**Experience**
* Proven experience in product management within a technology\-driven environment, with a strong understanding of software development processes including Waterfall and Agile methodologies.
* Extensive knowledge of cloud platforms such as AWS, along with familiarity with SDLC tools like TFS, Git, Jira, VersionOne, and project management software.
* Demonstrated expertise in developing mobile applications using Java or HTML for cross\-platform compatibility.
* Strong analysis skills with the ability to gather detailed requirements, create test cases, wireframes (using Balsamiq), UML diagrams, and conduct user acceptance testing effectively.
* Experience working on B2B sales platforms or Internet of Things (IoT) projects is a plus.
* Exceptional leadership qualities paired with excellent communication skills to influence stakeholders at all levels.
* Familiarity with databases (SQL), APIs integration, IT infrastructure management, and knowledge of IT governance standards is highly desirable. Join us in driving innovation by managing products that make a real difference! We are committed to fostering an inclusive environment where your expertise can thrive while delivering impactful solutions that shape the future of technology\-driven services.
Job Type: Contract
Pay: $62\.32 \- $82\.00 per hour
Work Location: In person</t>
        </is>
      </c>
    </row>
    <row r="92">
      <c r="A92" t="inlineStr">
        <is>
          <t>in-b40b87d2fd7934fd</t>
        </is>
      </c>
      <c r="B92" t="inlineStr">
        <is>
          <t>Senior Product Manager, Commercialization - US Business Deposit Products, Global Transaction Banking</t>
        </is>
      </c>
      <c r="C92" t="inlineStr">
        <is>
          <t>Scotiabank</t>
        </is>
      </c>
      <c r="D92" t="inlineStr">
        <is>
          <t>indeed</t>
        </is>
      </c>
      <c r="E92">
        <f>HYPERLINK("https://www.indeed.com/viewjob?jk=b40b87d2fd7934fd", "https://www.indeed.com/viewjob?jk=b40b87d2fd7934fd")</f>
        <v/>
      </c>
      <c r="F92">
        <f>HYPERLINK("https://jobs.scotiabank.com/job/New-York-City-Senior-Product-Manager%2C-Commercialization-US-Business-Deposit-Products%2C-Global-Transaction-Banking-NY-10281/582347717/?feedId=352460&amp;utm_source=Indeed&amp;utm_campaign=TheBankofNovaScotia_Indeed", "https://jobs.scotiabank.com/job/New-York-City-Senior-Product-Manager%2C-Commercialization-US-Business-Deposit-Products%2C-Global-Transaction-Banking-NY-10281/582347717/?feedId=352460&amp;utm_source=Indeed&amp;utm_campaign=TheBankofNovaScotia_Indeed")</f>
        <v/>
      </c>
      <c r="G92" t="inlineStr">
        <is>
          <t>New York, NY, US</t>
        </is>
      </c>
      <c r="H92" s="2" t="n">
        <v>46069</v>
      </c>
      <c r="I92" t="inlineStr">
        <is>
          <t>**Requisition ID:** 202026
**Salary Range:** 110,700\.00 \- 211,800\.00
*Please note that the Salary Range shown is a guideline only. Salary offered may vary based on factors, including, but not limited to, the successful candidate’s relevant knowledge, skills, and experience.*
Join a purpose driven winning team, committed to results, in an inclusive and high\-performing culture.
 **Sr. Product Manager, Commercialization \- US Business Deposit Products, Global Transaction Banking \- New York**
Global Transaction Banking
Global Transaction Banking (GTB) is the payments and transaction engine of Scotiabank. We support Small Business, Commercial and Corporate clients with effective treasury management solutions coupled with a best\-in\-class service model, making it easy for clients to do business with us.
As businesses build their digital capabilities and transform their operating models, their payment needs are evolving too. Boasting a unique global footprint, GTB’s comprehensive suite of innovative banking solutions help our business clients generate operational efficiencies, streamline, and simplify payments, improve working capital performance, and mitigate financial risk.
At Scotiabank, we embrace your strengths, ideas, and ambitions. GTB is a fast\-growing team with a focus on the Americas, particularly Canada, the U.S., Mexico, and we are seeking top tier talent to complement our organization.
Join a purpose\-driven winning team, committed to results, in an inclusive and high\-performing culture.
 **Purpose:**
Contributes to the overall success of Global Transaction Banking (GTB) in North America by ensuring specific individual goals, plans, initiatives are executed and delivered in support of the team’s business strategies and objectives. Ensures all activities conducted are in compliance with governing regulations, internal policies and procedures.
The Sr. Product Manager, Commercialization \- US Business Deposit Products, is responsible for the P\&amp; L growth of the portfolio and driving growth across multiple business KPIs (including but not limited to: deposit volumes, transactions, product penetration, customer primacy, NIR, NII, profitability etc.). This role involves end\-to\-end product commercialization management, such as: evaluating commercial potential, supporting the sales partners and other stakeholder teams in developing and executing on the end\-to\-end commercialization plans.
This individual must have a well\-rounded business skill set to plan and direct commercialization initiatives across different deposit product categories over the next several years and maintain a keen insight to the USMCA corridor and the global transaction banking market, at large.
 **Accountabilities:**
* Leads and drives a customer\-first culture to be able to bring in new clients to the Bank, deepen existing client relationships and improve client experience
* Conceptualizes, develops, leads and implements the end\-to\-end commercialization strategies for US Business Deposit Products, including but not limited to the following:
	+ Identify short/medium/long\-term opportunities and define strategic roadmaps
	+ Performance forecasting
	+ Establishing, executing and supporting (where needed) on tactical plans
	+ Identifying opportunities and driving initiatives to establish, maintain and/or enhance our competitive position in the US and with the global market
* Support the Director – US Business Deposit Products, the Product Owner(s), Sales teams, partner teams and the leadership team by –
	+ Leading (and supporting, where required) all commercialization initiatives targeted towards new and existing clients \- for all in\-flight and future initiatives
	+ delivering on assigned and/or ad hoc mandates, key strategic initiatives and priorities
	+ contributing to the overall development of the strategic direction of the business
* Responsible for managing the commercialization of the new US\-domiciled deposit products and related solutions by:
	+ Supporting development, planning and implementation of forward\-looking strategic commercialization plans, business line plans, and product category specific business plans to support sales and drive business growth
	+ Proactively identifying and executing on strategic and tactical opportunities to increase market share, customer primacy and customer wallet share
	+ Bringing in feedback and insights from the market/industry, front\-end teams and customers to continuously improve the commercial viability of the US Business Deposit Products
	+ Identifying product education and training needs, across the enterprise, to accelerate sales growth
	+ Educating/Training sales, internal stakeholders and customers on emerging trends and how solutions are applied to maximize benefit
	+ Analyzing the portfolio with a focus on long\-term growth, competitive positioning and commercialization opportunities
* Financial Accountability:
	+ Accountable for P\&amp;L growth and growth across key KPIs – such as: deposit volumes, transactions, product penetration, customer primacy, NIR, NII, profitability etc.
	+ Responsible for the US business customer portfolio, P\&amp;L, forecasting and driving growth across business KPIs (including but not limited to: business deposit volumes, transactions, product penetration, etc.)
	+ Responsible for monitoring and tracking KPI performance for business line and GTB\-level reviews
* Relationship Management, Collaboration and Communication
	+ Managing partner, business line, sales etc. relationships for the portfolio
	+ Participate in RFIs/RFPs and support stakeholders for one\-off programs and initiatives, as required
	+ Collaborating with the Product Owners, Product Managers, Cross\-team partners, Sales, Sales Effectiveness, Pricing and other support functions to articulate the customer impacts and business/stakeholder value
	+ Supporting senior leadership team and our partners as a point person on all commercialization initiatives/plans for the US Deposit Products
	+ Ensuring all commercialization initiatives are performing as expected and resolving issues that arise in a timely manner with updates to partners and escalations to management as required
	+ Effectively communicating commercialization plans, proposals, updates, progress updates, gaps, risks etc. to the sales teams and all stakeholder teams
	+ Overseeing the commercialization\-related product marketing and communications for customers and staff
	+ Providing subject matter expertise and thought leadership to partners as required
* Builds a high\-performance environment and implements a people strategy that attracts, retains, develops and motivates their team by fostering an inclusive work environment and using a coaching mindset and behaviors; communicating vison/values/business strategy; and, managing succession and development planning for the team.
* Creates an environment in which his/her team pursues effective and efficient operations of his/her respective areas, while ensuring the adequacy, adherence to and effectiveness of day\-to\-day business controls to meet obligations with respect to operational risk, regulatory compliance risk, AML/ATF risk and conduct risk, including but not limited to responsibilities under the Operational Risk Management Framework, Regulatory Compliance Risk Management Framework, AML/ATF Global Handbook and the Guidelines for Business Conduct.
 **What You'll Bring:**
* 7\+ years of experience with managing Commercialization initiatives or 7\+ years of Sales experience for global transaction banking products, specifically business banking products
* Knowledge of business deposit products, industry trends, sales practices, policies and procedures is important
* Product management (from a business standpoint, and not technology) experience is an asset
* A positive attitude combined with confidence to drive team priorities
* Knowledge of the Bank's application systems and their relationships within the Bank is an asset
* Self\-starter possessing confidence and initiative; able to cope with changing and evolving priorities while identifying new opportunities
* Excellent communication, interpersonal, and strategic negotiating skills
* University Degree in business or economics (MBA an asset)
 **Working Conditions:**
* Located at our New York office
* Hybrid work environment with the expectation to be in office 3\-4 times a week or as needed
* Work in a standard office\-based environment; non\-standard hours are a common occurrence
* Limited travel domestically and to Canada.
Interested? At Scotiabank, every employee is empowered to reach their fullest potential, respected for who they are and, embraced for their differences. That is why we work to grow and diversify talent and engage employees in a performance\-oriented culture.
What's in it for you? Scotiabank wants you to be able to bring your best self to work – and life, every day. With a focus on holistic well\-being, our many flexible benefit programs are designed to help support your unique family, financial, physical, mental, and social health needs.
\#GTB
Location(s): United States : New York : New York City
Scotiabank is a leading bank in the Americas. Guided by our purpose: "for every future", we help our customers, their families and their communities achieve success through a broad range of advice, products and services, including personal and commercial banking, wealth management and private banking, corporate and investment banking, and capital markets.
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Candidates must apply directly online to be considered for this role. We thank all applicants for their interest in a career at Scotiabank; however, only those candidates who are selected for an interview will be contacted.</t>
        </is>
      </c>
    </row>
    <row r="93">
      <c r="A93" t="inlineStr">
        <is>
          <t>in-b2415c168341cba0</t>
        </is>
      </c>
      <c r="B93" t="inlineStr">
        <is>
          <t>Lead Program Manager- Power Electronics</t>
        </is>
      </c>
      <c r="C93" t="inlineStr">
        <is>
          <t>GE Aerospace</t>
        </is>
      </c>
      <c r="D93" t="inlineStr">
        <is>
          <t>indeed</t>
        </is>
      </c>
      <c r="E93">
        <f>HYPERLINK("https://www.indeed.com/viewjob?jk=b2415c168341cba0", "https://www.indeed.com/viewjob?jk=b2415c168341cba0")</f>
        <v/>
      </c>
      <c r="F93">
        <f>HYPERLINK("https://careers.geaerospace.com/global/en/job/R5028834/Lead-Program-Manager-Power-Electronics?utm_source=indeed&amp;utm_medium=phenom-feeds", "https://careers.geaerospace.com/global/en/job/R5028834/Lead-Program-Manager-Power-Electronics?utm_source=indeed&amp;utm_medium=phenom-feeds")</f>
        <v/>
      </c>
      <c r="G93" t="inlineStr">
        <is>
          <t>Pompano Beach, FL, US</t>
        </is>
      </c>
      <c r="H93" s="2" t="n">
        <v>46069</v>
      </c>
      <c r="I93" t="inlineStr">
        <is>
          <t>**Job Description Summary**
===========================
Are you ready to see your career take flight? At GE Aerospace, we believe the world works better when it flies. We are a world\-leading provider of jet engines, components, and integrated systems for commercial and military aircraft. We have a relentless dedication to the future of safe and more sustainable flight and believe in our talented people to make it happen.
GE Aerospace, based in Pompano Beach, is a global powerhouse in the aviation industry, specializing in cutting\-edge aircraft engines, systems, and avionics.  
The Lead Program Manager\- Power Electronics will be responsible for both NPI and current/future production. In this role, you will lead the cross\-functional team to manage and deliver on all New Product Introduction (NPI) and Production programs, which may include and is not limited to SiC, GaN,
and Modules within the terms and conditions of contracts and internal business cases.
You will be responsible for production and NPI contracts functioning as a liaison between the business and technical sides of GE Aerospace, requiring etiquette in customer service, internal GE communication, aftermarket repair, disputes and conflict resolution. This role will encompass responsibilities across multiple programs within the Long Island and Pompano Beach product portfolio,
including both current initiatives and/or new NPI and Production programs.  
GE Aerospace Electric Power focuses on designing, manufacturing, and delivering advanced electrical power systems for aerospace applications. These systems are critical for powering aircraft, enabling efficient operation, and supporting the growing demand for electrification in aviation. GE Aerospace's
electric power solutions are engineered to meet the highest standards of safety, quality, reliability, and performance, ensuring seamless integration into modern aircraft platforms.  
\*\*Note\*\*  
This is an on\-site position  
No remote option available**Job Description**
===================
**Roles and Responsibilities**
* Responsible for contract performance related activities, tied to customers or programs
* Perform as interface between the internal business team and technical team, managing the transfer of information and requests
* Develop scope of work and plan schedule of engineering activities
* Assure timely resolution of issues, keep the GE team advised of the progress of the program, and negotiate changes, variations, solutions to issues
* Will draft basis of estimate financial proposals for potential business opportunities
* Ensure all program activities comply with safety standards and regulatory requirements
* Monitor program performance and progress, addressing risks and implementing corrective actions as needed
* Collaborate with engineering, manufacturing, and supply chain teams to ensure quality and timely delivery of program deliverables
* Drive continuous improvement initiatives
**Required Qualifications**
* Bachelor's degree in Business, Engineering or related field from an accredited university from accredited college/university
* Minimum of 4 years of experience in an engineering or program/project management role
**Additional Information**
* This position requires U.S. citizenship status.
* Ability and willingness to sit on\-site at the Pompano Beach, FL facility Monday\-Friday
**Desired Characteristics**
* Minimum of 4 years of experience in a program management role preferably in electronics but not mandatory
* Proven experience in program management within the aerospace, software or related industry
* Product development experience
* Military or Commercial Aviation product experience
* Strong leadership, communication, and problem\-solving skills
* Familiarity with lean principles, such as Kaizen, and Standard Work
* Ability to manage multiple priorities in a fast\-paced environment
* Demonstrated ability to analyze and resolve problems
* Ability to document, plan, market, and execute programs
* Established project management skills including proficiency in Microsoft Project/Excel
Some of our competitive benefits package includes:
* Medical, dental, and vision insurance that begins on the first day of employment
* Permissive time off policy for newly hired employees
* Generous 401(k) plan
* Tuition Reimbursement
* Life insurance and disability coverage
* And more!
*This role requires access to U.S. export\-controlled information. Therefore, employment will be contingent upon the ability to prove that you meet the status of a U.S. Person as one of the following: U.S. lawful permanent resident, U.S. Citizen, have been granted asylee or refugee status (i.e., a protected individual under the Immigration and Naturalization Act, 8 U.S.C. 1324b(a)(3\)).*
**Additional Information**
==========================
GE Aerospace offers a great work environment, professional development, challenging careers, and competitive compensation. GE Aerospace is an Equal Opportunity Employer. Employment decisions are made without regard to race, color, religion, national or ethnic origin, sex, sexual orientation, gender identity or expression, age, disability, protected veteran status or other characteristics protected by law.
GE Aerospace will only employ those who are legally authorized to work in the United States for this opening. Any offer of employment is conditioned upon the successful completion of a drug screen (as applicable).
**Relocation Assistance Provided:** Yes</t>
        </is>
      </c>
    </row>
    <row r="94">
      <c r="A94" t="inlineStr">
        <is>
          <t>in-4533eb76f5558de0</t>
        </is>
      </c>
      <c r="B94" t="inlineStr">
        <is>
          <t>Product Manager</t>
        </is>
      </c>
      <c r="C94" t="inlineStr">
        <is>
          <t>Confiz</t>
        </is>
      </c>
      <c r="D94" t="inlineStr">
        <is>
          <t>indeed</t>
        </is>
      </c>
      <c r="E94">
        <f>HYPERLINK("https://www.indeed.com/viewjob?jk=4533eb76f5558de0", "https://www.indeed.com/viewjob?jk=4533eb76f5558de0")</f>
        <v/>
      </c>
      <c r="F94">
        <f>HYPERLINK("https://confiz.simplicant.com/jobs/59778-product-manager/detail?utm_campaign=job-board&amp;utm_medium=web&amp;utm_source=indeed", "https://confiz.simplicant.com/jobs/59778-product-manager/detail?utm_campaign=job-board&amp;utm_medium=web&amp;utm_source=indeed")</f>
        <v/>
      </c>
      <c r="G94" t="inlineStr">
        <is>
          <t>Winona, MN, US</t>
        </is>
      </c>
      <c r="H94" s="2" t="n">
        <v>46069</v>
      </c>
      <c r="I94" t="inlineStr">
        <is>
          <t>We are looking for a dynamic Product Manager to join our team and play a pivotal role in driving the development and execution of our product strategies. In this role, you will collaborate with clients to understand their needs, oversee the entire product lifecycle, and ensure that our solutions align with their business objectives. Your expertise in integrating cutting\-edge technologies, particularly in data and AI, will be crucial in delivering impactful products.
**Responsibilities**
* Lead the full product lifecycle, from initial concept and design through development, deployment, and ensuring fulfillment of customers’ business objectives and needs.
* Drive the Product Design Process with a deep understanding of design thinking, user research, wireframing, prototyping, and usability testing. Work closely with UX/UI teams to create and refine user\-centric products.
* Develop and implement robust user adoption strategies that drive product success. in the market. Collaborate with cross\-functional teams, including marketing, sales, and customer success, to ensure impactful product launches and sustained market presence.
* Partner with product engineering, marketing, growth, and customer support teams to ensure seamless product development and delivery. Serve as the primary advocate for the customer, translating insights into actionable product features and improvements.
* Leverage data analytics, user feedback, and market trends to make informed product decisions, track key performance metrics, and continuously refine product strategies for optimal market performance.
* Oversee and manage digital transformation projects including improving existing processes, implementing new technologies and driving organizational change to enhance efficiency and effectiveness.
* Regularly update senior leadership on product progress, challenges, and successes. Present product roadmaps, timelines, and strategic plans to ensure alignment and buy\-in across the organization.
* Act as the primary liaison between clients and internal teams. Work closely with clients to understand their business goals, challenges, and requirements. Translate these insights into actionable product strategies that deliver tangible value.
**Requirements**
* Bachelor’s degree in computer science, Engineering, Business, or a related field; MBA or advanced degree preferred.
* 5\+ years of experience in product management, with a focus on data products or data platforms.
* 2\+ years of direct product ownership and proven track record of successfully launching and managing data products.
* Extensive experience leading the Product Design Process, including expertise in design thinking, user research, wireframing, prototyping, and usability testing in Microsoft Azure or Atlassian Jira.
* Expertise in various tools in a product manager’s toolkit (e.g., wireframing tools, task management tools, design thinking etc.)
* Strong domain expertise in cloud\-based data systems and real\-time data processing a significant plus, along with experience in exploratory data analysis from complex and high\-dimensional datasets to produce innovative solutions for business partners.Excellent communication and collaboration skills, with the ability to work effectively with technical and non\-technical stakeholders.
* Demonstrated success in crafting and executing strategies that drive significant user adoption.
* Analytical mindset with a passion for leveraging data to drive business outcomes.
* Experience with agile methodologies and product management tools.
* Proven track record of leading cross\-functional teams to achieve business goals.
* Knowledge of physical Retail Store Services in the area of POS, ERP, CRM, Inventory Management, etc, is preferred.
We have a global team of amazing individuals working on highly innovative enterprise projects \&amp; products. Our customer base includes Fortune 100 retail and CPG companies, leading store chains, fast\-growth fintech, and multiple Silicon Valley startups.
What makes Confiz stand out is our focus on processes and culture. Confiz is ISO 9001:2015, 27001:2013 \&amp; 20000\-1:2018 certified. We have a vibrant culture of learning via collaboration and making the workplace fun. People who work with us work with cutting\-edge technologies while contributing success to the company as well as to themselves. To know more about Confiz, visit: https://www.linkedin.com/company/confiz/</t>
        </is>
      </c>
    </row>
    <row r="95">
      <c r="A95" t="inlineStr">
        <is>
          <t>in-feae8e3452bf1f79</t>
        </is>
      </c>
      <c r="B95" t="inlineStr">
        <is>
          <t>Senior Technical Program Manager</t>
        </is>
      </c>
      <c r="C95" t="inlineStr">
        <is>
          <t>The Knot Worldwide</t>
        </is>
      </c>
      <c r="D95" t="inlineStr">
        <is>
          <t>indeed</t>
        </is>
      </c>
      <c r="E95">
        <f>HYPERLINK("https://www.indeed.com/viewjob?jk=feae8e3452bf1f79", "https://www.indeed.com/viewjob?jk=feae8e3452bf1f79")</f>
        <v/>
      </c>
      <c r="F95">
        <f>HYPERLINK("https://grnh.se/36pxjikk8us", "https://grnh.se/36pxjikk8us")</f>
        <v/>
      </c>
      <c r="G95" t="inlineStr">
        <is>
          <t>Austin, TX, US</t>
        </is>
      </c>
      <c r="H95" s="2" t="n">
        <v>46069</v>
      </c>
      <c r="I95" t="inlineStr">
        <is>
          <t>**WHAT WE DO MATTERS:**
At The Knot Worldwide, we champion celebration \- and that starts with celebrating our people. Our employees are passionate dreamers, thoughtful doers, and lifelong learners who power meaningful moments for millions around the world. We're united by authentic connection, shared purpose, and a deep commitment to the global community we serve. Here, flexibility and belonging go hand in hand with high performance. Driven by our core values, we believe the best ideas come from empowered teams: those who consistently collaborate with intention to design solutions, spark ideas, and drive impact. Our people are at the heart of our success.
**ABOUT THE ROLE AND OUR TEAM:**
The highly organized and goal\-oriented Senior Technical Program Manager (you!) will help drive collaboration for cross\-functional project teams and manage detailed plans to ensure efficient and effective delivery. You will follow proven project management methodologies (project plans, RAID logs, communications plans…) that will help the development teams achieve their objectives. You will work closely alongside engineering managers, developers, product managers, designers, and other key business partners.
In this role, you will report to the Senior Manager of Technical Program Management, a function within our engineering organization. This is a highly valued team of professionals that supports the most critical cross\-functional projects for the department. The team has strong interpersonal connections, providing individuals with an internal network for knowledge sharing within the job family.
**RESPONSIBILITIES:**
**Project Management \&amp; Execution:**
* Plan, schedule, and ensure execution of project tasks, milestones, and deliverables related to the platform initiatives
* Create and maintain project management artifacts, including (but not limited to): communication plans, risk logs, decision logs, escalation procedures, project schedules, scope statements, high\-level and detailed business requirements, and technical specification documents
* Fully own the project management life cycle: Plan, schedule, and ensure execution of project tasks, milestones, and deliverables
* Identify blockers and risks early, working to resolve or escalate when appropriate
* Proactively identify and implement operational improvements, enhancements, and system customizations that meet business requirements
**Cross\-functional Collaboration:**
* Partner with engineers, designers, product managers, data team, and business partners to plan and execute highly cross\-functional programs
* Facilitate cross\-functional meetings and drive alignment on dependencies, and manage towards the shared objectives
* Provide transparent, holistic, and consistent communication adapted as needed for stakeholders in multiple disciplines and levels across our global offices
**Technical Skills: Architectural Literacy \&amp; Troubleshooting**
* **Technical Design \&amp; Dependency Mapping:** Ability to lead technical design reviews and proactively identify integration risks, data flow bottlenecks, or infrastructure dependencies across complex systems.
* **Systems Observability \&amp; Triage:** Hands\-on experience using monitoring and logging tools (e.g., Datadog, Splunk, New Relic) to assist teams in triaging production issues and facilitating high\-quality technical post\-mortems.
* **API \&amp; Data Literacy:** Comfortable exploring API documentation (Swagger/Postman) and using basic SQL to extract data for project validation, ensuring technical requirements align with actual system behavior.
**Jira Skills: Operational Efficiency \&amp; Reporting**
* **Workflow Configuration \&amp; Automation:** Practical experience configuring Jira project workflows, custom fields, and basic automation rules to eliminate manual status chasing and improve team velocity.
* **Custom Reporting \&amp; JQL:** Proficiency in JQL (Jira Query Language) to build customized filters and dashboards that provide stakeholders with real\-time visibility into sprint health, blockers, and delivery timelines.
* **Dependency Visualization:** Skilled in using Jira (including tools like Advanced Roadmaps or structure plugins) to map cross\-team links, visualize the critical path, and manage capacity planning across multiple workstreams.
**SUCCESSFUL SENIOR TPM CANDIDATES HAVE:**
* 5\+ years of Project Management experience, including analysis, project management, process management, program management, people management, vendor management, and client management
* Experience working with technical teams
* Experience successfully managing large\-scale initiatives
* Jira experience
* Smartsheet experience is a plus
**WORK MODEL:**
This role is Together@TKWW\-eligible. If you're based in NYC, we follow a hybrid schedule, balancing in\-office collaboration on some days of the week and work\-from\-home flexibility. If you're in Austin, this position is remote for now, with the potential to shift to a hybrid model as our local team grows.
At The Knot Worldwide, we believe you are more than a resume and invite you to go for it, take the leap of faith, and apply for this job. Together, we have an incredible opportunity to make it even easier for our customers to plan life's most meaningful moments and for our small business owners to grow and scale. We would love to have you with us on our journey.
**WHAT WE LOVE ABOUT YOU:**
* **Commit to our customers**: You act as one team on behalf of our customers. You lead with head and heart, and build what matters for life's most meaningful moments.
* **Raise the bar:** You define "great" and work backwards. You don't just accept how it's been done, but boldly define how it should be. You are unafraid to innovate, learn, and keep moving forward toward our shared vision.
* **Be all in:** You believe in our mission and take ownership of your work. You debate openly to reach the best outcomes, speaking with clarity and care, embracing diverse perspectives, then commit fully.
* **Celebrate impact:** You measure success by the outcomes you create. You hold yourself accountable to delivering value, while recognizing progress and the lessons learned along the way. You love to win, together.
**WHAT YOU LOVE ABOUT US:**
We believe in a wide range of holistic offerings to support our employees so that they can live our values day in and day out. From mental wellbeing, physical health and financial planning, to engaging perks and discounts, we are in the business of celebrating and supporting the Moments that Matter, both in and out of the office.. We offer flexible vacation, generous parental leave, and prioritize initiatives that support the growth, development, and happiness of our people.
**Together@TKWW is our approach to hybrid work.** It's designed to support how we work best: combining the flexibility we value with meaningful opportunities to connect in person. Whether a role is Together@TKWW\-eligible or not, we believe in purposeful moments to come together, build strong relationships, and drive bold ideas forward.
* **For Together@TKWW\-eligible roles,** this includes regular in\-office time to foster collaboration and connection.
* **For roles not eligible for in\-office expectations**, we support connection through virtual collaboration and intentional gatherings.
To facilitate in\-person collaboration, we have office spaces in Barcelona, Spain; Delhi, India; Galway, Ireland; London, England; New York, NY; and Washington, D.C.
\_\_
**US Notice:**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**Privacy Notice:** The Knot Worldwide (TKWW) processes your personal data to evaluate your application, based on the legal ground of taking steps prior to entering into a potential employment contract. Only the data strictly necessary for this purpose is collected. In some cases, your data may also be processed based on TKWW's legitimate interests (e.g., to improve recruitment practices or manage candidate pools), to which you can object at any time. You have the right to access, rectify, or delete your data, and to object to certain uses. To learn more about your rights, please consult our The Knot Worldwide (TKWW) processes your personal data to evaluate your application, based on the legal ground of taking steps prior to entering into a potential employment contract. Only the data strictly necessary for this purpose is collected. In some cases, your data may also be processed based on TKWW's legitimate interests (e.g., to improve recruitment practices or manage candidate pools), to which you can object at any time. You have the right to access, rectify, or delete your data, and to object to certain uses. To learn more about your rights, please consult our Privacy Policy. If you wish to file a complaint, you may contact the competent data protection authority. If you wish to file a complaint, you may contact the competent data protection authority.</t>
        </is>
      </c>
    </row>
    <row r="96">
      <c r="A96" t="inlineStr">
        <is>
          <t>in-639a1d9cc78f5d9b</t>
        </is>
      </c>
      <c r="B96" t="inlineStr">
        <is>
          <t>Senior Product Manager</t>
        </is>
      </c>
      <c r="C96" t="inlineStr">
        <is>
          <t>Zeta Global</t>
        </is>
      </c>
      <c r="D96" t="inlineStr">
        <is>
          <t>indeed</t>
        </is>
      </c>
      <c r="E96">
        <f>HYPERLINK("https://www.indeed.com/viewjob?jk=639a1d9cc78f5d9b", "https://www.indeed.com/viewjob?jk=639a1d9cc78f5d9b")</f>
        <v/>
      </c>
      <c r="F96">
        <f>HYPERLINK("https://grnh.se/jd44ljyx4us", "https://grnh.se/jd44ljyx4us")</f>
        <v/>
      </c>
      <c r="G96" t="inlineStr">
        <is>
          <t>New York, NY, US</t>
        </is>
      </c>
      <c r="H96" s="2" t="n">
        <v>46069</v>
      </c>
      <c r="I96" t="inlineStr">
        <is>
          <t>**WHO WE ARE**
Zeta Global (NYSE: ZETA) is the AI\-Powered Marketing Cloud that leverages advanced artificial intelligence (AI) and trillions of consumer signals to make it easier for marketers to acquire, grow, and retain customers more efficiently. Through the Zeta Marketing Platform (ZMP), our vision is to make sophisticated marketing simple by unifying identity, intelligence, and omnichannel activation into a single platform – powered by one of the industry's largest proprietary databases and AI. Our enterprise customers across multiple verticals are empowered to personalize experiences with consumers at an individual level across every channel, delivering better results for marketing programs. Zeta was founded in 2007 by David A. Steinberg and John Sculley and is headquartered in New York City with offices around the world. To learn more, go to www.zetaglobal.com.
**THE ROLE**
We are seeking a Senior Product Manager to join our Product team focused on building a cutting\-edge MarTech product. You will own one of the product areas as an individual contributor while actively shaping the overall roadmap and delivering impactful customer experiences.
**RESPONSIBILITIES**
* Drive day\-to\-day product execution, ensuring timely delivery of features.
* Collaborate with engineering, design, and cross\-functional teams to build high\-quality solutions.
* Engage with customers to understand pain points, gather feedback, and translate insights into actionable improvements.
* Contribute to product strategy and roadmap planning, aligning with business objectives.
* Define clear requirements, user stories, and success metrics for new features.
* Use data and KPIs to measure product performance and inform prioritization.
* Align product initiatives with business goals through stakeholder collaboration.
* Identify and mitigate risks in product delivery.
* Support go\-to\-market activities with marketing and sales teams.
* Drive post\-launch evaluations and iterate based on feedback and performance metrics.
* Provide mentorship to junior product managers or associates when needed.
**REQUIREMENTS**
* 5–7 years of experience as a Product Manager, preferably in SaaS or MarTech.
* Strong technical background, ideally with a degree in Computer Science or related field.
* Proven ability to work independently while thriving in a collaborative team environment.
* Excellent communication skills and ability to influence stakeholders.
* Strong problem\-solving mindset and customer\-centric approach.
**PREFERRED SKILLS**
* Experience in MarTech or B2B SaaS products.
* Familiarity with agile methodologies and product development best practices.
**BENEFITS \&amp; PERKS**
* Unlimited PTO
* Excellent medical, dental, and vision coverage
* Employee Equity
* Employee Discounts, Virtual Wellness Classes, and Pet Insurance And more!!
**SALARY RANGE**
The salary range for this role is **$160,000 \- $180,000**.
**PEOPLE \&amp; CULTURE AT ZETA**
Zeta considers applicants for employment without regard to, and does not discriminate on the basis of an individual's sex, race, color, religion, age, disability, status as a veteran, or national or ethnic origin; nor does Zeta discriminate on the basis of sexual orientation, gender identity or expression.
We're committed to building a workplace culture of trust and belonging, so everyone feels invited to bring their whole selves to work. We provide a forum for employees to celebrate, support and advocate for one another. Learn more about our commitment to diversity, equity and inclusion here: https://zetaglobal.com/blog/a\-look\-into\-zetas\-ergs/
**ZETA IN THE NEWS!**
https://zetaglobal.com/press/?cat\=press\-releases
\#LI\-ND1
\#LI\-hybrid</t>
        </is>
      </c>
    </row>
    <row r="97">
      <c r="A97" t="inlineStr">
        <is>
          <t>in-7d7f02f02fe9f158</t>
        </is>
      </c>
      <c r="B97" t="inlineStr">
        <is>
          <t>Program Manager, Product Graphics</t>
        </is>
      </c>
      <c r="C97" t="inlineStr"/>
      <c r="D97" t="inlineStr">
        <is>
          <t>indeed</t>
        </is>
      </c>
      <c r="E97">
        <f>HYPERLINK("https://www.indeed.com/viewjob?jk=7d7f02f02fe9f158", "https://www.indeed.com/viewjob?jk=7d7f02f02fe9f158")</f>
        <v/>
      </c>
      <c r="F97">
        <f>HYPERLINK("https://grnh.se/5tymejme4us", "https://grnh.se/5tymejme4us")</f>
        <v/>
      </c>
      <c r="G97" t="inlineStr">
        <is>
          <t>Sunnyvale, CA, US</t>
        </is>
      </c>
      <c r="H97" s="2" t="n">
        <v>46069</v>
      </c>
      <c r="I97" t="inlineStr">
        <is>
          <t>We are WPP Production \- the unified global production company that brings together all of WPP's content producers, studios and craft experts into one connected organisation. We combine world\-class human craft with next generation technology to originate, design, and deliver multi\-channel content systems at scale.
Built for borderless collaboration and powered by deep craft expertise, we are the production engine designed for today's always on, AI driven marketing world.
WPP Production is part of WPP. WPP is the creative transformation company. We use the power of creativity to build better futures for our people, planet, clients, and communities. For more information, visit wpp.com
**A Hybrid working model**
*We believe the best work happens when we're together, fostering creativity, collaboration, and connection. That's why we've adopted a hybrid approach, with teams in the office around three days a week. If you require accommodations or flexibility, please discuss this with the hiring team during the interview process.*
**What does a Product Graphics Program Manager do at WPP Production?**
**Summary:**
The Product Graphics Program Manager assists Design Producers in organizing documentation, reviewing content accuracy for artwork files, routing, tracking and documenting stakeholder review and approvals by helping the team meet tight deadlines in peak seasons. You will manage deliverable due dates according to established standards and timelines, while also coming up with creative solutions to challenges.
**Key responsibilities:**
* Leveraging the Visual Matrix hand off meeting, gain insight into the required content, key stakeholders and design timeline. Create production schedule built off Design schedule. (new) to be reviewed / approved by PG Producer.
* Communicate updates collected from Design Producers to stakeholders to facilitate the routing and content approval process
* Route files to stakeholders for approval\- tracking and documenting key milestones, feedback and approvals throughout *Work with Design Producer if any artwork is not approved to identify a path to approval.*
* Communicate approvals and next steps with Design Producers and Design team
* Provide complete and timely feedback on changes or updates impacting the design intent, deliverable or timeline.
* Collate and gather final and approved artwork files —with the direction of the Product Graphics Producers—prior to handing off to the design team. Ensure all artwork files have been approved by the Design Producers before releasing for suppliers.
* QC and organize assets for each mechanical (part numbers, supporting visuals, spec files etc, etc.).
* QC final files and release to stakeholders for suppliers per the established process and timeline
* Collaborate with stakeholders to align on FAI (First Article Inspection) schedules. Track and manage FAIs through all SKUs and colors through all rounds to final approval
* QC photo FAI's prior to sharing with the Design team and stakeholders
* Prepare asset handoff documents for review by Design Producers and route to Marcom groups.
* Collaborate with the Product Graphics team to document best practices and standard operating procedures and processes for both internal and external partners.
* Practice extreme attention to detail in cross\-referencing all assets against the final mechanicals per a checklist, confirming accuracy of content and design intent
**Qualifications/Requirements:**
* BA/BS degree in Graphic Communications or equivalent.
* 10\+ years project management experience preferred.
* Must possess exceptional organizational, time management, verbal, and written communication skills, interpersonal skills, and the ability to prioritize.
* Proficient in Mac OS and native apps.
* Proficient in Adobe Creative Cloud: Illustrator, Photoshop, InDesign, Adobe Acrobat.
* Working knowledge of Microsoft Office Suite: Excel, Word, database management.
* Meticulous attention to detail a must.
* Able to understand and interpret complex processes and shifting priorities.
* Experience in database/project management systems.
* Positive, attentive, focused, and engaged. Strong work ethic. Accountable for actions. Takes initiative. Collaborative "team\-player."
* Trustworthy in a confidential environment. Supportive of company values.
* Manages time effectively. Flexible during high\-volume periods
The base salary range for this position at the time of this posting is indicated below. Individual compensation varies based on job\-related factors, including location, business needs, level of responsibility, experience, and qualifications. We offer a competitive benefits package, go to https://www.wpp.com/en/careers/wellbeing/benefits\-at\-wpp\-in\-the\-us for more details.
**Pay Range**
**$79,000\-$1,05,243**
**Why work here:**  
At WPP Production, you'll help shape the future of content production at a truly global scale. We bring together world\-class talent, cutting\-edge studios, and advanced technology to solve some of the most complex creative and production challenges in the industry. You'll work in a collaborative, borderless environment where craft excellence is valued, innovation is encouraged, and AI and next\-generation tools are used to amplify not replace human creativity. With access to diverse projects, global career opportunities, and the backing of WPP's unmatched network, this is a place where you can grow your skills, make real impact, and create work that performs for every audience, across every channel, at every moment.
**Inclusion and Impact**  
WPP is an equal opportunity employer and considers applicants for all positions without discrimination or regard to particular characteristics. We are committed to fostering a culture of respect in which everyone feels they belong and has the same opportunities to progress in their careers.
**Data**  
We rely on legitimate interest as a legal basis for processing personal information under the GDPR for purposes of recruitment and applications for employment. When you click the "Submit Application" button at the bottom of this page, this will send all the information you have added to WPP Production. Before you do this, we think it's a good idea to read through our Privacy statement. This explains what we do with your personal data when you apply for a role with us, and, how you can update the information you have provided us with or how to remove it.
**Please contact** **careers@wppproduction.com** **if you need the job advert or form in another format.**</t>
        </is>
      </c>
    </row>
    <row r="98">
      <c r="A98" t="inlineStr">
        <is>
          <t>in-a7a48d60696f257d</t>
        </is>
      </c>
      <c r="B98" t="inlineStr">
        <is>
          <t>Technical Hardware Product Manager</t>
        </is>
      </c>
      <c r="C98" t="inlineStr">
        <is>
          <t>SpotOn: Product</t>
        </is>
      </c>
      <c r="D98" t="inlineStr">
        <is>
          <t>indeed</t>
        </is>
      </c>
      <c r="E98">
        <f>HYPERLINK("https://www.indeed.com/viewjob?jk=a7a48d60696f257d", "https://www.indeed.com/viewjob?jk=a7a48d60696f257d")</f>
        <v/>
      </c>
      <c r="F98">
        <f>HYPERLINK("https://grnh.se/2qvs645p3us", "https://grnh.se/2qvs645p3us")</f>
        <v/>
      </c>
      <c r="G98" t="inlineStr">
        <is>
          <t>Chicago, IL, US</t>
        </is>
      </c>
      <c r="H98" s="2" t="n">
        <v>46069</v>
      </c>
      <c r="I98" t="inlineStr">
        <is>
          <t>**About SpotOn**
We're not just building restaurant tech—we're giving independent restaurants the tools to compete and win. From our award\-winning point\-of\-sale to AI\-powered profit tools, everything we do helps operators boost profit, work smarter, and keep their best people. And every solution is backed by real humans who actually give a sh\*t about helping restaurants succeed.
* **Named the \#1 Restaurant POS by G2** (Fall 2025\), based on ratings from real users
* Rated the **top\-rated point\-of\-sale** (POS) for restaurants, bars, retail, and small businesses by Capterra users
* Awarded **Great Places to Work** and Built In's **Best Workplaces** for multiple years running
We move fast, care hard, and fight for independent restaurant operators to do what they love, and love doing it. If you're looking to make an impact with heart and hustle, SpotOn is the place for you.**Technical Hardware Product Manager**
We're looking for an experienced Technical Product Manager who is passionate about Restaurants, building innovative hardware products, and impacting the 15 Million people who live and work in the restaurant space. This Technical Product Manager will work closely with our Customer Success team, Engineering, Design, Marketing, and Sales teams to deliver a world class suite of hardware at the heart of every restaurant.
**You will:**
* Lead the product strategy for SpotOn both new hardware and improving current hardware in the field
* Manage the hardwareproduct roadmap, making strategic adjustments as needed based on client needs, data, and business priority.
* Work with multiple cross\-functional teams to elicit, understand, rationalize, and prioritize requests for new functionality.
* Assess market competition, client preferences, emerging technologies, and industry trends to identify what is needed to maintain a competitive advantage and sustained growth.
* Partner with engineering to test new devices and leverage telemetry and data to inform decisions.
* Build relationships with key business partners and other brand stakeholders to serve as the internal and external evangelist for your product.
* Collaborate with other stakeholders, such as product marketing, on the creation of positioning for your products.
**Qualifications:**
* 4\+ years of relevant product management experience with restaurant hardware or consumer hardware
* Strong understanding of the hardware lifecycle from prototype to general availability.
* Ability to facilitate technical hardware discussions, customer outcome discussions, and how the two come together.
* Exceptional attention to detail and ability to coordinate with stakeholders including individual contributors and external partners. Can competently navigate chaos, lead without authority, and drive best\-informed decisions in the absence of perfect information.
* Ability to influence C\-level and help drive well informed decisions.
* A metrics\-driven work style that leverages data to make informed decisions.
* An ability to manage multiple projects in an iterative process.
* Ability to put yourself in the customer's shoes to understand their needs and how they interact with our products.
* Past restaurant experience, especially working in a restaurant, is a serious plus
**Compensation:**
* Our base pay range starts at $170,000 \-$195,000 for this role
* Please note the salary range listed is just one component of a competitive compensation package which includes a company stock plan
* Offers will be reflective of the candidate's location and experience.
**Benefits:**
At SpotOn, we put people above everything else. We're known for our innovative software and technology solutions, but we stand out because of the hard\-working humans behind the tech. We can't take care of our clients without taking care of our employees first, and that's why we invest in you with a competitive benefits package which includes:
* Medical, Dental and Vision Insurance
* 401k with company match
* RSUs
* Paid vacation, 10 company holidays, sick time, and volunteer time off
* Employee Resource Groups to build community and inclusion at work
* Monthly cell phone and internet stipend
* Tuition reimbursement for up to $2,000 per calendar year to assist with your professional development
*We will never ask candidates to pay fees, purchase equipment, or share sensitive personal or financial information during the hiring process. All legitimate communication from our recruiting team will come from an official company email address (@spoton.com). If something seems suspicious, please contact us at* *careers@spoton.com**.*
*SpotOn is an equal employment opportunity employer. Qualified candidates are considered for employment without regard to race, religion, gender, gender identity, sexual orientation, national origin, age, military or veteran status, disability, or any other characteristic protected by applicable law.*
*SpotOn is an E\-Verify company.*</t>
        </is>
      </c>
    </row>
    <row r="99">
      <c r="A99" t="inlineStr">
        <is>
          <t>in-c8be40ba76507028</t>
        </is>
      </c>
      <c r="B99" t="inlineStr">
        <is>
          <t>Program Manager</t>
        </is>
      </c>
      <c r="C99" t="inlineStr">
        <is>
          <t>VML</t>
        </is>
      </c>
      <c r="D99" t="inlineStr">
        <is>
          <t>indeed</t>
        </is>
      </c>
      <c r="E99">
        <f>HYPERLINK("https://www.indeed.com/viewjob?jk=c8be40ba76507028", "https://www.indeed.com/viewjob?jk=c8be40ba76507028")</f>
        <v/>
      </c>
      <c r="F99">
        <f>HYPERLINK("https://grnh.se/8bojjs4e2us", "https://grnh.se/8bojjs4e2us")</f>
        <v/>
      </c>
      <c r="G99" t="inlineStr">
        <is>
          <t>Miami, FL, US</t>
        </is>
      </c>
      <c r="H99" s="2" t="n">
        <v>46069</v>
      </c>
      <c r="I99" t="inlineStr">
        <is>
          <t>### **About VML**
VML is a leading creative company that combines brand experience, customer experience, and commerce, creating connected brands to drive growth. VML is celebrated for its innovative and human first, award\-winning work for blue chip client partners including AstraZeneca, Colgate\-Palmolive, Dell, Ford, Microsoft, Nestlé, The Coca\-Cola Company, and Wendy's. The agency is recognized by the Forrester Wave™ Reports, as a Leader among Marketing Creative and Content Service Providers, Commerce Services, Global Digital Experience Services, Global Marketing Services and, most recently, Marketing Measurement \&amp; Optimization. In addition, VML's specialist health network, VML Health, is one of the world's largest and most awarded health agencies. VML's global network is powered by 26,000 talented people across 55\+ markets, with principal offices in Kansas City, New York, Detroit, London, São Paulo, Shanghai, Singapore, and Sydney.
VML is a WPP agency (NYSE: WPP). For more information, please visit www.vml.com, and follow along on Instagram, LinkedIn, and X.
**What we are looking for:**
VML is seeking a Program Manager, a proactive and strategic thinker who thrives in a dynamic and collaborative environment. As a Program Manager, you will be responsible for the end\-to\-end management of projects, ensuring they are delivered on time, within budget, and to the highest quality standards. You will work closely with cross\-functional teams, including creative, strategy, account management, production, media, analytics and technology, to drive projects from inception to completion. You will be an autonomous leader in delivery, managing expectations, tracking financial burn of projects, providing regular updates on timelines, and fostering strong relationships with our internal teams and with the client.
**What You'll Do:**
* **Work \|** Deliver exceptional projects on time and within scope, ensuring all deliverables meet high\-quality standards and client expectations. You'll oversee project execution, identify dependencies, and secure alignment on scope, schedule, and budget.
* **People \|** Motivate and direct cross\-functional teams to produce outstanding work, fostering a collaborative "One Team" approach. You'll be the primary client contact, building strong relationships and managing expectations.
* **Process \|** Establish and manage project communication and processes, leveraging existing tools to monitor progress and mitigate risks. You'll develop detailed project plans and identify opportunities for process improvement.
* **Financials \|** Be responsible for project estimation, planning, and profitability, ensuring projects are delivered within budget. You'll manage budgets, track expenses, and maximize financial efficiency.
**Who You Are:**
* **A Problem Solver \|** You are adept at identifying and resolving complex project challenges, finding creative solutions to keep projects on track.
* **A Strong Communicator \|** You possess excellent written and verbal communication skills, able to effectively communicate with clients, team members, and stakeholders at all levels.
* **A Collaborative Leader \|** You are a team player who fosters a collaborative and productive work environment, motivating and inspiring team members to achieve project goals.
* **Organized and Detail\-Oriented \|** You are highly organized and detail\-oriented, with a strong ability to manage multiple projects simultaneously and prioritize tasks effectively.
* **Client\-Focused \|** You are passionate about delivering exceptional client service and building strong, long\-lasting relationships.
* **Adaptable \|** You thrive in a fast\-paced, dynamic environment and are able to adapt to changing priorities and project requirements.
* **Proactive \|** You are proactive and take initiative, anticipating potential issues and developing solutions before they impact the project.
**What You'll Need:**
* 5\-7 years of experience managing projects in advertising or marketing communications in a client\-facing role, ideally at a creative agency.
* Proven ability to manage complex, integrated marketing projects from inception to completion.
* Experience working with common project management tools such as Smartsheet, Jira, Confluence, Microsoft Project, Slack, and Microsoft Teams.
* Conscientious and adept at problem\-solving through critical thinking.
* Comfortable leading team and client meetings, tailors communications based on their audience and level (technology, creative, finance, client, vendor).
* Experience working on integrated, omnichannel programs with parallel work streams and diverse teams (Strategy, Creative, Account, Media and Data) across remote offices.
* High EQ and the ability to read what a team needs to help motivate them.
* Self\-motivated and driven to build and create great work.
* Strong understanding of digital marketing principles and practices.
* Excellent interpersonal and communication skills.
We believe the best work happens when we're together, fostering creativity, collaboration, and connection. That's why we've adopted a hybrid approach, with teams in the office an average of four days a week. If you require accommodations or flexibility, please discuss this with the hiring team during the interview process.
WPP (VML) is an equal opportunity employer and considers applicants for all positions without discrimination or regard to characteristics. We are committed to fostering a culture of respect in which everyone feels they belong and has the same opportunities to progress in their careers.
When you click "Submit Application", this will send any information you add below to VML. Before you do this, we think it's a good idea to read through our Recruitment Privacy Policy. California residents should read our California Recruitment Privacy Notice. This explains what we do with your personal data when you apply for a role with us, and, how you can update the information you have provided us with or how to remove it.</t>
        </is>
      </c>
    </row>
    <row r="100">
      <c r="A100" t="inlineStr">
        <is>
          <t>in-22dc076bbc9df803</t>
        </is>
      </c>
      <c r="B100" t="inlineStr">
        <is>
          <t>Principal Technical Program Manager</t>
        </is>
      </c>
      <c r="C100" t="inlineStr">
        <is>
          <t>Moderna</t>
        </is>
      </c>
      <c r="D100" t="inlineStr">
        <is>
          <t>indeed</t>
        </is>
      </c>
      <c r="E100">
        <f>HYPERLINK("https://www.indeed.com/viewjob?jk=22dc076bbc9df803", "https://www.indeed.com/viewjob?jk=22dc076bbc9df803")</f>
        <v/>
      </c>
      <c r="F100">
        <f>HYPERLINK("https://modernatx.wd1.myworkdayjobs.com/en-US/M_tx/job/Cambridge-Massachusetts/Principal-Technical-Program-Manager_R18730-1", "https://modernatx.wd1.myworkdayjobs.com/en-US/M_tx/job/Cambridge-Massachusetts/Principal-Technical-Program-Manager_R18730-1")</f>
        <v/>
      </c>
      <c r="G100" t="inlineStr">
        <is>
          <t>Cambridge, MA, US</t>
        </is>
      </c>
      <c r="H100" s="2" t="n">
        <v>46069</v>
      </c>
      <c r="I100" t="inlineStr">
        <is>
          <t>**The Role:**
Moderna is seeking an experienced and visionary candidate to join Digital Commercial Engineering (DCE) team based in Cambridge, MA. This role will be pivotal in supporting Moderna’s Commercial endeavor across multiple geographies, helping to drive digital innovation and execution that enables Moderna to deliver on its mission of creating transformative medicines for patients around the world.
As a senior member of the DCE organization, you will partner with business stakeholders across Moderna’s Commercial team to deeply understand their digital and operational needs, translate business requirements into actionable technical roadmaps, and work closely with multiple engineering and product teams to deliver scalable, compliant, and high\-impact digital solutions.
You will operate at the intersection of business and technology—aligning commercial strategy with digital delivery—while influencing strategic prioritization, operational planning, and stakeholder engagement across geographies.
**Here’s What You’ll Do**
* Partner with Business Stakeholders across Moderna’s Commercial Country teams to deeply understand digital, customer, and business needs. Define and document clear business and technical requirements, translating them into actionable deliverables that shape product direction, resourcing, and execution plans in collaboration with Digital Product and Engineering teams.
* Lead end\-to\-end program planning and execution, developing integrated delivery roadmaps, managing scope, schedules, dependencies, and budgets, while proactively identifying and mitigating risks and challenges to ensure alignment, momentum, and on\-time delivery of commercial initiatives.
* Facilitate cross\-functional collaboration among Product, Engineering, and Business teams to drive consensus on technical solutions, resolve dependencies, and ensure timely, high\-quality delivery.
* Drive data\-informed prioritization and transparent reporting to provide visibility into program progress, key decisions, risks, and outcomes, while representing the Digital portfolio in leadership forums to influence strategic direction, communicate business impact, and ensure alignment across commercial functions.
* Champion operational excellence in digital delivery, promoting modern program management practices, process optimization, and continuous improvement across teams.
* Mentor and coach TPMs and project managers, strengthening delivery capabilities and contributing to the maturity of the TPM discipline within Moderna Digital.
**Here’s What You’ll Need (Basic Qualifications)**
* Bachelor’s degree in Computer Science, Engineering, or a related technical field (or equivalent professional experience).
* 10\+ years of overall professional experience, with at least 6\+ years in technical program management for complex, cross\-functional software or digital initiatives.
* Proven ability to manage large\-scale technical programs with multiple stakeholders, spanning business and technology functions. Experience managing programs with multi\-market scope.
* Strong analytical and communication skills, with the ability to influence at multiple organizational levels. Demonstrated success in partnering with business leaders to translate strategy into executable roadmaps.
* Degree in advanced technology, or 5\+ years of technical specialist, design and architecture experience. Proven skills in technical design and architecture.
* Experience in commercial digital systems, customer platforms, or enterprise\-scale business systems supporting multi geography markets.
* Familiarity with regulated industries (biotech, pharma, healthcare) and understanding of compliance, data privacy, and localization requirements.
* Demonstrated ability to build, influence, and manage strong relationships with both Business and Technical stakeholders across multi geography teams.
* A mindset aligned with Moderna’s values: Bold, Relentless, Curious, and Collaborative.
* Evidence of Moderna Mindsets: We behave like owners – driving results that go beyond any job description; We act with dynamic range – balancing strategy and execution seamlessly; We prioritize the platform – enabling scalability and sustainability over point solutions.
**Here’s What You’ll Bring to the Table (Preferred Qualifications)**
* Proven track record of balancing strategic priorities with hands\-on execution, delivering measurable business outcomes through disciplined program leadership.
* Exceptional communication, facilitation, and stakeholder management skills, with the ability to translate complex technical topics into clear business insights.
**Pay \&amp; Benefits**
**At Moderna, we believe that when you feel your best, you can do your best work. That’s why our US benefits and global well\-being resources are designed to support you—at work, at home, and everywhere in between.**
* Best\-in\-class healthcare coverage, plus voluntary benefit programs to support your unique needs
* A holistic approach to well\-being, with access to fitness, mindfulness, and mental health support
* Family planning benefits, including fertility, adoption, and surrogacy support
* Generous paid time off, including vacation, volunteer days, sabbatical, global recharge days, and a discretionary year\-end shutdown
* Savings and investment opportunities to help you plan for the future
* Location\-specific perks and extras
The salary range for this role is $158,600\.00 \- $285,500\.00\. This is the lowest to highest salary we in good faith believe we would pay for this role at the time of this posting. An individual’s position within the salary range will be based on several factors including, but not limited to, specific competencies, relevant education, qualifications, certifications, experience, skills, performance, and business or organizational needs.\&amp;\#xa;\&amp;\#xa;The successful candidate may be eligible for an annual discretionary bonus, other incentive compensation, or equity award, subject to company plan eligibility criteria and individual performance.
**About Moderna**
Since our founding in 2010, we have aspired to build the leading mRNA technology platform, the infrastructure to reimagine how medicines are created and delivered, and a world\-class team. We believe in giving our people a platform to change medicine and an opportunity to change the world.
By living our mission, values, and mindsets every day, our people are the driving force behind our scientific progress and our culture. Together, we are creating a culture of belonging and building an organization that cares deeply for our patients, our employees, the environment, and our communities.
We are proud to have been recognized as a Science Magazine Top Biopharma Employer, a Fast Company Best Workplace for Innovators, and a Great Place to Work in the U.S.
If you want to make a difference and join a team that is changing the future of medicine, we invite you to visit modernatx.com/careers to learn more about our current opportunities.
**Our Working Model**
As we build our company, we have always believed an in\-person culture is critical to our success. Moderna champions the significant benefits of in\-office collaboration by embracing a 70/30 work model. This 70% in\-office structure helps to foster a culture rich in innovation, teamwork, and direct mentorship. Join us in shaping a world where every interaction is an opportunity to learn, contribute, and make a meaningful impact.
Moderna is a smoke\-free, alcohol\-free, and drug\-free work environment.
**Equal Opportunities**
Moderna is committed to equal employment opportunity and non\-discrimination for all employees and qualified applicants without regard to a person's race, color, sex, gender identity or expression, age, religion, national origin, ancestry or citizenship, ethnicity, disability, military or protected veteran status, genetic information, sexual orientation, marital or familial status, or any other personal characteristic protected under applicable law. Moderna is a place where everyone can grow. If you meet the Basic Qualifications for the role and you would be excited to contribute to our mission every day, please apply!
Moderna is an E\-Verify Employer in the United States. We consider qualified applicants regardless of criminal histories, consistent with legal requirements.
**Accommodations**
We’re focused on attracting, retaining, developing, and advancing our employees. By cultivating a workplace that values diverse experiences, backgrounds, and ideas, we create an environment where every employee can contribute their best.
Moderna is committed to offering reasonable accommodations to qualified job applicants with disabilities. Any applicant requiring an accommodation in connection with the hiring process and/or to perform the essential functions of the position for which the applicant has applied should contact the Accommodations team at leavesandaccommodations@modernatx.com .
Export Control Notice\&amp;\#xa;This position may involve access to technology or data that is subject to U.S. export control laws, including the Export Administration Regulations (EAR). As such, employment is contingent upon the applicant’s ability to access export\-controlled information in accordance with U.S. law. Due to the nature of the work and regulatory requirements, only individuals who qualify as U.S. persons (citizens, permanent residents, asylees, or refugees) are eligible for this position. For this role Moderna is unable to sponsor non\-U.S. persons to apply for an export control license.\&amp;\#xa;\#LI\-CK1
*</t>
        </is>
      </c>
    </row>
    <row r="101">
      <c r="A101" t="inlineStr">
        <is>
          <t>in-bf8e6d93031e7292</t>
        </is>
      </c>
      <c r="B101" t="inlineStr">
        <is>
          <t>Senior Product Manager - Digital Health</t>
        </is>
      </c>
      <c r="C101" t="inlineStr">
        <is>
          <t>Inogen</t>
        </is>
      </c>
      <c r="D101" t="inlineStr">
        <is>
          <t>indeed</t>
        </is>
      </c>
      <c r="E101">
        <f>HYPERLINK("https://www.indeed.com/viewjob?jk=bf8e6d93031e7292", "https://www.indeed.com/viewjob?jk=bf8e6d93031e7292")</f>
        <v/>
      </c>
      <c r="F101">
        <f>HYPERLINK("https://app.jobvite.com/CompanyJobs/Job.aspx?j=oLMjzfw9&amp;s=Indeed", "https://app.jobvite.com/CompanyJobs/Job.aspx?j=oLMjzfw9&amp;s=Indeed")</f>
        <v/>
      </c>
      <c r="G101" t="inlineStr">
        <is>
          <t>Remote, US</t>
        </is>
      </c>
      <c r="H101" s="2" t="n">
        <v>46069</v>
      </c>
      <c r="I101" t="inlineStr">
        <is>
          <t>**Job Summary**
===============
The **Senior Product Manager – Digital Health** will drive innovation and success in our product portfolio, with a particular focus on digital health solutions. This role requires a blend of market analysis, customer insight, and product strategy to identify opportunities, guide development, and ensure successful commercialization of healthcare products, including software platforms, mobile applications, and connected medical devices.
The ideal candidate has expertise in the medical device industry and digital health technologies (cloud, App and web based) used in solutions such as patient mobile applications, telemedicine, remote patient monitoring, and/or device analytics. They possess strong leadership, analytical, and communication skills, coupled with a proven history in launching healthcare and digital health products, navigating regulatory frameworks such as HIPAA and GDPR, and managing cross\-functional teams in agile environments. This is a unique opportunity to collaborate across functions and make a tangible impact on patient care and business growth through innovative digital health offerings.
**Responsibilities (Specific tasks, duties, essential functions of the job)**
-----------------------------------------------------------------------------
### **Market and Customer Insights**
* Conduct in\-depth market research to identify customer needs and industry trends, with an emphasis on digital health adoption and emerging technologies.
* Monitor global competitive activity, analyzing product performance to assess strengths and weaknesses compared to Inogen's portfolio.
* Engage with healthcare professionals, patients, and other digital health stakeholders to gather deep customer insights and inform value proposition creation (Empathize, Define, Ideate, Prototype, Test).
### **Strategic Product Management**
* Work with senior management on the development of the long\-term vision and strategy for the digital health portfolio, ensuring offerings that align with the company’s overall vision, strategy, and objectives.
* Oversee the integration of digital technologies, such as cloud\-based platforms, mobile apps, and data analytics, to enhance healthcare professionals’ effectiveness, optimize patient engagement and improve clinical outcomes.
* Lead cross\-functional teams in agile development cycles for digital health products, ensuring timely delivery and compliance with relevant healthcare regulations and data privacy standards.
### **Ongoing Product Support**
* Function as the Subject Matter Expert (SME) for Sales and Marketing teams:
	+ Research and develop compelling product claims to strengthen market positioning.
	+ Design and deliver product training for internal teams and external partners.
* Monitor customer feedback to inform product improvement recommendations.
* Represent the VOC in cross\-functional initiatives to enhance product performance, user experience, and operational support.
**Knowledge, Skills, and Abilities**
------------------------------------
* Strategic product management experience, including roadmap development, lifecycle management, and go\-to\-market strategies for digital health solutions.
* Customer\-centric mindset with strong focus on patient engagement, clinician workflows, and user experience design.
* Market research expertise, leveraging qualitative and quantitative methods to identify unmet needs and emerging trends in digital health.
* An understanding of digital health ecosystems, including interoperability standards (e.g., HL7, FHIR), telehealth, remote patient monitoring, and digital therapeutics.
* Technical proficiency in agile and/or stage\-gate methodologies, with familiarity in software development processes and digital platforms.
* Experience in healthcare regulatory frameworks (FDA, EU MDR) and compliance with data privacy/security standards (HIPAA, GDPR).
* Data\-driven decision\-making skills, including ability to define and analyze KPIs, ROI, and health outcomes metrics.
* Leadership in cross\-functional collaboration, working with engineering, clinical, regulatory, and commercial teams.
* Exceptional communication and organizational skills, with ability to translate complex technical and clinical concepts into clear business strategies.
* Ability to support teams and team members within and outside US.
**Qualifications**
------------------
* Bachelor’s degree required; MBA preferred.
* 7\-10 years of Product Management experience with digital health solutions, ideally in the respiratory care space.
* Familiarity with DME channels and healthcare workflows preferable.
Inogen assesses market data to ensure a competitive compensation package for our employees. The base salary for this position is expected to be between $121,000\.00 and $146,000\.00 annually. However, actual base salary if hired will be determined on an individualized basis and will be based on non\-discriminatory factors, including as to individual skills, education, experience and market location.
Our Benefits and Rewards:
In addition to the expected base salary, this role is eligible to participate in Inogen’s annual performance bonus incentive plan, highly competitive and company\-sponsored benefits, and wellbeing programs rooted in our strong culture of excellence. As a valued member of our team, Inogen provides health, dental, and vision insurance, 401(k) plan plus employer contribution and match, and generous paid leaves such as vacation and sick leave, including paid volunteer time, that can support you and your family through moments that matter.
Inogen is an Equal Employment Opportunity/Affirmative Action Employer \- Underrepresented racial and ethnic groups/Females/Individuals with Disabilities/Protected Veterans.</t>
        </is>
      </c>
    </row>
    <row r="102">
      <c r="A102" t="inlineStr">
        <is>
          <t>in-5d964d7635d2c810</t>
        </is>
      </c>
      <c r="B102" t="inlineStr">
        <is>
          <t>Product Manager</t>
        </is>
      </c>
      <c r="C102" t="inlineStr">
        <is>
          <t>SoftPro</t>
        </is>
      </c>
      <c r="D102" t="inlineStr">
        <is>
          <t>indeed</t>
        </is>
      </c>
      <c r="E102">
        <f>HYPERLINK("https://www.indeed.com/viewjob?jk=5d964d7635d2c810", "https://www.indeed.com/viewjob?jk=5d964d7635d2c810")</f>
        <v/>
      </c>
      <c r="F102">
        <f>HYPERLINK("https://www.softprocorp.com/about/careers/?gnk=job&amp;gni=8a7885a89c2fd0e3019c671358c07c0c&amp;gns=Indeed+Free", "https://www.softprocorp.com/about/careers/?gnk=job&amp;gni=8a7885a89c2fd0e3019c671358c07c0c&amp;gns=Indeed+Free")</f>
        <v/>
      </c>
      <c r="G102" t="inlineStr">
        <is>
          <t>Raleigh, NC, US</t>
        </is>
      </c>
      <c r="H102" s="2" t="n">
        <v>46069</v>
      </c>
      <c r="I102" t="inlineStr">
        <is>
          <t>**About SoftPro**  
SoftPro is the nation’s leading provider of real estate closing and title insurance software. A division of Fidelity National Financial (NYSE: FNF), SoftPro’s technology solutions are trusted by thousands of law firms and title companies across the country and play an essential role in residential and commercial real estate transactions. Our headquarters is in Raleigh, North Carolina.  
**Why Join SoftPro?**  
We believe in taking care of our people and fostering a culture of excellence. Here’s what we offer:
**Comprehensive Benefits:** Medical, dental, vision, disability, and more
**Financial Wellness:** 401(k) with company match and Employee Stock Purchase Plan
**Generous Paid Time Off:** vacation, holidays, and parental leave
**Flexibility**: Some positions are eligible for 100% remote work, plus hybrid options for those living near our Raleigh HQ
**Award\-Winning Culture**  
SoftPro has received national recognition for our outstanding customer service and innovative products. We were recently named a **2025 Best Place to Work** by the Triangle Business Journal—an honor we’ve earned **13 times since 2012**!  
If these values resonate with you, we’d love to have you on our team!  
**What are we looking for?**  
SoftPro is seeking a **Product Manager** to join our R\&amp;D/Product organization on the Custom Development Team to help us build custom features for our Closing, Title \&amp; Escrow software solutions. This position can be in our **Raleigh, NC office (hybrid)** or as a remote employee.  
**What will I do as a Product Manager on The Custom Development Team at SoftPro?**  
The primary responsibility of the Product Manager is to define and communicate the product vision and roadmap, guiding the development teams on what changes need to be made. The Product Manager participates in product planning and execution throughout the product lifecycle. This includes mentoring product owners on the gathering and prioritizing of features and changing requests with internal and external stakeholders, helping to design new features with the product owners/development team, and helping to validate those features with customers. Some travel is required. This position will focus specifically on custom features requested by our internal and external customers.  
**Responsibilities and Duties as a Product Manager**  
*Understand your product.*
* Build a deep knowledge of your products and its target customers.
* Create and clearly communicate the product’s vision and mission statements.
* Collect and analyze product usage statistics to identify areas of opportunity and success.
*Understand your target customer.*
* Build a qualitative understanding of the customer through conversation, visits, feedback, shadowing, and other methods.
* Build a quantitative understanding of the customer through company metrics and product metrics.
* Represent the customer to the development teams.
* Form and facilitate customer advisory boards when appropriate.
* Develop feedback loops for your product teams that drive customer empathy and encourage product improvements.
* Understand the customer’s full journey and lifecycle through your product.
*Understand your competitive environment.*
* Research the competition and understand your product’s relative strengths and weaknesses.
* Keep abreast on industry trends and customer concerns.
* Look for new and innovative ideas that fill competitive gaps, improve our product relative to others, and grow market share.
*Build and share your product roadmap.*
* Use your understanding of the customer, product, and competitive environment, combined with feedback and guidance from internal stakeholders, external stakeholders, and architecture, to determine development priorities for the product.
* Document those priorities in roadmaps and communicate them to the appropriate parties.
* Provide realistic forecasts for short\- and long\-term planning.
*Coordinate tactical product tasks throughout the release cycle.*
* Collaboration with Product Owners and UX Design to ensure consistency in product design.
* Work with portfolio management throughout the development cycle to provide status updates on key features/epic progress, for organization reporting purposes.
*Manage teams.*
* Hold weekly or biweekly 1:1 meeting with your direct reports.
* Ability to manage up to four teams.
* Coach and mentor your team to help them succeed, consistently improve, and grow.
* Ensure that your team meets or exceeds SoftPro’s standards and practices for their role.
**What will I need to be successful as a Product Manager at SoftPro?**
* Minimum of 5\-7 years’ experience as a Product Manager
* Demonstrated success defining and launching excellent products.
* Ability to take concepts and ideas to fully functioning solutions.
* Must be able to solve real customer problems and deliver the highest level of value.
* 5\+ years of experience in agile methodologies
* Experience in DevOps/Miro
* Bachelor’s degree
* Technical background, with experience in integrations, a plus.
* Excellent teamwork skills
* Proven ability to influence cross\-functional teams without formal authority.
* Must be able to travel 10% of the time.
* Examples of at least one effective product delivered in the past.
* Excellent verbal and written communication with customers, dev teams, and executive management
* Ability to multi\-task, meet deadlines, and work in a fast\-paced environment.
* Must be detail\-oriented, highly organized, and results\-driven.
**Why You’ll Love Working Here**
* Be part of a supportive, fun team that values innovation and collaboration.
* Enjoy opportunities for professional growth and continuous learning.
* Make a real difference by helping customers succeed with tools that power the real estate industry.
**Ready to Make an Impact?**  
Join a team that values innovation, collaboration, and excellence. Apply today and discover why SoftPro is consistently recognized as one of the Best Places to Work!  
**Join Us and Live Our Core Values**  
At SoftPro, our success is built on the principles we live every day:
* Deliver AMAZING Customer Service
* Be an AWESOME Teammate
* Adopt a Sense of Urgency
* Innovate to be Efficient
* Produce Quality Work
* Take Initiative
* Go the Extra Mile
Equal Opportunity Employer  
FNF, its affiliates and subsidiaries, is an Equal Opportunity Employer. All qualified applicants will receive consideration for employment without regard to race, color, religion, sex, age, disability, protected veteran status, national origin, sexual orientation, gender identity or expression (including transgender status), genetic information, or any other characteristic protected by applicable law.</t>
        </is>
      </c>
    </row>
    <row r="103">
      <c r="A103" t="inlineStr">
        <is>
          <t>in-abda6d5b2d39c5f2</t>
        </is>
      </c>
      <c r="B103" t="inlineStr">
        <is>
          <t>Assistant Program Manager</t>
        </is>
      </c>
      <c r="C103" t="inlineStr">
        <is>
          <t>Mount Prospect Academy</t>
        </is>
      </c>
      <c r="D103" t="inlineStr">
        <is>
          <t>indeed</t>
        </is>
      </c>
      <c r="E103">
        <f>HYPERLINK("https://www.indeed.com/viewjob?jk=abda6d5b2d39c5f2", "https://www.indeed.com/viewjob?jk=abda6d5b2d39c5f2")</f>
        <v/>
      </c>
      <c r="F103">
        <f>HYPERLINK("https://www.mountprospectacademy.org/employment/?gnk=job&amp;gni=8a7885a89c2fd0e3019c6c3cf7e4663f&amp;gns=Indeed+Free", "https://www.mountprospectacademy.org/employment/?gnk=job&amp;gni=8a7885a89c2fd0e3019c6c3cf7e4663f&amp;gns=Indeed+Free")</f>
        <v/>
      </c>
      <c r="G103" t="inlineStr">
        <is>
          <t>Hampton, NH, US</t>
        </is>
      </c>
      <c r="H103" s="2" t="n">
        <v>46069</v>
      </c>
      <c r="I103" t="inlineStr">
        <is>
          <t>**Assistant Program Manager**
**Mount Prospect Academy – Hampton, NH**
**Salary: $45,000–$55,000 annually (based on experience)**
**Make a Difference. Build a Career. Change Lives.**
**Mount Prospect Academy (MPA) is seeking a compassionate and motivated Assistant Program Manager (APM) to support our residential treatment program for adolescents. In this hands‑on leadership role, you’ll help guide daily operations, support staff, and engage directly with youth making a meaningful impact every day.**
**About Mount Prospect Academy**
Founded in 2003, MPA is a nonprofit alliance serving adolescents across New England who face complex mental health challenges. Our mission is to provide a safe, therapeutic environment where youth build confidence, life skills, and a renewed zest for life.
**Schedule**
**Sunday–Thursday**
* Sunday: 10 hours
* Monday \&amp; Tuesday: 12:00–8:00 PM
* Wednesday \&amp; Thursday: Flexible hours
**What You’ll Do**
* Support the Program Director in daily program operations
* Supervise and mentor Youth Counselors
* Maintain a safe, structured, and engaging residential environment
* Coordinate recreational, educational, and therapeutic activities
* Build positive, professional relationships with youth
* Ensure accurate documentation, scheduling, and communication
* Support staff training and onboarding
* Use trauma‑informed behavioral management and crisis intervention skills
* Collaborate with clinicians and program stakeholders
* Ensure facility safety, cleanliness, and transportation needs are met
**What We’re Looking For**
* Strong communication, organization, and leadership skills
* Compassionate, team‑oriented, and dependable
* Ability to work effectively in a high‑energy, high‑stress environment
* Creative, self‑motivated, and detail‑oriented
* Comfortable using computer systems and written documentation
**Qualifications**
* 21 years or older
* Valid driver’s license and clean driving record
* Ability to pass a criminal background check
* Associate’s or Bachelor’s degree (or 60 college credits), or
* High school diploma/GED plus qualifying experience per NH Child Care Licensing Regulations
**Benefits (Full‑Time)**
* Competitive salary
* Medical Insurance (with Flexible Spending Account \&amp; Health Reimbursement Account)
* Dental \&amp; Vision Coverage
* 403(b) Retirement Plan
* Life Insurance \&amp; AD\&amp;D
* Short\-Term \&amp; Long\-Term Disability
* Wellness Programs \&amp; Telemedicine Access
* Legal Services \&amp; Employee Assistance Program
* Paid Time Off, Holidays, Tuition Assistance
* Employee Discount Programs
* Outdoor activities like skiing, hiking, and paddling to build student engagement
* Free meals, Company Swag and More!
**Join a mission‑driven team where your work truly matters.**  
**Apply today:** **http://www.mountprospectacademy.org**  
***Full job description will be provided at the time of interview.***
Mount Prospect Academy assures equal opportunity and public access and, if necessary, affirmative action in all its policies regarding employment and provision of services. MPA does not discriminate in its hiring, programs or policies on the bases of race, color, creed, religion, ancestry, national origin, age, disability, sex, marital status or sexual orientation.
**Mount Prospect Academy strongly recommends, but does not require, that all MPA faculty (employees) stay protected against COVID\-19 by getting their primary vaccine series and stay up to date with a booster dose if they are eligible to receive one.**</t>
        </is>
      </c>
    </row>
    <row r="104">
      <c r="A104" t="inlineStr">
        <is>
          <t>in-565d2c883d74ee4a</t>
        </is>
      </c>
      <c r="B104" t="inlineStr">
        <is>
          <t>LDD Program Manager</t>
        </is>
      </c>
      <c r="C104" t="inlineStr">
        <is>
          <t>Onco360</t>
        </is>
      </c>
      <c r="D104" t="inlineStr">
        <is>
          <t>indeed</t>
        </is>
      </c>
      <c r="E104">
        <f>HYPERLINK("https://www.indeed.com/viewjob?jk=565d2c883d74ee4a", "https://www.indeed.com/viewjob?jk=565d2c883d74ee4a")</f>
        <v/>
      </c>
      <c r="F104">
        <f>HYPERLINK("https://onco360.com/about/careers/join-our-team/?gnk=job&amp;gni=8a7883ac9c2fd0ec019c6c672b1909ef&amp;gns=Indeed+Free", "https://onco360.com/about/careers/join-our-team/?gnk=job&amp;gni=8a7883ac9c2fd0ec019c6c672b1909ef&amp;gns=Indeed+Free")</f>
        <v/>
      </c>
      <c r="G104" t="inlineStr">
        <is>
          <t>Remote, US</t>
        </is>
      </c>
      <c r="H104" s="2" t="n">
        <v>46069</v>
      </c>
      <c r="I104" t="inlineStr">
        <is>
          <t>Onco360 is looking for an **LDD Program Manager** to join our team. Onco360 Pharmacy is a unique oncology pharmacy model created to serve the needs of community, oncology and hematology physicians, patients, payers, and manufacturers. Remote work available.
**Summary**  
The LDD Program Manager will support the development of new and existing aspects of assigned pharma program operations, organize and lead program operational meetings such as periodic business reviews (quarterly business reviews), and develop new project goals and execution timelines. In addition, the LDD Program Manager will provide assistance with implementing and executing new programs for existing pharma partners.
**\*\*Salary range starting at $75k and up, depending on experience. Also eligible for quarterly incentive bonus opportunities\*\***  
**Program Manager** **Major Responsibilities:**
* Assist with the operational management of end\-to\-end procedures that support new limited distribution programs and products
* Cross\-functional project management: work with all collaborating Pharmacy Operations, Sales, Marketing and procurement teams to ensure seamless execution for product launches and ongoing support post launch
* Lead and conduct ongoing team meetings with cross\-functional team leads as they pertain to assigned projects and LDD programs
* Serve as account manager for contracted pharma programs: adhere to key support requirements of programs such as issue resolution within 24 hours and hosting and participating in weekly meetings
* Work with internal stakeholders to develop quarterly business review presentations for pharma clients, monthly scorecards, and support ad hoc requests from clients as necessary
* Analyze and report operational and performance trends to account executives to ensure ongoing optimal performance
* Develop and support development of quarterly business reviews and ad\-hoc inquiries from existing manufacturer accounts.
* Track and analyze product level key performance indicators, identify trends and work with pharmacy operations to develop recommendations for improvement when applicable
* Other duties as assigned.
* Conducts job responsibilities in accordance with the standards set out in the Company’s Code of Business Conduct and Ethics, its policies and procedures, the Corporate Compliance Agreement, applicable federal and state laws, and applicable professional standards
**Program Manage****r** **Position Qualifications**
Education/Learning Experience
* Desired: Bachelor’s Degree
Work Experience
* Required: Prior pharmacy experience
* Desired: Prior specialty pharmacy or hub experience and knowledge of the Specialty Pharmacy/Oncology Pharmacy market preferred
Skills/Knowledge
* Required: A track record of high collaboration
* Desired: The ability to understand and comply with all healthcare compliance guidelines and policies. Business acumen, strong platform skills and experience presenting to large groups on complex subject matter is preferred. Established with MS products (Excel, Power Point, Outlook, etc.)
Licenses/Certifications
* Required: A valid driver’s license issued in one of the 50 United States, and the ability to utilize moderate travel to required meetings and training</t>
        </is>
      </c>
    </row>
    <row r="105">
      <c r="A105" t="inlineStr">
        <is>
          <t>in-d828785a60040532</t>
        </is>
      </c>
      <c r="B105" t="inlineStr">
        <is>
          <t>Residential Program Manager</t>
        </is>
      </c>
      <c r="C105" t="inlineStr">
        <is>
          <t>Mount Prospect Academy</t>
        </is>
      </c>
      <c r="D105" t="inlineStr">
        <is>
          <t>indeed</t>
        </is>
      </c>
      <c r="E105">
        <f>HYPERLINK("https://www.indeed.com/viewjob?jk=d828785a60040532", "https://www.indeed.com/viewjob?jk=d828785a60040532")</f>
        <v/>
      </c>
      <c r="F105">
        <f>HYPERLINK("https://www.mountprospectacademy.org/employment/?gnk=job&amp;gni=8a7885a89c2fd0e3019c6c2f5a0a5f8e&amp;gns=Indeed+Free", "https://www.mountprospectacademy.org/employment/?gnk=job&amp;gni=8a7885a89c2fd0e3019c6c2f5a0a5f8e&amp;gns=Indeed+Free")</f>
        <v/>
      </c>
      <c r="G105" t="inlineStr">
        <is>
          <t>Campton, NH, US</t>
        </is>
      </c>
      <c r="H105" s="2" t="n">
        <v>46069</v>
      </c>
      <c r="I105" t="inlineStr">
        <is>
          <t>**Program Manager – Residential Youth Program**
**4\-Day Work Week Schedule \- Wednesday 12\-10pm, Thursday 2pm\-10pm, Friday 2pm\-10pm and Saturday 8am\-10pm**
**Location:** Campton, NH
**Salary:** Commensurate with experience
**Lead. Inspire. Make a Difference.**  
Mount Prospect Academy (MPA) is seeking a **Program Manager** to oversee a student residence and lead a dedicated team of Youth Counselors, Community Leaders, and Assistant Program Managers. This is a leadership role where you’ll create a safe, structured, and therapeutic environment for at\-risk youth while mentoring staff and ensuring program excellence.
**Why Join MPA?**
* Medical, Dental \&amp; Vision Insurance (with FSA \&amp; HRA options)
* 403(b) Retirement Plan
* Life Insurance \&amp; AD\\\&amp;D
* Short\-Term \&amp; Long\-Term Disability
* Paid Time Off \&amp; Holidays
* Employee Assistance Program
* Telemedicine Access
* Wellness Programs
* Outdoor adventure perks, professional development, and shared affordable housing options!
**About Us:**  
Founded in 2003, MPA is a growing nonprofit alliance dedicated to helping adolescents discover their potential and succeed in life. We provide residential treatment, community\-based programs, and special education services across New England.
**What You’ll Do:**
* Manage daily operations of a student residence
* Supervise and train staff, ensuring compliance with policies and treatment plans
* Coordinate recreational and educational activities for youth
* Maintain communication with clinical teams and document services accurately
* Oversee scheduling, time sheets, and facility needs
* Provide behavioral management and crisis intervention
* Foster a positive, therapeutic environment for youth and staff
**Qualifications:**
* **Required:**
	+ Valid driver’s license and ability to meet safe driver guidelines
	+ 21\+ years old
	+ Background check clearance
	+ Associate or Bachelor’s degree **OR** 60 college credits **OR** 2 years of experience working with youth **OR** 7 years parenting experience
* **Preferred:**
	+ Bachelor’s degree in Social Work, Psychology, or related field
	+ 3\+ years of relevant experience
	+ 2\+ years of supervisory experience
**Skills We Value:**
* Strong leadership and communication skills
* Ability to work in high\-pressure environments
* Organizational and problem\-solving abilities
* Compassionate, team\-oriented, and self\-motivated
**Apply Today:** **http://www.mountprospectacademy.org**  
***Full job description will be provided during the interview process.***
Mount Prospect Academy assures equal opportunity and public access and, if necessary, affirmative action in all its policies regarding employment and provision of services. MPA does not discriminate in its hiring, programs or policies on the bases of race, color, creed, religion, ancestry, national origin, age, disability, sex, marital status or sexual orientation. Mount Prospect Academy strongly recommends, but does not require, that all MPA faculty (employees) stay protected against COVID\-19 by getting their primary vaccine series and stay up to date with a booster dose if they are eligible to receive one.</t>
        </is>
      </c>
    </row>
    <row r="106">
      <c r="A106" t="inlineStr">
        <is>
          <t>in-942f9deb0b5fef7a</t>
        </is>
      </c>
      <c r="B106" t="inlineStr">
        <is>
          <t>Program Manager (Job ID: 4128)</t>
        </is>
      </c>
      <c r="C106" t="inlineStr">
        <is>
          <t>Valkyrie Enterprises</t>
        </is>
      </c>
      <c r="D106" t="inlineStr">
        <is>
          <t>indeed</t>
        </is>
      </c>
      <c r="E106">
        <f>HYPERLINK("https://www.indeed.com/viewjob?jk=942f9deb0b5fef7a", "https://www.indeed.com/viewjob?jk=942f9deb0b5fef7a")</f>
        <v/>
      </c>
      <c r="F106">
        <f>HYPERLINK("https://recruitingbypaycor.com/career/JobIntroduction.action?id=8a7885ac9c2fd15c019c58cdd8d5189d&amp;source=Indeed+Free", "https://recruitingbypaycor.com/career/JobIntroduction.action?id=8a7885ac9c2fd15c019c58cdd8d5189d&amp;source=Indeed+Free")</f>
        <v/>
      </c>
      <c r="G106" t="inlineStr">
        <is>
          <t>Wallops Island, VA, US</t>
        </is>
      </c>
      <c r="H106" s="2" t="n">
        <v>46069</v>
      </c>
      <c r="I106" t="inlineStr">
        <is>
          <t>**Program Manager**
*Contingent Upon Customer Approval*
*Hybrid capabilities available*
**Purpose:**
* Valkyrie Enterprises has an immediate need for a full\-time **Program Manager** to oversee the requirements of the Statement of Work (SOW), in Wallops Island, VA.
**Job Description:**
* Develops mechanisms for monitoring progress and for intervention and problem solving.
* Integrates all functions and activities necessary to perform the project/program to meet customer requirements.
* Directs personnel, manages cost, schedules, ensures contract compliance and serves as customer interface.
* Monitors project to ensure scope of work, schedule, and budget are well defined and maintained.
* Variables in determining contract complexity include technology used, schedule requirements, cost, contract complexity, risk, number and complexity of subcontractors, and customer complexity.
**Qualifications:**
* Must have a Master's degree from an accredited college or university in an engineering, scientific, business, or technical discipline and at least 5 years of experience managing a large technical effort, similar in size and scope of this effort.
* Must have at least 5 years of demonstrated experience in managing large projects including ability to plan, develop schedules, organize, and coordinate team members to accomplish assigned tasks; demonstrated experience specifically directed to combat systems facilities related to AEGIS, AEGIS BMD, SSDS, or DDG 1000 weapon and combat systems and technology development, work breakdown structures, spending plans, and financial tracking.
**Security Requirements:**
* Must be eligible to obtain and maintain a DoD Secret Clearance.
* Prefer an Active DoD Secret security clearance.
**Travel Requirements:**
* Occasional travel up to 25%.
* If position requires travel by domestic flight or access to secure federal facilities/military bases, candidate must be able to obtain (by start of position) and maintain appropriate identification credentials, such as REAL ID. (More information regarding REAL ID can be found: https://www.dhs.gov/real\-id ).
**Physical Requirements:**
* Remaining in a stationary position, often standing, or sitting for prolonged periods.
* Moving about to accomplish tasks or moving from one worksite to another.
* Communicating with others to exchange information.
* Repeating motions that may include the wrists, hands and/or fingers.
* Light work that includes moving objects up to 20 pounds.
**Valkyrie strictly adheres to a policy of equal employment opportunity. This policy is based on Valkyrie’s commitment to hire and retain qualified employees consistent with position requirements; and to seek, employ, promote and treat all employees and applicants for employment without regard to race, color, religious creed, national origin, ancestry, citizenship status, pregnancy, childbirth, physical disability, mental disability, age, military status or protected veteran status, marital status, registered domestic partner or civil union status, gender (including sex stereotyping and gender identity or expression), medical condition, genetic information or sexual orientation or other protected characteristics.**
Additionally, Valkyrie Enterprises provides a variety of benefits to support your best health, wellness, and future, to include medical/dental/vision options, company paid life and disability insurances, 401k with match, education reimbursement, as well as company paid holidays and paid time off (PTO).</t>
        </is>
      </c>
    </row>
    <row r="107">
      <c r="A107" t="inlineStr">
        <is>
          <t>in-74dcea1e1a208f56</t>
        </is>
      </c>
      <c r="B107" t="inlineStr">
        <is>
          <t>Senior Medicare Compliance Program Manager</t>
        </is>
      </c>
      <c r="C107" t="inlineStr"/>
      <c r="D107" t="inlineStr">
        <is>
          <t>indeed</t>
        </is>
      </c>
      <c r="E107">
        <f>HYPERLINK("https://www.indeed.com/viewjob?jk=74dcea1e1a208f56", "https://www.indeed.com/viewjob?jk=74dcea1e1a208f56")</f>
        <v/>
      </c>
      <c r="F107">
        <f>HYPERLINK("https://massgeneralbrigham.wd1.myworkdayjobs.com/MGBExternal/job/Somerville-MA/Senior-Medicare-Compliance-Program-Manager_RQ4050959", "https://massgeneralbrigham.wd1.myworkdayjobs.com/MGBExternal/job/Somerville-MA/Senior-Medicare-Compliance-Program-Manager_RQ4050959")</f>
        <v/>
      </c>
      <c r="G107" t="inlineStr">
        <is>
          <t>Somerville, MA, US</t>
        </is>
      </c>
      <c r="H107" s="2" t="n">
        <v>46069</v>
      </c>
      <c r="I107" t="inlineStr">
        <is>
          <t>Site: Mass General Brigham Health Plan Holding Company, Inc.  
Mass General Brigham relies on a wide range of professionals, including doctors, nurses, business people, tech experts, researchers, and systems analysts to advance our mission. As a not\-for\-profit, we support patient care, research, teaching, and community service, striving to provide exceptional care. We believe that high\-performing teams drive groundbreaking medical discoveries and invite all applicants to join us and experience what it means to be part of Mass General Brigham.
Mass General Brigham Health Plan is an exciting place to be within the healthcare industry. As a member of Mass General Brigham, we are at the forefront of transformation with one of the world’s leading integrated healthcare systems. Together, we are providing our members with innovative solutions centered on their health needs to expand access to seamless and affordable care and coverage.  
Our work centers on creating an exceptional member experience – a commitment that starts with our employees. Working with some of the most accomplished professionals in healthcare today, our employees have opportunities to learn and contribute expertise within a welcoming and supportive environment that embraces their unique and varied backgrounds, experiences, and skills.
We are pleased to offer competitive salaries and a benefits package with flexible work options, career growth opportunities, and much more.  
The Senior Medicare Compliance Program Manager is a key member of the Legal, Regulatory Affairs, and Compliance team to support the organization's Medicare Advantage line of business. This position will report directly to the Senior Director of Medicare Regulatory Compliance and take the lead on managing Medicare Advantage compliance and regulations. This position will provide complex project/program management related to risk, regulations, and audits on this line of business. The Senior Medicare Compliance Program Manager will be a member of the Medicare Advantage cross\-functional project team, and their role will be to ensure compliance, help to identify and mitigate risks of noncompliance, and provide regulatory requirements and guidance on how to implement, operationalize, and optimize.
The Senior Medicare Compliance Program Manager is responsible for managing all of the key compliance initiatives, integration/optimization of business functions, and supporting the Medicare Advantage line of business. This person will do so by performing risk assessments and analysis to support proactive and reactive mitigation recommendations. **Job Summary**
Responsible for leading and overseeing the development, implementation, and monitoring of the MGB Health Plan's Medicare compliance program. This role involves ensuring adherence to regulatory requirements, mitigating risks, and fostering a culture of compliance within the organization.  
Essential Functions  
* Develop and implement MGB Health Plan's Medicare compliance program, including policies, procedures, and guidelines.
* Conduct regular risk assessments related to Medicare compliance.
* Identify potential areas of non\-compliance and implement strategies to mitigate risks.
* Collaborate with various health plan departments to ensure integration of compliance requirements into their processes.
* Conduct investigations into potential compliance violations related to Medicare.
* Prepare and submit required reports to regulatory bodies and authorities as necessary.
* Review and update Medicare compliance policies and procedures regularly.
 **Qualifications**
**Education**
* Bachelor's Degree required; Master's Degree preferred
 **Experience**
* At least 5\-7 years of experience in health plan compliance, with a focus on Medicare (Medicare Advantage and/or DSNP) regulations required
 **Knowledge, Skills, and Abilities**
* In\-depth knowledge of Medicare rules, guidelines, and compliance expectations.
* Strong understanding of healthcare laws and regulations.
* Excellent communication and interpersonal skills.
* Proven experience in developing and implementing compliance programs.
* Detail\-oriented with strong analytical and problem\-solving skills.
 **Additional Job Details (if applicable)**
**Working Conditions:**
* This is a hybrid role that requires an on\-site presence at the office in Assembly Row, Somerville roughly 2\- 3x/month
**Remote Type**
Hybrid **Work Location**
399 Revolution Drive **Scheduled Weekly Hours**
40 **Employee Type**
Regular **Work Shift**
Day (United States of America) **Pay Range**
$99,465\.60 \- $141,804\.00/Annual **Grade**
8  
At Mass General Brigham, we believe in recognizing and rewarding the unique value each team member brings to our organization. Our approach to determining base pay is comprehensive, and any offer extended will take into account your skills, relevant experience if applicable, education, certifications and other essential factors. The base pay information provided offers an estimate based on the minimum job qualifications; however, it does not encompass all elements contributing to your total compensation package. In addition to competitive base pay, we offer comprehensive benefits, career advancement opportunities, differentials, premiums and bonuses as applicable and recognition programs designed to celebrate your contributions and support your professional growth. We invite you to apply, and our Talent Acquisition team will provide an overview of your potential compensation and benefits package. **EEO Statement:**
8925 Mass General Brigham Health Plan Holding Company, Inc. is an Equal Opportunity Employer. All qualified applicants will receive consideration for employment without regard to race, color, religious creed, national origin, sex, age, gender identity, disability, sexual orientation, military service, genetic information, and/or other status protected under law. We will ensure that all individuals with a disability are provided a reasonable accommodation to participate in the job application or interview process, to perform essential job functions, and to receive other benefits and privileges of employment. To ensure reasonable accommodation for individuals protected by Section 503 of the Rehabilitation Act of 1973, the Vietnam Veteran’s Readjustment Act of 1974, and Title I of the Americans with Disabilities Act of 1990, applicants who require accommodation in the job application process may contact Human Resources at (857\)\-282\-7642\.**Mass General Brigham Competency Framework**
---------------------------------------------
At Mass General Brigham, our competency framework defines what effective leadership “looks like” by specifying which behaviors are most critical for successful performance at each job level. The framework is comprised of ten competencies (half People\-Focused, half Performance\-Focused) and are defined by observable and measurable skills and behaviors that contribute to workplace effectiveness and career success. These competencies are used to evaluate performance, make hiring decisions, identify development needs, mobilize employees across our system, and establish a strong talent pipeline.</t>
        </is>
      </c>
    </row>
    <row r="108">
      <c r="A108" t="inlineStr">
        <is>
          <t>in-9a709822131af1e2</t>
        </is>
      </c>
      <c r="B108" t="inlineStr">
        <is>
          <t>Senior Program Manager</t>
        </is>
      </c>
      <c r="C108" t="inlineStr">
        <is>
          <t>The General Hospital Corporation</t>
        </is>
      </c>
      <c r="D108" t="inlineStr">
        <is>
          <t>indeed</t>
        </is>
      </c>
      <c r="E108">
        <f>HYPERLINK("https://www.indeed.com/viewjob?jk=9a709822131af1e2", "https://www.indeed.com/viewjob?jk=9a709822131af1e2")</f>
        <v/>
      </c>
      <c r="F108">
        <f>HYPERLINK("https://massgeneralbrigham.wd1.myworkdayjobs.com/MGBExternal/job/Boston-MA/Senior-Program-Manager_RQ4049323", "https://massgeneralbrigham.wd1.myworkdayjobs.com/MGBExternal/job/Boston-MA/Senior-Program-Manager_RQ4049323")</f>
        <v/>
      </c>
      <c r="G108" t="inlineStr">
        <is>
          <t>Boston, MA, US</t>
        </is>
      </c>
      <c r="H108" s="2" t="n">
        <v>46069</v>
      </c>
      <c r="I108" t="inlineStr">
        <is>
          <t>Site: The General Hospital Corporation  
Mass General Brigham relies on a wide range of professionals, including doctors, nurses, business people, tech experts, researchers, and systems analysts to advance our mission. As a not\-for\-profit, we support patient care, research, teaching, and community service, striving to provide exceptional care. We believe that high\-performing teams drive groundbreaking medical discoveries and invite all applicants to join us and experience what it means to be part of Mass General Brigham.
Position Summary  
The Program Manager, Outreach, Training, and Education Core (OTEC) will serve as the central operational lead responsible for executing OTEC professional development, training, and dissemination activities within the 360° CHAT\-TMD initiative. This role integrates program operations, educational coordination, and dissemination management to ensure timely, compliant, and high\-impact delivery of OTEC objectives across Massachusetts General Hospital, Harvard School of Dental Medicine, and the University of Michigan.  
A core responsibility of this position is the operational integration of OTEC training and educational content into the Harvard Interdisciplinary Pain \&amp; Headache Rounds, a standing weekly CME/CE platform that serves as a primary mechanism for dissemination, feedback collection, and refinement of OTEC\-developed materials. The Program Manager is responsible for continuity, alignment with NIH deliverables, and effective coordination across institutions and stakeholders.  
This role requires the ability to integrate complex, NIH\-funded educational programming into existing, accredited clinical education platforms while maintaining continuity, compliance, and institutional knowledge across a multi\-year, multi\-institutional initiative.  
The role includes oversight of educational media content production and lifecycle management necessary to support CME/CE programming, digital archives, and dissemination of OTEC\-developed training materials.  
The Program Manager reports to the OTEC Principal Investigator and works closely with Core PIs, faculty, trainees, and administrative partners. **Job Summary**
Summary  
Responsible for managing all aspects of a large\-scale and complex program and corresponding projects. Leads and implements initiatives that support alignment with organizational goals and strategic planning. Oversees communication and collaboration with stakeholders. Develops the program schedule, budget, and various program and project plan details. Analyzes data, prepares reports, and provides regular updates to program leadership. Identifies and escalates issues and risks and recommends solutions. Leads and provides guidance and support to other team members.  
Does this position require Patient Care?  
No  
Essential Functions  
* Designs, implements, and manages all aspects of large, complex, multi\-disciplinary programs and projects.
* Prepares, analyzes, and manages all program budgets, including funding from multiple sources.
* Leads program and project teams and coordinates and delegates cross\-project initiatives.
* Conducts research, manages and analyzes data in systems, and develops reports and presentations to support programs.
* Identify potential risks, issues, and challenges associated with programs and develop mitigation strategies to minimize impact.
 **Qualifications**
Education  
Bachelor's Degree Related Field of Study required and Master's Degree Related Field of Study preferred  
Can this role accept experience in lieu of a degree?  
Yes  
Experience  
Program management experience 8\-10\+ years required and Team leadership experience 1\-2 years required  
Knowledge, Skills and Abilities  
* Strong oral and written communication skills.
* Ability to deliver presentations to a wide variety of audiences.
* Ability to effectively plan and facilitate meetings and workgroups.
* Excellent organizational skills and attention to detail, ability to work independently, manage multiple tasks and projects, meet deadlines, and manage to schedule.
 **Additional Job Details (if applicable)**
 **Remote Type**
Hybrid **Work Location**
15 Parkman Street **Scheduled Weekly Hours**
40 **Employee Type**
Regular **Work Shift**
Day (United States of America) **Pay Range**
$99,465\.60 \- $141,804\.00/Annual **Grade**
8  
At Mass General Brigham, we believe in recognizing and rewarding the unique value each team member brings to our organization. Our approach to determining base pay is comprehensive, and any offer extended will take into account your skills, relevant experience if applicable, education, certifications and other essential factors. The base pay information provided offers an estimate based on the minimum job qualifications; however, it does not encompass all elements contributing to your total compensation package. In addition to competitive base pay, we offer comprehensive benefits, career advancement opportunities, differentials, premiums and bonuses as applicable and recognition programs designed to celebrate your contributions and support your professional growth. We invite you to apply, and our Talent Acquisition team will provide an overview of your potential compensation and benefits package. **EEO Statement:**
1200 The General Hospital Corporation is an Equal Opportunity Employer. All qualified applicants will receive consideration for employment without regard to race, color, religious creed, national origin, sex, age, gender identity, disability, sexual orientation, military service, genetic information, and/or other status protected under law. We will ensure that all individuals with a disability are provided a reasonable accommodation to participate in the job application or interview process, to perform essential job functions, and to receive other benefits and privileges of employment. To ensure reasonable accommodation for individuals protected by Section 503 of the Rehabilitation Act of 1973, the Vietnam Veteran’s Readjustment Act of 1974, and Title I of the Americans with Disabilities Act of 1990, applicants who require accommodation in the job application process may contact Human Resources at (857\)\-282\-7642\.**Mass General Brigham Competency Framework**
---------------------------------------------
At Mass General Brigham, our competency framework defines what effective leadership “looks like” by specifying which behaviors are most critical for successful performance at each job level. The framework is comprised of ten competencies (half People\-Focused, half Performance\-Focused) and are defined by observable and measurable skills and behaviors that contribute to workplace effectiveness and career success. These competencies are used to evaluate performance, make hiring decisions, identify development needs, mobilize employees across our system, and establish a strong talent pipeline.</t>
        </is>
      </c>
    </row>
    <row r="109">
      <c r="A109" t="inlineStr">
        <is>
          <t>in-7361ccfacb917f54</t>
        </is>
      </c>
      <c r="B109" t="inlineStr">
        <is>
          <t>Senior Product Manager – Comfort</t>
        </is>
      </c>
      <c r="C109" t="inlineStr">
        <is>
          <t>Gravie</t>
        </is>
      </c>
      <c r="D109" t="inlineStr">
        <is>
          <t>indeed</t>
        </is>
      </c>
      <c r="E109">
        <f>HYPERLINK("https://www.indeed.com/viewjob?jk=7361ccfacb917f54", "https://www.indeed.com/viewjob?jk=7361ccfacb917f54")</f>
        <v/>
      </c>
      <c r="F109">
        <f>HYPERLINK("https://jobs.lever.co/gravie/ffcb5b3a-2e81-414b-99c4-6ad17acef13e?lever-source=Indeed", "https://jobs.lever.co/gravie/ffcb5b3a-2e81-414b-99c4-6ad17acef13e?lever-source=Indeed")</f>
        <v/>
      </c>
      <c r="G109" t="inlineStr">
        <is>
          <t>Remote, US</t>
        </is>
      </c>
      <c r="H109" s="2" t="n">
        <v>46069</v>
      </c>
      <c r="I109" t="inlineStr">
        <is>
          <t>Hi, we’re Gravie. Our mission is to create health benefits that actually benefit small and midsize businesses and their employees. Our innovative benefit solutions and services are developed and delivered by a diverse group of unique people. We encourage you to be your authentic self \- we like you that way.
**A Little More About The role:**
We’re looking for a Senior Product Manager to join Gravie’s Comfort Product team. In this role, you’ll own strategy and execution for a critical product area, driving high\-impact outcomes for our members, customers, and internal teams.
This is a senior\-level individual contributor role. You will operate with a high degree of autonomy, shaping product vision, defining roadmap priorities, and leading cross\-functional teams through execution. While you may provide informal guidance and influence across the Product organization, this role does not include direct people management responsibilities.
This role is ideal for a strategic, hands\-on product leader who thrives in ambiguity, leads with curiosity, and delivers measurable results in fast\-paced environments.
**You will:*** Own the end\-to\-end product lifecycle for one or more product areas, from vision and roadmap through delivery, launch, and iteration
* Define and articulate a clear product vision aligned to company strategy and measurable business outcomes
* Partner closely with Engineering, Design, Operations, Legal, Compliance, and other cross\-functional stakeholders to deeply understand problems and shape scalable solutions
* Define product requirements, write clear user stories, and prioritize the team’s backlog based on business impact, user value, and technical feasibility
* Drive cross\-functional alignment and execution to ensure roadmap commitments are delivered with quality and impact
* Use qualitative and quantitative insights to inform decisions, measure product performance, and continuously improve outcomes
* Communicate product strategy, trade\-offs, roadmap updates, and launch plans to stakeholders and leadership
* Influence without authority across teams, fostering a collaborative, customer\-focused product culture grounded in Gravie’s values
* Contribute to improving product management best practices, tools, and operating rhythms across the organization
* Perform other duties as assigned
**You bring:*** 5\+ years of experience in product management, including ownership of complex, cross\-functional product areas
* Demonstrated ability to independently drive product strategy and execution
* Strong stakeholder management and influence skills across technical and non\-technical audiences
* Experience operating as a senior individual contributor within Agile development environments (e.g., Jira, Confluence)
* Comfort navigating ambiguity and balancing short\-term delivery with long\-term product vision
* Strong analytical mindset with experience using data to drive prioritization and decision\-making
* A track record of delivering user\-centered, high\-impact solutions
**Extra credit:*** Experience in health insurance
* Experience in any of the following:
o Claims, Payment Integrity, Enrollment \&amp; Eligibility and Financial Systems
o Network, Insurance Product and Sales Enablement
o Digital Platforms \- Member/Broker/Employer Services
**Gravie:**
In order to create a more equitable and sustainable future for employer\-sponsored health insurance, we need talented people doing amazing work. In exchange, we offer a great overall employee experience with opportunities for career growth, meaningful mission\-driven work, and an above average total rewards package.
The salary range for this position is $120,900 \- $201,640 annually. Numerous factors including, but not limited to, education, skills, work experience, certifications, etc. will be considered when determining compensation.
Our unique benefits program is the gravy, i.e., the special sauce that sets our compensation package apart. In addition to standard health and wellness benefits, Gravie’s package includes alternative medicine coverage, generous PTO, up to 16 weeks paid parental leave, paid holidays, a 401k program, transportation perks, education reimbursement, and paid paw\-ternity leave.
**A Little More About Us:*** We know healthcare. Our company was founded and is still led by industry veterans who have started and grown several market\-leading companies in the space.
* We have raised money from top tier investors who share the same long\-term vision as we do of building an industry defining company that will endure over the long run. We are well capitalized.
* Our clients love us. Customer satisfaction rates among employees using Gravie health plans consistently rank above 80% – nearly 40 points above the industry average.
* Our culture is unique. We tend to be non\-hierarchical, merit\-driven, opinionated but kind people who thrive working in a high\-performance, fast\-paced environment. People at Gravie care deeply about making a positive impact in the lives of the people we serve. We may not be the right place for everybody, but if you get energized by doing work every day that focuses on putting consumers at the front of the line, we could be a great place for you. It takes unique people and diverse perspectives to deliver our results. We encourage you to be your authentic self – we like you that way.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0">
      <c r="A110" t="inlineStr">
        <is>
          <t>in-eb1891f06e9026c7</t>
        </is>
      </c>
      <c r="B110" t="inlineStr">
        <is>
          <t>Program Manager - Certification | Program Ops</t>
        </is>
      </c>
      <c r="C110" t="inlineStr">
        <is>
          <t>Beta Technologies</t>
        </is>
      </c>
      <c r="D110" t="inlineStr">
        <is>
          <t>indeed</t>
        </is>
      </c>
      <c r="E110">
        <f>HYPERLINK("https://www.indeed.com/viewjob?jk=eb1891f06e9026c7", "https://www.indeed.com/viewjob?jk=eb1891f06e9026c7")</f>
        <v/>
      </c>
      <c r="F110">
        <f>HYPERLINK("https://jobs.lever.co/beta/405826cb-d025-4e35-b788-7abe5f12842a?lever-source=Indeed", "https://jobs.lever.co/beta/405826cb-d025-4e35-b788-7abe5f12842a?lever-source=Indeed")</f>
        <v/>
      </c>
      <c r="G110" t="inlineStr">
        <is>
          <t>South Burlington, VT, US</t>
        </is>
      </c>
      <c r="H110" s="2" t="n">
        <v>46069</v>
      </c>
      <c r="I110" t="inlineStr">
        <is>
          <t>At BETA Technologies, we are united by our intellectual curiosity, passion for aviation, and commitment to sustainable transportation. Our mission is to revolutionize electric aviation by leveraging innovative technology and a collaborative, inclusive culture.  
The ideal candidate will be a strategic and tactical leader in FAA product certification, partnering closely with the Product Program Manager to navigate the complex certification process. This role requires exceptional collaboration skills, interfacing with internal teams and external stakeholders.  
The successful candidate will bring not only certification expertise but also a commitment to our people\-centric culture, where each team member contributes to meaningful innovation that positively impacts the environment.
### **How you will contribute to revolutionizing electric aviation:**
* Create detailed project plans for certification activities and determining the critical path to ensure focus on the right activities
* Manage planning and completion of certification activities from initial application through final type certificate issuance and into production certification
* Identification and management of certification related risks
* Develop tracking tools to show certification status and progress for communication across the organization
### **Minumum Qualifications:**
* Bachelor's degree in engineeringor related technical field
* 10\+ years of program management experience in civil aviation aircraft development and certification
* Working knowledge of the activities and sequencing required to complete an aircraft or engine certification project
* Strong interpersonal skills with ability to work with team members throughout the organization
* Excellent ability to be organized without predetermined structure
* Able to be a pragmatic and creative thinker when solving complex problems in a dynamic environment
* Willingness to be a team player and wear different hats on different days depending on the need
* Proven ability to lead cross\-functional teams and manage complex projects with multiple stakeholders
* Excellent written and verbal communication skills for multi\-stakeholder technical environments
* Ability to work autonomously in a fast\-paced startup environment with changing priorities
* Proficient in Microsoft products including Microsoft Project and 365/office (SharePoint, Outlook, Calendar, Word, PowerPoint, Excel, etc.)
### **Above and Beyond Qualifications:**
* Project Management Professional (PMP) Certification
* Experience coordinating or performing certification or verification testing
* Experience preparing compliance data in support of commercial certification
* Experience working on Initial Type design approvals with the FAA
The wage listed here reflects our best faith estimate for this role. We pay competitively and base compensation on a variety of factors including skills, experience, industry background, and the evolving needs of the role. We remain committed to fair and equitable pay and we're happy to discuss during the interview process.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1">
      <c r="A111" t="inlineStr">
        <is>
          <t>in-218fd802f2052bd3</t>
        </is>
      </c>
      <c r="B111" t="inlineStr">
        <is>
          <t>Health and Prevention Program Manager</t>
        </is>
      </c>
      <c r="C111" t="inlineStr">
        <is>
          <t>Presbyterian Healthcare Services</t>
        </is>
      </c>
      <c r="D111" t="inlineStr">
        <is>
          <t>indeed</t>
        </is>
      </c>
      <c r="E111">
        <f>HYPERLINK("https://www.indeed.com/viewjob?jk=218fd802f2052bd3", "https://www.indeed.com/viewjob?jk=218fd802f2052bd3")</f>
        <v/>
      </c>
      <c r="F111">
        <f>HYPERLINK("https://phsorg.wd1.myworkdayjobs.com/Careers/job/Reverend-Hugh-Cooper-Administrative-Center/Health-and-Prevention-Program-Manager_R-1679", "https://phsorg.wd1.myworkdayjobs.com/Careers/job/Reverend-Hugh-Cooper-Administrative-Center/Health-and-Prevention-Program-Manager_R-1679")</f>
        <v/>
      </c>
      <c r="G111" t="inlineStr">
        <is>
          <t>Albuquerque, NM, US</t>
        </is>
      </c>
      <c r="H111" s="2" t="n">
        <v>46069</v>
      </c>
      <c r="I111" t="inlineStr">
        <is>
          <t>**Location Address:**
9521 San Mateo NE Albuquerque, NM 87113\-2237
**Compensation Pay Range:**
Minimum Offer $54,516\.80 Maximum Offer $83,262\.40
**Summary:**
Build your Career. Make a Difference. Presbyterian is hiring a skilled Health and Prevention Program Manager. The Health and Prevention Program Manager uses the knowledge, principles, and practices of health promotion and well\-being to develop and deliver various disease prevention programs for external wellness clients and for the internal PHS wellness program. The Program Manager collaborates with the TSG team to promote a culture of health and well\-being for our clients, provide innovative and science\-based solutions, and address the health and wellness needs of the employer population. Having specialized expertise in the area of health and disease prevention, with demonstrated success working in the field, the Program Manager will design, develop, recommend, implement, and evaluate and measure goals and outcomes related to the disease prevention and management program offerings. Key functions include conducting biometrics screenings, developing health promotion and education content related to physical health and disease prevention, and presenting this content in an engaging manner to our internal and external clients. Program Managers also advocate for and drive integration of health and wellness data and services into the continuum of care model through collaboration with various departments, particularly Presbyterian Health Plan, Population Health, Condition Management, and Community Health.**How you grow, learn and thrive matters here.**  
* Educational and career development options, including tuition and certification reimbursement, scholarship opportunities
* Staff Safety (a wearable badge that allows nurses to quickly and discreetly call for help when safety is a concern)
* Differentials for night/weekend shifts, higher education, certifications and various lead roles (for eligible positions)
* Malpractice liability insurance
* Loan forgiveness through the New Mexico Higher Education Department
* EPIC electronic charting system
Type of Opportunity: Full time FTE: 1\.00 Job Exempt: Yes Work Shift: Days (United States of America)
**Responsibilities:**
This role focuses on:* Drive the development, planning, and execution of wellness initiatives and programs; ensure programming is consistent with established wellness goals and is outcomes focused.
* Be purposeful in aligning wellness initiatives and programs with the clients strategy, goals, and objectives. Encourage and influence the value of wellness strategy to clients when strategy is non\-existent.
* Act as the subject matter expert on health and wellness and behavior change topics; consult on established strategic wellness initiatives with internal and external vendors/partners.
* Gathers and analyzes data to measure success of the wellness programs and initiatives on a set periodic basis.
* Utilize data to support recommendations for new health and wellness initiatives.
* Writes and reviews policies, procedures, and methods relative to the programs; formulates, recommends, and/or implements actions for program improvement.
* Consults and collaborates with departmental leadership, client contacts and relevant vendors to align goals impacting the wellness programs and initiatives. Contribute to large revenue client retention strategies.
* Participates in client meetings in a consultative and subject matter expert role for short and long term design or wellness program offerings.
* Monitor and manage the day to day delivery of established programs.
* Develop, present and/or facilitate educational programs, e.g., courses, workshops, special events, interactive booths.
* Interpret and relay educational biometric screening results and significance of results to participant and client.
* Coordinates logistics and implements organization\-wide campaigns, screenings, nutrition, health coaching, and physical activity programs, events, etc.
* Evaluate and improve on company policies related to wellness (e.g., smoking, cafeteria, vending machines.)
* Collaborates with other Program Managers and Wellness Coordinators to refine wellness program objectives that impact client and participant needs and improves engagement.
**Qualifications:**
* Bachelor's Degree required. Masters degree preferred, Bachelors degree or higher degree with an emphasis in Public Health, Nutrition, Exercise Physiology, Health Education
* 3 years or more relevant health promotion/wellness or health\-related program planning and delivery
* Experience in delivering presentations to small and large groups
* Strong presentation, organizational and prioritization skills to maintain multiple programs while meeting deadlines
* Excellent communication and people skills; ability to confidently interact with all levels of management, including senior management
* Includes in\-state travel
* Strong working knowledge of wellness industry trends and best practices
* Principles and techniques of program management and health coaching
* Ability to analyze, interpret and take action on program reports and metrics
* Able to utilize wellness\-related information system applications
* Proficient in Microsoft products, e.g., Word, Excel, PowerPoint
* May include facilitating a RFP process for a contracted service provider for the activities of wellness programs
**We're all about well\-being, starting with yours.**  
Presbyterian employees have access to a fun, engaging and unique wellness program, including free on\-site and community\-based gyms, nutrition coaching and classes, mindfulness and meditation resources, wellness challenges and more.  
Learn more about our employee benefits.  
**About Presbyterian Healthcare Services**
Presbyterian exists to improve the health of patients, members, and the communities we serve. We are locally owned, not\-for\-profit healthcare system of nine hospitals, a statewide health plan and a growing multi\-specialty medical group. Founded in New Mexico in 1908, we are the state's largest private employer with nearly 14,000 employees \- including more than 1600 providers and nearly 4,700 nurses.
Our health plan serves more than 580,000 members statewide and offers Medicare Advantage, Medicaid (Centennial Care) and Commercial health plans.
AA/EOE/VET/DISABLED. PHS is a drug\-free and tobacco\-free employer with smoke free campuses.  
**Compensation Disclaimer**  
The compensation range for this role takes into account a wide range of factors, including but not limited to experience and training, internal equity, and other business and organizational needs.
**We're Determined to Support New Mexico's Well\-Being \| Presbyterian Healthcare Services**
============================================================================================</t>
        </is>
      </c>
    </row>
    <row r="112">
      <c r="A112" t="inlineStr">
        <is>
          <t>in-b84b65ba9dc438f7</t>
        </is>
      </c>
      <c r="B112" t="inlineStr">
        <is>
          <t>Program Manager, Network Expansion &amp; Optimization</t>
        </is>
      </c>
      <c r="C112" t="inlineStr">
        <is>
          <t>Spreetail</t>
        </is>
      </c>
      <c r="D112" t="inlineStr">
        <is>
          <t>indeed</t>
        </is>
      </c>
      <c r="E112">
        <f>HYPERLINK("https://www.indeed.com/viewjob?jk=b84b65ba9dc438f7", "https://www.indeed.com/viewjob?jk=b84b65ba9dc438f7")</f>
        <v/>
      </c>
      <c r="F112">
        <f>HYPERLINK("https://jobs.lever.co/spreetail/5cee16d0-587d-40ab-8777-8d96fe4d3089?lever-source=Indeed", "https://jobs.lever.co/spreetail/5cee16d0-587d-40ab-8777-8d96fe4d3089?lever-source=Indeed")</f>
        <v/>
      </c>
      <c r="G112" t="inlineStr">
        <is>
          <t>Las Vegas, NV, US</t>
        </is>
      </c>
      <c r="H112" s="2" t="n">
        <v>46069</v>
      </c>
      <c r="I112" t="inlineStr">
        <is>
          <t>Spreetail propels brands to increase their ecommerce market share across the globe while improving their operational costs. Learn how we are building one of the fastest\-growing ecommerce companies in history: www.spreetail.com.  
**Work Your Way:**
At Spreetail, we believe in empowering our employees to work in the way that suits them best through our Work Your Way approach. Each team member has the flexibility to choose where they work most effectively each week—whether that's from home, a coffee shop, or the office. While flexibility is key, we also value the power of in\-person connection. That’s why we bring our corporate team together in Lincoln each quarter for a week of intentional collaboration, team building, community engagement, and our All\-Hands meeting. It’s the best of both worlds: the freedom to work your way, with meaningful opportunities to connect and grow together. Please scroll to the bottom of the job posting to confirm that your state qualifies for the Work Your Way program.  
We are seeking a data\-driven **Industrial Engineer / Program Manage**r to redefine the limits of our operational efficiency. In this role, you won’t just manage space—you will engineer it. From scoping multi\-million\-dollar automation projects to utilizing CAD and Power BI for layout overhauls, you will be the architect of a high\-velocity, tech\-enabled warehouse network. If you have a passion for maximizing density and a track record of deploying network\-wide process improvements, we want to hear from you.
### **How you will achieve success:**
* FC Launch \&amp; Network Expansion: Oversee facility construction and equipment installation, ensuring adherence to timelines, budgets, and quality standards in partnership with external contractors and internal stakeholders.
* Storage Capacity \&amp; Utilization: Evaluate and implement improvements to rack and bin elevations, ensuring optimal use of vertical and horizontal storage spaces while maintaining safety and operational standards.
* Operational Design: Utilize CAD tools and data analytics to redesign warehouse layouts, focusing on efficient space utilization and alignment with inventory turnover rates and operational demands.
* Performance Monitoring \&amp; Reporting: Develop and maintain performance metrics dashboards using tools like SQL and Power BI to track the impact of optimization initiatives and identify further opportunities for improvement.
* Project Management: Manage and coordinate projects involving third\-party vendors and contractors, ensuring all deliverables are completed on time and within budget. Take ownership of project outcomes by overseeing cross\-functional collaboration and effectively managing resources to meet project goals.
### **What experiences will help you in this role:**
* **Education:** Background in Industrial Engineering preferred.
* **Experience:** 1\+ years in supply chain, industrial engineering, network planning, logistics, or project management (2\+ years preferred).
* **Project Leadership:** Proven track record managing multi\-million\-dollar capital projects and deploying network\-wide process improvements.
* **Technical Skills:** Proficiency in warehouse design software (e.g., SketchUp), alongside strong SQL and PowerBI skills for data analysis and reporting.
Our compensation reflects the cost of labor across several US geographic markets. The base pay for this position ranges from 60,000/year to $100,000/year. Pay is based on a number of factors including geographic market location and may vary depending on job\-related knowledge, skills, and experience. Spreetail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https://client.acrisure.com/spreetail/2025/homepage. This position will remain posted until filled. Applicants should apply via our external career site.
In an effort to Make Spreetail Better, we hire people that are aligned with our values and are passionate about pursuing ecommerce excellence. We believe the right person can learn what is needed to succeed in their role, so we encourage job applicants to apply even if you don't meet all the qualifications listed. We are looking for diverse backgrounds and perspectives, so we don’t require college degrees and welcome non\-linear career paths. If this role highlights your experience and gets you excited – please apply!  
What you can expect from us:* **We provide the flexibility to take care of yourself.** Spreetail operates in a work culture that promotes results and encourages taking time off when needed. In addition to a generous vacation policy, we also offer paid time\-off for your wedding week, paid parental leave and support for parents of growing families.
* **We celebrate accomplishments.** Each year at Spreetail is a milestone with the opportunity to receive special gifts, swag store credit, or donations to a nonprofit of your choice. We also recognize people pursuing impacts with Spreetail Spotlight Awards.
* **We care about your Health \&amp; Wellness.** Spreetail works hard to enhance the employee experience through benefit programs and perks that provide meaningful support. We offer affordable medical, dental and vision plans with coast\-to\-coast coverage. We also provide free telehealth and on\-demand mental health resources. Learn more about our benefits \&amp; perks package.
* **We create the opportunity to revolutionize your community.** We encourage Spreetailers to give back and make a social impact, and we offer paid time off to do it.
Spreetail is committed to a diverse and inclusive workplace. Spreetail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email hr@spreetail.com.  
To qualify for *Work Your Way*, eligible applicants must reside in one of the following states:
Alabama, Alaska, Arizona, Arkansas, Colorado, Delaware, District of Columbia, Florida, Georgia, Hawaii, Idaho, Illinois, Indiana, Iowa, Kansas, Kentucky, Louisiana, Maine, Massachusetts, Mississippi, Montana, Nebraska, Nevada, New Hampshire, New Jersey, New Mexico, North Dakota, Ohio, Pennsylvania, Rhode Island, South Dakota, Tennessee, Texas, Utah, Vermont, Washington, West Virginia, or Wyoming. **Please be aware of scammers.** Spreetail will only contact you through Lever or the spreetail.com domain. Spreetail will never ask candidates for money during the recruitment process. Please reach out to careers@spreetail.com directly if you have any concerns. **Emails from @spreetailjobs.com are fraudulent.**  
\#LI\-Remote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3">
      <c r="A113" t="inlineStr">
        <is>
          <t>in-6c035f68b08497f1</t>
        </is>
      </c>
      <c r="B113" t="inlineStr">
        <is>
          <t>Program Manager, Network Expansion &amp; Optimization</t>
        </is>
      </c>
      <c r="C113" t="inlineStr">
        <is>
          <t>Spreetail</t>
        </is>
      </c>
      <c r="D113" t="inlineStr">
        <is>
          <t>indeed</t>
        </is>
      </c>
      <c r="E113">
        <f>HYPERLINK("https://www.indeed.com/viewjob?jk=6c035f68b08497f1", "https://www.indeed.com/viewjob?jk=6c035f68b08497f1")</f>
        <v/>
      </c>
      <c r="F113">
        <f>HYPERLINK("https://jobs.lever.co/spreetail/5cee16d0-587d-40ab-8777-8d96fe4d3089?lever-source=Indeed", "https://jobs.lever.co/spreetail/5cee16d0-587d-40ab-8777-8d96fe4d3089?lever-source=Indeed")</f>
        <v/>
      </c>
      <c r="G113" t="inlineStr">
        <is>
          <t>Greenwood, IN, US</t>
        </is>
      </c>
      <c r="H113" s="2" t="n">
        <v>46069</v>
      </c>
      <c r="I113" t="inlineStr">
        <is>
          <t>Spreetail propels brands to increase their ecommerce market share across the globe while improving their operational costs. Learn how we are building one of the fastest\-growing ecommerce companies in history: www.spreetail.com.  
**Work Your Way:**
At Spreetail, we believe in empowering our employees to work in the way that suits them best through our Work Your Way approach. Each team member has the flexibility to choose where they work most effectively each week—whether that's from home, a coffee shop, or the office. While flexibility is key, we also value the power of in\-person connection. That’s why we bring our corporate team together in Lincoln each quarter for a week of intentional collaboration, team building, community engagement, and our All\-Hands meeting. It’s the best of both worlds: the freedom to work your way, with meaningful opportunities to connect and grow together. Please scroll to the bottom of the job posting to confirm that your state qualifies for the Work Your Way program.  
We are seeking a data\-driven **Industrial Engineer / Program Manage**r to redefine the limits of our operational efficiency. In this role, you won’t just manage space—you will engineer it. From scoping multi\-million\-dollar automation projects to utilizing CAD and Power BI for layout overhauls, you will be the architect of a high\-velocity, tech\-enabled warehouse network. If you have a passion for maximizing density and a track record of deploying network\-wide process improvements, we want to hear from you.
### **How you will achieve success:**
* FC Launch \&amp; Network Expansion: Oversee facility construction and equipment installation, ensuring adherence to timelines, budgets, and quality standards in partnership with external contractors and internal stakeholders.
* Storage Capacity \&amp; Utilization: Evaluate and implement improvements to rack and bin elevations, ensuring optimal use of vertical and horizontal storage spaces while maintaining safety and operational standards.
* Operational Design: Utilize CAD tools and data analytics to redesign warehouse layouts, focusing on efficient space utilization and alignment with inventory turnover rates and operational demands.
* Performance Monitoring \&amp; Reporting: Develop and maintain performance metrics dashboards using tools like SQL and Power BI to track the impact of optimization initiatives and identify further opportunities for improvement.
* Project Management: Manage and coordinate projects involving third\-party vendors and contractors, ensuring all deliverables are completed on time and within budget. Take ownership of project outcomes by overseeing cross\-functional collaboration and effectively managing resources to meet project goals.
### **What experiences will help you in this role:**
* **Education:** Background in Industrial Engineering preferred.
* **Experience:** 1\+ years in supply chain, industrial engineering, network planning, logistics, or project management (2\+ years preferred).
* **Project Leadership:** Proven track record managing multi\-million\-dollar capital projects and deploying network\-wide process improvements.
* **Technical Skills:** Proficiency in warehouse design software (e.g., SketchUp), alongside strong SQL and PowerBI skills for data analysis and reporting.
Our compensation reflects the cost of labor across several US geographic markets. The base pay for this position ranges from 60,000/year to $100,000/year. Pay is based on a number of factors including geographic market location and may vary depending on job\-related knowledge, skills, and experience. Spreetail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https://client.acrisure.com/spreetail/2025/homepage. This position will remain posted until filled. Applicants should apply via our external career site.
In an effort to Make Spreetail Better, we hire people that are aligned with our values and are passionate about pursuing ecommerce excellence. We believe the right person can learn what is needed to succeed in their role, so we encourage job applicants to apply even if you don't meet all the qualifications listed. We are looking for diverse backgrounds and perspectives, so we don’t require college degrees and welcome non\-linear career paths. If this role highlights your experience and gets you excited – please apply!  
What you can expect from us:* **We provide the flexibility to take care of yourself.** Spreetail operates in a work culture that promotes results and encourages taking time off when needed. In addition to a generous vacation policy, we also offer paid time\-off for your wedding week, paid parental leave and support for parents of growing families.
* **We celebrate accomplishments.** Each year at Spreetail is a milestone with the opportunity to receive special gifts, swag store credit, or donations to a nonprofit of your choice. We also recognize people pursuing impacts with Spreetail Spotlight Awards.
* **We care about your Health \&amp; Wellness.** Spreetail works hard to enhance the employee experience through benefit programs and perks that provide meaningful support. We offer affordable medical, dental and vision plans with coast\-to\-coast coverage. We also provide free telehealth and on\-demand mental health resources. Learn more about our benefits \&amp; perks package.
* **We create the opportunity to revolutionize your community.** We encourage Spreetailers to give back and make a social impact, and we offer paid time off to do it.
Spreetail is committed to a diverse and inclusive workplace. Spreetail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email hr@spreetail.com.  
To qualify for *Work Your Way*, eligible applicants must reside in one of the following states:
Alabama, Alaska, Arizona, Arkansas, Colorado, Delaware, District of Columbia, Florida, Georgia, Hawaii, Idaho, Illinois, Indiana, Iowa, Kansas, Kentucky, Louisiana, Maine, Massachusetts, Mississippi, Montana, Nebraska, Nevada, New Hampshire, New Jersey, New Mexico, North Dakota, Ohio, Pennsylvania, Rhode Island, South Dakota, Tennessee, Texas, Utah, Vermont, Washington, West Virginia, or Wyoming. **Please be aware of scammers.** Spreetail will only contact you through Lever or the spreetail.com domain. Spreetail will never ask candidates for money during the recruitment process. Please reach out to careers@spreetail.com directly if you have any concerns. **Emails from @spreetailjobs.com are fraudulent.**  
\#LI\-Remote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4">
      <c r="A114" t="inlineStr">
        <is>
          <t>in-808c83560c27836b</t>
        </is>
      </c>
      <c r="B114" t="inlineStr">
        <is>
          <t>Program Manager, Network Expansion &amp; Optimization</t>
        </is>
      </c>
      <c r="C114" t="inlineStr">
        <is>
          <t>Spreetail</t>
        </is>
      </c>
      <c r="D114" t="inlineStr">
        <is>
          <t>indeed</t>
        </is>
      </c>
      <c r="E114">
        <f>HYPERLINK("https://www.indeed.com/viewjob?jk=808c83560c27836b", "https://www.indeed.com/viewjob?jk=808c83560c27836b")</f>
        <v/>
      </c>
      <c r="F114">
        <f>HYPERLINK("https://jobs.lever.co/spreetail/5cee16d0-587d-40ab-8777-8d96fe4d3089?lever-source=Indeed", "https://jobs.lever.co/spreetail/5cee16d0-587d-40ab-8777-8d96fe4d3089?lever-source=Indeed")</f>
        <v/>
      </c>
      <c r="G114" t="inlineStr">
        <is>
          <t>Lincoln, NE, US</t>
        </is>
      </c>
      <c r="H114" s="2" t="n">
        <v>46069</v>
      </c>
      <c r="I114" t="inlineStr">
        <is>
          <t>Spreetail propels brands to increase their ecommerce market share across the globe while improving their operational costs. Learn how we are building one of the fastest\-growing ecommerce companies in history: www.spreetail.com.  
**Work Your Way:**
At Spreetail, we believe in empowering our employees to work in the way that suits them best through our Work Your Way approach. Each team member has the flexibility to choose where they work most effectively each week—whether that's from home, a coffee shop, or the office. While flexibility is key, we also value the power of in\-person connection. That’s why we bring our corporate team together in Lincoln each quarter for a week of intentional collaboration, team building, community engagement, and our All\-Hands meeting. It’s the best of both worlds: the freedom to work your way, with meaningful opportunities to connect and grow together. Please scroll to the bottom of the job posting to confirm that your state qualifies for the Work Your Way program.  
We are seeking a data\-driven **Industrial Engineer / Program Manage**r to redefine the limits of our operational efficiency. In this role, you won’t just manage space—you will engineer it. From scoping multi\-million\-dollar automation projects to utilizing CAD and Power BI for layout overhauls, you will be the architect of a high\-velocity, tech\-enabled warehouse network. If you have a passion for maximizing density and a track record of deploying network\-wide process improvements, we want to hear from you.
### **How you will achieve success:**
* FC Launch \&amp; Network Expansion: Oversee facility construction and equipment installation, ensuring adherence to timelines, budgets, and quality standards in partnership with external contractors and internal stakeholders.
* Storage Capacity \&amp; Utilization: Evaluate and implement improvements to rack and bin elevations, ensuring optimal use of vertical and horizontal storage spaces while maintaining safety and operational standards.
* Operational Design: Utilize CAD tools and data analytics to redesign warehouse layouts, focusing on efficient space utilization and alignment with inventory turnover rates and operational demands.
* Performance Monitoring \&amp; Reporting: Develop and maintain performance metrics dashboards using tools like SQL and Power BI to track the impact of optimization initiatives and identify further opportunities for improvement.
* Project Management: Manage and coordinate projects involving third\-party vendors and contractors, ensuring all deliverables are completed on time and within budget. Take ownership of project outcomes by overseeing cross\-functional collaboration and effectively managing resources to meet project goals.
### **What experiences will help you in this role:**
* **Education:** Background in Industrial Engineering preferred.
* **Experience:** 1\+ years in supply chain, industrial engineering, network planning, logistics, or project management (2\+ years preferred).
* **Project Leadership:** Proven track record managing multi\-million\-dollar capital projects and deploying network\-wide process improvements.
* **Technical Skills:** Proficiency in warehouse design software (e.g., SketchUp), alongside strong SQL and PowerBI skills for data analysis and reporting.
Our compensation reflects the cost of labor across several US geographic markets. The base pay for this position ranges from 60,000/year to $100,000/year. Pay is based on a number of factors including geographic market location and may vary depending on job\-related knowledge, skills, and experience. Spreetail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https://client.acrisure.com/spreetail/2025/homepage. This position will remain posted until filled. Applicants should apply via our external career site.
In an effort to Make Spreetail Better, we hire people that are aligned with our values and are passionate about pursuing ecommerce excellence. We believe the right person can learn what is needed to succeed in their role, so we encourage job applicants to apply even if you don't meet all the qualifications listed. We are looking for diverse backgrounds and perspectives, so we don’t require college degrees and welcome non\-linear career paths. If this role highlights your experience and gets you excited – please apply!  
What you can expect from us:* **We provide the flexibility to take care of yourself.** Spreetail operates in a work culture that promotes results and encourages taking time off when needed. In addition to a generous vacation policy, we also offer paid time\-off for your wedding week, paid parental leave and support for parents of growing families.
* **We celebrate accomplishments.** Each year at Spreetail is a milestone with the opportunity to receive special gifts, swag store credit, or donations to a nonprofit of your choice. We also recognize people pursuing impacts with Spreetail Spotlight Awards.
* **We care about your Health \&amp; Wellness.** Spreetail works hard to enhance the employee experience through benefit programs and perks that provide meaningful support. We offer affordable medical, dental and vision plans with coast\-to\-coast coverage. We also provide free telehealth and on\-demand mental health resources. Learn more about our benefits \&amp; perks package.
* **We create the opportunity to revolutionize your community.** We encourage Spreetailers to give back and make a social impact, and we offer paid time off to do it.
Spreetail is committed to a diverse and inclusive workplace. Spreetail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email hr@spreetail.com.  
To qualify for *Work Your Way*, eligible applicants must reside in one of the following states:
Alabama, Alaska, Arizona, Arkansas, Colorado, Delaware, District of Columbia, Florida, Georgia, Hawaii, Idaho, Illinois, Indiana, Iowa, Kansas, Kentucky, Louisiana, Maine, Massachusetts, Mississippi, Montana, Nebraska, Nevada, New Hampshire, New Jersey, New Mexico, North Dakota, Ohio, Pennsylvania, Rhode Island, South Dakota, Tennessee, Texas, Utah, Vermont, Washington, West Virginia, or Wyoming. **Please be aware of scammers.** Spreetail will only contact you through Lever or the spreetail.com domain. Spreetail will never ask candidates for money during the recruitment process. Please reach out to careers@spreetail.com directly if you have any concerns. **Emails from @spreetailjobs.com are fraudulent.**  
\#LI\-Remote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5">
      <c r="A115" t="inlineStr">
        <is>
          <t>in-1218fd9a5bb1a2d9</t>
        </is>
      </c>
      <c r="B115" t="inlineStr">
        <is>
          <t>Program Manager, Network Expansion &amp; Optimization</t>
        </is>
      </c>
      <c r="C115" t="inlineStr">
        <is>
          <t>Spreetail</t>
        </is>
      </c>
      <c r="D115" t="inlineStr">
        <is>
          <t>indeed</t>
        </is>
      </c>
      <c r="E115">
        <f>HYPERLINK("https://www.indeed.com/viewjob?jk=1218fd9a5bb1a2d9", "https://www.indeed.com/viewjob?jk=1218fd9a5bb1a2d9")</f>
        <v/>
      </c>
      <c r="F115">
        <f>HYPERLINK("https://jobs.lever.co/spreetail/5cee16d0-587d-40ab-8777-8d96fe4d3089?lever-source=Indeed", "https://jobs.lever.co/spreetail/5cee16d0-587d-40ab-8777-8d96fe4d3089?lever-source=Indeed")</f>
        <v/>
      </c>
      <c r="G115" t="inlineStr">
        <is>
          <t>Dallas, TX, US</t>
        </is>
      </c>
      <c r="H115" s="2" t="n">
        <v>46069</v>
      </c>
      <c r="I115" t="inlineStr">
        <is>
          <t>Spreetail propels brands to increase their ecommerce market share across the globe while improving their operational costs. Learn how we are building one of the fastest\-growing ecommerce companies in history: www.spreetail.com.  
**Work Your Way:**
At Spreetail, we believe in empowering our employees to work in the way that suits them best through our Work Your Way approach. Each team member has the flexibility to choose where they work most effectively each week—whether that's from home, a coffee shop, or the office. While flexibility is key, we also value the power of in\-person connection. That’s why we bring our corporate team together in Lincoln each quarter for a week of intentional collaboration, team building, community engagement, and our All\-Hands meeting. It’s the best of both worlds: the freedom to work your way, with meaningful opportunities to connect and grow together. Please scroll to the bottom of the job posting to confirm that your state qualifies for the Work Your Way program.  
We are seeking a data\-driven **Industrial Engineer / Program Manage**r to redefine the limits of our operational efficiency. In this role, you won’t just manage space—you will engineer it. From scoping multi\-million\-dollar automation projects to utilizing CAD and Power BI for layout overhauls, you will be the architect of a high\-velocity, tech\-enabled warehouse network. If you have a passion for maximizing density and a track record of deploying network\-wide process improvements, we want to hear from you.
### **How you will achieve success:**
* FC Launch \&amp; Network Expansion: Oversee facility construction and equipment installation, ensuring adherence to timelines, budgets, and quality standards in partnership with external contractors and internal stakeholders.
* Storage Capacity \&amp; Utilization: Evaluate and implement improvements to rack and bin elevations, ensuring optimal use of vertical and horizontal storage spaces while maintaining safety and operational standards.
* Operational Design: Utilize CAD tools and data analytics to redesign warehouse layouts, focusing on efficient space utilization and alignment with inventory turnover rates and operational demands.
* Performance Monitoring \&amp; Reporting: Develop and maintain performance metrics dashboards using tools like SQL and Power BI to track the impact of optimization initiatives and identify further opportunities for improvement.
* Project Management: Manage and coordinate projects involving third\-party vendors and contractors, ensuring all deliverables are completed on time and within budget. Take ownership of project outcomes by overseeing cross\-functional collaboration and effectively managing resources to meet project goals.
### **What experiences will help you in this role:**
* **Education:** Background in Industrial Engineering preferred.
* **Experience:** 1\+ years in supply chain, industrial engineering, network planning, logistics, or project management (2\+ years preferred).
* **Project Leadership:** Proven track record managing multi\-million\-dollar capital projects and deploying network\-wide process improvements.
* **Technical Skills:** Proficiency in warehouse design software (e.g., SketchUp), alongside strong SQL and PowerBI skills for data analysis and reporting.
Our compensation reflects the cost of labor across several US geographic markets. The base pay for this position ranges from 60,000/year to $100,000/year. Pay is based on a number of factors including geographic market location and may vary depending on job\-related knowledge, skills, and experience. Spreetail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https://client.acrisure.com/spreetail/2025/homepage. This position will remain posted until filled. Applicants should apply via our external career site.
In an effort to Make Spreetail Better, we hire people that are aligned with our values and are passionate about pursuing ecommerce excellence. We believe the right person can learn what is needed to succeed in their role, so we encourage job applicants to apply even if you don't meet all the qualifications listed. We are looking for diverse backgrounds and perspectives, so we don’t require college degrees and welcome non\-linear career paths. If this role highlights your experience and gets you excited – please apply!  
What you can expect from us:* **We provide the flexibility to take care of yourself.** Spreetail operates in a work culture that promotes results and encourages taking time off when needed. In addition to a generous vacation policy, we also offer paid time\-off for your wedding week, paid parental leave and support for parents of growing families.
* **We celebrate accomplishments.** Each year at Spreetail is a milestone with the opportunity to receive special gifts, swag store credit, or donations to a nonprofit of your choice. We also recognize people pursuing impacts with Spreetail Spotlight Awards.
* **We care about your Health \&amp; Wellness.** Spreetail works hard to enhance the employee experience through benefit programs and perks that provide meaningful support. We offer affordable medical, dental and vision plans with coast\-to\-coast coverage. We also provide free telehealth and on\-demand mental health resources. Learn more about our benefits \&amp; perks package.
* **We create the opportunity to revolutionize your community.** We encourage Spreetailers to give back and make a social impact, and we offer paid time off to do it.
Spreetail is committed to a diverse and inclusive workplace. Spreetail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email hr@spreetail.com.  
To qualify for *Work Your Way*, eligible applicants must reside in one of the following states:
Alabama, Alaska, Arizona, Arkansas, Colorado, Delaware, District of Columbia, Florida, Georgia, Hawaii, Idaho, Illinois, Indiana, Iowa, Kansas, Kentucky, Louisiana, Maine, Massachusetts, Mississippi, Montana, Nebraska, Nevada, New Hampshire, New Jersey, New Mexico, North Dakota, Ohio, Pennsylvania, Rhode Island, South Dakota, Tennessee, Texas, Utah, Vermont, Washington, West Virginia, or Wyoming. **Please be aware of scammers.** Spreetail will only contact you through Lever or the spreetail.com domain. Spreetail will never ask candidates for money during the recruitment process. Please reach out to careers@spreetail.com directly if you have any concerns. **Emails from @spreetailjobs.com are fraudulent.**  
\#LI\-Remote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6">
      <c r="A116" t="inlineStr">
        <is>
          <t>in-43aac6f81bdd9c9b</t>
        </is>
      </c>
      <c r="B116" t="inlineStr">
        <is>
          <t>Program Manager, Network Expansion &amp; Optimization</t>
        </is>
      </c>
      <c r="C116" t="inlineStr">
        <is>
          <t>Spreetail</t>
        </is>
      </c>
      <c r="D116" t="inlineStr">
        <is>
          <t>indeed</t>
        </is>
      </c>
      <c r="E116">
        <f>HYPERLINK("https://www.indeed.com/viewjob?jk=43aac6f81bdd9c9b", "https://www.indeed.com/viewjob?jk=43aac6f81bdd9c9b")</f>
        <v/>
      </c>
      <c r="F116">
        <f>HYPERLINK("https://jobs.lever.co/spreetail/5cee16d0-587d-40ab-8777-8d96fe4d3089?lever-source=Indeed", "https://jobs.lever.co/spreetail/5cee16d0-587d-40ab-8777-8d96fe4d3089?lever-source=Indeed")</f>
        <v/>
      </c>
      <c r="G116" t="inlineStr">
        <is>
          <t>Savannah, GA, US</t>
        </is>
      </c>
      <c r="H116" s="2" t="n">
        <v>46069</v>
      </c>
      <c r="I116" t="inlineStr">
        <is>
          <t>Spreetail propels brands to increase their ecommerce market share across the globe while improving their operational costs. Learn how we are building one of the fastest\-growing ecommerce companies in history: www.spreetail.com.  
**Work Your Way:**
At Spreetail, we believe in empowering our employees to work in the way that suits them best through our Work Your Way approach. Each team member has the flexibility to choose where they work most effectively each week—whether that's from home, a coffee shop, or the office. While flexibility is key, we also value the power of in\-person connection. That’s why we bring our corporate team together in Lincoln each quarter for a week of intentional collaboration, team building, community engagement, and our All\-Hands meeting. It’s the best of both worlds: the freedom to work your way, with meaningful opportunities to connect and grow together. Please scroll to the bottom of the job posting to confirm that your state qualifies for the Work Your Way program.  
We are seeking a data\-driven **Industrial Engineer / Program Manage**r to redefine the limits of our operational efficiency. In this role, you won’t just manage space—you will engineer it. From scoping multi\-million\-dollar automation projects to utilizing CAD and Power BI for layout overhauls, you will be the architect of a high\-velocity, tech\-enabled warehouse network. If you have a passion for maximizing density and a track record of deploying network\-wide process improvements, we want to hear from you.
### **How you will achieve success:**
* FC Launch \&amp; Network Expansion: Oversee facility construction and equipment installation, ensuring adherence to timelines, budgets, and quality standards in partnership with external contractors and internal stakeholders.
* Storage Capacity \&amp; Utilization: Evaluate and implement improvements to rack and bin elevations, ensuring optimal use of vertical and horizontal storage spaces while maintaining safety and operational standards.
* Operational Design: Utilize CAD tools and data analytics to redesign warehouse layouts, focusing on efficient space utilization and alignment with inventory turnover rates and operational demands.
* Performance Monitoring \&amp; Reporting: Develop and maintain performance metrics dashboards using tools like SQL and Power BI to track the impact of optimization initiatives and identify further opportunities for improvement.
* Project Management: Manage and coordinate projects involving third\-party vendors and contractors, ensuring all deliverables are completed on time and within budget. Take ownership of project outcomes by overseeing cross\-functional collaboration and effectively managing resources to meet project goals.
### **What experiences will help you in this role:**
* **Education:** Background in Industrial Engineering preferred.
* **Experience:** 1\+ years in supply chain, industrial engineering, network planning, logistics, or project management (2\+ years preferred).
* **Project Leadership:** Proven track record managing multi\-million\-dollar capital projects and deploying network\-wide process improvements.
* **Technical Skills:** Proficiency in warehouse design software (e.g., SketchUp), alongside strong SQL and PowerBI skills for data analysis and reporting.
Our compensation reflects the cost of labor across several US geographic markets. The base pay for this position ranges from 60,000/year to $100,000/year. Pay is based on a number of factors including geographic market location and may vary depending on job\-related knowledge, skills, and experience. Spreetail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https://client.acrisure.com/spreetail/2025/homepage. This position will remain posted until filled. Applicants should apply via our external career site.
In an effort to Make Spreetail Better, we hire people that are aligned with our values and are passionate about pursuing ecommerce excellence. We believe the right person can learn what is needed to succeed in their role, so we encourage job applicants to apply even if you don't meet all the qualifications listed. We are looking for diverse backgrounds and perspectives, so we don’t require college degrees and welcome non\-linear career paths. If this role highlights your experience and gets you excited – please apply!  
What you can expect from us:* **We provide the flexibility to take care of yourself.** Spreetail operates in a work culture that promotes results and encourages taking time off when needed. In addition to a generous vacation policy, we also offer paid time\-off for your wedding week, paid parental leave and support for parents of growing families.
* **We celebrate accomplishments.** Each year at Spreetail is a milestone with the opportunity to receive special gifts, swag store credit, or donations to a nonprofit of your choice. We also recognize people pursuing impacts with Spreetail Spotlight Awards.
* **We care about your Health \&amp; Wellness.** Spreetail works hard to enhance the employee experience through benefit programs and perks that provide meaningful support. We offer affordable medical, dental and vision plans with coast\-to\-coast coverage. We also provide free telehealth and on\-demand mental health resources. Learn more about our benefits \&amp; perks package.
* **We create the opportunity to revolutionize your community.** We encourage Spreetailers to give back and make a social impact, and we offer paid time off to do it.
Spreetail is committed to a diverse and inclusive workplace. Spreetail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email hr@spreetail.com.  
To qualify for *Work Your Way*, eligible applicants must reside in one of the following states:
Alabama, Alaska, Arizona, Arkansas, Colorado, Delaware, District of Columbia, Florida, Georgia, Hawaii, Idaho, Illinois, Indiana, Iowa, Kansas, Kentucky, Louisiana, Maine, Massachusetts, Mississippi, Montana, Nebraska, Nevada, New Hampshire, New Jersey, New Mexico, North Dakota, Ohio, Pennsylvania, Rhode Island, South Dakota, Tennessee, Texas, Utah, Vermont, Washington, West Virginia, or Wyoming. **Please be aware of scammers.** Spreetail will only contact you through Lever or the spreetail.com domain. Spreetail will never ask candidates for money during the recruitment process. Please reach out to careers@spreetail.com directly if you have any concerns. **Emails from @spreetailjobs.com are fraudulent.**  
\#LI\-Remote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7">
      <c r="A117" t="inlineStr">
        <is>
          <t>in-c4d94a71f84d2d23</t>
        </is>
      </c>
      <c r="B117" t="inlineStr">
        <is>
          <t>Program Manager, Network Expansion &amp; Optimization</t>
        </is>
      </c>
      <c r="C117" t="inlineStr">
        <is>
          <t>Spreetail</t>
        </is>
      </c>
      <c r="D117" t="inlineStr">
        <is>
          <t>indeed</t>
        </is>
      </c>
      <c r="E117">
        <f>HYPERLINK("https://www.indeed.com/viewjob?jk=c4d94a71f84d2d23", "https://www.indeed.com/viewjob?jk=c4d94a71f84d2d23")</f>
        <v/>
      </c>
      <c r="F117">
        <f>HYPERLINK("https://jobs.lever.co/spreetail/5cee16d0-587d-40ab-8777-8d96fe4d3089?lever-source=Indeed", "https://jobs.lever.co/spreetail/5cee16d0-587d-40ab-8777-8d96fe4d3089?lever-source=Indeed")</f>
        <v/>
      </c>
      <c r="G117" t="inlineStr">
        <is>
          <t>Nanticoke, PA, US</t>
        </is>
      </c>
      <c r="H117" s="2" t="n">
        <v>46069</v>
      </c>
      <c r="I117" t="inlineStr">
        <is>
          <t>Spreetail propels brands to increase their ecommerce market share across the globe while improving their operational costs. Learn how we are building one of the fastest\-growing ecommerce companies in history: www.spreetail.com.  
**Work Your Way:**
At Spreetail, we believe in empowering our employees to work in the way that suits them best through our Work Your Way approach. Each team member has the flexibility to choose where they work most effectively each week—whether that's from home, a coffee shop, or the office. While flexibility is key, we also value the power of in\-person connection. That’s why we bring our corporate team together in Lincoln each quarter for a week of intentional collaboration, team building, community engagement, and our All\-Hands meeting. It’s the best of both worlds: the freedom to work your way, with meaningful opportunities to connect and grow together. Please scroll to the bottom of the job posting to confirm that your state qualifies for the Work Your Way program.  
We are seeking a data\-driven **Industrial Engineer / Program Manage**r to redefine the limits of our operational efficiency. In this role, you won’t just manage space—you will engineer it. From scoping multi\-million\-dollar automation projects to utilizing CAD and Power BI for layout overhauls, you will be the architect of a high\-velocity, tech\-enabled warehouse network. If you have a passion for maximizing density and a track record of deploying network\-wide process improvements, we want to hear from you.
### **How you will achieve success:**
* FC Launch \&amp; Network Expansion: Oversee facility construction and equipment installation, ensuring adherence to timelines, budgets, and quality standards in partnership with external contractors and internal stakeholders.
* Storage Capacity \&amp; Utilization: Evaluate and implement improvements to rack and bin elevations, ensuring optimal use of vertical and horizontal storage spaces while maintaining safety and operational standards.
* Operational Design: Utilize CAD tools and data analytics to redesign warehouse layouts, focusing on efficient space utilization and alignment with inventory turnover rates and operational demands.
* Performance Monitoring \&amp; Reporting: Develop and maintain performance metrics dashboards using tools like SQL and Power BI to track the impact of optimization initiatives and identify further opportunities for improvement.
* Project Management: Manage and coordinate projects involving third\-party vendors and contractors, ensuring all deliverables are completed on time and within budget. Take ownership of project outcomes by overseeing cross\-functional collaboration and effectively managing resources to meet project goals.
### **What experiences will help you in this role:**
* **Education:** Background in Industrial Engineering preferred.
* **Experience:** 1\+ years in supply chain, industrial engineering, network planning, logistics, or project management (2\+ years preferred).
* **Project Leadership:** Proven track record managing multi\-million\-dollar capital projects and deploying network\-wide process improvements.
* **Technical Skills:** Proficiency in warehouse design software (e.g., SketchUp), alongside strong SQL and PowerBI skills for data analysis and reporting.
Our compensation reflects the cost of labor across several US geographic markets. The base pay for this position ranges from 60,000/year to $100,000/year. Pay is based on a number of factors including geographic market location and may vary depending on job\-related knowledge, skills, and experience. Spreetail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https://client.acrisure.com/spreetail/2025/homepage. This position will remain posted until filled. Applicants should apply via our external career site.
In an effort to Make Spreetail Better, we hire people that are aligned with our values and are passionate about pursuing ecommerce excellence. We believe the right person can learn what is needed to succeed in their role, so we encourage job applicants to apply even if you don't meet all the qualifications listed. We are looking for diverse backgrounds and perspectives, so we don’t require college degrees and welcome non\-linear career paths. If this role highlights your experience and gets you excited – please apply!  
What you can expect from us:* **We provide the flexibility to take care of yourself.** Spreetail operates in a work culture that promotes results and encourages taking time off when needed. In addition to a generous vacation policy, we also offer paid time\-off for your wedding week, paid parental leave and support for parents of growing families.
* **We celebrate accomplishments.** Each year at Spreetail is a milestone with the opportunity to receive special gifts, swag store credit, or donations to a nonprofit of your choice. We also recognize people pursuing impacts with Spreetail Spotlight Awards.
* **We care about your Health \&amp; Wellness.** Spreetail works hard to enhance the employee experience through benefit programs and perks that provide meaningful support. We offer affordable medical, dental and vision plans with coast\-to\-coast coverage. We also provide free telehealth and on\-demand mental health resources. Learn more about our benefits \&amp; perks package.
* **We create the opportunity to revolutionize your community.** We encourage Spreetailers to give back and make a social impact, and we offer paid time off to do it.
Spreetail is committed to a diverse and inclusive workplace. Spreetail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email hr@spreetail.com.  
To qualify for *Work Your Way*, eligible applicants must reside in one of the following states:
Alabama, Alaska, Arizona, Arkansas, Colorado, Delaware, District of Columbia, Florida, Georgia, Hawaii, Idaho, Illinois, Indiana, Iowa, Kansas, Kentucky, Louisiana, Maine, Massachusetts, Mississippi, Montana, Nebraska, Nevada, New Hampshire, New Jersey, New Mexico, North Dakota, Ohio, Pennsylvania, Rhode Island, South Dakota, Tennessee, Texas, Utah, Vermont, Washington, West Virginia, or Wyoming. **Please be aware of scammers.** Spreetail will only contact you through Lever or the spreetail.com domain. Spreetail will never ask candidates for money during the recruitment process. Please reach out to careers@spreetail.com directly if you have any concerns. **Emails from @spreetailjobs.com are fraudulent.**  
\#LI\-Remote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8">
      <c r="A118" t="inlineStr">
        <is>
          <t>in-69901797c9503abd</t>
        </is>
      </c>
      <c r="B118" t="inlineStr">
        <is>
          <t>Program Manager, Network Expansion &amp; Optimization</t>
        </is>
      </c>
      <c r="C118" t="inlineStr">
        <is>
          <t>Spreetail</t>
        </is>
      </c>
      <c r="D118" t="inlineStr">
        <is>
          <t>indeed</t>
        </is>
      </c>
      <c r="E118">
        <f>HYPERLINK("https://www.indeed.com/viewjob?jk=69901797c9503abd", "https://www.indeed.com/viewjob?jk=69901797c9503abd")</f>
        <v/>
      </c>
      <c r="F118">
        <f>HYPERLINK("https://jobs.lever.co/spreetail/5cee16d0-587d-40ab-8777-8d96fe4d3089?lever-source=Indeed", "https://jobs.lever.co/spreetail/5cee16d0-587d-40ab-8777-8d96fe4d3089?lever-source=Indeed")</f>
        <v/>
      </c>
      <c r="G118" t="inlineStr">
        <is>
          <t>Seattle, WA, US</t>
        </is>
      </c>
      <c r="H118" s="2" t="n">
        <v>46069</v>
      </c>
      <c r="I118" t="inlineStr">
        <is>
          <t>Spreetail propels brands to increase their ecommerce market share across the globe while improving their operational costs. Learn how we are building one of the fastest\-growing ecommerce companies in history: www.spreetail.com.  
**Work Your Way:**
At Spreetail, we believe in empowering our employees to work in the way that suits them best through our Work Your Way approach. Each team member has the flexibility to choose where they work most effectively each week—whether that's from home, a coffee shop, or the office. While flexibility is key, we also value the power of in\-person connection. That’s why we bring our corporate team together in Lincoln each quarter for a week of intentional collaboration, team building, community engagement, and our All\-Hands meeting. It’s the best of both worlds: the freedom to work your way, with meaningful opportunities to connect and grow together. Please scroll to the bottom of the job posting to confirm that your state qualifies for the Work Your Way program.  
We are seeking a data\-driven **Industrial Engineer / Program Manage**r to redefine the limits of our operational efficiency. In this role, you won’t just manage space—you will engineer it. From scoping multi\-million\-dollar automation projects to utilizing CAD and Power BI for layout overhauls, you will be the architect of a high\-velocity, tech\-enabled warehouse network. If you have a passion for maximizing density and a track record of deploying network\-wide process improvements, we want to hear from you.
### **How you will achieve success:**
* FC Launch \&amp; Network Expansion: Oversee facility construction and equipment installation, ensuring adherence to timelines, budgets, and quality standards in partnership with external contractors and internal stakeholders.
* Storage Capacity \&amp; Utilization: Evaluate and implement improvements to rack and bin elevations, ensuring optimal use of vertical and horizontal storage spaces while maintaining safety and operational standards.
* Operational Design: Utilize CAD tools and data analytics to redesign warehouse layouts, focusing on efficient space utilization and alignment with inventory turnover rates and operational demands.
* Performance Monitoring \&amp; Reporting: Develop and maintain performance metrics dashboards using tools like SQL and Power BI to track the impact of optimization initiatives and identify further opportunities for improvement.
* Project Management: Manage and coordinate projects involving third\-party vendors and contractors, ensuring all deliverables are completed on time and within budget. Take ownership of project outcomes by overseeing cross\-functional collaboration and effectively managing resources to meet project goals.
### **What experiences will help you in this role:**
* **Education:** Background in Industrial Engineering preferred.
* **Experience:** 1\+ years in supply chain, industrial engineering, network planning, logistics, or project management (2\+ years preferred).
* **Project Leadership:** Proven track record managing multi\-million\-dollar capital projects and deploying network\-wide process improvements.
* **Technical Skills:** Proficiency in warehouse design software (e.g., SketchUp), alongside strong SQL and PowerBI skills for data analysis and reporting.
Our compensation reflects the cost of labor across several US geographic markets. The base pay for this position ranges from 60,000/year to $100,000/year. Pay is based on a number of factors including geographic market location and may vary depending on job\-related knowledge, skills, and experience. Spreetail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https://client.acrisure.com/spreetail/2025/homepage. This position will remain posted until filled. Applicants should apply via our external career site.
In an effort to Make Spreetail Better, we hire people that are aligned with our values and are passionate about pursuing ecommerce excellence. We believe the right person can learn what is needed to succeed in their role, so we encourage job applicants to apply even if you don't meet all the qualifications listed. We are looking for diverse backgrounds and perspectives, so we don’t require college degrees and welcome non\-linear career paths. If this role highlights your experience and gets you excited – please apply!  
What you can expect from us:* **We provide the flexibility to take care of yourself.** Spreetail operates in a work culture that promotes results and encourages taking time off when needed. In addition to a generous vacation policy, we also offer paid time\-off for your wedding week, paid parental leave and support for parents of growing families.
* **We celebrate accomplishments.** Each year at Spreetail is a milestone with the opportunity to receive special gifts, swag store credit, or donations to a nonprofit of your choice. We also recognize people pursuing impacts with Spreetail Spotlight Awards.
* **We care about your Health \&amp; Wellness.** Spreetail works hard to enhance the employee experience through benefit programs and perks that provide meaningful support. We offer affordable medical, dental and vision plans with coast\-to\-coast coverage. We also provide free telehealth and on\-demand mental health resources. Learn more about our benefits \&amp; perks package.
* **We create the opportunity to revolutionize your community.** We encourage Spreetailers to give back and make a social impact, and we offer paid time off to do it.
Spreetail is committed to a diverse and inclusive workplace. Spreetail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email hr@spreetail.com.  
To qualify for *Work Your Way*, eligible applicants must reside in one of the following states:
Alabama, Alaska, Arizona, Arkansas, Colorado, Delaware, District of Columbia, Florida, Georgia, Hawaii, Idaho, Illinois, Indiana, Iowa, Kansas, Kentucky, Louisiana, Maine, Massachusetts, Mississippi, Montana, Nebraska, Nevada, New Hampshire, New Jersey, New Mexico, North Dakota, Ohio, Pennsylvania, Rhode Island, South Dakota, Tennessee, Texas, Utah, Vermont, Washington, West Virginia, or Wyoming. **Please be aware of scammers.** Spreetail will only contact you through Lever or the spreetail.com domain. Spreetail will never ask candidates for money during the recruitment process. Please reach out to careers@spreetail.com directly if you have any concerns. **Emails from @spreetailjobs.com are fraudulent.**  
\#LI\-Remote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9">
      <c r="A119" t="inlineStr">
        <is>
          <t>in-fb2da703f1278157</t>
        </is>
      </c>
      <c r="B119" t="inlineStr">
        <is>
          <t>Senior Product Manager</t>
        </is>
      </c>
      <c r="C119" t="inlineStr">
        <is>
          <t>IDEX Corporation</t>
        </is>
      </c>
      <c r="D119" t="inlineStr">
        <is>
          <t>indeed</t>
        </is>
      </c>
      <c r="E119">
        <f>HYPERLINK("https://www.indeed.com/viewjob?jk=fb2da703f1278157", "https://www.indeed.com/viewjob?jk=fb2da703f1278157")</f>
        <v/>
      </c>
      <c r="F119">
        <f>HYPERLINK("https://rr.jobsyn.org/A34F5C009BF645159537E86C779E1EB21554", "https://rr.jobsyn.org/A34F5C009BF645159537E86C779E1EB21554")</f>
        <v/>
      </c>
      <c r="G119" t="inlineStr">
        <is>
          <t>Rohnert Park, CA, US</t>
        </is>
      </c>
      <c r="H119" s="2" t="n">
        <v>46069</v>
      </c>
      <c r="I119" t="inlineStr">
        <is>
          <t>If you’re looking for a special place to build or grow your career, you’ve found it. Whether you’re an experienced professional, a recent college graduate or somewhere in between, IDEX is a place where you can apply your existing skills and learn new ones in an environment where you can make an impact.
With interesting opportunities in engineering, marketing, sales, supply chain, operations, HR, finance, and more across more than 40 diverse businesses (https://www.idexcorp.com/our\-businesses/business\-segments/) around the globe, chances are, we have something special for you.
**JOB TITLE:** Senior Product Manager
**REPORTING TO: Director of Product Management**
**LOCATION: Rohnert Park, CA**
**Who is IDEX Health \&amp; Science (IH\&amp;S)?**
As a business unit of IDEX Corporation, IH\&amp;S has a long history of driving growth in life sciences and healthcare by embracing innovation and redefining the supplier\-customer relationship. The work we do every day allows us to discover key insights and break new ground to create some of the most meaningful technologies that have a lasting impact on companies, industries, and society. One of business segments is called Life Science Optics and we are looking to add more talent to the team.
**IDEX HEALTH \&amp; SCIENCE, LLC:**
IDEX Health \&amp; Science is the global leader in life science fluidics, microfluidics, and optics, offering a three\-fold advantage to customers by bringing optofluidic paths to life with strategic partnerships, solutions, and expertise. As one of the few companies in the world with component, sub\-system, and application\-level experts, IDEX Health \&amp; Science helps instrument developers solve the most demanding fluidic and optical challenges in a wide array of applications. With over 1,200 employees around the world, we believe partnership will change the way the world innovates, leading to new technologies that improve our health, protect our planet, and enrich our lives. For more information visit: www.idex\-hs.com
Our formula for success is simple. We work hard to maintain a culture where you can own your work; you are encouraged to try new ideas in a collaborative environment; and you can apply your skillset to enable our clients to gain a competitive advantage in their own market. At IDEX Health \&amp; Science, you have the opportunity to work with a great group of people, mentor others, and build a great future.
**SUMMARY**
The Product Manager will own the full lifecycle of our degassing hardware products—from early‑stage ideation and customer discovery through development, launch, commercial growth, maturity management, and end‑of‑life planning. This role requires a strategic, commercially minded leader who can translate market needs and technical insights into a clear product roadmap that drives sustained, profitable growth.
As the central point of accountability for product strategy, roadmap prioritization, pricing, and portfolio optimization, the Product Manager will work cross‑functionally with Commercial, Operations, Engineering, and other partners to ensure product success from concept to retirement. Responsibilities include market and competitive analysis, customer advocacy, business case development for new products and services, and ongoing performance evaluation to guide investment decisions.
The ideal candidate demonstrates a strong sense of ownership, proactive problem‑solving, and the ability to navigate complex situations with confidence. Exceptional communication skills and consistent follow‑through are essential, as this role interfaces frequently with internal stakeholders, executive leadership, and customers. This is a position for someone who thrives in a dynamic environment, brings structure to complex challenges, and is passionate about creating innovative solutions that deliver measurable customer and business value.
**ESSENTIAL DUTIES:**
. *The requirements listed below are representative of the knowledge, skills and or abilities required.*
* **Own the full product lifecycle** for the degassing hardware portfolio, including roadmap development, requirement definition, prioritization, and execution of key growth and optimization initiatives.
* **Lead cross‑functional collaboration** with Project Management, Operations, Engineering, Quality, and Finance on all New Product Development (NPD) efforts, including early concept exploration, business case creation, value proposition development, pricing strategy, and commercialization planning.
* **Conduct rigorous Voice‑of‑Customer (VOC) research** , market needs analysis, and competitive intelligence to identify opportunities, define product requirements, and inform strategic decisions.
* **Analyze market landscapes and competitive offerings** to guide positioning, differentiation, and long‑term product strategy.
* **Partner with Sales and Marketing** to develop and execute go‑to‑market plans, launch strategies, sales tools, training materials, and promotional content that effectively support adoption and growth.
* **Monitor and report product performance** across key metrics—including revenue, margin, price realization, forecast accuracy, quality indicators, and customer satisfaction—and recommend actions to improve results.
* **Create, maintain, and update product documentation** , including commercial datasheets, application notes, competitive battlecards, user guides, and technical collateral.
* **Provide pre‑ and post‑sales support** in collaboration with Applications, Sales, and Customer Service teams, ensuring clear communication, timely issue resolution, and a positive customer experience.
* **Lead annual pricing and portfolio review processes** , including segmentation, 80/20 analysis, SKU rationalization, and pricing strategy updates to support sustained profitable growth.
* **Develop a deep understanding of competitor strategies** , technologies, and roadmap directions to proactively identify risks, gaps, and opportunities.
* **Ensure prompt, transparent communication and follow‑through** on requests and escalations from Operations, Commercial, and other internal stakeholders.
* **Maintain clear, timely project and portfolio documentation** , including status updates, decision logs, risks, assumptions, and cross‑functional communication records.
* **Drive alignment across teams** by facilitating discussions, clarifying ambiguous inputs, resolving conflicts, and ensuring the right decisions are made and documented.
* **Champion customer advocacy and product quality** , consistently representing customer needs within the organization and ensuring product changes, improvements, or end‑of‑life activities reflect market expectations.
* **Support strategic planning activities** , contributing insights on market trends, customer needs, technology shifts, and portfolio evolution to shape long‑term product direction.
**EDUCATION AND EXPERIENCE:**
* Bachelor’s degree, preferably in a technical field (engineering, sciences)
* 4\+ years of technical sales, product management/marketing,applications/engineering experience
* Experience with hardware applications a strong preference
**QUALIFICATIONS:**
* **High proficiency in Microsoft Office** (Excel, PowerPoint, Word); ability to quickly learn and navigate the company’s ERP system to track product‑level details.
* **Experience in product development** or related functions such as sales, marketing, applications engineering, or operations; cross‑functional exposure is a strong plus.
* **Excellent written and verbal communication skills** , with the ability to present ideas clearly to both technical and non‑technical audiences.
* **Strong organizational and planning abilities** , with exceptional attention to detail and follow‑through.
* **Robust analytical and problem‑solving skills** , with the ability to interpret data, identify trends, and recommend actions.
* **Technical aptitude** and willingness to become a subject‑matter expert on company products, applications, and markets **.**
* **Ability to research** and develop data‑driven business cases for new products, applications, and portfolio decisions **.**
* **Collaborative working style** , demonstrating effectiveness in team environments and in interactions with internal and external stakeholders **.**
* **Willingness to travel** up to 20%, including customer visits, conferences, vendor meetings, or internal site visits.
**ADDITIONAL REQUIREMENT:**
Certain positions with IDEX Corporation and its business units require access to controlled goods and technologies subject to the International Traffic in Arms Regulations or the Export Administration Regulations. Applicants for these positions may need to be "U.S. Persons," as defined in these regulations. Generally, a "U.S. Person" is a U.S. citizen, U.S. national, lawful permanent resident, or an individual who has been granted refugee or asylum status.
**Total Rewards:**
The compensation target for this position is $150,000 depending on experience. This position may be eligible for performance\-based bonus plan.
**Benefits Package**
Our comprehensive U.S. benefit offerings include Health benefits, 401(k) retirement savings program with company match, PTO, and more. More information on our benefits and rewards can be found on our career page: https://www.idexcorp.com/careers/our\-benefit\-and\-rewards/
**IDEX is an Equal Opportunity Employer.** IDEX gives consideration for employment to qualified applicants without regard to race, color, religion, creed, genetic information, sex, sexual orientation, gender identity or expression, marital status, age, national origin, disability, protected veteran status, or any other consideration or protected category made unlawful by federal, state or local laws.
**Attention Applicants:** If you are an individual with a disability and require a reasonable accommodation to complete
any part of the application process, please let us know. Likewise, if you are limited in the ability to access or use this online application process and need an alternative method for applying, we will determine an alternate way for you to apply. Please contact our Talent Acquisition Team at lfcareers@idexcorp.com for assistance with accommodation. These contact tools may be used only by individuals with a disability for accommodation requests. Do not inquire about the status of an application.
Are you ready to join a different kind of company where our people, our culture, and our commitments are centered around providing trusted solutions that improve lives around the world?
**Total Rewards**
The compensation range for this position is $109,800\.00 \- $164,600\.00, depending on experience. This position may be eligible for performance based bonus plan.
**Benefits Package**
Our comprehensive U.S. benefit offerings include: Health benefits, 401(k) retirement savings program with company match, PTO, and more. More information on our benefits and rewards can be found on our career page: https://www.idexcorp.com/careers/our\-benefits\-and\-rewards/
**IDEX is an Equal Opportunity Employer** . IDEX gives consideration for employment to qualified applicants without regard to race, color, religion, creed, genetic information, sex, sexual orientation, gender identity or expression, marital status, age, national origin, disability, protected veteran status, or any other consideration or protected category made unlawful by federal, state or local laws.
**Attention Applicants:** If you are an individual with a disability and require a reasonable accommodation to complete any part of the application process, please let us know. Likewise, if you are limited in the ability to access or use this online application process and need an alternative method for applying, we will determine an alternate way for you to apply. Please contact our Talent Acquisition Team at lfcareers@idexcorp.com for assistance with an accommodation. These contact tools may be used only by individuals with a disability for accommodation requests. Do not inquire as to the status of an application.
This posting is for an existing vacancy.
‌
Artificial intelligence is not used to screen, assess or select applicants.
‌
**Job Family:** Marketing
**Business Unit:** Fluidics</t>
        </is>
      </c>
    </row>
    <row r="120">
      <c r="A120" t="inlineStr">
        <is>
          <t>in-84b78e77c9cb2ade</t>
        </is>
      </c>
      <c r="B120" t="inlineStr">
        <is>
          <t>Residential and Small Commercial Product Manager</t>
        </is>
      </c>
      <c r="C120" t="inlineStr">
        <is>
          <t>Superior Plus Propane</t>
        </is>
      </c>
      <c r="D120" t="inlineStr">
        <is>
          <t>indeed</t>
        </is>
      </c>
      <c r="E120">
        <f>HYPERLINK("https://www.indeed.com/viewjob?jk=84b78e77c9cb2ade", "https://www.indeed.com/viewjob?jk=84b78e77c9cb2ade")</f>
        <v/>
      </c>
      <c r="F120">
        <f>HYPERLINK("https://jobs.dayforcehcm.com/en-US/superiorplus/CANDIDATEPORTAL/jobs/36999", "https://jobs.dayforcehcm.com/en-US/superiorplus/CANDIDATEPORTAL/jobs/36999")</f>
        <v/>
      </c>
      <c r="G120" t="inlineStr">
        <is>
          <t>Wayne, PA, US</t>
        </is>
      </c>
      <c r="H120" s="2" t="n">
        <v>46069</v>
      </c>
      <c r="I120" t="inlineStr">
        <is>
          <t>**What we will offer you:**  
**Culture:** Join a supportive and inclusive work environment where teamwork, respect, and open communication are at the core of everything we do.
**Opportunity:** A continuous focus on professional development with many opportunities for training \&amp; career growth.
**Health \&amp; Wellness:** Competitive health benefits right from the start including health \&amp; wellness spending accounts \&amp; maternity leave top\-up. Access our employee assistance program for confidential counseling, mental health support, and various resources to help you navigate life’s challenges.
**Competitive Compensation:** We offer a highly competitive salary package, ensuring that your hard work and dedication are recognized and rewarded accordingly.
**Flexibility:** We understand the importance of work\-life balance, we offer flexible hybrid work options to help you manage your personal and professional commitments.
**Technology:** Work with state\-of\-the\-art tools and technologies that empower you to excel in your role and stay at the forefront of industry trends.
**Safety Focused:** We care about you and have committed to a zero\-harm workplace.
Reporting to the Senior Vice President Product, Pricing and Contract Management, the Residential/Small Commercial Product Manager will lead the development, evolution, and performance of our product offerings. This role is responsible for defining product constructs, translating market insights into actionable strategies, and driving cross\-functional alignment to ensure successful go\-to\-market execution. The ideal candidate will be a collaborative leader with strong analytical skills and a passion for delivering value to customers.
**What we will offer you:**  
* Culture: Join a supportive and inclusive work environment where teamwork, respect, and open communication are at the core of everything we do.
* Opportunity: A continuous focus on professional development with many opportunities for training \&amp; career growth.
* Health \&amp; Wellness: Competitive health benefits right from the start including health \&amp; wellness spending accounts \&amp; maternity leave top\-up. Access our employee assistance program for confidential counseling, mental health support, and various resources to help you navigate life’s challenges.
* Competitive Compensation: We offer a highly competitive salary package, ensuring that your hard work and dedication are recognized and rewarded accordingly.
* Flexibility: We understand the importance of work\-life balance, we offer flexible hybrid work options to help you manage your personal and professional commitments.
* Technology: Work with state\-of\-the\-art tools and technologies that empower you to excel in your role and stay at the forefront of industry trends.
* Safety Focused: We care about you and have committed to a zero\-harm workplace.
**What you’ll do:**  
Develop and Maintain Product Constructs
* Define and own the structure of offerings (e.g., pricing models, product terms) within the Resi. \&amp; Small Commercial space.
* Ensure products are strategically aligned, clearly articulated, and commercially viable.
* Create offerings that support customer acquisition and retention.
Translate Customer \&amp; Market Insights into Product Strategy
* Collaborate with Marketing, Inside Sales, Retention, and Customer Experience teams to gather customer feedback and performance data.
* Leverage insights to inform product evolution, positioning, and differentiation.
Support Go\-to\-Market Execution
* Partner with Marketing and Commercial teams to craft compelling messaging, value propositions, and training materials.
* Lead the full lifecycle of product launches—from pilot charters to operational stabilization.
Cross\-Functional Alignment
* Work closely with Sales, Pricing, Legal, Contract Admin, and Strategy \&amp; Operations to ensure readiness and compliance.
* Facilitate seamless integration of product changes across business units.
Monitor Product Performance
* Define and track KPIs such as adoption, renewal, and churn rates.
* Identify and address issues related to product\-market fit or portfolio complexity.
Lead Product Initiatives
* Oversee product optimization projects and rollout plans.
* Manage a Product Specialist to ensure timely execution and performance tracking.
* Perform other related duties as assigned.
**What you bring:**  
* Bachelor’s Degree in Business, Marketing, Engineering or a related field
* Pragmatic Institute Certification or equivalent would be considered a plus
* 5\+ years’ experience in product management, product marketing or a related field
* People leadership experience is preferred
* Strong understanding of product lifecycle management
* Familiarity with customer segmentation, pricing models, and go\-to\-market strategies
* Technical Knowledge \&amp; Specialized Expertise
* Ability to interpret customer insights and usage data to inform product decisions
* Competence in project management and leading pilots and rollouts
* Ensuring product configurations align with billing, legal and operation while balancing competing priorities of stakeholders
* Developing new product constructs for emerging customer needs
* Responding to market shifts or competitive threats
* Requires strategic foresight, data\-driven decision\-making, and influential leadership across teams.
* The ability to navigate ambiguity and drive innovation is critical to success.
* Legal Authorization to work in the US is required. We will not sponsor individuals for employment visas now or in the future for this job opening.
Here at Superior Plus Propane, we are an equal opportunity employer committed to the inclusion and accommodation of all individuals, we welcome all qualified candidates to apply. If you have an accommodation need during the recruitment \&amp; selection process, we encourage you to connect with us at sppcareers@superiorpluspropane.comto let us know how we can enhance your experience.
Superior Propane is Canada’s leading and reliable propane provider. Customers have trusted the experts at Superior to fuel their homes and businesses since 1951\. Customer Focus, Performance, Safety, and Winning with People are the four key values that are the foundation of everything that we do.
"Here at Superior Propane we are an equal opportunity employer committed to the inclusion and accommodation of all individuals. If you have an accommodation need during the recruitment \&amp; selection process, we encourage you to connect with us at aoda\_hr@superiorpropane.com to let us know how we can enhance your experience."</t>
        </is>
      </c>
    </row>
    <row r="121">
      <c r="A121" t="inlineStr">
        <is>
          <t>in-29aca0180454c728</t>
        </is>
      </c>
      <c r="B121" t="inlineStr">
        <is>
          <t>Technical Product Owner</t>
        </is>
      </c>
      <c r="C121" t="inlineStr">
        <is>
          <t>Ensora Health</t>
        </is>
      </c>
      <c r="D121" t="inlineStr">
        <is>
          <t>indeed</t>
        </is>
      </c>
      <c r="E121">
        <f>HYPERLINK("https://www.indeed.com/viewjob?jk=29aca0180454c728", "https://www.indeed.com/viewjob?jk=29aca0180454c728")</f>
        <v/>
      </c>
      <c r="F121">
        <f>HYPERLINK("https://therapybrands.wd1.myworkdayjobs.com/EnsoraHealth/job/Remote---Georgia/Technical-Product-Owner_R432", "https://therapybrands.wd1.myworkdayjobs.com/EnsoraHealth/job/Remote---Georgia/Technical-Product-Owner_R432")</f>
        <v/>
      </c>
      <c r="G121" t="inlineStr">
        <is>
          <t>Fargo, ND, US</t>
        </is>
      </c>
      <c r="H121" s="2" t="n">
        <v>46069</v>
      </c>
      <c r="I121"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The Technical Product Owner plays a critical role in shaping and delivering innovative, high‑impact software solutions. This role blends technical depth, product strategy, and hands‑on experience with AI technologies—including NLP, ML, and LLM platforms—to drive product capabilities that meet business needs and engineer scalable, modern solutions. You will partner closely with cross‑functional teams to define requirements, manage the product backlog, and ensure delivery of features that bring measurable value to customers and internal stakeholders.**What You’ll Do*** Own, prioritize, and refine the product backlog to ensure alignment with business goals, technical strategy, and stakeholder priorities.
* Write clear, actionable user stories and acceptance criteria, including those requiring AI, APIs, integrations, and cloud‑based services.
* Serve as the primary liaison between product management, engineering, and business stakeholders—translating product vision into technical plans and technical constraints into business‑level insights.
* Collaborate closely with AI/ML engineers and data science teams to scope AI\-driven features and evaluate feasibility.
* Participate in all Agile ceremonies, including sprint planning, backlog refinement, retrospectives, and demos, helping ensure consistent delivery of high‑value increments.
* Define and uphold the “definition of done,” validating that delivered features meet quality, performance, and functional expectations.
* Identify, prioritize, and champion resolution of technical debt and architectural enablers.
* Oversee creation and maintenance of technical documentation, such as API guides, system workflows, and integration specifications.
* Recommend ongoing improvements to product workflows, team processes, and technical practices—especially around AI development, deployment, and evaluation.
**What You Bring*** Bachelor’s degree in Computer Science, Engineering, IT, or related field—or equivalent professional experience.
* 3\+ years of experience as a Product Owner or Technical Product Owner in an Agile software development environment. Strong analytical and critical‑thinking skills with the ability to translate complex business needs into practical technical solutions.
* Minimum 1 year of hands‑on experience with AI\-related products or platforms (NLP, ML, LLM technologies).
* Healthcare experience preferred.
* Solid understanding of software development, system architecture, APIs (REST/SOAP), databases, and cloud platforms (AWS, Azure, or GCP).
* Proficiency with backlog management tools such as Jira or Azure DevOps.
* Expertise in writing user stories and acceptance criteria for Agile teams.
* Excellent communication skills with the ability to engage both technical and non‑technical audiences.
* Demonstrated success collaborating with cross‑functional teams, including AI/ML engineering groups.
* Deep understanding of Agile methodologies (Scrum, Kanban).
* Familiarity with AI development workflows, data annotation, model evaluation, and deployment is a plus.
* CSPO or SAFe POPM certification preferred.
* Experience in a domain relevant to Ensora Health is a plus.
* Familiarity with data visualization or analysis tools is beneficial.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22">
      <c r="A122" t="inlineStr">
        <is>
          <t>in-762b653722cc99a6</t>
        </is>
      </c>
      <c r="B122" t="inlineStr">
        <is>
          <t>Technical Product Owner</t>
        </is>
      </c>
      <c r="C122" t="inlineStr">
        <is>
          <t>Ensora Health</t>
        </is>
      </c>
      <c r="D122" t="inlineStr">
        <is>
          <t>indeed</t>
        </is>
      </c>
      <c r="E122">
        <f>HYPERLINK("https://www.indeed.com/viewjob?jk=762b653722cc99a6", "https://www.indeed.com/viewjob?jk=762b653722cc99a6")</f>
        <v/>
      </c>
      <c r="F122">
        <f>HYPERLINK("https://therapybrands.wd1.myworkdayjobs.com/EnsoraHealth/job/Remote---Georgia/Technical-Product-Owner_R432", "https://therapybrands.wd1.myworkdayjobs.com/EnsoraHealth/job/Remote---Georgia/Technical-Product-Owner_R432")</f>
        <v/>
      </c>
      <c r="G122" t="inlineStr">
        <is>
          <t>Baton Rouge, LA, US</t>
        </is>
      </c>
      <c r="H122" s="2" t="n">
        <v>46069</v>
      </c>
      <c r="I122"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The Technical Product Owner plays a critical role in shaping and delivering innovative, high‑impact software solutions. This role blends technical depth, product strategy, and hands‑on experience with AI technologies—including NLP, ML, and LLM platforms—to drive product capabilities that meet business needs and engineer scalable, modern solutions. You will partner closely with cross‑functional teams to define requirements, manage the product backlog, and ensure delivery of features that bring measurable value to customers and internal stakeholders.**What You’ll Do*** Own, prioritize, and refine the product backlog to ensure alignment with business goals, technical strategy, and stakeholder priorities.
* Write clear, actionable user stories and acceptance criteria, including those requiring AI, APIs, integrations, and cloud‑based services.
* Serve as the primary liaison between product management, engineering, and business stakeholders—translating product vision into technical plans and technical constraints into business‑level insights.
* Collaborate closely with AI/ML engineers and data science teams to scope AI\-driven features and evaluate feasibility.
* Participate in all Agile ceremonies, including sprint planning, backlog refinement, retrospectives, and demos, helping ensure consistent delivery of high‑value increments.
* Define and uphold the “definition of done,” validating that delivered features meet quality, performance, and functional expectations.
* Identify, prioritize, and champion resolution of technical debt and architectural enablers.
* Oversee creation and maintenance of technical documentation, such as API guides, system workflows, and integration specifications.
* Recommend ongoing improvements to product workflows, team processes, and technical practices—especially around AI development, deployment, and evaluation.
**What You Bring*** Bachelor’s degree in Computer Science, Engineering, IT, or related field—or equivalent professional experience.
* 3\+ years of experience as a Product Owner or Technical Product Owner in an Agile software development environment. Strong analytical and critical‑thinking skills with the ability to translate complex business needs into practical technical solutions.
* Minimum 1 year of hands‑on experience with AI\-related products or platforms (NLP, ML, LLM technologies).
* Healthcare experience preferred.
* Solid understanding of software development, system architecture, APIs (REST/SOAP), databases, and cloud platforms (AWS, Azure, or GCP).
* Proficiency with backlog management tools such as Jira or Azure DevOps.
* Expertise in writing user stories and acceptance criteria for Agile teams.
* Excellent communication skills with the ability to engage both technical and non‑technical audiences.
* Demonstrated success collaborating with cross‑functional teams, including AI/ML engineering groups.
* Deep understanding of Agile methodologies (Scrum, Kanban).
* Familiarity with AI development workflows, data annotation, model evaluation, and deployment is a plus.
* CSPO or SAFe POPM certification preferred.
* Experience in a domain relevant to Ensora Health is a plus.
* Familiarity with data visualization or analysis tools is beneficial.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23">
      <c r="A123" t="inlineStr">
        <is>
          <t>in-4bbe51bff451331b</t>
        </is>
      </c>
      <c r="B123" t="inlineStr">
        <is>
          <t>Technical Product Owner</t>
        </is>
      </c>
      <c r="C123" t="inlineStr">
        <is>
          <t>Ensora Health</t>
        </is>
      </c>
      <c r="D123" t="inlineStr">
        <is>
          <t>indeed</t>
        </is>
      </c>
      <c r="E123">
        <f>HYPERLINK("https://www.indeed.com/viewjob?jk=4bbe51bff451331b", "https://www.indeed.com/viewjob?jk=4bbe51bff451331b")</f>
        <v/>
      </c>
      <c r="F123">
        <f>HYPERLINK("https://therapybrands.wd1.myworkdayjobs.com/EnsoraHealth/job/Remote---Georgia/Technical-Product-Owner_R432", "https://therapybrands.wd1.myworkdayjobs.com/EnsoraHealth/job/Remote---Georgia/Technical-Product-Owner_R432")</f>
        <v/>
      </c>
      <c r="G123" t="inlineStr">
        <is>
          <t>Greenville, SC, US</t>
        </is>
      </c>
      <c r="H123" s="2" t="n">
        <v>46069</v>
      </c>
      <c r="I123"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The Technical Product Owner plays a critical role in shaping and delivering innovative, high‑impact software solutions. This role blends technical depth, product strategy, and hands‑on experience with AI technologies—including NLP, ML, and LLM platforms—to drive product capabilities that meet business needs and engineer scalable, modern solutions. You will partner closely with cross‑functional teams to define requirements, manage the product backlog, and ensure delivery of features that bring measurable value to customers and internal stakeholders.**What You’ll Do*** Own, prioritize, and refine the product backlog to ensure alignment with business goals, technical strategy, and stakeholder priorities.
* Write clear, actionable user stories and acceptance criteria, including those requiring AI, APIs, integrations, and cloud‑based services.
* Serve as the primary liaison between product management, engineering, and business stakeholders—translating product vision into technical plans and technical constraints into business‑level insights.
* Collaborate closely with AI/ML engineers and data science teams to scope AI\-driven features and evaluate feasibility.
* Participate in all Agile ceremonies, including sprint planning, backlog refinement, retrospectives, and demos, helping ensure consistent delivery of high‑value increments.
* Define and uphold the “definition of done,” validating that delivered features meet quality, performance, and functional expectations.
* Identify, prioritize, and champion resolution of technical debt and architectural enablers.
* Oversee creation and maintenance of technical documentation, such as API guides, system workflows, and integration specifications.
* Recommend ongoing improvements to product workflows, team processes, and technical practices—especially around AI development, deployment, and evaluation.
**What You Bring*** Bachelor’s degree in Computer Science, Engineering, IT, or related field—or equivalent professional experience.
* 3\+ years of experience as a Product Owner or Technical Product Owner in an Agile software development environment. Strong analytical and critical‑thinking skills with the ability to translate complex business needs into practical technical solutions.
* Minimum 1 year of hands‑on experience with AI\-related products or platforms (NLP, ML, LLM technologies).
* Healthcare experience preferred.
* Solid understanding of software development, system architecture, APIs (REST/SOAP), databases, and cloud platforms (AWS, Azure, or GCP).
* Proficiency with backlog management tools such as Jira or Azure DevOps.
* Expertise in writing user stories and acceptance criteria for Agile teams.
* Excellent communication skills with the ability to engage both technical and non‑technical audiences.
* Demonstrated success collaborating with cross‑functional teams, including AI/ML engineering groups.
* Deep understanding of Agile methodologies (Scrum, Kanban).
* Familiarity with AI development workflows, data annotation, model evaluation, and deployment is a plus.
* CSPO or SAFe POPM certification preferred.
* Experience in a domain relevant to Ensora Health is a plus.
* Familiarity with data visualization or analysis tools is beneficial.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24">
      <c r="A124" t="inlineStr">
        <is>
          <t>in-b8b2c64a4afc50cd</t>
        </is>
      </c>
      <c r="B124" t="inlineStr">
        <is>
          <t>Technical Product Owner</t>
        </is>
      </c>
      <c r="C124" t="inlineStr">
        <is>
          <t>Ensora Health</t>
        </is>
      </c>
      <c r="D124" t="inlineStr">
        <is>
          <t>indeed</t>
        </is>
      </c>
      <c r="E124">
        <f>HYPERLINK("https://www.indeed.com/viewjob?jk=b8b2c64a4afc50cd", "https://www.indeed.com/viewjob?jk=b8b2c64a4afc50cd")</f>
        <v/>
      </c>
      <c r="F124">
        <f>HYPERLINK("https://therapybrands.wd1.myworkdayjobs.com/EnsoraHealth/job/Remote---Georgia/Technical-Product-Owner_R432", "https://therapybrands.wd1.myworkdayjobs.com/EnsoraHealth/job/Remote---Georgia/Technical-Product-Owner_R432")</f>
        <v/>
      </c>
      <c r="G124" t="inlineStr">
        <is>
          <t>Liberty, MO, US</t>
        </is>
      </c>
      <c r="H124" s="2" t="n">
        <v>46069</v>
      </c>
      <c r="I124"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The Technical Product Owner plays a critical role in shaping and delivering innovative, high‑impact software solutions. This role blends technical depth, product strategy, and hands‑on experience with AI technologies—including NLP, ML, and LLM platforms—to drive product capabilities that meet business needs and engineer scalable, modern solutions. You will partner closely with cross‑functional teams to define requirements, manage the product backlog, and ensure delivery of features that bring measurable value to customers and internal stakeholders.**What You’ll Do*** Own, prioritize, and refine the product backlog to ensure alignment with business goals, technical strategy, and stakeholder priorities.
* Write clear, actionable user stories and acceptance criteria, including those requiring AI, APIs, integrations, and cloud‑based services.
* Serve as the primary liaison between product management, engineering, and business stakeholders—translating product vision into technical plans and technical constraints into business‑level insights.
* Collaborate closely with AI/ML engineers and data science teams to scope AI\-driven features and evaluate feasibility.
* Participate in all Agile ceremonies, including sprint planning, backlog refinement, retrospectives, and demos, helping ensure consistent delivery of high‑value increments.
* Define and uphold the “definition of done,” validating that delivered features meet quality, performance, and functional expectations.
* Identify, prioritize, and champion resolution of technical debt and architectural enablers.
* Oversee creation and maintenance of technical documentation, such as API guides, system workflows, and integration specifications.
* Recommend ongoing improvements to product workflows, team processes, and technical practices—especially around AI development, deployment, and evaluation.
**What You Bring*** Bachelor’s degree in Computer Science, Engineering, IT, or related field—or equivalent professional experience.
* 3\+ years of experience as a Product Owner or Technical Product Owner in an Agile software development environment. Strong analytical and critical‑thinking skills with the ability to translate complex business needs into practical technical solutions.
* Minimum 1 year of hands‑on experience with AI\-related products or platforms (NLP, ML, LLM technologies).
* Healthcare experience preferred.
* Solid understanding of software development, system architecture, APIs (REST/SOAP), databases, and cloud platforms (AWS, Azure, or GCP).
* Proficiency with backlog management tools such as Jira or Azure DevOps.
* Expertise in writing user stories and acceptance criteria for Agile teams.
* Excellent communication skills with the ability to engage both technical and non‑technical audiences.
* Demonstrated success collaborating with cross‑functional teams, including AI/ML engineering groups.
* Deep understanding of Agile methodologies (Scrum, Kanban).
* Familiarity with AI development workflows, data annotation, model evaluation, and deployment is a plus.
* CSPO or SAFe POPM certification preferred.
* Experience in a domain relevant to Ensora Health is a plus.
* Familiarity with data visualization or analysis tools is beneficial.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25">
      <c r="A125" t="inlineStr">
        <is>
          <t>in-5074585957e42cfc</t>
        </is>
      </c>
      <c r="B125" t="inlineStr">
        <is>
          <t>Technical Product Owner</t>
        </is>
      </c>
      <c r="C125" t="inlineStr">
        <is>
          <t>Ensora Health</t>
        </is>
      </c>
      <c r="D125" t="inlineStr">
        <is>
          <t>indeed</t>
        </is>
      </c>
      <c r="E125">
        <f>HYPERLINK("https://www.indeed.com/viewjob?jk=5074585957e42cfc", "https://www.indeed.com/viewjob?jk=5074585957e42cfc")</f>
        <v/>
      </c>
      <c r="F125">
        <f>HYPERLINK("https://therapybrands.wd1.myworkdayjobs.com/EnsoraHealth/job/Remote---Georgia/Technical-Product-Owner_R432", "https://therapybrands.wd1.myworkdayjobs.com/EnsoraHealth/job/Remote---Georgia/Technical-Product-Owner_R432")</f>
        <v/>
      </c>
      <c r="G125" t="inlineStr">
        <is>
          <t>Jacksonville, FL, US</t>
        </is>
      </c>
      <c r="H125" s="2" t="n">
        <v>46069</v>
      </c>
      <c r="I125"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The Technical Product Owner plays a critical role in shaping and delivering innovative, high‑impact software solutions. This role blends technical depth, product strategy, and hands‑on experience with AI technologies—including NLP, ML, and LLM platforms—to drive product capabilities that meet business needs and engineer scalable, modern solutions. You will partner closely with cross‑functional teams to define requirements, manage the product backlog, and ensure delivery of features that bring measurable value to customers and internal stakeholders.**What You’ll Do*** Own, prioritize, and refine the product backlog to ensure alignment with business goals, technical strategy, and stakeholder priorities.
* Write clear, actionable user stories and acceptance criteria, including those requiring AI, APIs, integrations, and cloud‑based services.
* Serve as the primary liaison between product management, engineering, and business stakeholders—translating product vision into technical plans and technical constraints into business‑level insights.
* Collaborate closely with AI/ML engineers and data science teams to scope AI\-driven features and evaluate feasibility.
* Participate in all Agile ceremonies, including sprint planning, backlog refinement, retrospectives, and demos, helping ensure consistent delivery of high‑value increments.
* Define and uphold the “definition of done,” validating that delivered features meet quality, performance, and functional expectations.
* Identify, prioritize, and champion resolution of technical debt and architectural enablers.
* Oversee creation and maintenance of technical documentation, such as API guides, system workflows, and integration specifications.
* Recommend ongoing improvements to product workflows, team processes, and technical practices—especially around AI development, deployment, and evaluation.
**What You Bring*** Bachelor’s degree in Computer Science, Engineering, IT, or related field—or equivalent professional experience.
* 3\+ years of experience as a Product Owner or Technical Product Owner in an Agile software development environment. Strong analytical and critical‑thinking skills with the ability to translate complex business needs into practical technical solutions.
* Minimum 1 year of hands‑on experience with AI\-related products or platforms (NLP, ML, LLM technologies).
* Healthcare experience preferred.
* Solid understanding of software development, system architecture, APIs (REST/SOAP), databases, and cloud platforms (AWS, Azure, or GCP).
* Proficiency with backlog management tools such as Jira or Azure DevOps.
* Expertise in writing user stories and acceptance criteria for Agile teams.
* Excellent communication skills with the ability to engage both technical and non‑technical audiences.
* Demonstrated success collaborating with cross‑functional teams, including AI/ML engineering groups.
* Deep understanding of Agile methodologies (Scrum, Kanban).
* Familiarity with AI development workflows, data annotation, model evaluation, and deployment is a plus.
* CSPO or SAFe POPM certification preferred.
* Experience in a domain relevant to Ensora Health is a plus.
* Familiarity with data visualization or analysis tools is beneficial.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26">
      <c r="A126" t="inlineStr">
        <is>
          <t>in-e6ca45b9bab19ea2</t>
        </is>
      </c>
      <c r="B126" t="inlineStr">
        <is>
          <t>Technical Product Owner</t>
        </is>
      </c>
      <c r="C126" t="inlineStr">
        <is>
          <t>Ensora Health</t>
        </is>
      </c>
      <c r="D126" t="inlineStr">
        <is>
          <t>indeed</t>
        </is>
      </c>
      <c r="E126">
        <f>HYPERLINK("https://www.indeed.com/viewjob?jk=e6ca45b9bab19ea2", "https://www.indeed.com/viewjob?jk=e6ca45b9bab19ea2")</f>
        <v/>
      </c>
      <c r="F126">
        <f>HYPERLINK("https://therapybrands.wd1.myworkdayjobs.com/EnsoraHealth/job/Remote---Georgia/Technical-Product-Owner_R432", "https://therapybrands.wd1.myworkdayjobs.com/EnsoraHealth/job/Remote---Georgia/Technical-Product-Owner_R432")</f>
        <v/>
      </c>
      <c r="G126" t="inlineStr">
        <is>
          <t>Harrisburg, PA, US</t>
        </is>
      </c>
      <c r="H126" s="2" t="n">
        <v>46069</v>
      </c>
      <c r="I126"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The Technical Product Owner plays a critical role in shaping and delivering innovative, high‑impact software solutions. This role blends technical depth, product strategy, and hands‑on experience with AI technologies—including NLP, ML, and LLM platforms—to drive product capabilities that meet business needs and engineer scalable, modern solutions. You will partner closely with cross‑functional teams to define requirements, manage the product backlog, and ensure delivery of features that bring measurable value to customers and internal stakeholders.**What You’ll Do*** Own, prioritize, and refine the product backlog to ensure alignment with business goals, technical strategy, and stakeholder priorities.
* Write clear, actionable user stories and acceptance criteria, including those requiring AI, APIs, integrations, and cloud‑based services.
* Serve as the primary liaison between product management, engineering, and business stakeholders—translating product vision into technical plans and technical constraints into business‑level insights.
* Collaborate closely with AI/ML engineers and data science teams to scope AI\-driven features and evaluate feasibility.
* Participate in all Agile ceremonies, including sprint planning, backlog refinement, retrospectives, and demos, helping ensure consistent delivery of high‑value increments.
* Define and uphold the “definition of done,” validating that delivered features meet quality, performance, and functional expectations.
* Identify, prioritize, and champion resolution of technical debt and architectural enablers.
* Oversee creation and maintenance of technical documentation, such as API guides, system workflows, and integration specifications.
* Recommend ongoing improvements to product workflows, team processes, and technical practices—especially around AI development, deployment, and evaluation.
**What You Bring*** Bachelor’s degree in Computer Science, Engineering, IT, or related field—or equivalent professional experience.
* 3\+ years of experience as a Product Owner or Technical Product Owner in an Agile software development environment. Strong analytical and critical‑thinking skills with the ability to translate complex business needs into practical technical solutions.
* Minimum 1 year of hands‑on experience with AI\-related products or platforms (NLP, ML, LLM technologies).
* Healthcare experience preferred.
* Solid understanding of software development, system architecture, APIs (REST/SOAP), databases, and cloud platforms (AWS, Azure, or GCP).
* Proficiency with backlog management tools such as Jira or Azure DevOps.
* Expertise in writing user stories and acceptance criteria for Agile teams.
* Excellent communication skills with the ability to engage both technical and non‑technical audiences.
* Demonstrated success collaborating with cross‑functional teams, including AI/ML engineering groups.
* Deep understanding of Agile methodologies (Scrum, Kanban).
* Familiarity with AI development workflows, data annotation, model evaluation, and deployment is a plus.
* CSPO or SAFe POPM certification preferred.
* Experience in a domain relevant to Ensora Health is a plus.
* Familiarity with data visualization or analysis tools is beneficial.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27">
      <c r="A127" t="inlineStr">
        <is>
          <t>in-7dfbfb7b3ce6f3bc</t>
        </is>
      </c>
      <c r="B127" t="inlineStr">
        <is>
          <t>Technical Product Owner</t>
        </is>
      </c>
      <c r="C127" t="inlineStr">
        <is>
          <t>Ensora Health</t>
        </is>
      </c>
      <c r="D127" t="inlineStr">
        <is>
          <t>indeed</t>
        </is>
      </c>
      <c r="E127">
        <f>HYPERLINK("https://www.indeed.com/viewjob?jk=7dfbfb7b3ce6f3bc", "https://www.indeed.com/viewjob?jk=7dfbfb7b3ce6f3bc")</f>
        <v/>
      </c>
      <c r="F127">
        <f>HYPERLINK("https://therapybrands.wd1.myworkdayjobs.com/EnsoraHealth/job/Remote---Georgia/Technical-Product-Owner_R432", "https://therapybrands.wd1.myworkdayjobs.com/EnsoraHealth/job/Remote---Georgia/Technical-Product-Owner_R432")</f>
        <v/>
      </c>
      <c r="G127" t="inlineStr">
        <is>
          <t>Newmarket, NH, US</t>
        </is>
      </c>
      <c r="H127" s="2" t="n">
        <v>46069</v>
      </c>
      <c r="I127"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The Technical Product Owner plays a critical role in shaping and delivering innovative, high‑impact software solutions. This role blends technical depth, product strategy, and hands‑on experience with AI technologies—including NLP, ML, and LLM platforms—to drive product capabilities that meet business needs and engineer scalable, modern solutions. You will partner closely with cross‑functional teams to define requirements, manage the product backlog, and ensure delivery of features that bring measurable value to customers and internal stakeholders.**What You’ll Do*** Own, prioritize, and refine the product backlog to ensure alignment with business goals, technical strategy, and stakeholder priorities.
* Write clear, actionable user stories and acceptance criteria, including those requiring AI, APIs, integrations, and cloud‑based services.
* Serve as the primary liaison between product management, engineering, and business stakeholders—translating product vision into technical plans and technical constraints into business‑level insights.
* Collaborate closely with AI/ML engineers and data science teams to scope AI\-driven features and evaluate feasibility.
* Participate in all Agile ceremonies, including sprint planning, backlog refinement, retrospectives, and demos, helping ensure consistent delivery of high‑value increments.
* Define and uphold the “definition of done,” validating that delivered features meet quality, performance, and functional expectations.
* Identify, prioritize, and champion resolution of technical debt and architectural enablers.
* Oversee creation and maintenance of technical documentation, such as API guides, system workflows, and integration specifications.
* Recommend ongoing improvements to product workflows, team processes, and technical practices—especially around AI development, deployment, and evaluation.
**What You Bring*** Bachelor’s degree in Computer Science, Engineering, IT, or related field—or equivalent professional experience.
* 3\+ years of experience as a Product Owner or Technical Product Owner in an Agile software development environment. Strong analytical and critical‑thinking skills with the ability to translate complex business needs into practical technical solutions.
* Minimum 1 year of hands‑on experience with AI\-related products or platforms (NLP, ML, LLM technologies).
* Healthcare experience preferred.
* Solid understanding of software development, system architecture, APIs (REST/SOAP), databases, and cloud platforms (AWS, Azure, or GCP).
* Proficiency with backlog management tools such as Jira or Azure DevOps.
* Expertise in writing user stories and acceptance criteria for Agile teams.
* Excellent communication skills with the ability to engage both technical and non‑technical audiences.
* Demonstrated success collaborating with cross‑functional teams, including AI/ML engineering groups.
* Deep understanding of Agile methodologies (Scrum, Kanban).
* Familiarity with AI development workflows, data annotation, model evaluation, and deployment is a plus.
* CSPO or SAFe POPM certification preferred.
* Experience in a domain relevant to Ensora Health is a plus.
* Familiarity with data visualization or analysis tools is beneficial.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28">
      <c r="A128" t="inlineStr">
        <is>
          <t>in-ff670057c20e0996</t>
        </is>
      </c>
      <c r="B128" t="inlineStr">
        <is>
          <t>Technical Product Owner</t>
        </is>
      </c>
      <c r="C128" t="inlineStr">
        <is>
          <t>Ensora Health</t>
        </is>
      </c>
      <c r="D128" t="inlineStr">
        <is>
          <t>indeed</t>
        </is>
      </c>
      <c r="E128">
        <f>HYPERLINK("https://www.indeed.com/viewjob?jk=ff670057c20e0996", "https://www.indeed.com/viewjob?jk=ff670057c20e0996")</f>
        <v/>
      </c>
      <c r="F128">
        <f>HYPERLINK("https://therapybrands.wd1.myworkdayjobs.com/EnsoraHealth/job/Remote---Georgia/Technical-Product-Owner_R432", "https://therapybrands.wd1.myworkdayjobs.com/EnsoraHealth/job/Remote---Georgia/Technical-Product-Owner_R432")</f>
        <v/>
      </c>
      <c r="G128" t="inlineStr">
        <is>
          <t>Annapolis, MD, US</t>
        </is>
      </c>
      <c r="H128" s="2" t="n">
        <v>46069</v>
      </c>
      <c r="I128"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The Technical Product Owner plays a critical role in shaping and delivering innovative, high‑impact software solutions. This role blends technical depth, product strategy, and hands‑on experience with AI technologies—including NLP, ML, and LLM platforms—to drive product capabilities that meet business needs and engineer scalable, modern solutions. You will partner closely with cross‑functional teams to define requirements, manage the product backlog, and ensure delivery of features that bring measurable value to customers and internal stakeholders.**What You’ll Do*** Own, prioritize, and refine the product backlog to ensure alignment with business goals, technical strategy, and stakeholder priorities.
* Write clear, actionable user stories and acceptance criteria, including those requiring AI, APIs, integrations, and cloud‑based services.
* Serve as the primary liaison between product management, engineering, and business stakeholders—translating product vision into technical plans and technical constraints into business‑level insights.
* Collaborate closely with AI/ML engineers and data science teams to scope AI\-driven features and evaluate feasibility.
* Participate in all Agile ceremonies, including sprint planning, backlog refinement, retrospectives, and demos, helping ensure consistent delivery of high‑value increments.
* Define and uphold the “definition of done,” validating that delivered features meet quality, performance, and functional expectations.
* Identify, prioritize, and champion resolution of technical debt and architectural enablers.
* Oversee creation and maintenance of technical documentation, such as API guides, system workflows, and integration specifications.
* Recommend ongoing improvements to product workflows, team processes, and technical practices—especially around AI development, deployment, and evaluation.
**What You Bring*** Bachelor’s degree in Computer Science, Engineering, IT, or related field—or equivalent professional experience.
* 3\+ years of experience as a Product Owner or Technical Product Owner in an Agile software development environment. Strong analytical and critical‑thinking skills with the ability to translate complex business needs into practical technical solutions.
* Minimum 1 year of hands‑on experience with AI\-related products or platforms (NLP, ML, LLM technologies).
* Healthcare experience preferred.
* Solid understanding of software development, system architecture, APIs (REST/SOAP), databases, and cloud platforms (AWS, Azure, or GCP).
* Proficiency with backlog management tools such as Jira or Azure DevOps.
* Expertise in writing user stories and acceptance criteria for Agile teams.
* Excellent communication skills with the ability to engage both technical and non‑technical audiences.
* Demonstrated success collaborating with cross‑functional teams, including AI/ML engineering groups.
* Deep understanding of Agile methodologies (Scrum, Kanban).
* Familiarity with AI development workflows, data annotation, model evaluation, and deployment is a plus.
* CSPO or SAFe POPM certification preferred.
* Experience in a domain relevant to Ensora Health is a plus.
* Familiarity with data visualization or analysis tools is beneficial.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29">
      <c r="A129" t="inlineStr">
        <is>
          <t>in-b9d2e38a55cebd21</t>
        </is>
      </c>
      <c r="B129" t="inlineStr">
        <is>
          <t>Technical Product Owner</t>
        </is>
      </c>
      <c r="C129" t="inlineStr">
        <is>
          <t>Ensora Health</t>
        </is>
      </c>
      <c r="D129" t="inlineStr">
        <is>
          <t>indeed</t>
        </is>
      </c>
      <c r="E129">
        <f>HYPERLINK("https://www.indeed.com/viewjob?jk=b9d2e38a55cebd21", "https://www.indeed.com/viewjob?jk=b9d2e38a55cebd21")</f>
        <v/>
      </c>
      <c r="F129">
        <f>HYPERLINK("https://therapybrands.wd1.myworkdayjobs.com/EnsoraHealth/job/Remote---Georgia/Technical-Product-Owner_R432", "https://therapybrands.wd1.myworkdayjobs.com/EnsoraHealth/job/Remote---Georgia/Technical-Product-Owner_R432")</f>
        <v/>
      </c>
      <c r="G129" t="inlineStr">
        <is>
          <t>Columbus, OH, US</t>
        </is>
      </c>
      <c r="H129" s="2" t="n">
        <v>46069</v>
      </c>
      <c r="I129"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The Technical Product Owner plays a critical role in shaping and delivering innovative, high‑impact software solutions. This role blends technical depth, product strategy, and hands‑on experience with AI technologies—including NLP, ML, and LLM platforms—to drive product capabilities that meet business needs and engineer scalable, modern solutions. You will partner closely with cross‑functional teams to define requirements, manage the product backlog, and ensure delivery of features that bring measurable value to customers and internal stakeholders.**What You’ll Do*** Own, prioritize, and refine the product backlog to ensure alignment with business goals, technical strategy, and stakeholder priorities.
* Write clear, actionable user stories and acceptance criteria, including those requiring AI, APIs, integrations, and cloud‑based services.
* Serve as the primary liaison between product management, engineering, and business stakeholders—translating product vision into technical plans and technical constraints into business‑level insights.
* Collaborate closely with AI/ML engineers and data science teams to scope AI\-driven features and evaluate feasibility.
* Participate in all Agile ceremonies, including sprint planning, backlog refinement, retrospectives, and demos, helping ensure consistent delivery of high‑value increments.
* Define and uphold the “definition of done,” validating that delivered features meet quality, performance, and functional expectations.
* Identify, prioritize, and champion resolution of technical debt and architectural enablers.
* Oversee creation and maintenance of technical documentation, such as API guides, system workflows, and integration specifications.
* Recommend ongoing improvements to product workflows, team processes, and technical practices—especially around AI development, deployment, and evaluation.
**What You Bring*** Bachelor’s degree in Computer Science, Engineering, IT, or related field—or equivalent professional experience.
* 3\+ years of experience as a Product Owner or Technical Product Owner in an Agile software development environment. Strong analytical and critical‑thinking skills with the ability to translate complex business needs into practical technical solutions.
* Minimum 1 year of hands‑on experience with AI\-related products or platforms (NLP, ML, LLM technologies).
* Healthcare experience preferred.
* Solid understanding of software development, system architecture, APIs (REST/SOAP), databases, and cloud platforms (AWS, Azure, or GCP).
* Proficiency with backlog management tools such as Jira or Azure DevOps.
* Expertise in writing user stories and acceptance criteria for Agile teams.
* Excellent communication skills with the ability to engage both technical and non‑technical audiences.
* Demonstrated success collaborating with cross‑functional teams, including AI/ML engineering groups.
* Deep understanding of Agile methodologies (Scrum, Kanban).
* Familiarity with AI development workflows, data annotation, model evaluation, and deployment is a plus.
* CSPO or SAFe POPM certification preferred.
* Experience in a domain relevant to Ensora Health is a plus.
* Familiarity with data visualization or analysis tools is beneficial.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30">
      <c r="A130" t="inlineStr">
        <is>
          <t>in-98578e23f60b6835</t>
        </is>
      </c>
      <c r="B130" t="inlineStr">
        <is>
          <t>Technical Product Owner</t>
        </is>
      </c>
      <c r="C130" t="inlineStr">
        <is>
          <t>Ensora Health</t>
        </is>
      </c>
      <c r="D130" t="inlineStr">
        <is>
          <t>indeed</t>
        </is>
      </c>
      <c r="E130">
        <f>HYPERLINK("https://www.indeed.com/viewjob?jk=98578e23f60b6835", "https://www.indeed.com/viewjob?jk=98578e23f60b6835")</f>
        <v/>
      </c>
      <c r="F130">
        <f>HYPERLINK("https://therapybrands.wd1.myworkdayjobs.com/EnsoraHealth/job/Remote---Georgia/Technical-Product-Owner_R432", "https://therapybrands.wd1.myworkdayjobs.com/EnsoraHealth/job/Remote---Georgia/Technical-Product-Owner_R432")</f>
        <v/>
      </c>
      <c r="G130" t="inlineStr">
        <is>
          <t>Frankfort, KY, US</t>
        </is>
      </c>
      <c r="H130" s="2" t="n">
        <v>46069</v>
      </c>
      <c r="I130"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The Technical Product Owner plays a critical role in shaping and delivering innovative, high‑impact software solutions. This role blends technical depth, product strategy, and hands‑on experience with AI technologies—including NLP, ML, and LLM platforms—to drive product capabilities that meet business needs and engineer scalable, modern solutions. You will partner closely with cross‑functional teams to define requirements, manage the product backlog, and ensure delivery of features that bring measurable value to customers and internal stakeholders.**What You’ll Do*** Own, prioritize, and refine the product backlog to ensure alignment with business goals, technical strategy, and stakeholder priorities.
* Write clear, actionable user stories and acceptance criteria, including those requiring AI, APIs, integrations, and cloud‑based services.
* Serve as the primary liaison between product management, engineering, and business stakeholders—translating product vision into technical plans and technical constraints into business‑level insights.
* Collaborate closely with AI/ML engineers and data science teams to scope AI\-driven features and evaluate feasibility.
* Participate in all Agile ceremonies, including sprint planning, backlog refinement, retrospectives, and demos, helping ensure consistent delivery of high‑value increments.
* Define and uphold the “definition of done,” validating that delivered features meet quality, performance, and functional expectations.
* Identify, prioritize, and champion resolution of technical debt and architectural enablers.
* Oversee creation and maintenance of technical documentation, such as API guides, system workflows, and integration specifications.
* Recommend ongoing improvements to product workflows, team processes, and technical practices—especially around AI development, deployment, and evaluation.
**What You Bring*** Bachelor’s degree in Computer Science, Engineering, IT, or related field—or equivalent professional experience.
* 3\+ years of experience as a Product Owner or Technical Product Owner in an Agile software development environment. Strong analytical and critical‑thinking skills with the ability to translate complex business needs into practical technical solutions.
* Minimum 1 year of hands‑on experience with AI\-related products or platforms (NLP, ML, LLM technologies).
* Healthcare experience preferred.
* Solid understanding of software development, system architecture, APIs (REST/SOAP), databases, and cloud platforms (AWS, Azure, or GCP).
* Proficiency with backlog management tools such as Jira or Azure DevOps.
* Expertise in writing user stories and acceptance criteria for Agile teams.
* Excellent communication skills with the ability to engage both technical and non‑technical audiences.
* Demonstrated success collaborating with cross‑functional teams, including AI/ML engineering groups.
* Deep understanding of Agile methodologies (Scrum, Kanban).
* Familiarity with AI development workflows, data annotation, model evaluation, and deployment is a plus.
* CSPO or SAFe POPM certification preferred.
* Experience in a domain relevant to Ensora Health is a plus.
* Familiarity with data visualization or analysis tools is beneficial.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31">
      <c r="A131" t="inlineStr">
        <is>
          <t>in-1fec991b8da3133e</t>
        </is>
      </c>
      <c r="B131" t="inlineStr">
        <is>
          <t>Technical Product Owner</t>
        </is>
      </c>
      <c r="C131" t="inlineStr">
        <is>
          <t>Ensora Health</t>
        </is>
      </c>
      <c r="D131" t="inlineStr">
        <is>
          <t>indeed</t>
        </is>
      </c>
      <c r="E131">
        <f>HYPERLINK("https://www.indeed.com/viewjob?jk=1fec991b8da3133e", "https://www.indeed.com/viewjob?jk=1fec991b8da3133e")</f>
        <v/>
      </c>
      <c r="F131">
        <f>HYPERLINK("https://therapybrands.wd1.myworkdayjobs.com/EnsoraHealth/job/Remote---Georgia/Technical-Product-Owner_R432", "https://therapybrands.wd1.myworkdayjobs.com/EnsoraHealth/job/Remote---Georgia/Technical-Product-Owner_R432")</f>
        <v/>
      </c>
      <c r="G131" t="inlineStr">
        <is>
          <t>Newport, MI, US</t>
        </is>
      </c>
      <c r="H131" s="2" t="n">
        <v>46069</v>
      </c>
      <c r="I131"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The Technical Product Owner plays a critical role in shaping and delivering innovative, high‑impact software solutions. This role blends technical depth, product strategy, and hands‑on experience with AI technologies—including NLP, ML, and LLM platforms—to drive product capabilities that meet business needs and engineer scalable, modern solutions. You will partner closely with cross‑functional teams to define requirements, manage the product backlog, and ensure delivery of features that bring measurable value to customers and internal stakeholders.**What You’ll Do*** Own, prioritize, and refine the product backlog to ensure alignment with business goals, technical strategy, and stakeholder priorities.
* Write clear, actionable user stories and acceptance criteria, including those requiring AI, APIs, integrations, and cloud‑based services.
* Serve as the primary liaison between product management, engineering, and business stakeholders—translating product vision into technical plans and technical constraints into business‑level insights.
* Collaborate closely with AI/ML engineers and data science teams to scope AI\-driven features and evaluate feasibility.
* Participate in all Agile ceremonies, including sprint planning, backlog refinement, retrospectives, and demos, helping ensure consistent delivery of high‑value increments.
* Define and uphold the “definition of done,” validating that delivered features meet quality, performance, and functional expectations.
* Identify, prioritize, and champion resolution of technical debt and architectural enablers.
* Oversee creation and maintenance of technical documentation, such as API guides, system workflows, and integration specifications.
* Recommend ongoing improvements to product workflows, team processes, and technical practices—especially around AI development, deployment, and evaluation.
**What You Bring*** Bachelor’s degree in Computer Science, Engineering, IT, or related field—or equivalent professional experience.
* 3\+ years of experience as a Product Owner or Technical Product Owner in an Agile software development environment. Strong analytical and critical‑thinking skills with the ability to translate complex business needs into practical technical solutions.
* Minimum 1 year of hands‑on experience with AI\-related products or platforms (NLP, ML, LLM technologies).
* Healthcare experience preferred.
* Solid understanding of software development, system architecture, APIs (REST/SOAP), databases, and cloud platforms (AWS, Azure, or GCP).
* Proficiency with backlog management tools such as Jira or Azure DevOps.
* Expertise in writing user stories and acceptance criteria for Agile teams.
* Excellent communication skills with the ability to engage both technical and non‑technical audiences.
* Demonstrated success collaborating with cross‑functional teams, including AI/ML engineering groups.
* Deep understanding of Agile methodologies (Scrum, Kanban).
* Familiarity with AI development workflows, data annotation, model evaluation, and deployment is a plus.
* CSPO or SAFe POPM certification preferred.
* Experience in a domain relevant to Ensora Health is a plus.
* Familiarity with data visualization or analysis tools is beneficial.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32">
      <c r="A132" t="inlineStr">
        <is>
          <t>in-55a89d51dd79da55</t>
        </is>
      </c>
      <c r="B132" t="inlineStr">
        <is>
          <t>Technical Product Owner</t>
        </is>
      </c>
      <c r="C132" t="inlineStr">
        <is>
          <t>Ensora Health</t>
        </is>
      </c>
      <c r="D132" t="inlineStr">
        <is>
          <t>indeed</t>
        </is>
      </c>
      <c r="E132">
        <f>HYPERLINK("https://www.indeed.com/viewjob?jk=55a89d51dd79da55", "https://www.indeed.com/viewjob?jk=55a89d51dd79da55")</f>
        <v/>
      </c>
      <c r="F132">
        <f>HYPERLINK("https://therapybrands.wd1.myworkdayjobs.com/EnsoraHealth/job/Remote---Georgia/Technical-Product-Owner_R432", "https://therapybrands.wd1.myworkdayjobs.com/EnsoraHealth/job/Remote---Georgia/Technical-Product-Owner_R432")</f>
        <v/>
      </c>
      <c r="G132" t="inlineStr">
        <is>
          <t>Derby, CT, US</t>
        </is>
      </c>
      <c r="H132" s="2" t="n">
        <v>46069</v>
      </c>
      <c r="I132"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The Technical Product Owner plays a critical role in shaping and delivering innovative, high‑impact software solutions. This role blends technical depth, product strategy, and hands‑on experience with AI technologies—including NLP, ML, and LLM platforms—to drive product capabilities that meet business needs and engineer scalable, modern solutions. You will partner closely with cross‑functional teams to define requirements, manage the product backlog, and ensure delivery of features that bring measurable value to customers and internal stakeholders.**What You’ll Do*** Own, prioritize, and refine the product backlog to ensure alignment with business goals, technical strategy, and stakeholder priorities.
* Write clear, actionable user stories and acceptance criteria, including those requiring AI, APIs, integrations, and cloud‑based services.
* Serve as the primary liaison between product management, engineering, and business stakeholders—translating product vision into technical plans and technical constraints into business‑level insights.
* Collaborate closely with AI/ML engineers and data science teams to scope AI\-driven features and evaluate feasibility.
* Participate in all Agile ceremonies, including sprint planning, backlog refinement, retrospectives, and demos, helping ensure consistent delivery of high‑value increments.
* Define and uphold the “definition of done,” validating that delivered features meet quality, performance, and functional expectations.
* Identify, prioritize, and champion resolution of technical debt and architectural enablers.
* Oversee creation and maintenance of technical documentation, such as API guides, system workflows, and integration specifications.
* Recommend ongoing improvements to product workflows, team processes, and technical practices—especially around AI development, deployment, and evaluation.
**What You Bring*** Bachelor’s degree in Computer Science, Engineering, IT, or related field—or equivalent professional experience.
* 3\+ years of experience as a Product Owner or Technical Product Owner in an Agile software development environment. Strong analytical and critical‑thinking skills with the ability to translate complex business needs into practical technical solutions.
* Minimum 1 year of hands‑on experience with AI\-related products or platforms (NLP, ML, LLM technologies).
* Healthcare experience preferred.
* Solid understanding of software development, system architecture, APIs (REST/SOAP), databases, and cloud platforms (AWS, Azure, or GCP).
* Proficiency with backlog management tools such as Jira or Azure DevOps.
* Expertise in writing user stories and acceptance criteria for Agile teams.
* Excellent communication skills with the ability to engage both technical and non‑technical audiences.
* Demonstrated success collaborating with cross‑functional teams, including AI/ML engineering groups.
* Deep understanding of Agile methodologies (Scrum, Kanban).
* Familiarity with AI development workflows, data annotation, model evaluation, and deployment is a plus.
* CSPO or SAFe POPM certification preferred.
* Experience in a domain relevant to Ensora Health is a plus.
* Familiarity with data visualization or analysis tools is beneficial.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33">
      <c r="A133" t="inlineStr">
        <is>
          <t>in-df716e8836faacec</t>
        </is>
      </c>
      <c r="B133" t="inlineStr">
        <is>
          <t>Technical Product Owner</t>
        </is>
      </c>
      <c r="C133" t="inlineStr">
        <is>
          <t>Ensora Health</t>
        </is>
      </c>
      <c r="D133" t="inlineStr">
        <is>
          <t>indeed</t>
        </is>
      </c>
      <c r="E133">
        <f>HYPERLINK("https://www.indeed.com/viewjob?jk=df716e8836faacec", "https://www.indeed.com/viewjob?jk=df716e8836faacec")</f>
        <v/>
      </c>
      <c r="F133">
        <f>HYPERLINK("https://therapybrands.wd1.myworkdayjobs.com/EnsoraHealth/job/Remote---Georgia/Technical-Product-Owner_R432", "https://therapybrands.wd1.myworkdayjobs.com/EnsoraHealth/job/Remote---Georgia/Technical-Product-Owner_R432")</f>
        <v/>
      </c>
      <c r="G133" t="inlineStr">
        <is>
          <t>Indianapolis, IN, US</t>
        </is>
      </c>
      <c r="H133" s="2" t="n">
        <v>46069</v>
      </c>
      <c r="I133"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The Technical Product Owner plays a critical role in shaping and delivering innovative, high‑impact software solutions. This role blends technical depth, product strategy, and hands‑on experience with AI technologies—including NLP, ML, and LLM platforms—to drive product capabilities that meet business needs and engineer scalable, modern solutions. You will partner closely with cross‑functional teams to define requirements, manage the product backlog, and ensure delivery of features that bring measurable value to customers and internal stakeholders.**What You’ll Do*** Own, prioritize, and refine the product backlog to ensure alignment with business goals, technical strategy, and stakeholder priorities.
* Write clear, actionable user stories and acceptance criteria, including those requiring AI, APIs, integrations, and cloud‑based services.
* Serve as the primary liaison between product management, engineering, and business stakeholders—translating product vision into technical plans and technical constraints into business‑level insights.
* Collaborate closely with AI/ML engineers and data science teams to scope AI\-driven features and evaluate feasibility.
* Participate in all Agile ceremonies, including sprint planning, backlog refinement, retrospectives, and demos, helping ensure consistent delivery of high‑value increments.
* Define and uphold the “definition of done,” validating that delivered features meet quality, performance, and functional expectations.
* Identify, prioritize, and champion resolution of technical debt and architectural enablers.
* Oversee creation and maintenance of technical documentation, such as API guides, system workflows, and integration specifications.
* Recommend ongoing improvements to product workflows, team processes, and technical practices—especially around AI development, deployment, and evaluation.
**What You Bring*** Bachelor’s degree in Computer Science, Engineering, IT, or related field—or equivalent professional experience.
* 3\+ years of experience as a Product Owner or Technical Product Owner in an Agile software development environment. Strong analytical and critical‑thinking skills with the ability to translate complex business needs into practical technical solutions.
* Minimum 1 year of hands‑on experience with AI\-related products or platforms (NLP, ML, LLM technologies).
* Healthcare experience preferred.
* Solid understanding of software development, system architecture, APIs (REST/SOAP), databases, and cloud platforms (AWS, Azure, or GCP).
* Proficiency with backlog management tools such as Jira or Azure DevOps.
* Expertise in writing user stories and acceptance criteria for Agile teams.
* Excellent communication skills with the ability to engage both technical and non‑technical audiences.
* Demonstrated success collaborating with cross‑functional teams, including AI/ML engineering groups.
* Deep understanding of Agile methodologies (Scrum, Kanban).
* Familiarity with AI development workflows, data annotation, model evaluation, and deployment is a plus.
* CSPO or SAFe POPM certification preferred.
* Experience in a domain relevant to Ensora Health is a plus.
* Familiarity with data visualization or analysis tools is beneficial.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34">
      <c r="A134" t="inlineStr">
        <is>
          <t>in-8bb800e3c617ee89</t>
        </is>
      </c>
      <c r="B134" t="inlineStr">
        <is>
          <t>Technical Product Owner</t>
        </is>
      </c>
      <c r="C134" t="inlineStr">
        <is>
          <t>Ensora Health</t>
        </is>
      </c>
      <c r="D134" t="inlineStr">
        <is>
          <t>indeed</t>
        </is>
      </c>
      <c r="E134">
        <f>HYPERLINK("https://www.indeed.com/viewjob?jk=8bb800e3c617ee89", "https://www.indeed.com/viewjob?jk=8bb800e3c617ee89")</f>
        <v/>
      </c>
      <c r="F134">
        <f>HYPERLINK("https://therapybrands.wd1.myworkdayjobs.com/EnsoraHealth/job/Remote---Georgia/Technical-Product-Owner_R432", "https://therapybrands.wd1.myworkdayjobs.com/EnsoraHealth/job/Remote---Georgia/Technical-Product-Owner_R432")</f>
        <v/>
      </c>
      <c r="G134" t="inlineStr">
        <is>
          <t>Portland, ME, US</t>
        </is>
      </c>
      <c r="H134" s="2" t="n">
        <v>46069</v>
      </c>
      <c r="I134"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The Technical Product Owner plays a critical role in shaping and delivering innovative, high‑impact software solutions. This role blends technical depth, product strategy, and hands‑on experience with AI technologies—including NLP, ML, and LLM platforms—to drive product capabilities that meet business needs and engineer scalable, modern solutions. You will partner closely with cross‑functional teams to define requirements, manage the product backlog, and ensure delivery of features that bring measurable value to customers and internal stakeholders.**What You’ll Do*** Own, prioritize, and refine the product backlog to ensure alignment with business goals, technical strategy, and stakeholder priorities.
* Write clear, actionable user stories and acceptance criteria, including those requiring AI, APIs, integrations, and cloud‑based services.
* Serve as the primary liaison between product management, engineering, and business stakeholders—translating product vision into technical plans and technical constraints into business‑level insights.
* Collaborate closely with AI/ML engineers and data science teams to scope AI\-driven features and evaluate feasibility.
* Participate in all Agile ceremonies, including sprint planning, backlog refinement, retrospectives, and demos, helping ensure consistent delivery of high‑value increments.
* Define and uphold the “definition of done,” validating that delivered features meet quality, performance, and functional expectations.
* Identify, prioritize, and champion resolution of technical debt and architectural enablers.
* Oversee creation and maintenance of technical documentation, such as API guides, system workflows, and integration specifications.
* Recommend ongoing improvements to product workflows, team processes, and technical practices—especially around AI development, deployment, and evaluation.
**What You Bring*** Bachelor’s degree in Computer Science, Engineering, IT, or related field—or equivalent professional experience.
* 3\+ years of experience as a Product Owner or Technical Product Owner in an Agile software development environment. Strong analytical and critical‑thinking skills with the ability to translate complex business needs into practical technical solutions.
* Minimum 1 year of hands‑on experience with AI\-related products or platforms (NLP, ML, LLM technologies).
* Healthcare experience preferred.
* Solid understanding of software development, system architecture, APIs (REST/SOAP), databases, and cloud platforms (AWS, Azure, or GCP).
* Proficiency with backlog management tools such as Jira or Azure DevOps.
* Expertise in writing user stories and acceptance criteria for Agile teams.
* Excellent communication skills with the ability to engage both technical and non‑technical audiences.
* Demonstrated success collaborating with cross‑functional teams, including AI/ML engineering groups.
* Deep understanding of Agile methodologies (Scrum, Kanban).
* Familiarity with AI development workflows, data annotation, model evaluation, and deployment is a plus.
* CSPO or SAFe POPM certification preferred.
* Experience in a domain relevant to Ensora Health is a plus.
* Familiarity with data visualization or analysis tools is beneficial.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35">
      <c r="A135" t="inlineStr">
        <is>
          <t>in-0c638c84fb810460</t>
        </is>
      </c>
      <c r="B135" t="inlineStr">
        <is>
          <t>Technical Product Owner</t>
        </is>
      </c>
      <c r="C135" t="inlineStr">
        <is>
          <t>Ensora Health</t>
        </is>
      </c>
      <c r="D135" t="inlineStr">
        <is>
          <t>indeed</t>
        </is>
      </c>
      <c r="E135">
        <f>HYPERLINK("https://www.indeed.com/viewjob?jk=0c638c84fb810460", "https://www.indeed.com/viewjob?jk=0c638c84fb810460")</f>
        <v/>
      </c>
      <c r="F135">
        <f>HYPERLINK("https://therapybrands.wd1.myworkdayjobs.com/EnsoraHealth/job/Remote---Georgia/Technical-Product-Owner_R432", "https://therapybrands.wd1.myworkdayjobs.com/EnsoraHealth/job/Remote---Georgia/Technical-Product-Owner_R432")</f>
        <v/>
      </c>
      <c r="G135" t="inlineStr">
        <is>
          <t>Hudson, WI, US</t>
        </is>
      </c>
      <c r="H135" s="2" t="n">
        <v>46069</v>
      </c>
      <c r="I135"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The Technical Product Owner plays a critical role in shaping and delivering innovative, high‑impact software solutions. This role blends technical depth, product strategy, and hands‑on experience with AI technologies—including NLP, ML, and LLM platforms—to drive product capabilities that meet business needs and engineer scalable, modern solutions. You will partner closely with cross‑functional teams to define requirements, manage the product backlog, and ensure delivery of features that bring measurable value to customers and internal stakeholders.**What You’ll Do*** Own, prioritize, and refine the product backlog to ensure alignment with business goals, technical strategy, and stakeholder priorities.
* Write clear, actionable user stories and acceptance criteria, including those requiring AI, APIs, integrations, and cloud‑based services.
* Serve as the primary liaison between product management, engineering, and business stakeholders—translating product vision into technical plans and technical constraints into business‑level insights.
* Collaborate closely with AI/ML engineers and data science teams to scope AI\-driven features and evaluate feasibility.
* Participate in all Agile ceremonies, including sprint planning, backlog refinement, retrospectives, and demos, helping ensure consistent delivery of high‑value increments.
* Define and uphold the “definition of done,” validating that delivered features meet quality, performance, and functional expectations.
* Identify, prioritize, and champion resolution of technical debt and architectural enablers.
* Oversee creation and maintenance of technical documentation, such as API guides, system workflows, and integration specifications.
* Recommend ongoing improvements to product workflows, team processes, and technical practices—especially around AI development, deployment, and evaluation.
**What You Bring*** Bachelor’s degree in Computer Science, Engineering, IT, or related field—or equivalent professional experience.
* 3\+ years of experience as a Product Owner or Technical Product Owner in an Agile software development environment. Strong analytical and critical‑thinking skills with the ability to translate complex business needs into practical technical solutions.
* Minimum 1 year of hands‑on experience with AI\-related products or platforms (NLP, ML, LLM technologies).
* Healthcare experience preferred.
* Solid understanding of software development, system architecture, APIs (REST/SOAP), databases, and cloud platforms (AWS, Azure, or GCP).
* Proficiency with backlog management tools such as Jira or Azure DevOps.
* Expertise in writing user stories and acceptance criteria for Agile teams.
* Excellent communication skills with the ability to engage both technical and non‑technical audiences.
* Demonstrated success collaborating with cross‑functional teams, including AI/ML engineering groups.
* Deep understanding of Agile methodologies (Scrum, Kanban).
* Familiarity with AI development workflows, data annotation, model evaluation, and deployment is a plus.
* CSPO or SAFe POPM certification preferred.
* Experience in a domain relevant to Ensora Health is a plus.
* Familiarity with data visualization or analysis tools is beneficial.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36">
      <c r="A136" t="inlineStr">
        <is>
          <t>in-31c83bfedd0932b0</t>
        </is>
      </c>
      <c r="B136" t="inlineStr">
        <is>
          <t>Technical Product Owner</t>
        </is>
      </c>
      <c r="C136" t="inlineStr">
        <is>
          <t>Ensora Health</t>
        </is>
      </c>
      <c r="D136" t="inlineStr">
        <is>
          <t>indeed</t>
        </is>
      </c>
      <c r="E136">
        <f>HYPERLINK("https://www.indeed.com/viewjob?jk=31c83bfedd0932b0", "https://www.indeed.com/viewjob?jk=31c83bfedd0932b0")</f>
        <v/>
      </c>
      <c r="F136">
        <f>HYPERLINK("https://therapybrands.wd1.myworkdayjobs.com/EnsoraHealth/job/Remote---Georgia/Technical-Product-Owner_R432", "https://therapybrands.wd1.myworkdayjobs.com/EnsoraHealth/job/Remote---Georgia/Technical-Product-Owner_R432")</f>
        <v/>
      </c>
      <c r="G136" t="inlineStr">
        <is>
          <t>Marion, IA, US</t>
        </is>
      </c>
      <c r="H136" s="2" t="n">
        <v>46069</v>
      </c>
      <c r="I136"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The Technical Product Owner plays a critical role in shaping and delivering innovative, high‑impact software solutions. This role blends technical depth, product strategy, and hands‑on experience with AI technologies—including NLP, ML, and LLM platforms—to drive product capabilities that meet business needs and engineer scalable, modern solutions. You will partner closely with cross‑functional teams to define requirements, manage the product backlog, and ensure delivery of features that bring measurable value to customers and internal stakeholders.**What You’ll Do*** Own, prioritize, and refine the product backlog to ensure alignment with business goals, technical strategy, and stakeholder priorities.
* Write clear, actionable user stories and acceptance criteria, including those requiring AI, APIs, integrations, and cloud‑based services.
* Serve as the primary liaison between product management, engineering, and business stakeholders—translating product vision into technical plans and technical constraints into business‑level insights.
* Collaborate closely with AI/ML engineers and data science teams to scope AI\-driven features and evaluate feasibility.
* Participate in all Agile ceremonies, including sprint planning, backlog refinement, retrospectives, and demos, helping ensure consistent delivery of high‑value increments.
* Define and uphold the “definition of done,” validating that delivered features meet quality, performance, and functional expectations.
* Identify, prioritize, and champion resolution of technical debt and architectural enablers.
* Oversee creation and maintenance of technical documentation, such as API guides, system workflows, and integration specifications.
* Recommend ongoing improvements to product workflows, team processes, and technical practices—especially around AI development, deployment, and evaluation.
**What You Bring*** Bachelor’s degree in Computer Science, Engineering, IT, or related field—or equivalent professional experience.
* 3\+ years of experience as a Product Owner or Technical Product Owner in an Agile software development environment. Strong analytical and critical‑thinking skills with the ability to translate complex business needs into practical technical solutions.
* Minimum 1 year of hands‑on experience with AI\-related products or platforms (NLP, ML, LLM technologies).
* Healthcare experience preferred.
* Solid understanding of software development, system architecture, APIs (REST/SOAP), databases, and cloud platforms (AWS, Azure, or GCP).
* Proficiency with backlog management tools such as Jira or Azure DevOps.
* Expertise in writing user stories and acceptance criteria for Agile teams.
* Excellent communication skills with the ability to engage both technical and non‑technical audiences.
* Demonstrated success collaborating with cross‑functional teams, including AI/ML engineering groups.
* Deep understanding of Agile methodologies (Scrum, Kanban).
* Familiarity with AI development workflows, data annotation, model evaluation, and deployment is a plus.
* CSPO or SAFe POPM certification preferred.
* Experience in a domain relevant to Ensora Health is a plus.
* Familiarity with data visualization or analysis tools is beneficial.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37">
      <c r="A137" t="inlineStr">
        <is>
          <t>in-387502f827363175</t>
        </is>
      </c>
      <c r="B137" t="inlineStr">
        <is>
          <t>Technical Product Owner</t>
        </is>
      </c>
      <c r="C137" t="inlineStr">
        <is>
          <t>Ensora Health</t>
        </is>
      </c>
      <c r="D137" t="inlineStr">
        <is>
          <t>indeed</t>
        </is>
      </c>
      <c r="E137">
        <f>HYPERLINK("https://www.indeed.com/viewjob?jk=387502f827363175", "https://www.indeed.com/viewjob?jk=387502f827363175")</f>
        <v/>
      </c>
      <c r="F137">
        <f>HYPERLINK("https://therapybrands.wd1.myworkdayjobs.com/EnsoraHealth/job/Remote---Georgia/Technical-Product-Owner_R432", "https://therapybrands.wd1.myworkdayjobs.com/EnsoraHealth/job/Remote---Georgia/Technical-Product-Owner_R432")</f>
        <v/>
      </c>
      <c r="G137" t="inlineStr">
        <is>
          <t>Stafford, VA, US</t>
        </is>
      </c>
      <c r="H137" s="2" t="n">
        <v>46069</v>
      </c>
      <c r="I137"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The Technical Product Owner plays a critical role in shaping and delivering innovative, high‑impact software solutions. This role blends technical depth, product strategy, and hands‑on experience with AI technologies—including NLP, ML, and LLM platforms—to drive product capabilities that meet business needs and engineer scalable, modern solutions. You will partner closely with cross‑functional teams to define requirements, manage the product backlog, and ensure delivery of features that bring measurable value to customers and internal stakeholders.**What You’ll Do*** Own, prioritize, and refine the product backlog to ensure alignment with business goals, technical strategy, and stakeholder priorities.
* Write clear, actionable user stories and acceptance criteria, including those requiring AI, APIs, integrations, and cloud‑based services.
* Serve as the primary liaison between product management, engineering, and business stakeholders—translating product vision into technical plans and technical constraints into business‑level insights.
* Collaborate closely with AI/ML engineers and data science teams to scope AI\-driven features and evaluate feasibility.
* Participate in all Agile ceremonies, including sprint planning, backlog refinement, retrospectives, and demos, helping ensure consistent delivery of high‑value increments.
* Define and uphold the “definition of done,” validating that delivered features meet quality, performance, and functional expectations.
* Identify, prioritize, and champion resolution of technical debt and architectural enablers.
* Oversee creation and maintenance of technical documentation, such as API guides, system workflows, and integration specifications.
* Recommend ongoing improvements to product workflows, team processes, and technical practices—especially around AI development, deployment, and evaluation.
**What You Bring*** Bachelor’s degree in Computer Science, Engineering, IT, or related field—or equivalent professional experience.
* 3\+ years of experience as a Product Owner or Technical Product Owner in an Agile software development environment. Strong analytical and critical‑thinking skills with the ability to translate complex business needs into practical technical solutions.
* Minimum 1 year of hands‑on experience with AI\-related products or platforms (NLP, ML, LLM technologies).
* Healthcare experience preferred.
* Solid understanding of software development, system architecture, APIs (REST/SOAP), databases, and cloud platforms (AWS, Azure, or GCP).
* Proficiency with backlog management tools such as Jira or Azure DevOps.
* Expertise in writing user stories and acceptance criteria for Agile teams.
* Excellent communication skills with the ability to engage both technical and non‑technical audiences.
* Demonstrated success collaborating with cross‑functional teams, including AI/ML engineering groups.
* Deep understanding of Agile methodologies (Scrum, Kanban).
* Familiarity with AI development workflows, data annotation, model evaluation, and deployment is a plus.
* CSPO or SAFe POPM certification preferred.
* Experience in a domain relevant to Ensora Health is a plus.
* Familiarity with data visualization or analysis tools is beneficial.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38">
      <c r="A138" t="inlineStr">
        <is>
          <t>in-654cf9b1747984e8</t>
        </is>
      </c>
      <c r="B138" t="inlineStr">
        <is>
          <t>Technical Product Owner</t>
        </is>
      </c>
      <c r="C138" t="inlineStr">
        <is>
          <t>Ensora Health</t>
        </is>
      </c>
      <c r="D138" t="inlineStr">
        <is>
          <t>indeed</t>
        </is>
      </c>
      <c r="E138">
        <f>HYPERLINK("https://www.indeed.com/viewjob?jk=654cf9b1747984e8", "https://www.indeed.com/viewjob?jk=654cf9b1747984e8")</f>
        <v/>
      </c>
      <c r="F138">
        <f>HYPERLINK("https://therapybrands.wd1.myworkdayjobs.com/EnsoraHealth/job/Remote---Georgia/Technical-Product-Owner_R432", "https://therapybrands.wd1.myworkdayjobs.com/EnsoraHealth/job/Remote---Georgia/Technical-Product-Owner_R432")</f>
        <v/>
      </c>
      <c r="G138" t="inlineStr">
        <is>
          <t>Tyler, TX, US</t>
        </is>
      </c>
      <c r="H138" s="2" t="n">
        <v>46069</v>
      </c>
      <c r="I138"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The Technical Product Owner plays a critical role in shaping and delivering innovative, high‑impact software solutions. This role blends technical depth, product strategy, and hands‑on experience with AI technologies—including NLP, ML, and LLM platforms—to drive product capabilities that meet business needs and engineer scalable, modern solutions. You will partner closely with cross‑functional teams to define requirements, manage the product backlog, and ensure delivery of features that bring measurable value to customers and internal stakeholders.**What You’ll Do*** Own, prioritize, and refine the product backlog to ensure alignment with business goals, technical strategy, and stakeholder priorities.
* Write clear, actionable user stories and acceptance criteria, including those requiring AI, APIs, integrations, and cloud‑based services.
* Serve as the primary liaison between product management, engineering, and business stakeholders—translating product vision into technical plans and technical constraints into business‑level insights.
* Collaborate closely with AI/ML engineers and data science teams to scope AI\-driven features and evaluate feasibility.
* Participate in all Agile ceremonies, including sprint planning, backlog refinement, retrospectives, and demos, helping ensure consistent delivery of high‑value increments.
* Define and uphold the “definition of done,” validating that delivered features meet quality, performance, and functional expectations.
* Identify, prioritize, and champion resolution of technical debt and architectural enablers.
* Oversee creation and maintenance of technical documentation, such as API guides, system workflows, and integration specifications.
* Recommend ongoing improvements to product workflows, team processes, and technical practices—especially around AI development, deployment, and evaluation.
**What You Bring*** Bachelor’s degree in Computer Science, Engineering, IT, or related field—or equivalent professional experience.
* 3\+ years of experience as a Product Owner or Technical Product Owner in an Agile software development environment. Strong analytical and critical‑thinking skills with the ability to translate complex business needs into practical technical solutions.
* Minimum 1 year of hands‑on experience with AI\-related products or platforms (NLP, ML, LLM technologies).
* Healthcare experience preferred.
* Solid understanding of software development, system architecture, APIs (REST/SOAP), databases, and cloud platforms (AWS, Azure, or GCP).
* Proficiency with backlog management tools such as Jira or Azure DevOps.
* Expertise in writing user stories and acceptance criteria for Agile teams.
* Excellent communication skills with the ability to engage both technical and non‑technical audiences.
* Demonstrated success collaborating with cross‑functional teams, including AI/ML engineering groups.
* Deep understanding of Agile methodologies (Scrum, Kanban).
* Familiarity with AI development workflows, data annotation, model evaluation, and deployment is a plus.
* CSPO or SAFe POPM certification preferred.
* Experience in a domain relevant to Ensora Health is a plus.
* Familiarity with data visualization or analysis tools is beneficial.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39">
      <c r="A139" t="inlineStr">
        <is>
          <t>in-6686e3d5c0cb240c</t>
        </is>
      </c>
      <c r="B139" t="inlineStr">
        <is>
          <t>Technical Product Owner</t>
        </is>
      </c>
      <c r="C139" t="inlineStr">
        <is>
          <t>Ensora Health</t>
        </is>
      </c>
      <c r="D139" t="inlineStr">
        <is>
          <t>indeed</t>
        </is>
      </c>
      <c r="E139">
        <f>HYPERLINK("https://www.indeed.com/viewjob?jk=6686e3d5c0cb240c", "https://www.indeed.com/viewjob?jk=6686e3d5c0cb240c")</f>
        <v/>
      </c>
      <c r="F139">
        <f>HYPERLINK("https://therapybrands.wd1.myworkdayjobs.com/EnsoraHealth/job/Remote---Georgia/Technical-Product-Owner_R432", "https://therapybrands.wd1.myworkdayjobs.com/EnsoraHealth/job/Remote---Georgia/Technical-Product-Owner_R432")</f>
        <v/>
      </c>
      <c r="G139" t="inlineStr">
        <is>
          <t>Nashville, TN, US</t>
        </is>
      </c>
      <c r="H139" s="2" t="n">
        <v>46069</v>
      </c>
      <c r="I139"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The Technical Product Owner plays a critical role in shaping and delivering innovative, high‑impact software solutions. This role blends technical depth, product strategy, and hands‑on experience with AI technologies—including NLP, ML, and LLM platforms—to drive product capabilities that meet business needs and engineer scalable, modern solutions. You will partner closely with cross‑functional teams to define requirements, manage the product backlog, and ensure delivery of features that bring measurable value to customers and internal stakeholders.**What You’ll Do*** Own, prioritize, and refine the product backlog to ensure alignment with business goals, technical strategy, and stakeholder priorities.
* Write clear, actionable user stories and acceptance criteria, including those requiring AI, APIs, integrations, and cloud‑based services.
* Serve as the primary liaison between product management, engineering, and business stakeholders—translating product vision into technical plans and technical constraints into business‑level insights.
* Collaborate closely with AI/ML engineers and data science teams to scope AI\-driven features and evaluate feasibility.
* Participate in all Agile ceremonies, including sprint planning, backlog refinement, retrospectives, and demos, helping ensure consistent delivery of high‑value increments.
* Define and uphold the “definition of done,” validating that delivered features meet quality, performance, and functional expectations.
* Identify, prioritize, and champion resolution of technical debt and architectural enablers.
* Oversee creation and maintenance of technical documentation, such as API guides, system workflows, and integration specifications.
* Recommend ongoing improvements to product workflows, team processes, and technical practices—especially around AI development, deployment, and evaluation.
**What You Bring*** Bachelor’s degree in Computer Science, Engineering, IT, or related field—or equivalent professional experience.
* 3\+ years of experience as a Product Owner or Technical Product Owner in an Agile software development environment. Strong analytical and critical‑thinking skills with the ability to translate complex business needs into practical technical solutions.
* Minimum 1 year of hands‑on experience with AI\-related products or platforms (NLP, ML, LLM technologies).
* Healthcare experience preferred.
* Solid understanding of software development, system architecture, APIs (REST/SOAP), databases, and cloud platforms (AWS, Azure, or GCP).
* Proficiency with backlog management tools such as Jira or Azure DevOps.
* Expertise in writing user stories and acceptance criteria for Agile teams.
* Excellent communication skills with the ability to engage both technical and non‑technical audiences.
* Demonstrated success collaborating with cross‑functional teams, including AI/ML engineering groups.
* Deep understanding of Agile methodologies (Scrum, Kanban).
* Familiarity with AI development workflows, data annotation, model evaluation, and deployment is a plus.
* CSPO or SAFe POPM certification preferred.
* Experience in a domain relevant to Ensora Health is a plus.
* Familiarity with data visualization or analysis tools is beneficial.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40">
      <c r="A140" t="inlineStr">
        <is>
          <t>in-0435919923ea5f69</t>
        </is>
      </c>
      <c r="B140" t="inlineStr">
        <is>
          <t>Technical Product Owner</t>
        </is>
      </c>
      <c r="C140" t="inlineStr">
        <is>
          <t>Ensora Health</t>
        </is>
      </c>
      <c r="D140" t="inlineStr">
        <is>
          <t>indeed</t>
        </is>
      </c>
      <c r="E140">
        <f>HYPERLINK("https://www.indeed.com/viewjob?jk=0435919923ea5f69", "https://www.indeed.com/viewjob?jk=0435919923ea5f69")</f>
        <v/>
      </c>
      <c r="F140">
        <f>HYPERLINK("https://therapybrands.wd1.myworkdayjobs.com/EnsoraHealth/job/Remote---Georgia/Technical-Product-Owner_R432", "https://therapybrands.wd1.myworkdayjobs.com/EnsoraHealth/job/Remote---Georgia/Technical-Product-Owner_R432")</f>
        <v/>
      </c>
      <c r="G140" t="inlineStr">
        <is>
          <t>Medway, MA, US</t>
        </is>
      </c>
      <c r="H140" s="2" t="n">
        <v>46069</v>
      </c>
      <c r="I140"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The Technical Product Owner plays a critical role in shaping and delivering innovative, high‑impact software solutions. This role blends technical depth, product strategy, and hands‑on experience with AI technologies—including NLP, ML, and LLM platforms—to drive product capabilities that meet business needs and engineer scalable, modern solutions. You will partner closely with cross‑functional teams to define requirements, manage the product backlog, and ensure delivery of features that bring measurable value to customers and internal stakeholders.**What You’ll Do*** Own, prioritize, and refine the product backlog to ensure alignment with business goals, technical strategy, and stakeholder priorities.
* Write clear, actionable user stories and acceptance criteria, including those requiring AI, APIs, integrations, and cloud‑based services.
* Serve as the primary liaison between product management, engineering, and business stakeholders—translating product vision into technical plans and technical constraints into business‑level insights.
* Collaborate closely with AI/ML engineers and data science teams to scope AI\-driven features and evaluate feasibility.
* Participate in all Agile ceremonies, including sprint planning, backlog refinement, retrospectives, and demos, helping ensure consistent delivery of high‑value increments.
* Define and uphold the “definition of done,” validating that delivered features meet quality, performance, and functional expectations.
* Identify, prioritize, and champion resolution of technical debt and architectural enablers.
* Oversee creation and maintenance of technical documentation, such as API guides, system workflows, and integration specifications.
* Recommend ongoing improvements to product workflows, team processes, and technical practices—especially around AI development, deployment, and evaluation.
**What You Bring*** Bachelor’s degree in Computer Science, Engineering, IT, or related field—or equivalent professional experience.
* 3\+ years of experience as a Product Owner or Technical Product Owner in an Agile software development environment. Strong analytical and critical‑thinking skills with the ability to translate complex business needs into practical technical solutions.
* Minimum 1 year of hands‑on experience with AI\-related products or platforms (NLP, ML, LLM technologies).
* Healthcare experience preferred.
* Solid understanding of software development, system architecture, APIs (REST/SOAP), databases, and cloud platforms (AWS, Azure, or GCP).
* Proficiency with backlog management tools such as Jira or Azure DevOps.
* Expertise in writing user stories and acceptance criteria for Agile teams.
* Excellent communication skills with the ability to engage both technical and non‑technical audiences.
* Demonstrated success collaborating with cross‑functional teams, including AI/ML engineering groups.
* Deep understanding of Agile methodologies (Scrum, Kanban).
* Familiarity with AI development workflows, data annotation, model evaluation, and deployment is a plus.
* CSPO or SAFe POPM certification preferred.
* Experience in a domain relevant to Ensora Health is a plus.
* Familiarity with data visualization or analysis tools is beneficial.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41">
      <c r="A141" t="inlineStr">
        <is>
          <t>in-04285ae061e80fed</t>
        </is>
      </c>
      <c r="B141" t="inlineStr">
        <is>
          <t>Technical Product Owner</t>
        </is>
      </c>
      <c r="C141" t="inlineStr">
        <is>
          <t>Ensora Health</t>
        </is>
      </c>
      <c r="D141" t="inlineStr">
        <is>
          <t>indeed</t>
        </is>
      </c>
      <c r="E141">
        <f>HYPERLINK("https://www.indeed.com/viewjob?jk=04285ae061e80fed", "https://www.indeed.com/viewjob?jk=04285ae061e80fed")</f>
        <v/>
      </c>
      <c r="F141">
        <f>HYPERLINK("https://therapybrands.wd1.myworkdayjobs.com/EnsoraHealth/job/Remote---Georgia/Technical-Product-Owner_R432", "https://therapybrands.wd1.myworkdayjobs.com/EnsoraHealth/job/Remote---Georgia/Technical-Product-Owner_R432")</f>
        <v/>
      </c>
      <c r="G141" t="inlineStr">
        <is>
          <t>Barrington, RI, US</t>
        </is>
      </c>
      <c r="H141" s="2" t="n">
        <v>46069</v>
      </c>
      <c r="I141"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The Technical Product Owner plays a critical role in shaping and delivering innovative, high‑impact software solutions. This role blends technical depth, product strategy, and hands‑on experience with AI technologies—including NLP, ML, and LLM platforms—to drive product capabilities that meet business needs and engineer scalable, modern solutions. You will partner closely with cross‑functional teams to define requirements, manage the product backlog, and ensure delivery of features that bring measurable value to customers and internal stakeholders.**What You’ll Do*** Own, prioritize, and refine the product backlog to ensure alignment with business goals, technical strategy, and stakeholder priorities.
* Write clear, actionable user stories and acceptance criteria, including those requiring AI, APIs, integrations, and cloud‑based services.
* Serve as the primary liaison between product management, engineering, and business stakeholders—translating product vision into technical plans and technical constraints into business‑level insights.
* Collaborate closely with AI/ML engineers and data science teams to scope AI\-driven features and evaluate feasibility.
* Participate in all Agile ceremonies, including sprint planning, backlog refinement, retrospectives, and demos, helping ensure consistent delivery of high‑value increments.
* Define and uphold the “definition of done,” validating that delivered features meet quality, performance, and functional expectations.
* Identify, prioritize, and champion resolution of technical debt and architectural enablers.
* Oversee creation and maintenance of technical documentation, such as API guides, system workflows, and integration specifications.
* Recommend ongoing improvements to product workflows, team processes, and technical practices—especially around AI development, deployment, and evaluation.
**What You Bring*** Bachelor’s degree in Computer Science, Engineering, IT, or related field—or equivalent professional experience.
* 3\+ years of experience as a Product Owner or Technical Product Owner in an Agile software development environment. Strong analytical and critical‑thinking skills with the ability to translate complex business needs into practical technical solutions.
* Minimum 1 year of hands‑on experience with AI\-related products or platforms (NLP, ML, LLM technologies).
* Healthcare experience preferred.
* Solid understanding of software development, system architecture, APIs (REST/SOAP), databases, and cloud platforms (AWS, Azure, or GCP).
* Proficiency with backlog management tools such as Jira or Azure DevOps.
* Expertise in writing user stories and acceptance criteria for Agile teams.
* Excellent communication skills with the ability to engage both technical and non‑technical audiences.
* Demonstrated success collaborating with cross‑functional teams, including AI/ML engineering groups.
* Deep understanding of Agile methodologies (Scrum, Kanban).
* Familiarity with AI development workflows, data annotation, model evaluation, and deployment is a plus.
* CSPO or SAFe POPM certification preferred.
* Experience in a domain relevant to Ensora Health is a plus.
* Familiarity with data visualization or analysis tools is beneficial.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42">
      <c r="A142" t="inlineStr">
        <is>
          <t>in-0724d7a397cc2d84</t>
        </is>
      </c>
      <c r="B142" t="inlineStr">
        <is>
          <t>Technical Product Owner</t>
        </is>
      </c>
      <c r="C142" t="inlineStr">
        <is>
          <t>Ensora Health</t>
        </is>
      </c>
      <c r="D142" t="inlineStr">
        <is>
          <t>indeed</t>
        </is>
      </c>
      <c r="E142">
        <f>HYPERLINK("https://www.indeed.com/viewjob?jk=0724d7a397cc2d84", "https://www.indeed.com/viewjob?jk=0724d7a397cc2d84")</f>
        <v/>
      </c>
      <c r="F142">
        <f>HYPERLINK("https://therapybrands.wd1.myworkdayjobs.com/EnsoraHealth/job/Remote---Georgia/Technical-Product-Owner_R432", "https://therapybrands.wd1.myworkdayjobs.com/EnsoraHealth/job/Remote---Georgia/Technical-Product-Owner_R432")</f>
        <v/>
      </c>
      <c r="G142" t="inlineStr">
        <is>
          <t>Parlin, NJ, US</t>
        </is>
      </c>
      <c r="H142" s="2" t="n">
        <v>46069</v>
      </c>
      <c r="I142"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The Technical Product Owner plays a critical role in shaping and delivering innovative, high‑impact software solutions. This role blends technical depth, product strategy, and hands‑on experience with AI technologies—including NLP, ML, and LLM platforms—to drive product capabilities that meet business needs and engineer scalable, modern solutions. You will partner closely with cross‑functional teams to define requirements, manage the product backlog, and ensure delivery of features that bring measurable value to customers and internal stakeholders.**What You’ll Do*** Own, prioritize, and refine the product backlog to ensure alignment with business goals, technical strategy, and stakeholder priorities.
* Write clear, actionable user stories and acceptance criteria, including those requiring AI, APIs, integrations, and cloud‑based services.
* Serve as the primary liaison between product management, engineering, and business stakeholders—translating product vision into technical plans and technical constraints into business‑level insights.
* Collaborate closely with AI/ML engineers and data science teams to scope AI\-driven features and evaluate feasibility.
* Participate in all Agile ceremonies, including sprint planning, backlog refinement, retrospectives, and demos, helping ensure consistent delivery of high‑value increments.
* Define and uphold the “definition of done,” validating that delivered features meet quality, performance, and functional expectations.
* Identify, prioritize, and champion resolution of technical debt and architectural enablers.
* Oversee creation and maintenance of technical documentation, such as API guides, system workflows, and integration specifications.
* Recommend ongoing improvements to product workflows, team processes, and technical practices—especially around AI development, deployment, and evaluation.
**What You Bring*** Bachelor’s degree in Computer Science, Engineering, IT, or related field—or equivalent professional experience.
* 3\+ years of experience as a Product Owner or Technical Product Owner in an Agile software development environment. Strong analytical and critical‑thinking skills with the ability to translate complex business needs into practical technical solutions.
* Minimum 1 year of hands‑on experience with AI\-related products or platforms (NLP, ML, LLM technologies).
* Healthcare experience preferred.
* Solid understanding of software development, system architecture, APIs (REST/SOAP), databases, and cloud platforms (AWS, Azure, or GCP).
* Proficiency with backlog management tools such as Jira or Azure DevOps.
* Expertise in writing user stories and acceptance criteria for Agile teams.
* Excellent communication skills with the ability to engage both technical and non‑technical audiences.
* Demonstrated success collaborating with cross‑functional teams, including AI/ML engineering groups.
* Deep understanding of Agile methodologies (Scrum, Kanban).
* Familiarity with AI development workflows, data annotation, model evaluation, and deployment is a plus.
* CSPO or SAFe POPM certification preferred.
* Experience in a domain relevant to Ensora Health is a plus.
* Familiarity with data visualization or analysis tools is beneficial.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43">
      <c r="A143" t="inlineStr">
        <is>
          <t>in-71f988d135b0ce1d</t>
        </is>
      </c>
      <c r="B143" t="inlineStr">
        <is>
          <t>Technical Product Owner</t>
        </is>
      </c>
      <c r="C143" t="inlineStr">
        <is>
          <t>Ensora Health</t>
        </is>
      </c>
      <c r="D143" t="inlineStr">
        <is>
          <t>indeed</t>
        </is>
      </c>
      <c r="E143">
        <f>HYPERLINK("https://www.indeed.com/viewjob?jk=71f988d135b0ce1d", "https://www.indeed.com/viewjob?jk=71f988d135b0ce1d")</f>
        <v/>
      </c>
      <c r="F143">
        <f>HYPERLINK("https://therapybrands.wd1.myworkdayjobs.com/EnsoraHealth/job/Remote---Georgia/Technical-Product-Owner_R432", "https://therapybrands.wd1.myworkdayjobs.com/EnsoraHealth/job/Remote---Georgia/Technical-Product-Owner_R432")</f>
        <v/>
      </c>
      <c r="G143" t="inlineStr">
        <is>
          <t>Chicago, IL, US</t>
        </is>
      </c>
      <c r="H143" s="2" t="n">
        <v>46069</v>
      </c>
      <c r="I143"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The Technical Product Owner plays a critical role in shaping and delivering innovative, high‑impact software solutions. This role blends technical depth, product strategy, and hands‑on experience with AI technologies—including NLP, ML, and LLM platforms—to drive product capabilities that meet business needs and engineer scalable, modern solutions. You will partner closely with cross‑functional teams to define requirements, manage the product backlog, and ensure delivery of features that bring measurable value to customers and internal stakeholders.**What You’ll Do*** Own, prioritize, and refine the product backlog to ensure alignment with business goals, technical strategy, and stakeholder priorities.
* Write clear, actionable user stories and acceptance criteria, including those requiring AI, APIs, integrations, and cloud‑based services.
* Serve as the primary liaison between product management, engineering, and business stakeholders—translating product vision into technical plans and technical constraints into business‑level insights.
* Collaborate closely with AI/ML engineers and data science teams to scope AI\-driven features and evaluate feasibility.
* Participate in all Agile ceremonies, including sprint planning, backlog refinement, retrospectives, and demos, helping ensure consistent delivery of high‑value increments.
* Define and uphold the “definition of done,” validating that delivered features meet quality, performance, and functional expectations.
* Identify, prioritize, and champion resolution of technical debt and architectural enablers.
* Oversee creation and maintenance of technical documentation, such as API guides, system workflows, and integration specifications.
* Recommend ongoing improvements to product workflows, team processes, and technical practices—especially around AI development, deployment, and evaluation.
**What You Bring*** Bachelor’s degree in Computer Science, Engineering, IT, or related field—or equivalent professional experience.
* 3\+ years of experience as a Product Owner or Technical Product Owner in an Agile software development environment. Strong analytical and critical‑thinking skills with the ability to translate complex business needs into practical technical solutions.
* Minimum 1 year of hands‑on experience with AI\-related products or platforms (NLP, ML, LLM technologies).
* Healthcare experience preferred.
* Solid understanding of software development, system architecture, APIs (REST/SOAP), databases, and cloud platforms (AWS, Azure, or GCP).
* Proficiency with backlog management tools such as Jira or Azure DevOps.
* Expertise in writing user stories and acceptance criteria for Agile teams.
* Excellent communication skills with the ability to engage both technical and non‑technical audiences.
* Demonstrated success collaborating with cross‑functional teams, including AI/ML engineering groups.
* Deep understanding of Agile methodologies (Scrum, Kanban).
* Familiarity with AI development workflows, data annotation, model evaluation, and deployment is a plus.
* CSPO or SAFe POPM certification preferred.
* Experience in a domain relevant to Ensora Health is a plus.
* Familiarity with data visualization or analysis tools is beneficial.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44">
      <c r="A144" t="inlineStr">
        <is>
          <t>in-60d8060019f4cadd</t>
        </is>
      </c>
      <c r="B144" t="inlineStr">
        <is>
          <t>Technical Product Owner</t>
        </is>
      </c>
      <c r="C144" t="inlineStr">
        <is>
          <t>Ensora Health</t>
        </is>
      </c>
      <c r="D144" t="inlineStr">
        <is>
          <t>indeed</t>
        </is>
      </c>
      <c r="E144">
        <f>HYPERLINK("https://www.indeed.com/viewjob?jk=60d8060019f4cadd", "https://www.indeed.com/viewjob?jk=60d8060019f4cadd")</f>
        <v/>
      </c>
      <c r="F144">
        <f>HYPERLINK("https://therapybrands.wd1.myworkdayjobs.com/EnsoraHealth/job/Remote---Georgia/Technical-Product-Owner_R432", "https://therapybrands.wd1.myworkdayjobs.com/EnsoraHealth/job/Remote---Georgia/Technical-Product-Owner_R432")</f>
        <v/>
      </c>
      <c r="G144" t="inlineStr">
        <is>
          <t>Pierre, SD, US</t>
        </is>
      </c>
      <c r="H144" s="2" t="n">
        <v>46069</v>
      </c>
      <c r="I144"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The Technical Product Owner plays a critical role in shaping and delivering innovative, high‑impact software solutions. This role blends technical depth, product strategy, and hands‑on experience with AI technologies—including NLP, ML, and LLM platforms—to drive product capabilities that meet business needs and engineer scalable, modern solutions. You will partner closely with cross‑functional teams to define requirements, manage the product backlog, and ensure delivery of features that bring measurable value to customers and internal stakeholders.**What You’ll Do*** Own, prioritize, and refine the product backlog to ensure alignment with business goals, technical strategy, and stakeholder priorities.
* Write clear, actionable user stories and acceptance criteria, including those requiring AI, APIs, integrations, and cloud‑based services.
* Serve as the primary liaison between product management, engineering, and business stakeholders—translating product vision into technical plans and technical constraints into business‑level insights.
* Collaborate closely with AI/ML engineers and data science teams to scope AI\-driven features and evaluate feasibility.
* Participate in all Agile ceremonies, including sprint planning, backlog refinement, retrospectives, and demos, helping ensure consistent delivery of high‑value increments.
* Define and uphold the “definition of done,” validating that delivered features meet quality, performance, and functional expectations.
* Identify, prioritize, and champion resolution of technical debt and architectural enablers.
* Oversee creation and maintenance of technical documentation, such as API guides, system workflows, and integration specifications.
* Recommend ongoing improvements to product workflows, team processes, and technical practices—especially around AI development, deployment, and evaluation.
**What You Bring*** Bachelor’s degree in Computer Science, Engineering, IT, or related field—or equivalent professional experience.
* 3\+ years of experience as a Product Owner or Technical Product Owner in an Agile software development environment. Strong analytical and critical‑thinking skills with the ability to translate complex business needs into practical technical solutions.
* Minimum 1 year of hands‑on experience with AI\-related products or platforms (NLP, ML, LLM technologies).
* Healthcare experience preferred.
* Solid understanding of software development, system architecture, APIs (REST/SOAP), databases, and cloud platforms (AWS, Azure, or GCP).
* Proficiency with backlog management tools such as Jira or Azure DevOps.
* Expertise in writing user stories and acceptance criteria for Agile teams.
* Excellent communication skills with the ability to engage both technical and non‑technical audiences.
* Demonstrated success collaborating with cross‑functional teams, including AI/ML engineering groups.
* Deep understanding of Agile methodologies (Scrum, Kanban).
* Familiarity with AI development workflows, data annotation, model evaluation, and deployment is a plus.
* CSPO or SAFe POPM certification preferred.
* Experience in a domain relevant to Ensora Health is a plus.
* Familiarity with data visualization or analysis tools is beneficial.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45">
      <c r="A145" t="inlineStr">
        <is>
          <t>in-d94cc6a105c3288c</t>
        </is>
      </c>
      <c r="B145" t="inlineStr">
        <is>
          <t>Technical Product Owner</t>
        </is>
      </c>
      <c r="C145" t="inlineStr">
        <is>
          <t>Ensora Health</t>
        </is>
      </c>
      <c r="D145" t="inlineStr">
        <is>
          <t>indeed</t>
        </is>
      </c>
      <c r="E145">
        <f>HYPERLINK("https://www.indeed.com/viewjob?jk=d94cc6a105c3288c", "https://www.indeed.com/viewjob?jk=d94cc6a105c3288c")</f>
        <v/>
      </c>
      <c r="F145">
        <f>HYPERLINK("https://therapybrands.wd1.myworkdayjobs.com/EnsoraHealth/job/Remote---Georgia/Technical-Product-Owner_R432", "https://therapybrands.wd1.myworkdayjobs.com/EnsoraHealth/job/Remote---Georgia/Technical-Product-Owner_R432")</f>
        <v/>
      </c>
      <c r="G145" t="inlineStr">
        <is>
          <t>Indianapolis, IN, US</t>
        </is>
      </c>
      <c r="H145" s="2" t="n">
        <v>46069</v>
      </c>
      <c r="I145"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The Technical Product Owner plays a critical role in shaping and delivering innovative, high‑impact software solutions. This role blends technical depth, product strategy, and hands‑on experience with AI technologies—including NLP, ML, and LLM platforms—to drive product capabilities that meet business needs and engineer scalable, modern solutions. You will partner closely with cross‑functional teams to define requirements, manage the product backlog, and ensure delivery of features that bring measurable value to customers and internal stakeholders.**What You’ll Do*** Own, prioritize, and refine the product backlog to ensure alignment with business goals, technical strategy, and stakeholder priorities.
* Write clear, actionable user stories and acceptance criteria, including those requiring AI, APIs, integrations, and cloud‑based services.
* Serve as the primary liaison between product management, engineering, and business stakeholders—translating product vision into technical plans and technical constraints into business‑level insights.
* Collaborate closely with AI/ML engineers and data science teams to scope AI\-driven features and evaluate feasibility.
* Participate in all Agile ceremonies, including sprint planning, backlog refinement, retrospectives, and demos, helping ensure consistent delivery of high‑value increments.
* Define and uphold the “definition of done,” validating that delivered features meet quality, performance, and functional expectations.
* Identify, prioritize, and champion resolution of technical debt and architectural enablers.
* Oversee creation and maintenance of technical documentation, such as API guides, system workflows, and integration specifications.
* Recommend ongoing improvements to product workflows, team processes, and technical practices—especially around AI development, deployment, and evaluation.
**What You Bring*** Bachelor’s degree in Computer Science, Engineering, IT, or related field—or equivalent professional experience.
* 3\+ years of experience as a Product Owner or Technical Product Owner in an Agile software development environment. Strong analytical and critical‑thinking skills with the ability to translate complex business needs into practical technical solutions.
* Minimum 1 year of hands‑on experience with AI\-related products or platforms (NLP, ML, LLM technologies).
* Healthcare experience preferred.
* Solid understanding of software development, system architecture, APIs (REST/SOAP), databases, and cloud platforms (AWS, Azure, or GCP).
* Proficiency with backlog management tools such as Jira or Azure DevOps.
* Expertise in writing user stories and acceptance criteria for Agile teams.
* Excellent communication skills with the ability to engage both technical and non‑technical audiences.
* Demonstrated success collaborating with cross‑functional teams, including AI/ML engineering groups.
* Deep understanding of Agile methodologies (Scrum, Kanban).
* Familiarity with AI development workflows, data annotation, model evaluation, and deployment is a plus.
* CSPO or SAFe POPM certification preferred.
* Experience in a domain relevant to Ensora Health is a plus.
* Familiarity with data visualization or analysis tools is beneficial.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46">
      <c r="A146" t="inlineStr">
        <is>
          <t>in-a2807a04f1bca574</t>
        </is>
      </c>
      <c r="B146" t="inlineStr">
        <is>
          <t>Technical Product Owner</t>
        </is>
      </c>
      <c r="C146" t="inlineStr">
        <is>
          <t>Ensora Health</t>
        </is>
      </c>
      <c r="D146" t="inlineStr">
        <is>
          <t>indeed</t>
        </is>
      </c>
      <c r="E146">
        <f>HYPERLINK("https://www.indeed.com/viewjob?jk=a2807a04f1bca574", "https://www.indeed.com/viewjob?jk=a2807a04f1bca574")</f>
        <v/>
      </c>
      <c r="F146">
        <f>HYPERLINK("https://therapybrands.wd1.myworkdayjobs.com/EnsoraHealth/job/Remote---Georgia/Technical-Product-Owner_R432", "https://therapybrands.wd1.myworkdayjobs.com/EnsoraHealth/job/Remote---Georgia/Technical-Product-Owner_R432")</f>
        <v/>
      </c>
      <c r="G146" t="inlineStr">
        <is>
          <t>Rehoboth Beach, DE, US</t>
        </is>
      </c>
      <c r="H146" s="2" t="n">
        <v>46069</v>
      </c>
      <c r="I146"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The Technical Product Owner plays a critical role in shaping and delivering innovative, high‑impact software solutions. This role blends technical depth, product strategy, and hands‑on experience with AI technologies—including NLP, ML, and LLM platforms—to drive product capabilities that meet business needs and engineer scalable, modern solutions. You will partner closely with cross‑functional teams to define requirements, manage the product backlog, and ensure delivery of features that bring measurable value to customers and internal stakeholders.**What You’ll Do*** Own, prioritize, and refine the product backlog to ensure alignment with business goals, technical strategy, and stakeholder priorities.
* Write clear, actionable user stories and acceptance criteria, including those requiring AI, APIs, integrations, and cloud‑based services.
* Serve as the primary liaison between product management, engineering, and business stakeholders—translating product vision into technical plans and technical constraints into business‑level insights.
* Collaborate closely with AI/ML engineers and data science teams to scope AI\-driven features and evaluate feasibility.
* Participate in all Agile ceremonies, including sprint planning, backlog refinement, retrospectives, and demos, helping ensure consistent delivery of high‑value increments.
* Define and uphold the “definition of done,” validating that delivered features meet quality, performance, and functional expectations.
* Identify, prioritize, and champion resolution of technical debt and architectural enablers.
* Oversee creation and maintenance of technical documentation, such as API guides, system workflows, and integration specifications.
* Recommend ongoing improvements to product workflows, team processes, and technical practices—especially around AI development, deployment, and evaluation.
**What You Bring*** Bachelor’s degree in Computer Science, Engineering, IT, or related field—or equivalent professional experience.
* 3\+ years of experience as a Product Owner or Technical Product Owner in an Agile software development environment. Strong analytical and critical‑thinking skills with the ability to translate complex business needs into practical technical solutions.
* Minimum 1 year of hands‑on experience with AI\-related products or platforms (NLP, ML, LLM technologies).
* Healthcare experience preferred.
* Solid understanding of software development, system architecture, APIs (REST/SOAP), databases, and cloud platforms (AWS, Azure, or GCP).
* Proficiency with backlog management tools such as Jira or Azure DevOps.
* Expertise in writing user stories and acceptance criteria for Agile teams.
* Excellent communication skills with the ability to engage both technical and non‑technical audiences.
* Demonstrated success collaborating with cross‑functional teams, including AI/ML engineering groups.
* Deep understanding of Agile methodologies (Scrum, Kanban).
* Familiarity with AI development workflows, data annotation, model evaluation, and deployment is a plus.
* CSPO or SAFe POPM certification preferred.
* Experience in a domain relevant to Ensora Health is a plus.
* Familiarity with data visualization or analysis tools is beneficial.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47">
      <c r="A147" t="inlineStr">
        <is>
          <t>in-eab454cfbca1a47b</t>
        </is>
      </c>
      <c r="B147" t="inlineStr">
        <is>
          <t>Technical Product Owner</t>
        </is>
      </c>
      <c r="C147" t="inlineStr">
        <is>
          <t>Ensora Health</t>
        </is>
      </c>
      <c r="D147" t="inlineStr">
        <is>
          <t>indeed</t>
        </is>
      </c>
      <c r="E147">
        <f>HYPERLINK("https://www.indeed.com/viewjob?jk=eab454cfbca1a47b", "https://www.indeed.com/viewjob?jk=eab454cfbca1a47b")</f>
        <v/>
      </c>
      <c r="F147">
        <f>HYPERLINK("https://therapybrands.wd1.myworkdayjobs.com/EnsoraHealth/job/Remote---Georgia/Technical-Product-Owner_R432", "https://therapybrands.wd1.myworkdayjobs.com/EnsoraHealth/job/Remote---Georgia/Technical-Product-Owner_R432")</f>
        <v/>
      </c>
      <c r="G147" t="inlineStr">
        <is>
          <t>Atlanta, GA, US</t>
        </is>
      </c>
      <c r="H147" s="2" t="n">
        <v>46069</v>
      </c>
      <c r="I147"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The Technical Product Owner plays a critical role in shaping and delivering innovative, high‑impact software solutions. This role blends technical depth, product strategy, and hands‑on experience with AI technologies—including NLP, ML, and LLM platforms—to drive product capabilities that meet business needs and engineer scalable, modern solutions. You will partner closely with cross‑functional teams to define requirements, manage the product backlog, and ensure delivery of features that bring measurable value to customers and internal stakeholders.**What You’ll Do*** Own, prioritize, and refine the product backlog to ensure alignment with business goals, technical strategy, and stakeholder priorities.
* Write clear, actionable user stories and acceptance criteria, including those requiring AI, APIs, integrations, and cloud‑based services.
* Serve as the primary liaison between product management, engineering, and business stakeholders—translating product vision into technical plans and technical constraints into business‑level insights.
* Collaborate closely with AI/ML engineers and data science teams to scope AI\-driven features and evaluate feasibility.
* Participate in all Agile ceremonies, including sprint planning, backlog refinement, retrospectives, and demos, helping ensure consistent delivery of high‑value increments.
* Define and uphold the “definition of done,” validating that delivered features meet quality, performance, and functional expectations.
* Identify, prioritize, and champion resolution of technical debt and architectural enablers.
* Oversee creation and maintenance of technical documentation, such as API guides, system workflows, and integration specifications.
* Recommend ongoing improvements to product workflows, team processes, and technical practices—especially around AI development, deployment, and evaluation.
**What You Bring*** Bachelor’s degree in Computer Science, Engineering, IT, or related field—or equivalent professional experience.
* 3\+ years of experience as a Product Owner or Technical Product Owner in an Agile software development environment. Strong analytical and critical‑thinking skills with the ability to translate complex business needs into practical technical solutions.
* Minimum 1 year of hands‑on experience with AI\-related products or platforms (NLP, ML, LLM technologies).
* Healthcare experience preferred.
* Solid understanding of software development, system architecture, APIs (REST/SOAP), databases, and cloud platforms (AWS, Azure, or GCP).
* Proficiency with backlog management tools such as Jira or Azure DevOps.
* Expertise in writing user stories and acceptance criteria for Agile teams.
* Excellent communication skills with the ability to engage both technical and non‑technical audiences.
* Demonstrated success collaborating with cross‑functional teams, including AI/ML engineering groups.
* Deep understanding of Agile methodologies (Scrum, Kanban).
* Familiarity with AI development workflows, data annotation, model evaluation, and deployment is a plus.
* CSPO or SAFe POPM certification preferred.
* Experience in a domain relevant to Ensora Health is a plus.
* Familiarity with data visualization or analysis tools is beneficial.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48">
      <c r="A148" t="inlineStr">
        <is>
          <t>in-23984aa41b60837b</t>
        </is>
      </c>
      <c r="B148" t="inlineStr">
        <is>
          <t>Technical Product Owner</t>
        </is>
      </c>
      <c r="C148" t="inlineStr">
        <is>
          <t>Ensora Health</t>
        </is>
      </c>
      <c r="D148" t="inlineStr">
        <is>
          <t>indeed</t>
        </is>
      </c>
      <c r="E148">
        <f>HYPERLINK("https://www.indeed.com/viewjob?jk=23984aa41b60837b", "https://www.indeed.com/viewjob?jk=23984aa41b60837b")</f>
        <v/>
      </c>
      <c r="F148">
        <f>HYPERLINK("https://therapybrands.wd1.myworkdayjobs.com/EnsoraHealth/job/Remote---Georgia/Technical-Product-Owner_R432", "https://therapybrands.wd1.myworkdayjobs.com/EnsoraHealth/job/Remote---Georgia/Technical-Product-Owner_R432")</f>
        <v/>
      </c>
      <c r="G148" t="inlineStr">
        <is>
          <t>Charlotte, NC, US</t>
        </is>
      </c>
      <c r="H148" s="2" t="n">
        <v>46069</v>
      </c>
      <c r="I148"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The Technical Product Owner plays a critical role in shaping and delivering innovative, high‑impact software solutions. This role blends technical depth, product strategy, and hands‑on experience with AI technologies—including NLP, ML, and LLM platforms—to drive product capabilities that meet business needs and engineer scalable, modern solutions. You will partner closely with cross‑functional teams to define requirements, manage the product backlog, and ensure delivery of features that bring measurable value to customers and internal stakeholders.**What You’ll Do*** Own, prioritize, and refine the product backlog to ensure alignment with business goals, technical strategy, and stakeholder priorities.
* Write clear, actionable user stories and acceptance criteria, including those requiring AI, APIs, integrations, and cloud‑based services.
* Serve as the primary liaison between product management, engineering, and business stakeholders—translating product vision into technical plans and technical constraints into business‑level insights.
* Collaborate closely with AI/ML engineers and data science teams to scope AI\-driven features and evaluate feasibility.
* Participate in all Agile ceremonies, including sprint planning, backlog refinement, retrospectives, and demos, helping ensure consistent delivery of high‑value increments.
* Define and uphold the “definition of done,” validating that delivered features meet quality, performance, and functional expectations.
* Identify, prioritize, and champion resolution of technical debt and architectural enablers.
* Oversee creation and maintenance of technical documentation, such as API guides, system workflows, and integration specifications.
* Recommend ongoing improvements to product workflows, team processes, and technical practices—especially around AI development, deployment, and evaluation.
**What You Bring*** Bachelor’s degree in Computer Science, Engineering, IT, or related field—or equivalent professional experience.
* 3\+ years of experience as a Product Owner or Technical Product Owner in an Agile software development environment. Strong analytical and critical‑thinking skills with the ability to translate complex business needs into practical technical solutions.
* Minimum 1 year of hands‑on experience with AI\-related products or platforms (NLP, ML, LLM technologies).
* Healthcare experience preferred.
* Solid understanding of software development, system architecture, APIs (REST/SOAP), databases, and cloud platforms (AWS, Azure, or GCP).
* Proficiency with backlog management tools such as Jira or Azure DevOps.
* Expertise in writing user stories and acceptance criteria for Agile teams.
* Excellent communication skills with the ability to engage both technical and non‑technical audiences.
* Demonstrated success collaborating with cross‑functional teams, including AI/ML engineering groups.
* Deep understanding of Agile methodologies (Scrum, Kanban).
* Familiarity with AI development workflows, data annotation, model evaluation, and deployment is a plus.
* CSPO or SAFe POPM certification preferred.
* Experience in a domain relevant to Ensora Health is a plus.
* Familiarity with data visualization or analysis tools is beneficial.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49">
      <c r="A149" t="inlineStr">
        <is>
          <t>in-cfc8f9b0ef2dbced</t>
        </is>
      </c>
      <c r="B149" t="inlineStr">
        <is>
          <t>Technical Product Owner</t>
        </is>
      </c>
      <c r="C149" t="inlineStr">
        <is>
          <t>Ensora Health</t>
        </is>
      </c>
      <c r="D149" t="inlineStr">
        <is>
          <t>indeed</t>
        </is>
      </c>
      <c r="E149">
        <f>HYPERLINK("https://www.indeed.com/viewjob?jk=cfc8f9b0ef2dbced", "https://www.indeed.com/viewjob?jk=cfc8f9b0ef2dbced")</f>
        <v/>
      </c>
      <c r="F149">
        <f>HYPERLINK("https://therapybrands.wd1.myworkdayjobs.com/EnsoraHealth/job/Remote---Georgia/Technical-Product-Owner_R432", "https://therapybrands.wd1.myworkdayjobs.com/EnsoraHealth/job/Remote---Georgia/Technical-Product-Owner_R432")</f>
        <v/>
      </c>
      <c r="G149" t="inlineStr">
        <is>
          <t>Clinton, MS, US</t>
        </is>
      </c>
      <c r="H149" s="2" t="n">
        <v>46069</v>
      </c>
      <c r="I149"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The Technical Product Owner plays a critical role in shaping and delivering innovative, high‑impact software solutions. This role blends technical depth, product strategy, and hands‑on experience with AI technologies—including NLP, ML, and LLM platforms—to drive product capabilities that meet business needs and engineer scalable, modern solutions. You will partner closely with cross‑functional teams to define requirements, manage the product backlog, and ensure delivery of features that bring measurable value to customers and internal stakeholders.**What You’ll Do*** Own, prioritize, and refine the product backlog to ensure alignment with business goals, technical strategy, and stakeholder priorities.
* Write clear, actionable user stories and acceptance criteria, including those requiring AI, APIs, integrations, and cloud‑based services.
* Serve as the primary liaison between product management, engineering, and business stakeholders—translating product vision into technical plans and technical constraints into business‑level insights.
* Collaborate closely with AI/ML engineers and data science teams to scope AI\-driven features and evaluate feasibility.
* Participate in all Agile ceremonies, including sprint planning, backlog refinement, retrospectives, and demos, helping ensure consistent delivery of high‑value increments.
* Define and uphold the “definition of done,” validating that delivered features meet quality, performance, and functional expectations.
* Identify, prioritize, and champion resolution of technical debt and architectural enablers.
* Oversee creation and maintenance of technical documentation, such as API guides, system workflows, and integration specifications.
* Recommend ongoing improvements to product workflows, team processes, and technical practices—especially around AI development, deployment, and evaluation.
**What You Bring*** Bachelor’s degree in Computer Science, Engineering, IT, or related field—or equivalent professional experience.
* 3\+ years of experience as a Product Owner or Technical Product Owner in an Agile software development environment. Strong analytical and critical‑thinking skills with the ability to translate complex business needs into practical technical solutions.
* Minimum 1 year of hands‑on experience with AI\-related products or platforms (NLP, ML, LLM technologies).
* Healthcare experience preferred.
* Solid understanding of software development, system architecture, APIs (REST/SOAP), databases, and cloud platforms (AWS, Azure, or GCP).
* Proficiency with backlog management tools such as Jira or Azure DevOps.
* Expertise in writing user stories and acceptance criteria for Agile teams.
* Excellent communication skills with the ability to engage both technical and non‑technical audiences.
* Demonstrated success collaborating with cross‑functional teams, including AI/ML engineering groups.
* Deep understanding of Agile methodologies (Scrum, Kanban).
* Familiarity with AI development workflows, data annotation, model evaluation, and deployment is a plus.
* CSPO or SAFe POPM certification preferred.
* Experience in a domain relevant to Ensora Health is a plus.
* Familiarity with data visualization or analysis tools is beneficial.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50">
      <c r="A150" t="inlineStr">
        <is>
          <t>in-8c67de067040bc2a</t>
        </is>
      </c>
      <c r="B150" t="inlineStr">
        <is>
          <t>Technical Product Owner</t>
        </is>
      </c>
      <c r="C150" t="inlineStr">
        <is>
          <t>Ensora Health</t>
        </is>
      </c>
      <c r="D150" t="inlineStr">
        <is>
          <t>indeed</t>
        </is>
      </c>
      <c r="E150">
        <f>HYPERLINK("https://www.indeed.com/viewjob?jk=8c67de067040bc2a", "https://www.indeed.com/viewjob?jk=8c67de067040bc2a")</f>
        <v/>
      </c>
      <c r="F150">
        <f>HYPERLINK("https://therapybrands.wd1.myworkdayjobs.com/EnsoraHealth/job/Remote---Georgia/Technical-Product-Owner_R432", "https://therapybrands.wd1.myworkdayjobs.com/EnsoraHealth/job/Remote---Georgia/Technical-Product-Owner_R432")</f>
        <v/>
      </c>
      <c r="G150" t="inlineStr">
        <is>
          <t>Overland Park, KS, US</t>
        </is>
      </c>
      <c r="H150" s="2" t="n">
        <v>46069</v>
      </c>
      <c r="I150"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The Technical Product Owner plays a critical role in shaping and delivering innovative, high‑impact software solutions. This role blends technical depth, product strategy, and hands‑on experience with AI technologies—including NLP, ML, and LLM platforms—to drive product capabilities that meet business needs and engineer scalable, modern solutions. You will partner closely with cross‑functional teams to define requirements, manage the product backlog, and ensure delivery of features that bring measurable value to customers and internal stakeholders.**What You’ll Do*** Own, prioritize, and refine the product backlog to ensure alignment with business goals, technical strategy, and stakeholder priorities.
* Write clear, actionable user stories and acceptance criteria, including those requiring AI, APIs, integrations, and cloud‑based services.
* Serve as the primary liaison between product management, engineering, and business stakeholders—translating product vision into technical plans and technical constraints into business‑level insights.
* Collaborate closely with AI/ML engineers and data science teams to scope AI\-driven features and evaluate feasibility.
* Participate in all Agile ceremonies, including sprint planning, backlog refinement, retrospectives, and demos, helping ensure consistent delivery of high‑value increments.
* Define and uphold the “definition of done,” validating that delivered features meet quality, performance, and functional expectations.
* Identify, prioritize, and champion resolution of technical debt and architectural enablers.
* Oversee creation and maintenance of technical documentation, such as API guides, system workflows, and integration specifications.
* Recommend ongoing improvements to product workflows, team processes, and technical practices—especially around AI development, deployment, and evaluation.
**What You Bring*** Bachelor’s degree in Computer Science, Engineering, IT, or related field—or equivalent professional experience.
* 3\+ years of experience as a Product Owner or Technical Product Owner in an Agile software development environment. Strong analytical and critical‑thinking skills with the ability to translate complex business needs into practical technical solutions.
* Minimum 1 year of hands‑on experience with AI\-related products or platforms (NLP, ML, LLM technologies).
* Healthcare experience preferred.
* Solid understanding of software development, system architecture, APIs (REST/SOAP), databases, and cloud platforms (AWS, Azure, or GCP).
* Proficiency with backlog management tools such as Jira or Azure DevOps.
* Expertise in writing user stories and acceptance criteria for Agile teams.
* Excellent communication skills with the ability to engage both technical and non‑technical audiences.
* Demonstrated success collaborating with cross‑functional teams, including AI/ML engineering groups.
* Deep understanding of Agile methodologies (Scrum, Kanban).
* Familiarity with AI development workflows, data annotation, model evaluation, and deployment is a plus.
* CSPO or SAFe POPM certification preferred.
* Experience in a domain relevant to Ensora Health is a plus.
* Familiarity with data visualization or analysis tools is beneficial.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51">
      <c r="A151" t="inlineStr">
        <is>
          <t>in-964ff3e73c0d8ef6</t>
        </is>
      </c>
      <c r="B151" t="inlineStr">
        <is>
          <t>Program Manager, Enhanced Care Management (ECM) A</t>
        </is>
      </c>
      <c r="C151" t="inlineStr">
        <is>
          <t>COPE Health Solutions</t>
        </is>
      </c>
      <c r="D151" t="inlineStr">
        <is>
          <t>indeed</t>
        </is>
      </c>
      <c r="E151">
        <f>HYPERLINK("https://www.indeed.com/viewjob?jk=964ff3e73c0d8ef6", "https://www.indeed.com/viewjob?jk=964ff3e73c0d8ef6")</f>
        <v/>
      </c>
      <c r="F151">
        <f>HYPERLINK("https://app.jobvite.com/CompanyJobs/Job.aspx?j=olsGzfwM&amp;loc=Ck7DVfwJ&amp;s=Indeed", "https://app.jobvite.com/CompanyJobs/Job.aspx?j=olsGzfwM&amp;loc=Ck7DVfwJ&amp;s=Indeed")</f>
        <v/>
      </c>
      <c r="G151" t="inlineStr">
        <is>
          <t>Los Angeles, CA, US</t>
        </is>
      </c>
      <c r="H151" s="2" t="n">
        <v>46069</v>
      </c>
      <c r="I151" t="inlineStr">
        <is>
          <t>The Enhanced Care Management (ECM) Program Manager, provides leadership and direction for the organization’s care management operations and services, aligning with the organization's mission, strategies, and objectives.  
FLSA Status
Exempt
Salary Range
$70,304 \- $75,000  
Reports To
Director of Operations
Direct Reports
(5\) Community Health Workers
(1\) Patient Care Navigator  
Location
Los Angeles, CA
Travel
Up to 80%  
Work Type
Regular
Schedule
Full Time  
**Position Description:*** Supervises the care management team.
* Leads the implementation of care management programs designed to address the needs of our patients, improve the quality and services for their care and ensure the appropriate utilization of services available to them.
* Implements plans and tools to meet organizational goals and objectives.
* Works closely with other departments to design, implement, and evaluate care management programs.
* Leads visible and complex projects focusing on performance improvement and transformation aimed at improving care management programs for the populations served
* Supports the development, implementation, and evaluation of effective pilots, programs and practices derived from market leading and evidence\-based research and performance outcomes.
* Ensures standardization and optimization of workflows of models of care that are being spread and scaled.
* Develops playbooks for care management models that are ready for spread and scale; Works closely with clinical and operational leaders across the continuum to perform patient risk stratification and identification for outreach
* Organizes and facilitates meetings with key stakeholders involved in the execution of care coordination/case management programs.
* Continuously evaluates market leading and evidence\-based research focused on care management programs.
* Works on design, implementation, and evaluation of IT solutions to support care management documentation and monitoring of efforts.
* Facilitates and leads a standardized and optimized deployment of an administrative case management tracking system/care management documentation
* Reports to the Director of Operations
* Performs miscellaneous job\-related duties as assigned
**Competencies:*** Ability to use independent judgment and to manage and impart confidential information.
* Ability to analyze and solve problems; requires details, data and facts that must be analyzed and challenged prior to making decisions
* Strong communication and interpersonal skills.
* Ability to clearly communicate medical information to professional practitioners and/or the public.
* Excellent organization, prioritization, follow up, analytical and time management skills with ability to handle multiple priorities and deadlines.
* Good interpersonal skills, sense of urgency, being proactive and ownership for one’s work.
* Dependable, with strong work ethic and extremely high degree personal integrity.
* Ability to deal with multiple interruptions on a continual basis that must be met with a friendly exchange with others.
* Ability to develop, implement and guide the team to new approaches to improve processes, procedures, or the general work environment.
* Ability to review critical issues, effectively solve problems and create action plans
**Position Expectations:*** Be committed to the mission of COPE Health Solutions ECM Program.
* Behave in a professional manner and consistently demonstrate and promote the values of respect, honesty, and dignity for the patient, families, and all members of the health care team.
* Committed to the constant pursuit of excellence and teamwork in improving the care of the patient and families in the community.
* Be punctual for scheduled work and use time appropriately.
* Perform duties in a conscientious, cooperative manner.
* Perform required amount of work in a timely fashion with a minimum of errors.
* Be neat and maintain a professional appearance.
* Maintain confidentiality and protect the program by abiding by laws and principles related to confidentiality; keep information concerning Program Operations, patients and employees confidential.
**Qualifications:*** Valid California Driver’s License
* Bachelor’s and/or master’s degree in a health\-related field is preferred
* 3 \+ years of supervisor/leadership experience
* Experience in acute inpatient, rehabilitation, sub\-acute, skilled facility, home care, ambulatory care management, or managed health plan.
* Experience working in a multi\-cultural setting.
* Willing to learn and understand a variety of different cultures, perspectives, and norms.
* Experience working in a community\-based setting for at least 1 to 2 years preferred.
* Basic computer skills required; electronic medical record (EMR) experience preferred.
* Understand the community served, community connectedness.
* Good communication skills, such as listening well, and using language appropriately.
* Ability and willingness to provide emotional support, encouragement, and motivation to patients.
**Benefits:**
As a firm passionate about health care, we’re deeply committed to the health and wellness of our own team members. We offer comprehensive, affordable insurance plans for our team and their families, and a host of other unique benefits, such as a yearly stipend for wellness\-related activities, and a paid parental leave program. You can learn more about our benefits offerings here: https://copehealthsolutions.com/careers/why\-cope\-health\-solutions/.**What We Do:**
COPE Health Solutions is a national mission\-driven consulting firm that partners with health systems and payor clients. We provide our clients with the tools, services and advice they need to thrive in the current complex and uncertain pluralistic payment environment and achieve visionary, organizationally relevant results. Our firm has expertise in all aspects of population health, strategy, delivery system development, payment systems reform, workforce development and population health management support services, including peerless analytics and performance improvement. We are driven by our passion to help transform health care delivery, align financial incentives to support population health management and build the workforce needed as health care moves to value\-based care.
In partnership with the Keck Graduate Institute, the COPE Health Scholar Services provide pre\-health students and careerists looking to make a transition to health care with hands\-on, experiential education opportunities. Scholars are carefully selected, well\-trained and placed in clinical and administrative areas within hospitals and ambulatory care centers, where they are integrated into and assist the health care clinical or administrative team. The COPE Health Scholars Programs is a unique opportunity for students and those considering a career transition to bridge the gap between academic training and real life, as well as to gain specific training for non\-licensed job roles.  
**To Apply:**To apply for this position, or to view all available positions, visit us at https://copehealthsolutions.com/careers/open\-positions/.</t>
        </is>
      </c>
    </row>
    <row r="152">
      <c r="A152" t="inlineStr">
        <is>
          <t>in-c65cf0639473dae9</t>
        </is>
      </c>
      <c r="B152" t="inlineStr">
        <is>
          <t>Program Manager, Enhanced Care Management (ECM) A</t>
        </is>
      </c>
      <c r="C152" t="inlineStr">
        <is>
          <t>COPE Health Solutions</t>
        </is>
      </c>
      <c r="D152" t="inlineStr">
        <is>
          <t>indeed</t>
        </is>
      </c>
      <c r="E152">
        <f>HYPERLINK("https://www.indeed.com/viewjob?jk=c65cf0639473dae9", "https://www.indeed.com/viewjob?jk=c65cf0639473dae9")</f>
        <v/>
      </c>
      <c r="F152">
        <f>HYPERLINK("https://app.jobvite.com/CompanyJobs/Job.aspx?j=olsGzfwM&amp;loc=C1J7Wfwx&amp;s=Indeed", "https://app.jobvite.com/CompanyJobs/Job.aspx?j=olsGzfwM&amp;loc=C1J7Wfwx&amp;s=Indeed")</f>
        <v/>
      </c>
      <c r="G152" t="inlineStr">
        <is>
          <t>Los Angeles, CA, US</t>
        </is>
      </c>
      <c r="H152" s="2" t="n">
        <v>46069</v>
      </c>
      <c r="I152" t="inlineStr">
        <is>
          <t>The Enhanced Care Management (ECM) Program Manager, provides leadership and direction for the organization’s care management operations and services, aligning with the organization's mission, strategies, and objectives.  
FLSA Status
Exempt
Salary Range
$70,304 \- $75,000  
Reports To
Director of Operations
Direct Reports
(5\) Community Health Workers
(1\) Patient Care Navigator  
Location
Los Angeles, CA
Travel
Up to 80%  
Work Type
Regular
Schedule
Full Time  
**Position Description:*** Supervises the care management team.
* Leads the implementation of care management programs designed to address the needs of our patients, improve the quality and services for their care and ensure the appropriate utilization of services available to them.
* Implements plans and tools to meet organizational goals and objectives.
* Works closely with other departments to design, implement, and evaluate care management programs.
* Leads visible and complex projects focusing on performance improvement and transformation aimed at improving care management programs for the populations served
* Supports the development, implementation, and evaluation of effective pilots, programs and practices derived from market leading and evidence\-based research and performance outcomes.
* Ensures standardization and optimization of workflows of models of care that are being spread and scaled.
* Develops playbooks for care management models that are ready for spread and scale; Works closely with clinical and operational leaders across the continuum to perform patient risk stratification and identification for outreach
* Organizes and facilitates meetings with key stakeholders involved in the execution of care coordination/case management programs.
* Continuously evaluates market leading and evidence\-based research focused on care management programs.
* Works on design, implementation, and evaluation of IT solutions to support care management documentation and monitoring of efforts.
* Facilitates and leads a standardized and optimized deployment of an administrative case management tracking system/care management documentation
* Reports to the Director of Operations
* Performs miscellaneous job\-related duties as assigned
**Competencies:*** Ability to use independent judgment and to manage and impart confidential information.
* Ability to analyze and solve problems; requires details, data and facts that must be analyzed and challenged prior to making decisions
* Strong communication and interpersonal skills.
* Ability to clearly communicate medical information to professional practitioners and/or the public.
* Excellent organization, prioritization, follow up, analytical and time management skills with ability to handle multiple priorities and deadlines.
* Good interpersonal skills, sense of urgency, being proactive and ownership for one’s work.
* Dependable, with strong work ethic and extremely high degree personal integrity.
* Ability to deal with multiple interruptions on a continual basis that must be met with a friendly exchange with others.
* Ability to develop, implement and guide the team to new approaches to improve processes, procedures, or the general work environment.
* Ability to review critical issues, effectively solve problems and create action plans
**Position Expectations:*** Be committed to the mission of COPE Health Solutions ECM Program.
* Behave in a professional manner and consistently demonstrate and promote the values of respect, honesty, and dignity for the patient, families, and all members of the health care team.
* Committed to the constant pursuit of excellence and teamwork in improving the care of the patient and families in the community.
* Be punctual for scheduled work and use time appropriately.
* Perform duties in a conscientious, cooperative manner.
* Perform required amount of work in a timely fashion with a minimum of errors.
* Be neat and maintain a professional appearance.
* Maintain confidentiality and protect the program by abiding by laws and principles related to confidentiality; keep information concerning Program Operations, patients and employees confidential.
**Qualifications:*** Valid California Driver’s License
* Bachelor’s and/or master’s degree in a health\-related field is preferred
* 3 \+ years of supervisor/leadership experience
* Experience in acute inpatient, rehabilitation, sub\-acute, skilled facility, home care, ambulatory care management, or managed health plan.
* Experience working in a multi\-cultural setting.
* Willing to learn and understand a variety of different cultures, perspectives, and norms.
* Experience working in a community\-based setting for at least 1 to 2 years preferred.
* Basic computer skills required; electronic medical record (EMR) experience preferred.
* Understand the community served, community connectedness.
* Good communication skills, such as listening well, and using language appropriately.
* Ability and willingness to provide emotional support, encouragement, and motivation to patients.
**Benefits:**
As a firm passionate about health care, we’re deeply committed to the health and wellness of our own team members. We offer comprehensive, affordable insurance plans for our team and their families, and a host of other unique benefits, such as a yearly stipend for wellness\-related activities, and a paid parental leave program. You can learn more about our benefits offerings here: https://copehealthsolutions.com/careers/why\-cope\-health\-solutions/.**What We Do:**
COPE Health Solutions is a national mission\-driven consulting firm that partners with health systems and payor clients. We provide our clients with the tools, services and advice they need to thrive in the current complex and uncertain pluralistic payment environment and achieve visionary, organizationally relevant results. Our firm has expertise in all aspects of population health, strategy, delivery system development, payment systems reform, workforce development and population health management support services, including peerless analytics and performance improvement. We are driven by our passion to help transform health care delivery, align financial incentives to support population health management and build the workforce needed as health care moves to value\-based care.
In partnership with the Keck Graduate Institute, the COPE Health Scholar Services provide pre\-health students and careerists looking to make a transition to health care with hands\-on, experiential education opportunities. Scholars are carefully selected, well\-trained and placed in clinical and administrative areas within hospitals and ambulatory care centers, where they are integrated into and assist the health care clinical or administrative team. The COPE Health Scholars Programs is a unique opportunity for students and those considering a career transition to bridge the gap between academic training and real life, as well as to gain specific training for non\-licensed job roles.  
**To Apply:**To apply for this position, or to view all available positions, visit us at https://copehealthsolutions.com/careers/open\-positions/.</t>
        </is>
      </c>
    </row>
    <row r="153">
      <c r="A153" t="inlineStr">
        <is>
          <t>in-a80e6617c479fa4b</t>
        </is>
      </c>
      <c r="B153" t="inlineStr">
        <is>
          <t>Program Manager (Tax)</t>
        </is>
      </c>
      <c r="C153" t="inlineStr">
        <is>
          <t>ITCON Services</t>
        </is>
      </c>
      <c r="D153" t="inlineStr">
        <is>
          <t>indeed</t>
        </is>
      </c>
      <c r="E153">
        <f>HYPERLINK("https://www.indeed.com/viewjob?jk=a80e6617c479fa4b", "https://www.indeed.com/viewjob?jk=a80e6617c479fa4b")</f>
        <v/>
      </c>
      <c r="F153">
        <f>HYPERLINK("https://www1.jobdiva.com/candidates/myjobs/openjob_outside.jsp?a=vijdnw7vi3anvz8mquliiy64jzdr4i09fdltfm0xqqslo8sh52yvzimt3jpe98ay&amp;SearchString=&amp;StatesString=&amp;source=indeed.com&amp;id=31886789&amp;compid=-1", "https://www1.jobdiva.com/candidates/myjobs/openjob_outside.jsp?a=vijdnw7vi3anvz8mquliiy64jzdr4i09fdltfm0xqqslo8sh52yvzimt3jpe98ay&amp;SearchString=&amp;StatesString=&amp;source=indeed.com&amp;id=31886789&amp;compid=-1")</f>
        <v/>
      </c>
      <c r="G153" t="inlineStr">
        <is>
          <t>Baltimore, MD, US</t>
        </is>
      </c>
      <c r="H153" s="2" t="n">
        <v>46069</v>
      </c>
      <c r="I153" t="inlineStr">
        <is>
          <t>**ITCON** is looking for a strategic Program Manager to lead a contact center supporting taxes in the State of Maryland.  
**Role Summary**  
The Program Manager leads all aspects of contract delivery for the Contact Center, ensuring operational readiness, compliance , and high performance service delivery.  
* Oversee all contract operations ensuring adherence to performance standards, SLAs, and federal requirements
* Serve as primary liaison to Client leadership for reporting, escalations, and strategic coordination
* Lead staffing strategy including recruitment, onboarding, training, and workforce planning
* Manage risk, quality assurance, and compliance across all functional areas
* Develop and deliver executive reports including call volume trends, performance metrics, and operational insights
* Direct continuous improvement initiatives to enhance efficiency, accuracy, and customer experience
* Ensure operational coverage through coordinated scheduling and resource allocation
**Requirements**
* Must be a United States Citizen
* Bachelor's degree in Business, Management, or related field
* 7–10 years of program or operations management experience in federal or contact center environments
* Demonstrated experience managing large, multi shift teams
* Interprets, creates, and ensures adherence to complex tax laws and regulation
* Strong understanding of workforce planning and performance management
* Substantial experience in tax administration, policy, or related financial management, typically requiring supervisory or high\-level management.
* Excellent communication and stakeholder management skills
* Ability to obtain and maintain required security clearances
**Preferred Qualifications**
* PMP or similar project management certification
* Background in high volume contact center operations
* Experience with federal contract compliance including QA, reporting, and audit readiness</t>
        </is>
      </c>
    </row>
    <row r="154">
      <c r="A154" t="inlineStr">
        <is>
          <t>in-8492c9312bc9d5a2</t>
        </is>
      </c>
      <c r="B154" t="inlineStr">
        <is>
          <t>Program Manager</t>
        </is>
      </c>
      <c r="C154" t="inlineStr">
        <is>
          <t>NTT DATA</t>
        </is>
      </c>
      <c r="D154" t="inlineStr">
        <is>
          <t>indeed</t>
        </is>
      </c>
      <c r="E154">
        <f>HYPERLINK("https://www.indeed.com/viewjob?jk=8492c9312bc9d5a2", "https://www.indeed.com/viewjob?jk=8492c9312bc9d5a2")</f>
        <v/>
      </c>
      <c r="F154">
        <f>HYPERLINK("https://www1.jobdiva.com/candidates/myjobs/openjob_outside.jsp?a=vtjdnw5v1z1v2psgylbu76nbkkhb0y080epfxtsjq71b065808wxj6cim4ud5upr&amp;SearchString=&amp;StatesString=&amp;source=indeed.com&amp;id=31885193&amp;compid=-1", "https://www1.jobdiva.com/candidates/myjobs/openjob_outside.jsp?a=vtjdnw5v1z1v2psgylbu76nbkkhb0y080epfxtsjq71b065808wxj6cim4ud5upr&amp;SearchString=&amp;StatesString=&amp;source=indeed.com&amp;id=31885193&amp;compid=-1")</f>
        <v/>
      </c>
      <c r="G154" t="inlineStr">
        <is>
          <t>Princeton, NJ, US</t>
        </is>
      </c>
      <c r="H154" s="2" t="n">
        <v>46069</v>
      </c>
      <c r="I154" t="inlineStr">
        <is>
          <t>**Job Description:**  
**Business Consultant \- Program Manager**  
Day\-to\-Day Responsibilities
* Oversee and program manage a large, strategic M\&amp;A initiative.
* Lead multiple cross functional project teams to ensure end to end delivery across the M\&amp;A program.
* Manage SIT and UAT schedules across domains, ensuring alignment and timely execution.
* Develop detailed project execution plans and schedules in collaboration with key stakeholders.
* Oversee program financials, including budgeting, forecasting, and reporting.
* Monitor project performance, track changes, and address issues proactively.
* Manage risks, issues, decisions, and assumptions throughout the program lifecycle.
* Establish and maintain a structured communication plan and cadence for the program.
* Coordinate with diverse functional and business teams to ensure alignment with program objectives.
* Manage resource onboarding, offboarding, and allocation across project teams.
* Prepare toll gate schedules and deliver regular status updates.
* Lead M\&amp;A separation cutover activities and drive the overall communication strategy.
**Basic Qualifications**
* 10\+ years of experience in IT.
* 10\+ years of program management and project execution experience.
* 5\+ years of Scaled Agile experience.
* 5\+ years of experience managing Customer and Commercial applications.
* 2\+ years of experience managing large M\&amp;A programs.
* 3\+ years of experience overseeing budgets and financials for large M\&amp;A initiatives.
* Strong domain expertise in Commerce, Pricing, Sales, and Service.
* Excellent analytical and communication skills.
**Nice to Have**
* Strong problem solving abilities and analytical/critical thinking skills.
* Experience managing stakeholders and cross functional project teams.
* Exceptional verbal and written communication skills, with the ability to convey complex concepts clearly to both technical and non technical audiences.
About NTT DATA:  
NTT DATA is a $30 billion trusted global innovator of business and technology services. We serve 75% of the Fortune Global 100 and are committed to helping clients innovate, optimize and transform for long 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one of the leading providers of digital and AI infrastructure in the world. NTT DATA is a part of NTT Group, which invests over $3\.6 billion each year in R\&amp;D to help organizations and society move confidently and sustainably into the digital future. Visit us at us.nttdata.com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row>
    <row r="155">
      <c r="A155" t="inlineStr">
        <is>
          <t>in-571174949bce22f5</t>
        </is>
      </c>
      <c r="B155" t="inlineStr">
        <is>
          <t>Technical Program Manager</t>
        </is>
      </c>
      <c r="C155" t="inlineStr">
        <is>
          <t>NTT DATA</t>
        </is>
      </c>
      <c r="D155" t="inlineStr">
        <is>
          <t>indeed</t>
        </is>
      </c>
      <c r="E155">
        <f>HYPERLINK("https://www.indeed.com/viewjob?jk=571174949bce22f5", "https://www.indeed.com/viewjob?jk=571174949bce22f5")</f>
        <v/>
      </c>
      <c r="F155">
        <f>HYPERLINK("https://www1.jobdiva.com/candidates/myjobs/openjob_outside.jsp?a=vtjdnw5v1z1v2psgylbu76nbkkhb0y080epfxtsjq71b065808wxj6cim4ud5upr&amp;SearchString=&amp;StatesString=&amp;source=indeed.com&amp;id=31885274&amp;compid=-1", "https://www1.jobdiva.com/candidates/myjobs/openjob_outside.jsp?a=vtjdnw5v1z1v2psgylbu76nbkkhb0y080epfxtsjq71b065808wxj6cim4ud5upr&amp;SearchString=&amp;StatesString=&amp;source=indeed.com&amp;id=31885274&amp;compid=-1")</f>
        <v/>
      </c>
      <c r="G155" t="inlineStr">
        <is>
          <t>Charlotte, NC, US</t>
        </is>
      </c>
      <c r="H155" s="2" t="n">
        <v>46069</v>
      </c>
      <c r="I155" t="inlineStr">
        <is>
          <t>**Company Overview:**  
NTT DATA strives to hire exceptional, innovative and passionate individuals who want to grow with us. If you want to be part of an inclusive, adaptable, and forward\-thinking organization, apply now. We are currently seeking a Financial Services Business Consulting \- Technical Program Manager to work hybrid in Charlotte, NC.  
**Job Description:**  
**Financial Services Business Consulting \- Technical Program Manager**  
The purpose of this role is twofold. As a Technology Program Manager with responsibility to drive positive outcomes for strategic technology objectives through thought leadership, organizational design, management, execution and delivery. Responsible for providing oversight and accountability for technology projects and programs of varying sizes, including transformational initiatives, with a focus on risk identification and remediation. Influences and leads large\-scale change initiatives. Responsible for program financials, resource management and allocation, portfolio health, and executive reporting. As a Senior Business Consultant, understand client problems stated or implied, identify and recommend solutions to achieve business objectives. Succinctly present solution proposals to existing and prospective clients.  
**Essential Duties and Responsibilities**  
The following is a summary of the essential functions for this job. Other duties may be performed, both major and minor, which are not mentioned below. Specific activities may change from time to time.
* Provides leadership to direct and oversee the strategy, planning and implementation of technology initiatives
* Partners closely with technology leaders, business leaders and subject matter experts to develop program execution strategies, plans and timelines
* Defines, develops and implements an effective program operating model and governance framework to drive consistency of delivery across all workstreams
* Builds relationships and collaborates with key stakeholders to ensure delivery of commitments
* Proactively monitors and addresses any risks or issues that could compromise on\-time delivery, escalating as needed to minimize impacts
* Facilitates and leads program meetings to solicit and provide status updates to key stakeholders, technology and business leadership
* Creates, executes and monitors program level communication, quality and change management strategies
* Manages project deadlines, budgets, delivery and acceptance of program deliverables ensuring high quality
* Adheres to client project management and technology delivery lifecycle processes, standards and guidelines
* Documents client problem statements and impacts to their business
* Defines complex business/technology solutions to address client needs
* Creates client presentations and proposals with clear storylines outlining recommendations and resolutions
Required Qualifications:
* Bachelor's Degree, or equivalent work experience
* Prior technology or business consulting experience
* At least 5 Years of Program Management experience in a technology environment
* At least 10 Years of Project Management experience in a technology environment
* Experience with both Agile and Waterfall delivery methodologies
* Proven track record of excellent project delivery, bringing the ability to quickly put structure in place to manage work in a dynamic complex environment
* Partnership skills which are essential for interacting and communicating with key stakeholders at all levels to manage, inform and influence outcomes
* Desire and ability to develop project and program deliverables with the ability to coach and develop high\-performing project teams
* Demonstrated executive level verbal and written communication skills, ability to translate technical jargon into simplified and concise communications
* Highly articulate and demonstrates executive presence
* Ability to travel to client locations at least 50% of the time for project delivery work
**Preferred Qualifications:**
* Experience delivering project and programs in the Banking and Financial Services Industry
* Demonstrated understanding of business and technology organization, resources, priorities, and needs
* Experience implementing large and complex initiatives within a multi\-vendor, matrixed organization
* Strong skills in MS Office Suite (PowerPoint, Excel, Word, Visio, Project)
* Strong grasp of project management and technology development lifecycle
**About NTT DATA:**  
NTT DATA is a $30 billion trusted global innovator of business and technology services. We serve 75% of the Fortune Global 100 and are committed to helping clients innovate, optimize and transform for long 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one of the leading providers of digital and AI infrastructure in the world. NTT DATA is a part of NTT Group, which invests over $3\.6 billion each year in R\&amp;D to help organizations and society move confidently and sustainably into the digital future. Visit us at us.nttdata.com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row>
    <row r="156">
      <c r="A156" t="inlineStr">
        <is>
          <t>in-e3953ab034126ef7</t>
        </is>
      </c>
      <c r="B156" t="inlineStr">
        <is>
          <t>Product Manager II, Small Commercial</t>
        </is>
      </c>
      <c r="C156" t="inlineStr">
        <is>
          <t>Woodward, Inc.</t>
        </is>
      </c>
      <c r="D156" t="inlineStr">
        <is>
          <t>indeed</t>
        </is>
      </c>
      <c r="E156">
        <f>HYPERLINK("https://www.indeed.com/viewjob?jk=e3953ab034126ef7", "https://www.indeed.com/viewjob?jk=e3953ab034126ef7")</f>
        <v/>
      </c>
      <c r="F156">
        <f>HYPERLINK("https://woodward.wd5.myworkdayjobs.com/woodward/job/Rockford---Rock-Cut-Campus-RCC/Product-Manager-II--Small-Commercial_JR109519", "https://woodward.wd5.myworkdayjobs.com/woodward/job/Rockford---Rock-Cut-Campus-RCC/Product-Manager-II--Small-Commercial_JR109519")</f>
        <v/>
      </c>
      <c r="G156" t="inlineStr">
        <is>
          <t>Loves Park, IL, US</t>
        </is>
      </c>
      <c r="H156" s="2" t="n">
        <v>46069</v>
      </c>
      <c r="I156" t="inlineStr">
        <is>
          <t>**Key Responsibilities:**
* Product Strategy Development: Defines and implements product strategies aligned with business objectives and market trends.
* CrossFunctional Collaboration: Partners with engineering, marketing, Quality, Operations, Supply Chain, and Sales teams to ensure product features meet customer needs and business goals.
* Financial Oversight: Monitors financial performance, and ensures achievement of revenue targets. P\&amp;L ownership typically less than $50M in annual sales.
* Leadership: Leads product development for assigned product(s) including product definition and sponsorship.
* Solution Design: Analyzes complex product challenges and designs innovative solutions to enhance product performance and user satisfaction.
**Key Skills:**
* Product Strategy Development: Ability to develop and execute product strategies aligned with business objectives.
* Risk Management: Identifies potential risks in products and devises mitigation strategies to ensure successful outcomes.
* Crossfunctional Leadership: Skilled in leading crossfunctional teams to achieve product goals.
* Data Analytics: Expertise in utilizing data analytics tools to guide product management.
* Product Management: Skilled in managing products definition from initiation to completion.
* Strategic Thinking: Ability to interpret business challenges and recommend strategic solutions.
* Effective Communication: Proficient in communicating complex concepts clearly to diverse stakeholders.
* Problem Solving: Identifies and solves complex product related problems using analytical methods.
* Stakeholder Management: Skilled in negotiating and managing stakeholder expectations and requirements.
* Agile Methodologies: Proficient in applying agile methodologies to product management processes.
**Other Qualifications:**</t>
        </is>
      </c>
    </row>
    <row r="157">
      <c r="A157" t="inlineStr">
        <is>
          <t>in-d5846642d81eb81e</t>
        </is>
      </c>
      <c r="B157" t="inlineStr">
        <is>
          <t>Program Manager</t>
        </is>
      </c>
      <c r="C157" t="inlineStr">
        <is>
          <t>RHA Health Services</t>
        </is>
      </c>
      <c r="D157" t="inlineStr">
        <is>
          <t>indeed</t>
        </is>
      </c>
      <c r="E157">
        <f>HYPERLINK("https://www.indeed.com/viewjob?jk=d5846642d81eb81e", "https://www.indeed.com/viewjob?jk=d5846642d81eb81e")</f>
        <v/>
      </c>
      <c r="F157">
        <f>HYPERLINK("https://rhahealthservices.wd1.myworkdayjobs.com/1/job/Kingsport-TN/Program-Manager_R58872", "https://rhahealthservices.wd1.myworkdayjobs.com/1/job/Kingsport-TN/Program-Manager_R58872")</f>
        <v/>
      </c>
      <c r="G157" t="inlineStr">
        <is>
          <t>Kingsport, TN, US</t>
        </is>
      </c>
      <c r="H157" s="2" t="n">
        <v>46069</v>
      </c>
      <c r="I157" t="inlineStr">
        <is>
          <t>**We are hiring for:**
Program Manager**Type:**
Regular
If you are a positive and personable individual looking for a satisfying and fun opportunity to make a real difference in the lives of people with intellectual, developmental disabilities, and people facing mental health, and substance use challenges, join our team at RHA Health Services!
Performs a variety of administrative, training and personnel functions. Conducts unit investigations for compliance and allegations of abuse, neglect, and exploitation. Coordinates and monitors unit’s quality assurance system. Assists Administrator with the development of services and oversight of the unit. Takes rotating on\-call responsibility. Relies on experience, knowledge, and judgment with limited direction and supervision.
RHA Health Services is seeking a Program Manager for the Kingsport Area.
**Salary:** 43,000\-45,000 annually
**Work Schedule:** Monday\-Friday 8:30a\-5p with on call responsibilities.
**REPORTS TO:**
IDD Regional Operations Director
**SUPERVISORY RESPONSIBILITIES:**
This position supervises IDD Residential Team Leaders, Direct Support Program Managers, Group Home Supervisors, and Direct Support Professionals
**DUTIES AND RESPONSIBILITIES:**
* Working closely with clinical and professional healthcare staff to maintain communication and provide feedback, standardizing procedures, and expediting the implementation of person\-centered plans.
* Provides shift coverage in times of acute shortages of direct support staff. Provides on call coverage for people supported they support and services as needed.
* Works closely with other clinical/professional staff to maintain communication and provide feedback, standardize procedures, expedite support plan implementation and workflow and to improve the efficiency of subordinates.
* Works closely with Qualified Professional and other clinical/professional staff to maintain communication and provide feedback, standardize procedures, expedite Person Centered Plan implementation and workflow and to improve efficiency of team
* All other duties as assigned.
**MINIMUM QUALIFICATIONS:**
* A high school diploma or equivalent
* One year of experience working with people with developmental disabilities.
* Excellent verbal and written communication skills.
* Flexible schedule and availability to provide on\-call coverage as needed.
* CPR, first aid, NCI and/or MedTech certification, a plus
* Must be at least 18 years of age
**PHYSICAL DEMANDS AND WORK ENVIRONMENT:**
* Must be able to regularly lift and carry up to 20 lbs. and occasionally pull at least 40 lbs.
* Must be able to squat, kneel, crawl, crouch, climb, and stoop as part of regular job duties.
* Must be able to use hands and fingers to handle or operate objects, tools, or controls.
* Required to stand and walk for extended periods.
* Must be able to demonstrate proficiency in CPR from floor level, which requires working on hands and knees, bending, standing, and lifting.
* Vision requirements include close, distance, and peripheral vision.
* Must be able to talk and hear.
* **Exception – Deaf and Hard of Hearing Programs: For these programs only, employees must be fluent in American Sign Language (ASL). The requirement to talk and hear does not apply.**
RHA Is an Equal Employment Opportunity Employer, prohibits discrimination based on the following protected categories: race, creed, color, national origin, nationality, ancestry, age, sex/gender, marital status, civil status, domestic partnership status, familial status, religion, affectional or sexual orientation, gender identity or expression, atypical hereditary cellular or blood trait, genetic information, liability for service in the Armed Forces of the United States, or disability.
**Pre\-employment screening:**
* Complete criminal background
* Name checked in the registries. (OIG exclusions database, Child Abuse Registry, and Offenders Against Individuals with Developmental Disabilities)
* Drug testing
* Education verification and other credentialing based on position requirements.
* Proof of employment history or references (if required)
* Positions that require driving Proof of driver's license, driver's insurance, and vehicle, IF required for providing transportation for individuals.
**We offer the following benefits to employees:**
* **Payactiv:** early access to the money you’ve earned from hours you’ve already worked, before payday!
* **Employee perks and discount program**: to help you save money!
* **Paid Time Off** (full\-time employees only)
* **Health/Insurance** (full\-time employees only)
* **401(k) retirement** **savings program**
* **Wellbeing Programs: Physical, Emotional and Financial**
* **Chronic Disease management programs** **for hypertension** **and diabetes** (for qualifying employees)
* **Training: Free CPR, first aid, and job\-specific training opportunities**
* contract/contingent workers and interns do not qualify for any of the above benefits
EEO Statement RHA is an equal opportunity employer. In addition, we provide reasonable accommodation to qualified employees who have protected disabilities to the extent required by applicable laws, regulations, and ordinances. If you are an individual with a disability and need a reasonable accommodation to participate in the application process, please contact our solutions center.
**About RHA:**
At RHA Health Services, we help individuals with intellectual and developmental disabilities, mental health and/or substance use needs live their best lives. Our mission is to provide a safe and healthy environment while creating opportunities for personal outcomes.
For over 30 years, the people we serve and support have remained at the very center of everything we do. RHA currently provides services in North Carolina, Georgia, Pennsylvania, Tennessee, and New Jersey.
If you are ready to make a difference in the lives of people we serve and support apply to join the team today.</t>
        </is>
      </c>
    </row>
    <row r="158">
      <c r="A158" t="inlineStr">
        <is>
          <t>in-ad871b20db4ca1d7</t>
        </is>
      </c>
      <c r="B158" t="inlineStr">
        <is>
          <t>Architectural Product Manager</t>
        </is>
      </c>
      <c r="C158" t="inlineStr">
        <is>
          <t>Precision Walls</t>
        </is>
      </c>
      <c r="D158" t="inlineStr">
        <is>
          <t>indeed</t>
        </is>
      </c>
      <c r="E158">
        <f>HYPERLINK("https://www.indeed.com/viewjob?jk=ad871b20db4ca1d7", "https://www.indeed.com/viewjob?jk=ad871b20db4ca1d7")</f>
        <v/>
      </c>
      <c r="F158">
        <f>HYPERLINK("https://precision.hrmdirect.com/employment/view.php?req=3641102&amp;jbsrc=1014&amp;location=91ac4056-3b17-58ff-b568-edfce5ea085a", "https://precision.hrmdirect.com/employment/view.php?req=3641102&amp;jbsrc=1014&amp;location=91ac4056-3b17-58ff-b568-edfce5ea085a")</f>
        <v/>
      </c>
      <c r="G158" t="inlineStr">
        <is>
          <t>Cary, NC, US</t>
        </is>
      </c>
      <c r="H158" s="2" t="n">
        <v>46069</v>
      </c>
      <c r="I158" t="inlineStr">
        <is>
          <t>**Precision Walls, Inc.**, one of the nation’s leading specialty contractors, is seeking a driven and experienced **Architectural Product Manager** to join our team. This role will be based in **Cary, NC**, with a focus on driving product specifications and sales across **North Carolina, South Carolina, and Virginia**.
**Essential Duties and Responsibilities:**
* Develop and execute regional sales strategies to meet defined goals.
* Identify and engage key decision\-makers within the A\&amp;D and construction community.
* Drive product specifications through architects, developers, and contractors.
* Conduct impactful product presentations and technical overviews to prospective clients.
* Build and strengthen relationships within the commercial architectural community.
* Collaborate internally to support product positioning and client needs.
* Manage pipeline activity and reporting across a multi\-state territory.
**Requirements / Qualifications:**
* Minimum **2 years of successful architectural sales experience.**
* Existing relationships within the commercial architectural market.
* Proven ability to identify and engage key influencers in the project design process.
* Proficient in reading and interpreting architectural drawings.
* Strong organizational and time\-management skills with the ability to work independently.
* Detail\-oriented with excellent communication and presentation abilities.
**Benefits:.**
* Paid Time Off (PTO)
* Retirement Plans
	+ 401K Savings Plan
	+ Employee Stock Ownership Plan (ESOP)
* Health Plan
* Dental Plan
* Vision Plan
* Flexible Expending Account for healthcare
* Long and Short Term Disability
* Life Insurance
* Advancement and growth opportunities
* Performance bonuses (Incentive program)
*Employment with Precision Walls is contingent upon successful completion of a pre\-employment background check and drug screening. Each situation is reviewed individually in accordance with company policy.*
**Why PWI?**
At Precision Walls, Inc. our Company has a track record of hiring, developing, and promoting quality performers of excellent character. We offer our employees competitive wages, a fun *TEAM* working environment, career growth and advancement *opportunities*. Our Company invests in each employee to provide them with the resources to succeed, make a difference, and transform their careers. We do more than help build buildings, we help our employees build their own successful futures!
**100% Employee Owned**
As an employee\-owned company, we are passionate and dedicated to working like owners and as a team to enhance the success of the company. We are proud to be able to share in the benefits of our success through our ESOP program.
*Precision Walls is an Equal Opportunity Employer. We welcome all qualified applicants to apply \- regardless of race, color, religion, sex, sexual orientation, gender identity, national origin, disability, or veteran status.*
**Military Friendly Employer**
We value the knowledge, skills and abilities you acquired in the military. Whether you are an active serve member transitioning or a military spouse, we want you to consider a rewarding career.</t>
        </is>
      </c>
    </row>
    <row r="159">
      <c r="A159" t="inlineStr">
        <is>
          <t>in-d5a71464278d397f</t>
        </is>
      </c>
      <c r="B159" t="inlineStr">
        <is>
          <t>Generative AI Product Manager</t>
        </is>
      </c>
      <c r="C159" t="inlineStr">
        <is>
          <t>Avant</t>
        </is>
      </c>
      <c r="D159" t="inlineStr">
        <is>
          <t>indeed</t>
        </is>
      </c>
      <c r="E159">
        <f>HYPERLINK("https://www.indeed.com/viewjob?jk=d5a71464278d397f", "https://www.indeed.com/viewjob?jk=d5a71464278d397f")</f>
        <v/>
      </c>
      <c r="F159">
        <f>HYPERLINK("https://avant.wd503.myworkdayjobs.com/External_Careers/job/Chicago-HQ/Generative-AI-Product-Manager_JR100430", "https://avant.wd503.myworkdayjobs.com/External_Careers/job/Chicago-HQ/Generative-AI-Product-Manager_JR100430")</f>
        <v/>
      </c>
      <c r="G159" t="inlineStr">
        <is>
          <t>Chicago, IL, US</t>
        </is>
      </c>
      <c r="H159" s="2" t="n">
        <v>46069</v>
      </c>
      <c r="I159" t="inlineStr">
        <is>
          <t>We’re looking for a Generative AI Product Manager who thrives at the intersection of data, product, and innovation. This role is about more than just experimenting with AI tools—it’s about scaling AI impact across the business. You’ll help us unlock value from our Databricks data platform, design AI\-powered workflows and products, and lead the enablement of AI across teams.
You’ll be both a builder and an orchestrator: prototyping AI solutions, shaping enterprise use cases, and helping establish the foundations—tools, governance, and culture—that make AI sustainable at scale.
 **What you’ll do at Avant**
* Prototype \&amp; Pilot AI Use Cases: Build scrappy MVPs and run hands\-on pilots that leverage our data (in Databricks) and AI tooling to solve real business problems.
* Scale AI Agents \&amp; Workflows: Deploy AI copilots and automation for high\-value internal workflows (e.g. customer support, underwriting, analytics).
* Partner on AI Roadmap: Work with business units to identify, prioritize, and validate AI opportunities—balancing quick wins with longer\-term strategic bets.
* Enable AI Across the Org: Drive adoption by building shared repositories of use cases, running enablement sessions, and integrating AI literacy into company culture.
* Measure Impact: Define metrics for adoption, efficiency, and quality of AI solutions; use data to guide iteration and scaling.
* Shape AI Governance \&amp; Best Practices: Partner with Product, Data, and Engineering to establish standards around safety, compliance, and responsible AI use.
**Why you’re a fit at Avant**
* AI\-First Mindset: A power user of AI tools (ChatGPT, Claude, GitHub Copilot, etc.), with curiosity for experimenting and applying them in real workflows.
* Product Builder: 5\+ years in product or program management, ideally in tech or fintech, with experience taking concepts from zero to shipped solutions.
* Data Fluent: Comfortable with SQL and working in a data platform like Databricks; strong instincts for measuring impact with data.
* System Thinker: Able to connect dots across business workflows, data pipelines, and AI opportunities—not just tasks.
* Great Communicator: You can translate technical possibilities into business outcomes, and align executives, engineers, and end users alike.
* Action\-Oriented: You move quickly, prototype relentlessly, and aren’t afraid to break and learn.
**Nice to Haves:**
------------------
* Experience embedding GenAI into customer\-facing fintech or data\-driven products.
* Familiarity with AI infrastructure and tooling (LangChain, vector databases, LLM APIs).
* Hands\-on experience with Databricks for data pipelines, ML models, or AI experimentation.
* A track record of shipping AI\-powered tools (whether formally at work or informally on your own).
This role is based on our downtown Chicago Office, located in the Merchandise Mart. We highly value collaboration and our hybrid schedule (M, T, Th in\-office) enables flexibility to balance work and individual priorities.
**Compensation Range:**
The base salary range for this job is USD $165,000 USD \- $185,000 USD /Year
**Employees new to Avant typically come in below the midpoint of the pay range.** The compensation range is based on the level outlined in the job posting, and compensation decisions are dependent on each applicant's experience, skills and abilities.
*\[If an outstanding applicant's experience and skill level is above or below the qualifications outlined in the job posting, we reserve the right to make an offer at a different level than the one listed in this job posting, which may have a different compensation range.]*
This role is eligible for additional incentives, including an annual bonus. These rewards are allocated based on level, impact and performance in the role.
**Our benefits include:**
* Choice of great Medical, Dental, and Vision Insurance Plan options
* 401(k) match
* Flexible Time Off
* Flexible Work Environment \- (i.e. Mon/Tues/Thurs in\-person)
* Generous Paid Parental Leave, Adoption Assistance and Post\-parental leave ramp\-up program
* Lunch Allowance (Fooda) and In\-office Snacks
* Summer Fridays
* Fun In\-Office and Virtual Social Events
* *And who doesn’t love the swag*
**Check out our****Avant Blog****!**
We believe that a diverse set of backgrounds and experiences helps us create the most innovative solutions for our customers. We invite you to apply to our positions even if you do not meet 100% of the qualifications listed in the description. If you’re passionate about our mission and aligned to our values, we hope you’ll come contribute to our awesome culture.
**Why Avant is the place for you:**
At Avant, we believe our values make a difference:
**Authenticity.** We show up to work as our whole selves and make sure others can too.
**Collaboration.** We can only succeed when we do so as a team.
**Problem\-Solving.** The harder the problem, the more satisfying the solution.
**Customer.** We are all owners of the customer experience.
**Initiative.** Plan. Adapt. Get Sh!t Done.
**We believe that great ideas come from anyone and anywhere, that everyone is an owner who drives change, and that we have more fun when we work together. We're problem solvers who love collaborating with intelligent and highly\-motivated people to reshape the face of digital banking. Avant offers terrific perks and benefits, fun social events with employees who actually like hanging out together, and a flexible growth environment where trying your hand at new projects and being the active owner of your career path is encouraged and supported.**
To learn more about how Avant collects and uses your personal information, please see the Avant Privacy Policy.</t>
        </is>
      </c>
    </row>
    <row r="160">
      <c r="A160" t="inlineStr">
        <is>
          <t>in-3c8403f1858e7fc4</t>
        </is>
      </c>
      <c r="B160" t="inlineStr">
        <is>
          <t>Technical Product Owner-Identity Access Management (IAM)</t>
        </is>
      </c>
      <c r="C160" t="inlineStr">
        <is>
          <t>Concentrix</t>
        </is>
      </c>
      <c r="D160" t="inlineStr">
        <is>
          <t>indeed</t>
        </is>
      </c>
      <c r="E160">
        <f>HYPERLINK("https://www.indeed.com/viewjob?jk=3c8403f1858e7fc4", "https://www.indeed.com/viewjob?jk=3c8403f1858e7fc4")</f>
        <v/>
      </c>
      <c r="F160">
        <f>HYPERLINK("https://cnx.wd1.myworkdayjobs.com/en-US/external_global/job/USA-Bellevue-13555-SE-36th-Street/Technical-Product-Owner-Identity-Access-Management--IAM-_R1686708", "https://cnx.wd1.myworkdayjobs.com/en-US/external_global/job/USA-Bellevue-13555-SE-36th-Street/Technical-Product-Owner-Identity-Access-Management--IAM-_R1686708")</f>
        <v/>
      </c>
      <c r="G160" t="inlineStr">
        <is>
          <t>Bellevue, WA, US</t>
        </is>
      </c>
      <c r="H160" s="2" t="n">
        <v>46069</v>
      </c>
      <c r="I160" t="inlineStr">
        <is>
          <t>Job Title:
Technical Product Owner\-Identity Access Management (IAM)
Job Description
We're Concentrix. The intelligent transformation partner. Solution\-focused. Tech\-powered. Intelligence\-fueled.
The global technology and services leader that powers the world’s best brands, today and into the future. We’re solution\-focused, tech\-powered, intelligence\-fueled. With unique data and insights, deep industry expertise, and advanced technology solutions, we’re the intelligent transformation partner that powers a world that works, helping companies become refreshingly simple to work, interact, and transact with. We shape new game\-changing careers in over 70 countries, attracting the best talent.
The Concentrix Technical Products and Services team is the driving force behind Concentrix’s transformation, data, and technology services. We integrate world\-class digital engineering, creativity, and a deep understanding of human behavior to find and unlock value through tech\-powered and intelligence\-fueled experiences. We combine human\-centered design, powerful data, and strong tech to accelerate transformation at scale. You will be surrounded by the best in the world providing market leading technology and insights to modernize and simplify the customer experience. Within our professional services team, you will deliver strategic consulting, design, advisory services, market research, and contact center analytics that deliver insights to improve outcomes and value for our clients. Hence achieving our vision.
Our game\-changers around the world have devoted their careers to ensuring every relationship is exceptional. And we’re proud to be recognized with awards such as "World's Best Workplaces," “Best Companies for Career Growth,” and “Best Company Culture,” year after year.
Join us and be part of this journey towards greater opportunities and brighter futures.
**Technical Product Owner**
**Job Locations:**
**Overland Park, KS**
**Frisco, TX**
Concentrix is seeking a highly skilled Product Owner with experience in Identity and Access Management (IAM)
**P** **ro** duct Ownership: Lead the development and management of IAM solutions, ensuring alignment with business objectives and user needs.
**Key Responsibilities:**
* Serve as the primary liaison between business stakeholders and the Salesforce development team \&amp; Integration Layers
* Own and manage the product backlog for Java, API\-related initiatives, ensuring clear prioritization and alignment with business objectives.
* Translate business requirements into detailed user stories and acceptance criteria.
* Collaborate with developers, architects, and admins to design scalable and efficient solutions.
* Drive the implementation of features and enhancements
* Ensure data integrity, system performance, and user adoption through continuous improvement.
* Lead sprint planning, backlog grooming, and product demos.
* Monitor KPIs and user feedback to inform future enhancements and roadmap planning.
**Required Qualifications:**
* 5\+ years of experience as a Technical Product Owner in an Agile environment.
* Experience writing user stories, managing product backlogs, and working with cross\-functional teams.
* Excellent communication, stakeholder management, and problem\-solving skills.
* Proven experience as a Product Owner, specifically in IAM.
**Preferred Qualifications:**
* Familiarity with tools like Jira, Confluence, and Agile methodologies.
* Experience in a B2B SaaS or enterprise environment.
* Experience with Swagger
The base salary range for this position is $92,250 \- $144,964,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02/23/2026\.
\#LI
\#LI\-KS
\#LI\-TX
Location:
USA Bellevue 13555 SE 36th Street
Language Requirements:
Time Type:
Full time  
Physical \&amp; Mental Requirements: While performing the duties of this job, the employee is regularly required to operate a computer, keyboard, telephone, headset, and other office equipment. Work is generally sedentary in nature.
**If you are a California resident, by submitting your information, you acknowledge that you have read and have access to the** **Job Applicant Privacy Notice for California Residents**
Concentrix is an equal opportunity and affirmative action (EEO\-AA) employer. We promote equal opportunity to all qualified individuals and do not discriminate in any phase of the employment process based on race, color, religion, sex, sexual orientation, gender identity, national origin, age, pregnancy or related condition, disability, status as a protected veteran, or any other basis protected by law.
For more information regarding your EEO rights as an applicant, please visit the following websites:
* English
* Spanish
To request a reasonable accommodation please click here .
If you wish to review the Affirmative Action Plan, please click here .</t>
        </is>
      </c>
    </row>
    <row r="161">
      <c r="A161" t="inlineStr">
        <is>
          <t>in-f27b9226fe0770c8</t>
        </is>
      </c>
      <c r="B161" t="inlineStr">
        <is>
          <t>Program Manager - Experiential Education, OAC</t>
        </is>
      </c>
      <c r="C161" t="inlineStr">
        <is>
          <t>Utah Valley University</t>
        </is>
      </c>
      <c r="D161" t="inlineStr">
        <is>
          <t>indeed</t>
        </is>
      </c>
      <c r="E161">
        <f>HYPERLINK("https://www.indeed.com/viewjob?jk=f27b9226fe0770c8", "https://www.indeed.com/viewjob?jk=f27b9226fe0770c8")</f>
        <v/>
      </c>
      <c r="F161">
        <f>HYPERLINK("https://www.schooljobs.com/careers/uvu/jobs/5236506/program-manager-experiential-education-oac", "https://www.schooljobs.com/careers/uvu/jobs/5236506/program-manager-experiential-education-oac")</f>
        <v/>
      </c>
      <c r="G161" t="inlineStr">
        <is>
          <t>Orem, UT, US</t>
        </is>
      </c>
      <c r="H161" s="2" t="n">
        <v>46069</v>
      </c>
      <c r="I161" t="inlineStr">
        <is>
          <t>**Position Announcement**
-------------------------
Utah Valley University’s Outdoor Adventure Center offers a unique opportunity to shape meaningful, high\-impact learning experiences beyond the classroom. As the Experiential Education Program Manager, you will play a central role in preparing and mentoring Adventure Trip Leaders while designing and delivering transformative day and multi\-day outdoor programs for the UVU community. This position blends leadership development, experiential education, and risk management—allowing you to foster student growth through hands\-on learning, thoughtful decision\-making, and dynamic group experiences in outdoor settings.
**Summary of Responsibilities**
-------------------------------
* Supervise and mentor trip leaders in the field. Monitor and document leadership, safe practices, group dynamics, and outdoor skills. Lead by example and offer feedback, enforce and adhere to all University and Outdoor Adventure Center policies and procedures. Assist in development and updating policies and procedures in risk management. Facilitate students in program planning and development. Attend pre\-trip meetings. Manage post\-trip evaluations and budgets. Provide leadership and direction for wilderness medicine when needed, create a calm environment, recognize and respond to incidents and emergencies as appropriate, document, and stay up to date on Wilderness First Responder certification and protocols. Organize evacuations when applicable.
* Develop, coordinate, and attend monthly leadership training sessions for all Adventure Trip Leaders. Training will include; group dynamics, expedition behavior, judgement and decision making, competence in outdoor skills, communication, time management, risk and equipment management. Assist in planning Fall and Spring overnight trainings. Manage certifications for all trip leaders and develop training sessions for specific certifications in Wilderness Medicine, Climbing and Canyoneering, Swift Water Rescue, Avalanche Safety, Leave No Trace, and Mountain Bike Maintenance.
* Supervise students in the trip planning process; quality programming, safe driving, outdoor skills, equipment management, group facilitation, budgeting, competence and overall leadership. Reserve and maintain group equipment, track inventory of trip equipment, ensure equipment is in proper working condition prior to departing on an excursion. Communicate with trip leaders and trip participants on waiver forms, pre\-trip meetings, and checklists to ensure preparedness and offer quality customer service. Oversee Adventure Trip Leaders progress and evaluate leadership after excursion is completed. Direct pre and post trip debriefing meetings with trip leaders and Program Director.
* Gather and submit photos from trips and activities to promote and enhance the Outdoor Adventure Center program. Organize weekly posts on Instagram and Facebook. Coordinate recruitment for new trip leaders and scholarship trip leaders. Update OAC website. Administer and promote online registration through University Tickets. Arrange advertising and scheduling in Live and on the UVU calendar. Oversee online trip registrations and work directly with trip leaders to fill excursions.
**Qualifications / Licenses / Certifications**
----------------------------------------------
* Graduation from an accredited Institution in Recreation or a related field of study.
* At least three years of experience leading groups in an outdoor setting.
* At least two years of experience supervising others.
* One year of experience writing budgets and operating procedures.
* Wilderness First Responder.
* Basic First Aid, CPR, and AED.
**Preferred Qualifications/****Certifications:*** Wilderness EMT.
* AMGA Certified.
* Swift Water Rescue Certified.
* AIARE Avalanche Level 1 \&amp; 2\.
**Knowledge / Skills / Abilities**
----------------------------------
**Knowledge**
* Knowledge of various outdoor activities; climbing, canyoneering, mountain biking, skiing, snowboarding, white water rafting and kayaking, backpacking, and camping.
* Technical knowledge with outdoor equipment use, maintenance, repair and care.
* Experience with Expedition Behavior, Group Development, Outdoor Leadership and Leave No Trace.
* Experience teaching and leading in an outdoor setting.
**Skills*** Effective verbal and written skills.
* Decision\-making skills.
* Skilled in facilitating academic and non\-academic, experiential group experiences in the outdoors.
* Strong leadership and organizational skills.
* Supervisory skills.
**Abilities**  
* Ability to mentor students.
* Ability to manage budgets.
* Ability to lift heavy equipment.
* Ability to work evenings, weekends, and holidays.
* Ability to work independently and creatively with minimal supervision.
* Ability to work in a fast\-paced, chaotic environment.
* Ability to work with students, staff and faculty and communicate clearly.
* Ability to maintain a professional manner and be an example to trip leaders and participants.
**EEO Statement:**
UVU employment decisions are made on the basis of an applicant’s qualifications and ability to perform the job without regard to race, color, religion, national origin, sex, sexual orientation, gender identity, gender expression, age (40 and over), disability, veteran status, pregnancy, childbirth, or pregnancy\-related conditions, genetic information, or other bases protected by applicable federal, state, or local law.</t>
        </is>
      </c>
    </row>
    <row r="162">
      <c r="A162" t="inlineStr">
        <is>
          <t>in-a30d5711c690f0dc</t>
        </is>
      </c>
      <c r="B162" t="inlineStr">
        <is>
          <t>AIML Data Operations - Account &amp; Program Manager</t>
        </is>
      </c>
      <c r="C162" t="inlineStr">
        <is>
          <t>Apple</t>
        </is>
      </c>
      <c r="D162" t="inlineStr">
        <is>
          <t>indeed</t>
        </is>
      </c>
      <c r="E162">
        <f>HYPERLINK("https://www.indeed.com/viewjob?jk=a30d5711c690f0dc", "https://www.indeed.com/viewjob?jk=a30d5711c690f0dc")</f>
        <v/>
      </c>
      <c r="F162">
        <f>HYPERLINK("https://jsv3.recruitics.com/redirect?rx_cid=3427&amp;rx_jobId=200645753-0836_rxr-661&amp;rx_url=https%3A%2F%2Fjobs.apple.com%2Fen-us%2Fdetails%2F200645753-0836%2Faiml-data-operations-account-program-manager%3Fboard_id%3DJB001%26rx_campaign%3Dindeed0%26rx_ch%3Djobp4p%26rx_group%3D122365%26rx_id%3Ddb963a54-0bce-11f1-9a2d-8d062a118ef5%26rx_job%3D200645753-0836_rxr-661%26rx_medium%3Dcpc%26rx_r%3Dnone%26rx_source%3Dindeed%26rx_ts%3D20260217T163804Z%26rx_vp%3Dcpc%26team%3DSFTWR", "https://jsv3.recruitics.com/redirect?rx_cid=3427&amp;rx_jobId=200645753-0836_rxr-661&amp;rx_url=https%3A%2F%2Fjobs.apple.com%2Fen-us%2Fdetails%2F200645753-0836%2Faiml-data-operations-account-program-manager%3Fboard_id%3DJB001%26rx_campaign%3Dindeed0%26rx_ch%3Djobp4p%26rx_group%3D122365%26rx_id%3Ddb963a54-0bce-11f1-9a2d-8d062a118ef5%26rx_job%3D200645753-0836_rxr-661%26rx_medium%3Dcpc%26rx_r%3Dnone%26rx_source%3Dindeed%26rx_ts%3D20260217T163804Z%26rx_vp%3Dcpc%26team%3DSFTWR")</f>
        <v/>
      </c>
      <c r="G162" t="inlineStr">
        <is>
          <t>Cupertino, CA, US</t>
        </is>
      </c>
      <c r="H162" s="2" t="n">
        <v>46069</v>
      </c>
      <c r="I162" t="inlineStr">
        <is>
          <t>Imagine what you could do here. At Apple, great ideas have a way of becoming great products, services, and customer experiences very quickly!  
Behind every groundbreaking AI innovation at Apple is a foundation of high\-quality annotated data. We're looking for an Annotations Program Manager to play a critical role in ensuring the quality and efficiency of this vital process. In this role, you will engage with teams across Appleʼs ecosystem with the ultimate goal of delivering high\-quality annotated data that enables AI advancements across the company. You will be responsible for capturing initial requirements, following through on all program commitments from our cross\-functional operations and  
engineering teams, and maintaining the customer relationship. You will need to understand the strategic goals of your customers to help prioritize operations tasks and coordinate with capacity planning for operational resources. Imagine being at the heart of Apple's AI revolution, ensuring that our machine learning models are trained with the highest quality data. As an Annotation Program Manager, you'll be the vital link between our innovative teams and the data they need to create the next generation of Apple products and features.  
**Description**  
Are you passionate about the intersection of technology and human understanding? Do you thrive in collaborative environments where your communication skills and technical expertise can make a real difference? As an Annotations Program Manager, you'll be at the core of our AIML development process. You'll collaborate with cross\-functional teams to define annotation requirements, manage operational projects from prototype to scale, and ensure customer satisfaction by delivering high\-quality data. Your work will directly contribute to the success of the next generation of Apple products and features. This role offers a unique opportunity to gain deep expertise in the rapidly evolving field of AIML, working alongside some of the brightest minds in the industry.","responsibilities":"Be the bridge between our engineering teams and our operations experts, translating complex needs into actionable plans and ensuring seamless execution.  
Work closely with operations, engineering, and business teams to build a program enabling  
us to deliver annotated data to engineering teams across Apple.  
Serve as annotation project DRI, ensuring follow\-through on many operational projects, from prototyping to scaling across global teams.  
Partner closely with the training, quality, data analytics, and capacity planning teams to design solutions for annotation needs and create scalable solutions for future annotation requirements.  
Collaborate to tackle problems as they arise and gain the trust and confidence of teams across Apple, resulting in the delivery of high\-quality annotated data.  
**Preferred Qualifications**  
Experience with data annotation tools and workflows, and a strong understanding of machine learning concepts and methodologies.  
**Minimum Qualifications**  
10\+ years of experience managing complex, cross\-functional programs across global teams, with a proven track record of delivering results.  
Proven ability to communicate complex technical concepts clearly and concisely to both technical and non\-technical audiences.  
Ability to understand and consolidate multiple points of view into an influential recommendation to move projects forward.  
Exceptional communication and interpersonal skills, with the ability to build rapport and influence stakeholders at all levels.  
A relentless focus on delivering results and exceeding expectations, taking full ownership of your projects from start to finish.  
A strategic problem\-solver with a passion for continuous improvement and a knack for identifying and resolving bottlenecks.  
Self\-motivated and proactive, with the ability to thrive in a fast\-paced, ambiguous environment.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$141,800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63">
      <c r="A163" t="inlineStr">
        <is>
          <t>in-4692ed73d3ce9e07</t>
        </is>
      </c>
      <c r="B163" t="inlineStr">
        <is>
          <t>Product Manager</t>
        </is>
      </c>
      <c r="C163" t="inlineStr">
        <is>
          <t>ITT Inc.</t>
        </is>
      </c>
      <c r="D163" t="inlineStr">
        <is>
          <t>indeed</t>
        </is>
      </c>
      <c r="E163">
        <f>HYPERLINK("https://www.indeed.com/viewjob?jk=4692ed73d3ce9e07", "https://www.indeed.com/viewjob?jk=4692ed73d3ce9e07")</f>
        <v/>
      </c>
      <c r="F163">
        <f>HYPERLINK("https://careersenus-itt-inc.icims.com/jobs/15775/job", "https://careersenus-itt-inc.icims.com/jobs/15775/job")</f>
        <v/>
      </c>
      <c r="G163" t="inlineStr">
        <is>
          <t>Irvine, CA, US</t>
        </is>
      </c>
      <c r="H163" s="2" t="n">
        <v>46007</v>
      </c>
      <c r="I163" t="inlineStr">
        <is>
          <t>Reporting to Senior Product Management Lead for Aerospace Electrical Interconnect Products, the successful candidate will manage all technical, pricing, and marketing related deliverables for interconnect products being sold to commercial and military aerospace markets. The candidate will interact daily with internal and external Sales staff, distributors, end customers and engineers, drive all product management activities and will be responsible for related revenue and margin. This position is responsible for achieving all profitability and revenue growth objectives for the assigned product lines in line with the company’s strategic plan.  
* Implement and develop online and manual pricing tools for responsible product lines in coordination with the pricing team to improve pricing responses and maximize revenue and margin with the goal of achieving a sub 5\-day average turnaround time on all quotations
* Manage product cost reduction activities and market price strategies to improve margins and closure rates on quotes and contract pricing agreements – achieve a minimum 15% closure rate on relevant product lines
* Manage customer facing activities that results in maximum product line value, developing product related collateral to the Sales team, distribution, and end customers as well as messaging that maximizes ITT Cannon’s competitive position within the market
* Develop marketing communications collateral in conjunction with marketing that optimizes messaging – build and execute a plan that includes a minimum of 1 marketing content release per quarter
* Develop and manage product roadmaps and oversee specific product development projects crucial to ensuring new product launches are achieved on schedule in accordance with the product roadmap
* Conduct and manage product related engineering activities through regular meetings to ensure engineering activities are supporting tactical and strategic product line objectives
* Key management point of contact responsible for all product related pricing and margin activities as well as tactical and strategic activities related to the product line.
Safety is a core value at ITT. Our employees understand and follow all ITT safety policies and procedures, participate in workplace inspections, safety training, and in the development of job safety analyses.  
* Bachelor's degree in business or a technical discipline, MBA preferred
* Minimum 3 years' experience in Product Management, with Pricing, Sales, or Customer Service experience within the Aerospace industry
* Familiarity with electrical interconnect products
* Percent of Travel required, typically 25%\-50%</t>
        </is>
      </c>
    </row>
    <row r="164">
      <c r="A164" t="inlineStr">
        <is>
          <t>in-b3975e0f4979337e</t>
        </is>
      </c>
      <c r="B164" t="inlineStr">
        <is>
          <t>Sr. Product Manager Technical, Deal Tooling &amp; Insights, Strategic Customer Engagements</t>
        </is>
      </c>
      <c r="C164" t="inlineStr">
        <is>
          <t>Amazon Web Services</t>
        </is>
      </c>
      <c r="D164" t="inlineStr">
        <is>
          <t>indeed</t>
        </is>
      </c>
      <c r="E164">
        <f>HYPERLINK("https://www.indeed.com/viewjob?jk=b3975e0f4979337e", "https://www.indeed.com/viewjob?jk=b3975e0f4979337e")</f>
        <v/>
      </c>
      <c r="F164">
        <f>HYPERLINK("https://www.amazon.jobs/jobs/3138889/sr-product-manager-technical-deal-tooling--insights-strategic-customer-engagements?cmpid=DA_INAD200785B", "https://www.amazon.jobs/jobs/3138889/sr-product-manager-technical-deal-tooling--insights-strategic-customer-engagements?cmpid=DA_INAD200785B")</f>
        <v/>
      </c>
      <c r="G164" t="inlineStr">
        <is>
          <t>Austin, TX, US</t>
        </is>
      </c>
      <c r="H164" s="2" t="n">
        <v>45994</v>
      </c>
      <c r="I16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65">
      <c r="A165" t="inlineStr">
        <is>
          <t>in-b2f12f5e7e08ef55</t>
        </is>
      </c>
      <c r="B165" t="inlineStr">
        <is>
          <t>Sr. Product Manager Technical, Deal Tooling &amp; Insights, Strategic Customer Engagements</t>
        </is>
      </c>
      <c r="C165" t="inlineStr">
        <is>
          <t>Amazon Web Services</t>
        </is>
      </c>
      <c r="D165" t="inlineStr">
        <is>
          <t>indeed</t>
        </is>
      </c>
      <c r="E165">
        <f>HYPERLINK("https://www.indeed.com/viewjob?jk=b2f12f5e7e08ef55", "https://www.indeed.com/viewjob?jk=b2f12f5e7e08ef55")</f>
        <v/>
      </c>
      <c r="F165">
        <f>HYPERLINK("https://www.amazon.jobs/jobs/3138889/sr-product-manager-technical-deal-tooling--insights-strategic-customer-engagements?cmpid=DA_INAD200785B", "https://www.amazon.jobs/jobs/3138889/sr-product-manager-technical-deal-tooling--insights-strategic-customer-engagements?cmpid=DA_INAD200785B")</f>
        <v/>
      </c>
      <c r="G165" t="inlineStr">
        <is>
          <t>Arlington, VA, US</t>
        </is>
      </c>
      <c r="H165" s="2" t="n">
        <v>45994</v>
      </c>
      <c r="I16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66">
      <c r="A166" t="inlineStr">
        <is>
          <t>in-edba93295dab68fb</t>
        </is>
      </c>
      <c r="B166" t="inlineStr">
        <is>
          <t>Sr. Product Manager Technical, Deal Tooling &amp; Insights, Strategic Customer Engagements</t>
        </is>
      </c>
      <c r="C166" t="inlineStr">
        <is>
          <t>Amazon Web Services</t>
        </is>
      </c>
      <c r="D166" t="inlineStr">
        <is>
          <t>indeed</t>
        </is>
      </c>
      <c r="E166">
        <f>HYPERLINK("https://www.indeed.com/viewjob?jk=edba93295dab68fb", "https://www.indeed.com/viewjob?jk=edba93295dab68fb")</f>
        <v/>
      </c>
      <c r="F166">
        <f>HYPERLINK("https://www.amazon.jobs/jobs/3138889/sr-product-manager-technical-deal-tooling--insights-strategic-customer-engagements?cmpid=DA_INAD200785B", "https://www.amazon.jobs/jobs/3138889/sr-product-manager-technical-deal-tooling--insights-strategic-customer-engagements?cmpid=DA_INAD200785B")</f>
        <v/>
      </c>
      <c r="G166" t="inlineStr">
        <is>
          <t>Dallas, TX, US</t>
        </is>
      </c>
      <c r="H166" s="2" t="n">
        <v>45994</v>
      </c>
      <c r="I16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67">
      <c r="A167" t="inlineStr">
        <is>
          <t>in-9301b531d9b89fc6</t>
        </is>
      </c>
      <c r="B167" t="inlineStr">
        <is>
          <t>Sr. Product Manager Technical, Deal Tooling &amp; Insights, Strategic Customer Engagements</t>
        </is>
      </c>
      <c r="C167" t="inlineStr">
        <is>
          <t>Amazon Web Services</t>
        </is>
      </c>
      <c r="D167" t="inlineStr">
        <is>
          <t>indeed</t>
        </is>
      </c>
      <c r="E167">
        <f>HYPERLINK("https://www.indeed.com/viewjob?jk=9301b531d9b89fc6", "https://www.indeed.com/viewjob?jk=9301b531d9b89fc6")</f>
        <v/>
      </c>
      <c r="F167">
        <f>HYPERLINK("https://www.amazon.jobs/jobs/3138889/sr-product-manager-technical-deal-tooling--insights-strategic-customer-engagements?cmpid=DA_INAD200785B", "https://www.amazon.jobs/jobs/3138889/sr-product-manager-technical-deal-tooling--insights-strategic-customer-engagements?cmpid=DA_INAD200785B")</f>
        <v/>
      </c>
      <c r="G167" t="inlineStr">
        <is>
          <t>New York, NY, US</t>
        </is>
      </c>
      <c r="H167" s="2" t="n">
        <v>45994</v>
      </c>
      <c r="I16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68">
      <c r="A168" t="inlineStr">
        <is>
          <t>in-c78981e76df9dd69</t>
        </is>
      </c>
      <c r="B168" t="inlineStr">
        <is>
          <t>Sr. Product Manager Technical, Deal Tooling &amp; Insights, Strategic Customer Engagements</t>
        </is>
      </c>
      <c r="C168" t="inlineStr">
        <is>
          <t>Amazon Web Services</t>
        </is>
      </c>
      <c r="D168" t="inlineStr">
        <is>
          <t>indeed</t>
        </is>
      </c>
      <c r="E168">
        <f>HYPERLINK("https://www.indeed.com/viewjob?jk=c78981e76df9dd69", "https://www.indeed.com/viewjob?jk=c78981e76df9dd69")</f>
        <v/>
      </c>
      <c r="F168">
        <f>HYPERLINK("https://www.amazon.jobs/jobs/3138889/sr-product-manager-technical-deal-tooling--insights-strategic-customer-engagements?cmpid=DA_INAD200785B", "https://www.amazon.jobs/jobs/3138889/sr-product-manager-technical-deal-tooling--insights-strategic-customer-engagements?cmpid=DA_INAD200785B")</f>
        <v/>
      </c>
      <c r="G168" t="inlineStr">
        <is>
          <t>Herndon, VA, US</t>
        </is>
      </c>
      <c r="H168" s="2" t="n">
        <v>45994</v>
      </c>
      <c r="I16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69">
      <c r="A169" t="inlineStr">
        <is>
          <t>in-eeb006fca5196b92</t>
        </is>
      </c>
      <c r="B169" t="inlineStr">
        <is>
          <t>Sr. Product Manager Technical, Deal Tooling &amp; Insights, Strategic Customer Engagements</t>
        </is>
      </c>
      <c r="C169" t="inlineStr">
        <is>
          <t>Amazon Web Services</t>
        </is>
      </c>
      <c r="D169" t="inlineStr">
        <is>
          <t>indeed</t>
        </is>
      </c>
      <c r="E169">
        <f>HYPERLINK("https://www.indeed.com/viewjob?jk=eeb006fca5196b92", "https://www.indeed.com/viewjob?jk=eeb006fca5196b92")</f>
        <v/>
      </c>
      <c r="F169">
        <f>HYPERLINK("https://www.amazon.jobs/jobs/3138889/sr-product-manager-technical-deal-tooling--insights-strategic-customer-engagements?cmpid=DA_INAD200785B", "https://www.amazon.jobs/jobs/3138889/sr-product-manager-technical-deal-tooling--insights-strategic-customer-engagements?cmpid=DA_INAD200785B")</f>
        <v/>
      </c>
      <c r="G169" t="inlineStr">
        <is>
          <t>Seattle, WA, US</t>
        </is>
      </c>
      <c r="H169" s="2" t="n">
        <v>45994</v>
      </c>
      <c r="I16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70">
      <c r="A170" t="inlineStr">
        <is>
          <t>in-f6cbce77c4ac32bf</t>
        </is>
      </c>
      <c r="B170" t="inlineStr">
        <is>
          <t>Sr. Product Manager - Tech, WHS Data-Tech</t>
        </is>
      </c>
      <c r="C170" t="inlineStr">
        <is>
          <t>Amazon.com</t>
        </is>
      </c>
      <c r="D170" t="inlineStr">
        <is>
          <t>indeed</t>
        </is>
      </c>
      <c r="E170">
        <f>HYPERLINK("https://www.indeed.com/viewjob?jk=f6cbce77c4ac32bf", "https://www.indeed.com/viewjob?jk=f6cbce77c4ac32bf")</f>
        <v/>
      </c>
      <c r="F170">
        <f>HYPERLINK("https://www.amazon.jobs/jobs/3156736/sr-product-manager--tech-whs-datatech?cmpid=DA_INAD200785B", "https://www.amazon.jobs/jobs/3156736/sr-product-manager--tech-whs-datatech?cmpid=DA_INAD200785B")</f>
        <v/>
      </c>
      <c r="G170" t="inlineStr">
        <is>
          <t>Arlington, VA, US</t>
        </is>
      </c>
      <c r="H170" s="2" t="n">
        <v>45836</v>
      </c>
      <c r="I170"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71">
      <c r="A171" t="inlineStr">
        <is>
          <t>in-1deab4e182fe620e</t>
        </is>
      </c>
      <c r="B171" t="inlineStr">
        <is>
          <t>Sr. Product Manager - Tech, WHS Data-Tech</t>
        </is>
      </c>
      <c r="C171" t="inlineStr">
        <is>
          <t>Amazon.com</t>
        </is>
      </c>
      <c r="D171" t="inlineStr">
        <is>
          <t>indeed</t>
        </is>
      </c>
      <c r="E171">
        <f>HYPERLINK("https://www.indeed.com/viewjob?jk=1deab4e182fe620e", "https://www.indeed.com/viewjob?jk=1deab4e182fe620e")</f>
        <v/>
      </c>
      <c r="F171">
        <f>HYPERLINK("https://www.amazon.jobs/jobs/3156736/sr-product-manager--tech-whs-datatech?cmpid=DA_INAD200785B", "https://www.amazon.jobs/jobs/3156736/sr-product-manager--tech-whs-datatech?cmpid=DA_INAD200785B")</f>
        <v/>
      </c>
      <c r="G171" t="inlineStr">
        <is>
          <t>Bellevue, WA, US</t>
        </is>
      </c>
      <c r="H171" s="2" t="n">
        <v>45836</v>
      </c>
      <c r="I171"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72">
      <c r="A172" t="inlineStr">
        <is>
          <t>in-12056beca227508f</t>
        </is>
      </c>
      <c r="B172" t="inlineStr">
        <is>
          <t>Sr. Product Manager - Tech, WHS Data-Tech</t>
        </is>
      </c>
      <c r="C172" t="inlineStr">
        <is>
          <t>Amazon.com</t>
        </is>
      </c>
      <c r="D172" t="inlineStr">
        <is>
          <t>indeed</t>
        </is>
      </c>
      <c r="E172">
        <f>HYPERLINK("https://www.indeed.com/viewjob?jk=12056beca227508f", "https://www.indeed.com/viewjob?jk=12056beca227508f")</f>
        <v/>
      </c>
      <c r="F172">
        <f>HYPERLINK("https://www.amazon.jobs/jobs/3156736/sr-product-manager--tech-whs-datatech?cmpid=DA_INAD200785B", "https://www.amazon.jobs/jobs/3156736/sr-product-manager--tech-whs-datatech?cmpid=DA_INAD200785B")</f>
        <v/>
      </c>
      <c r="G172" t="inlineStr">
        <is>
          <t>Nashville, TN, US</t>
        </is>
      </c>
      <c r="H172" s="2" t="n">
        <v>45836</v>
      </c>
      <c r="I172"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73">
      <c r="A173" t="inlineStr">
        <is>
          <t>in-70b31921710d08b9</t>
        </is>
      </c>
      <c r="B173" t="inlineStr">
        <is>
          <t>Senior Product Manager - Technical, GenAI Evaluation Media (GEM)</t>
        </is>
      </c>
      <c r="C173" t="inlineStr">
        <is>
          <t>Amazon.com</t>
        </is>
      </c>
      <c r="D173" t="inlineStr">
        <is>
          <t>indeed</t>
        </is>
      </c>
      <c r="E173">
        <f>HYPERLINK("https://www.indeed.com/viewjob?jk=70b31921710d08b9", "https://www.indeed.com/viewjob?jk=70b31921710d08b9")</f>
        <v/>
      </c>
      <c r="F173">
        <f>HYPERLINK("https://www.amazon.jobs/jobs/3159612/senior-product-manager--technical-genai-evaluation-media-gem?cmpid=DA_INAD200785B", "https://www.amazon.jobs/jobs/3159612/senior-product-manager--technical-genai-evaluation-media-gem?cmpid=DA_INAD200785B")</f>
        <v/>
      </c>
      <c r="G173" t="inlineStr">
        <is>
          <t>New York, NY, US</t>
        </is>
      </c>
      <c r="H173" s="2" t="n">
        <v>46007</v>
      </c>
      <c r="I173" t="inlineStr">
        <is>
          <t>**DESCRIPTION**
---------------
Passionate about creating visual customer experiences that push the boundaries at the forefront of GenAI?
The North America Stores GenAI Evaluation Media (GEM) team is seeking an experienced Senior Product Manager \- Technical to help shape the future of visual shopping experiences. We're building CXs and foundational capabilities to understand, enhance, and generate high\-quality GenAI imagery, videos, and CXs that inspire customers and drive purchase confidence, towards our vision to be the leader in visual media and tools. We are looking for builders and disruptors who are not afraid to innovate for customers, business and technical acumen, exemplary interpersonal and communication skills, and a passion for GenAI technologies.
To succeed in this role, you need to be a self\-starter who enjoys bringing clarity, simplicity, and direction to highly ambiguous challenges. You enjoy building partnerships and alignment with peers and senior leaders. You dive deeply into data and openly welcome debate to form high\-judgement views. You know when to go slow because you need to learn more and build trust, and when to move fast to bring decisions to a close. Once a direction has been set, you guide and influence on executing with speed and rigor in designing experiments, building with applied scientists and engineers, analyzing results, and flexibly iterating towards success to better serve the overall vision.  
You will be successful in this role if:  
* You exhibit strong business and technical acumen
* You are able to take a complex customer need and transform it into the right product strategy, roadmap, and requirements
* You love diving deep into data and can roll up your sleeves to get the job done
* You have good interpersonal skills and you can influence cross\-functional teams and dependencies to achieve goals
* You are comfortable making smart CX vs. time\-to\-market trade\-offs, and ruthlessly prioritize roadmaps to deliver results
Key job responsibilities  
We work backwards from the needs of customers to bring structure to ambiguous problems. As a Senior Product Manager Technical on this team, you will:  
* Define the vision for your product space and outline a roadmap that has the potential to significantly impact Amazon’s business and customer experience.
* Gain support for your strategy and roadmap from stakeholders by writing narratives and influencing senior leadership, peers and partner teams.
* Partner with scientists, engineers and UX designers to translate business and functional requirements into concrete deliverables, including the design, development, testing, and deployment of customer\-facing experiences at scale.
* Drive data\-informed decisions through customer research, behavior analysis, and performance metrics
* Manage prioritization and trade\-offs for speed to market, performance, and features.
* Stay abreast with industry trends and GenAI offerings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in-02071a41ac0e26f6</t>
        </is>
      </c>
      <c r="B174" t="inlineStr">
        <is>
          <t>Senior Product Manager - Technical, GenAI Evaluation Media (GEM)</t>
        </is>
      </c>
      <c r="C174" t="inlineStr">
        <is>
          <t>Amazon.com</t>
        </is>
      </c>
      <c r="D174" t="inlineStr">
        <is>
          <t>indeed</t>
        </is>
      </c>
      <c r="E174">
        <f>HYPERLINK("https://www.indeed.com/viewjob?jk=02071a41ac0e26f6", "https://www.indeed.com/viewjob?jk=02071a41ac0e26f6")</f>
        <v/>
      </c>
      <c r="F174">
        <f>HYPERLINK("https://www.amazon.jobs/jobs/3159612/senior-product-manager--technical-genai-evaluation-media-gem?cmpid=DA_INAD200785B", "https://www.amazon.jobs/jobs/3159612/senior-product-manager--technical-genai-evaluation-media-gem?cmpid=DA_INAD200785B")</f>
        <v/>
      </c>
      <c r="G174" t="inlineStr">
        <is>
          <t>Seattle, WA, US</t>
        </is>
      </c>
      <c r="H174" s="2" t="n">
        <v>46007</v>
      </c>
      <c r="I174" t="inlineStr">
        <is>
          <t>**DESCRIPTION**
---------------
Passionate about creating visual customer experiences that push the boundaries at the forefront of GenAI?
The North America Stores GenAI Evaluation Media (GEM) team is seeking an experienced Senior Product Manager \- Technical to help shape the future of visual shopping experiences. We're building CXs and foundational capabilities to understand, enhance, and generate high\-quality GenAI imagery, videos, and CXs that inspire customers and drive purchase confidence, towards our vision to be the leader in visual media and tools. We are looking for builders and disruptors who are not afraid to innovate for customers, business and technical acumen, exemplary interpersonal and communication skills, and a passion for GenAI technologies.
To succeed in this role, you need to be a self\-starter who enjoys bringing clarity, simplicity, and direction to highly ambiguous challenges. You enjoy building partnerships and alignment with peers and senior leaders. You dive deeply into data and openly welcome debate to form high\-judgement views. You know when to go slow because you need to learn more and build trust, and when to move fast to bring decisions to a close. Once a direction has been set, you guide and influence on executing with speed and rigor in designing experiments, building with applied scientists and engineers, analyzing results, and flexibly iterating towards success to better serve the overall vision.  
You will be successful in this role if:  
* You exhibit strong business and technical acumen
* You are able to take a complex customer need and transform it into the right product strategy, roadmap, and requirements
* You love diving deep into data and can roll up your sleeves to get the job done
* You have good interpersonal skills and you can influence cross\-functional teams and dependencies to achieve goals
* You are comfortable making smart CX vs. time\-to\-market trade\-offs, and ruthlessly prioritize roadmaps to deliver results
Key job responsibilities  
We work backwards from the needs of customers to bring structure to ambiguous problems. As a Senior Product Manager Technical on this team, you will:  
* Define the vision for your product space and outline a roadmap that has the potential to significantly impact Amazon’s business and customer experience.
* Gain support for your strategy and roadmap from stakeholders by writing narratives and influencing senior leadership, peers and partner teams.
* Partner with scientists, engineers and UX designers to translate business and functional requirements into concrete deliverables, including the design, development, testing, and deployment of customer\-facing experiences at scale.
* Drive data\-informed decisions through customer research, behavior analysis, and performance metrics
* Manage prioritization and trade\-offs for speed to market, performance, and features.
* Stay abreast with industry trends and GenAI offerings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in-9e8ae839eb3b89bf</t>
        </is>
      </c>
      <c r="B175" t="inlineStr">
        <is>
          <t>Product Manager</t>
        </is>
      </c>
      <c r="C175" t="inlineStr">
        <is>
          <t>Oden Technologies</t>
        </is>
      </c>
      <c r="D175" t="inlineStr">
        <is>
          <t>indeed</t>
        </is>
      </c>
      <c r="E175">
        <f>HYPERLINK("https://www.indeed.com/viewjob?jk=9e8ae839eb3b89bf", "https://www.indeed.com/viewjob?jk=9e8ae839eb3b89bf")</f>
        <v/>
      </c>
      <c r="F175">
        <f>HYPERLINK("https://jobs.ashbyhq.com/oden-technologies/81ecb462-7e5e-4ad5-be3a-303aeb96bfac?utm_source=LB9JmR0bAJ", "https://jobs.ashbyhq.com/oden-technologies/81ecb462-7e5e-4ad5-be3a-303aeb96bfac?utm_source=LB9JmR0bAJ")</f>
        <v/>
      </c>
      <c r="G175" t="inlineStr">
        <is>
          <t>New York, NY, US</t>
        </is>
      </c>
      <c r="H175" s="2" t="n">
        <v>46069</v>
      </c>
      <c r="I175" t="inlineStr">
        <is>
          <t>**About Oden:**
---------------
Manufacturing is undergoing its fourth industrial revolution, with factory operations increasingly driven by real\-time applications that combine process and context data with advanced ML and AI algorithms. This is unlocking a staggering opportunity to improve the efficiency and productivity of existing manufacturing processes.
As a Manufacturing AI company, Oden is at the forefront of this revolution. We combine large\-scale data processing architectures and advanced AI and ML algorithms within the Oden platform so manufacturing operations teams can continuously monitor, analyze, and optimize their production, across a diverse set of processes and conditions. Our goal is to maximize efficiency, sustainability, and competitiveness in the manufacturing domain \- to help True Makers Make Things Better!
**Culture**
-----------
* We obsess over customers. Everything we do is to create profound results and delight for our customers. Every Viking cares about the purpose of the product and company, and prioritizes work based on customer end results. When in doubt, we go to the Gemba – we’re happy to put on steel toe boots and hit the factory floor to work with the production manager.
* We move fast and follow through – we live by transparent and scientific thinking, act with urgency, and put in the work to find the best ideas with those around us.
* We elevate each other by giving and receiving direct, honest feedback and holding ourselves and others to a high standard to help the team rise, deliver, and win together.
* “Be True Makers to Serve True Makers.” We’re building a community that fuels innovation and accelerates our pace and impact. We always ask if there’s a better way to do something, even if it's unconventional – then we try it. We aim for bold yet simple solutions that cut through complexity and drive meaningful progress.
**The Role:**
-------------
As a Product Manager you will be responsible for leading development of one or more of our key product areas alongside a cross functional team of designers and engineers. You will own the creation, execution, and communication of the product roadmap, keeping relevant stakeholders from executives to commercial teams to customers up to speed on what’s coming next.
You will also need to be comfortable dealing with ambiguity and trade\-offs, always making sure to prioritize work that solves our customer problems in a world class experience that also moves us toward our business goals. Collecting and synthesising learnings from all directions to shape both your direct teams priorities, and the broader products as a whole.
**Responsibilities**:
* Drive the discovery process to build a deep understanding of our customers and their needs
* Work closely with Design and Engineering counterparts to build, ship, and iterate quickly
* Empower your team by providing context, setting direction, and building alignment
* Determine what problems to work on by accounting for customer needs, company and product strategy, and product risks
* Work cross\-functionally with leadership, go\-to\-market teams, customer success and other key stakeholders to successfully launch new products, features, and updates
* Be a thoughtful team leader, help make your teammates better and motivate them to do the best work of their careers. Set and maintain a high bar of quality for your team’s product.
* Help the team define and track key success metrics
* Work with the rest of the product team to build processes that will scale as our team and company grow
**Preferred Qualifications:**
-----------------------------
* At least 3 years of experience as a Product Manager and 6\-8 years total in relevant industries
* Track record of delivering business and technology results for complex, cross\-functional initiatives while managing multiple competing priorities
* Established leadership with end\-to\-end product delivery and direct customer collaboration
* Experience driving organizational strategy and solution\-level design thinking
* Technical proficiency with data analysis tools and methodologies, with ability to independently source data, perform rigorous analysis, and translate complex findings into clear recommendations for diverse audiences
* Fluency with modern prototyping tools (e.g. Cursor, Bolt, Claude Code) and comfort with design/collaboration environments like Figma and Github
**Nice to Have:**
-----------------
* Experience with major cloud AI services like AWS SageMaker, Google Cloud AI Platform, or Azure Machine Learning
* Familiarity with leading AI APIs and models \- OpenAI's GPT models, Anthropic's Claude, Google's Gemini, or open\-source alternatives like Llama
* Experience building products for manufacturing and industrial customers
* Experience working on an enterprise product
* Previous experience delivering an analytics platform and related products
We anticipate the base salary band for this role will be between $110,000 and $165,000, in addition to equity and benefits. This role may be hired at the L3 level ($110,000 to $135,000\) or the Senior ML Engineer level ($135,000 to $165,000\). The salary at offer will be determined by factors such as the candidate’s experience, knowledge, skills, and abilities, as well as internal equity among our team.
**At this time, we cannot offer visa sponsorship. Candidates must be authorized to work in the United States without current or future employer sponsorship**
### **At Oden, we are deeply committed to ensuring that every team member is engaged in work they are passionate about and find fulfilling. We prioritze your career development, offering personalized pathways for growth and advancement. Our approach is to align your strengths and interests with the company’s goals, ensuring that you not only contribute meaningfully but also progress steadily in your professional journey, reaching new heights in your career.**
### **We’re an equal opportunity employer (EOE).**
### **Diversity at Oden means building a team that is rich across all boundaries of race, ethnicity, gender identification, sexual orientation, disability, religion, age and thinking style. We welcome all backgrounds, life experiences, and worldviews as these are the catalyst for the rapid evolution of our product and our organization. Diversity allows us to tackle new challenges, embrace change, make well\-informed decisions, and ultimately Make Things Better. In alignment with our “People First” company value, Oden has a passionate internal team dedicated to the promotion of diversity and inclusion initiatives as a core component of our culture.**
### **Our diversity initiatives apply to our practices and policies on recruiting, compensation and benefits; professional development; promotions; social activities and the ongoing development of a psychologically safe work environment.**</t>
        </is>
      </c>
    </row>
    <row r="176">
      <c r="A176" t="inlineStr">
        <is>
          <t>in-3f0ce678bd0b5c88</t>
        </is>
      </c>
      <c r="B176" t="inlineStr">
        <is>
          <t>Principal Product Manager - Tech, Recommender Systems, Prime Video Personalization &amp; Discovery</t>
        </is>
      </c>
      <c r="C176" t="inlineStr">
        <is>
          <t>Amazon.com</t>
        </is>
      </c>
      <c r="D176" t="inlineStr">
        <is>
          <t>indeed</t>
        </is>
      </c>
      <c r="E176">
        <f>HYPERLINK("https://www.indeed.com/viewjob?jk=3f0ce678bd0b5c88", "https://www.indeed.com/viewjob?jk=3f0ce678bd0b5c88")</f>
        <v/>
      </c>
      <c r="F176">
        <f>HYPERLINK("https://www.amazon.jobs/jobs/2956622/principal-product-manager--tech-recommender-systems-prime-video-personalization--discovery-?cmpid=DA_INAD200785B", "https://www.amazon.jobs/jobs/2956622/principal-product-manager--tech-recommender-systems-prime-video-personalization--discovery-?cmpid=DA_INAD200785B")</f>
        <v/>
      </c>
      <c r="G176" t="inlineStr">
        <is>
          <t>Washington, DC, US</t>
        </is>
      </c>
      <c r="H176" s="2" t="n">
        <v>45753</v>
      </c>
      <c r="I1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in-449900177c572466</t>
        </is>
      </c>
      <c r="B177" t="inlineStr">
        <is>
          <t>Principal Product Manager - Tech, Recommender Systems, Prime Video Personalization &amp; Discovery</t>
        </is>
      </c>
      <c r="C177" t="inlineStr">
        <is>
          <t>Amazon.com</t>
        </is>
      </c>
      <c r="D177" t="inlineStr">
        <is>
          <t>indeed</t>
        </is>
      </c>
      <c r="E177">
        <f>HYPERLINK("https://www.indeed.com/viewjob?jk=449900177c572466", "https://www.indeed.com/viewjob?jk=449900177c572466")</f>
        <v/>
      </c>
      <c r="F177">
        <f>HYPERLINK("https://www.amazon.jobs/jobs/2956622/principal-product-manager--tech-recommender-systems-prime-video-personalization--discovery-?cmpid=DA_INAD200785B", "https://www.amazon.jobs/jobs/2956622/principal-product-manager--tech-recommender-systems-prime-video-personalization--discovery-?cmpid=DA_INAD200785B")</f>
        <v/>
      </c>
      <c r="G177" t="inlineStr">
        <is>
          <t>Seattle, WA, US</t>
        </is>
      </c>
      <c r="H177" s="2" t="n">
        <v>45753</v>
      </c>
      <c r="I1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63"/>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li-4254365963</t>
        </is>
      </c>
      <c r="B2" t="inlineStr">
        <is>
          <t>Product Manager</t>
        </is>
      </c>
      <c r="C2" t="inlineStr">
        <is>
          <t>Meta</t>
        </is>
      </c>
      <c r="D2" t="inlineStr">
        <is>
          <t>linkedin</t>
        </is>
      </c>
      <c r="E2" t="inlineStr"/>
      <c r="F2" t="inlineStr"/>
      <c r="G2" t="inlineStr">
        <is>
          <t>New York, NY</t>
        </is>
      </c>
      <c r="H2" t="inlineStr"/>
      <c r="I2" t="inlineStr">
        <is>
          <t>Meta Product Managers work with cross\-functional teams of engineers, designers, data scientists and researchers to build products. We are looking for extremely effective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mission, strategies and roadmaps in the context of broader organizational strategies and goals
* Generate buy\-in and drive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engineers and designers, while maintaining team health
* Understand Meta’s strategic and competitive position and deliver products that are aligned with our mission and recognized best in the industry
* Work closely with cross\-functional teams to drive product mission,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 and post\-launch execution
* Critical thinking and analytical leadership experience
* Experience presenting to executive audiences
 Preferred Qualifications:
* Experience building 0\-1 products, platform/ecosystem products, or marketplaces
* Experience in a consumer focused technology company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
      <c r="A3" t="inlineStr">
        <is>
          <t>li-4321459541</t>
        </is>
      </c>
      <c r="B3" t="inlineStr">
        <is>
          <t>Product Manager</t>
        </is>
      </c>
      <c r="C3" t="inlineStr">
        <is>
          <t>AutoFi</t>
        </is>
      </c>
      <c r="D3" t="inlineStr">
        <is>
          <t>linkedin</t>
        </is>
      </c>
      <c r="E3" t="inlineStr"/>
      <c r="F3" t="inlineStr"/>
      <c r="G3" t="inlineStr"/>
      <c r="H3" t="inlineStr"/>
      <c r="I3" t="inlineStr">
        <is>
          <t>**About AutoFi**
 AutoFi is the leading provider of digital commerce technology that powers the sales and finance experiences for the most innovative brands and dealers in automotive. The AutoFi platform enables a more transactional buying experience with $4B in funded loans processed through AutoFi annually. AutoFi’s dynamic selling platform empowers dealers to sell vehicles more efficiently and profitably, both online and in the showroom. We are funded for years of future growth and backed by investors including Crosslink Capital, Santander Holdings USA, SVB Financial Group, Ford, BMW iVentures and JP Morgan Chase.
 Our team is diverse \- spread out across the U.S. and Canada, we have backgrounds from finance and technology as well as deep experience in all areas of the auto space. We’re empathetic, gritty, curious, and humble owners of this business and are supported by some of the biggest names in the auto and financial industries as commercial partners. We’ve never been more excited about the opportunity in front of us to help transition the auto industry from offline to online. If changing a trillion\-dollar industry sounds exciting, we’d love to hear from you.
 For more information, visit www.autofi.com.
**About the Role** 
 At AutoFi, Product Managers own product strategy and drive execution to deliver high\-impact, customer\-centric solutions for the automotive industry. We are looking for a Product Manager or Senior Product Manager (level dependent on experience) to help drive our dealer retailing, engagement \&amp; AI initiatives and products. This role will work closely with engineering, design, analytics, sales, and customer teams to take products from concept to launch and iteration. 
**Responsibilities** 
* Own product initiatives end\-to\-end, from discovery and definition through delivery and iteration
* Gather and prioritize customer, dealer, and internal stakeholder requirements to inform product strategy and roadmap decisions
* Translate business needs into clear product requirements and specifications (PRDs), including user flows and success metrics
* Partner closely with engineering to scope, prioritize, and deliver high\-quality solutions
* Drive data\-informed decision making by defining KPIs, analyzing performance, and iterating based on results
* Collaborate with cross\-functional teams including Sales, Customer Success, Analytics, and Marketing
* Engage with external partners and third parties as needed to support integrations or joint initiatives
* Balance speed, quality, and scope while making thoughtful trade\-off decisions
**Required Qualifications** 
* 3\+ years (PM) or 6\+ years (Sr PM) of product management experience working on technical or platform products
* Proven ability to own and deliver complex products in collaboration with engineering and cross\-functional teams
* Strong analytical skills and experience using data to guide decisions
* Excellent written and verbal communication skills, able to clearly convey ideas to both technical and non\-technical audiences
* Comfort operating in ambiguity and driving clarity in fast\-moving environments
* Experience using JIRA for backlog management, sprint planning, prioritization, and collaboration with engineering teams
**Preferred Qualifications** 
* Automotive Software industry experience, particularly working with dealer\-facing products or workflows
* Experience building or scaling growth, e\-commerce, outbound communications, or customer engagement products
* Experience working directly with customers (e.g., dealers, enterprise clients) to shape product direction
* Experience leveraging AI tools or AI\-enabled features as part of a product
* AI\-assisted product workflows: Experience leveraging AI tools to improve effectiveness as a Product Manager — such as accelerating discovery, synthesizing customer feedback, drafting PRDs, analyzing data, or exploring product ideas
* Analytics \&amp; data tools: Ability to work with product and business data to inform decisions (e.g., Amplitude experience strongly preferred)
**What's in it for you:**
 \- We offer full training and a competitive total rewards package along with great benefits
 \- Medical, Dental \&amp; Vision coverage \- 100% premium coverage for employee / 50\+% for dependents
 \- Flexible work hours
 \- Remote environment
 \- Competitive pay
 \- Visionary leadership team
 \- Growth opportunities within a dynamic culture
 \- Wellness \&amp; cultural initiatives (fitness challenges, wellness webinars, virtual games, regional activities, etc.)
 \- Up to $1K per year for employee professional development
 \- Stock options \- we are all owners!
 Individual compensation decisions are based on a number of factors, including the candidate’s experience and qualifications and local market conditions. Please note, the foregoing salary range does not reflect an employee’s total compensation package, which may include bonus, company equity, and health benefits.
 AutoFi is an equal opportunity employer.  Individuals seeking employment are considered without regards to race, color, religion, national origin, age, sex, marital status, ancestry, physical or mental disability, veteran status, sexual orientation, gender identity or other protected status under all applicable laws, regulations, and ordinances.
 Personal Information submitted as part of your application is subject to our website privacy policy, located at https://www.autofi.com/privacy\-policy/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
      <c r="A4" t="inlineStr">
        <is>
          <t>li-4255458007</t>
        </is>
      </c>
      <c r="B4" t="inlineStr">
        <is>
          <t>Senior Product Manager</t>
        </is>
      </c>
      <c r="C4" t="inlineStr">
        <is>
          <t>PathAI</t>
        </is>
      </c>
      <c r="D4" t="inlineStr">
        <is>
          <t>linkedin</t>
        </is>
      </c>
      <c r="E4" t="inlineStr"/>
      <c r="F4" t="inlineStr"/>
      <c r="G4" t="inlineStr">
        <is>
          <t>Boston, MA</t>
        </is>
      </c>
      <c r="H4" t="inlineStr"/>
      <c r="I4" t="inlineStr">
        <is>
          <t>Who We Are
 PathAI is on a mission to improve patient outcomes with AI\-powered pathology. We are transforming traditional pathology methods into powerful, new technologies. These innovations in pathology can help accelerate drug development, improve confidence in the accuracy of diagnosis, and get life\-saving therapies to patients more quickly. At PathAI, you'll work with a diverse and talented team of people, who are dedicated to solving complex problems and making a huge impact.
 Where You Fit
 We are seeking an experienced and driven Senior Product Manager, Platform Products who will play a pivotal role in advancing PathAI’s product strategy. As an individual contributor, you’ll be responsible for owning and optimizing specific platform features and initiatives, with a focus on scaling functionality, enhancing the user experience, and work closely with our engineering, product, commercial, pathology, biomedical data science, clinical affairs, quality, regulatory, and business operations teams to take our world class product to the next level.
 What You’ll Do
* Lead the development and implementation of platform product initiatives, collaborating closely with engineering, business, and design teams.
* Define clear product requirements, prioritize features, and work with cross\-functional teams to ensure alignment and timely delivery.
* Analyze and translate user needs, market trends, and competitive insights into actionable platform features that enhance scalability and performance.
* Monitor and measure product performance, using insights to drive continuous improvement and value delivery.
* Communicate progress, learnings, and results to stakeholders, ensuring transparency and alignment with business objectives.
 What You Bring
* 5\+ years experience in software product management
* 1\-3 years experience in health tech
* Enterprise software (SaaS) experience preferred
* Strong analytical and problem\-solving skills, with the ability to interpret data and make informed decisions.
* Excellent communication and collaboration abilities, with a track record of effective cross\-functional partnerships.
 We Want To Hear From You
 At PathAI, we are looking for individuals who are team players, are willing to do the work no matter how big or small it may be, and who are passionate about everything they do. If this sounds like you, even if you may not match the job description to a tee, we encourage you to apply. You could be exactly what we're looking for.
 PathAI is an equal opportunity employer, dedicated to creating a workplace that is free of harassment and discrimination. We base our employment decisions on business needs, job requirements, and qualifications — that's all. We do not discriminate based on race, gender, religion, health, personal beliefs, age, family or parental status, or any other status. We don't tolerate any kind of discrimination or bias, and we are looking for teammates who feel the same way.
 The cash compensation outlined below includes base salary or hourly wage and on\-target commission for employees in eligible roles. The summary below indicates if an employee in this position is eligible for annual bonus, overtime pay and equity awards. Individual compensation packages are tailored based on skills, experience, qualifications, and other job\-related factors.
**Annual Pay Range**
 Product Manager:
 $90,000 \- $138,000
**Sr. Product Manager**
 $127,500 \- $195,500
 Not Overtime Eligible
 Eligible for Equity</t>
        </is>
      </c>
    </row>
    <row r="5">
      <c r="A5" t="inlineStr">
        <is>
          <t>li-4365888601</t>
        </is>
      </c>
      <c r="B5" t="inlineStr">
        <is>
          <t>Senior Product Manager</t>
        </is>
      </c>
      <c r="C5" t="inlineStr">
        <is>
          <t>Zeta Global</t>
        </is>
      </c>
      <c r="D5" t="inlineStr">
        <is>
          <t>linkedin</t>
        </is>
      </c>
      <c r="E5" t="inlineStr"/>
      <c r="F5" t="inlineStr"/>
      <c r="G5" t="inlineStr">
        <is>
          <t>New York, NY</t>
        </is>
      </c>
      <c r="H5" t="inlineStr"/>
      <c r="I5" t="inlineStr">
        <is>
          <t>**WHO WE ARE** 
 Zeta Global (NYSE: ZETA) is the AI\-Powered Marketing Cloud that leverages advanced artificial intelligence (AI) and trillions of consumer signals to make it easier for marketers to acquire, grow, and retain customers more efficiently. Through the Zeta Marketing Platform (ZMP), our vision is to make sophisticated marketing simple by unifying identity, intelligence, and omnichannel activation into a single platform – powered by one of the industry’s largest proprietary databases and AI. Our enterprise customers across multiple verticals are empowered to personalize experiences with consumers at an individual level across every channel, delivering better results for marketing programs. Zeta was founded in 2007 by David A. Steinberg and John Sculley and is headquartered in New York City with offices around the world. To learn more, go to www.zetaglobal.com.
**THE ROLE** 
 We are seeking a Senior Product Manager to join our Product team focused on building a cutting\-edge MarTech product. You will own one of the product areas as an individual contributor while actively shaping the overall roadmap and delivering impactful customer experiences.
**RESPONSIBILITIES** 
* Drive day\-to\-day product execution, ensuring timely delivery of features.
* Collaborate with engineering, design, and cross\-functional teams to build high\-quality solutions.
* Engage with customers to understand pain points, gather feedback, and translate insights into actionable improvements.
* Contribute to product strategy and roadmap planning, aligning with business objectives.
* Define clear requirements, user stories, and success metrics for new features.
* Use data and KPIs to measure product performance and inform prioritization.
* Align product initiatives with business goals through stakeholder collaboration.
* Identify and mitigate risks in product delivery.
* Support go\-to\-market activities with marketing and sales teams.
* Drive post\-launch evaluations and iterate based on feedback and performance metrics.
* Provide mentorship to junior product managers or associates when needed.
**REQUIREMENTS** 
* 4–6 years of experience as a Product Manager, preferably in SaaS or MarTech.
* Strong technical background, ideally with a degree in Computer Science or related field.
* Proven ability to work independently while thriving in a collaborative team environment.
* Excellent communication skills and ability to influence stakeholders.
* Strong problem\-solving mindset and customer\-centric approach.
**PREFERRED SKILLS** 
* Experience in MarTech or B2B SaaS products.
* Familiarity with agile methodologies and product development best practices.
**BENEFITS \&amp; PERKS** 
* Unlimited PTO
* Excellent medical, dental, and vision coverage
* Employee Equity
* Employee Discounts, Virtual Wellness Classes, and Pet Insurance And more!!
**SALARY RANGE** 
 The salary range for this role is
**$160,000 \- $180,000** 
 . 
**PEOPLE \&amp; CULTURE AT ZETA** 
 Zeta considers applicants for employment without regard to, and does not discriminate on the basis of an individual’s sex, race, color, religion, age, disability, status as a veteran, or national or ethnic origin; nor does Zeta discriminate on the basis of sexual orientation, gender identity or expression.  
 We’re committed to building a workplace culture of trust and belonging, so everyone feels invited to bring their whole selves to work. We provide a forum for employees to celebrate, support and advocate for one another. Learn more about our commitment to diversity, equity and inclusion here:  https://zetaglobal.com/blog/a\-look\-into\-zetas\-ergs/ 
**ZETA IN THE NEWS!** 
 https://zetaglobal.com/press/?cat\=press\-releases</t>
        </is>
      </c>
    </row>
    <row r="6">
      <c r="A6" t="inlineStr">
        <is>
          <t>li-4372886041</t>
        </is>
      </c>
      <c r="B6" t="inlineStr">
        <is>
          <t>Product Owner</t>
        </is>
      </c>
      <c r="C6" t="inlineStr">
        <is>
          <t>Cantor Fitzgerald</t>
        </is>
      </c>
      <c r="D6" t="inlineStr">
        <is>
          <t>linkedin</t>
        </is>
      </c>
      <c r="E6" t="inlineStr"/>
      <c r="F6" t="inlineStr"/>
      <c r="G6" t="inlineStr"/>
      <c r="H6" t="inlineStr"/>
      <c r="I6" t="inlineStr">
        <is>
          <t>**Role: Data Lake Technical Product Owner** 
**Job Description:** 
 We are looking for a motivated Data Lake Technical Product Owner with a strong foundation in data products and data ownership. The ideal candidate will be able to develop the strategic vision for a financial organization's new centralized data repository but also have hands\-on experience in data governance and technical requirements of such a platform. They will bridge technical teams and business \&amp; operations stakeholders, ensuring the data platform is scalable, secure, and provides high\-quality data to drive analytics, client reporting and regulatory submissions. They will also thrive in a flat organizational structure in a company undergoing multiple technical reengineering efforts.
**Education Level:** 
* Bachelor’s or Master’s degree in Computer Science, Engineering, or a related field (or relevant work experience).
**Key Responsibilities:** 
* Strategy \&amp; Roadmap: Define and maintain the vision, roadmap, and prioritization of features for the data platform.
* Data Governance \&amp; Security: Author, build consensus around and enforce policies for data privacy, compliance, and data classification.
* Stakeholder Management: Act as the primary interface for users, translating business needs into technical user stories for engineers.
* Data Quality \&amp; Cataloging: Ensure data ingested is reliable, documented, and properly cataloged for accessibility.
* Operational Excellence: Monitor data pipeline performance, optimize costs, and manage the technical lifecycle of the platform.
**Experience Required:** 
**Must Have:** 
* Financial Domain Knowledge: Experience with Equities \&amp; Equities trading, with broad knowledge across the domain.
* Technical Acumen: Strong understanding of cloud technologies (AWS, Azure), data warehousing, SQL, and data engineering principles.
* Product Management: Experience with Agile methodologies, backlog prioritization, and defining KPIs.
* Business Acumen: Ability to align technical data initiatives with business objectives and value.
* Communication: Strong skills to bridge the gap between technical teams and non\-technical stakeholders.
**Good to Have:** 
* Experience with Snowflake, Databricks, Delta Lake or other data lake platforms
* Hybrid data architecture spanning on\-prem and cloud environments.
* Knowledge of CRM platforms (Saleforce, etc) and experience integrating sales, trading and CRM data to drive business insights.
* Certifications from relevant professional organizations, such as:
* CDMP (Certified Data Management Professional)
* DCAM (Data Management Capability Assessment Model)
**About Cantor Fitzerald:** 
 Cantor Fitzgerald has offices and trading desks in all major financial centers throughout the world. We specialize in Equities, Fixed Income \&amp; Currencies, Investment Banking, Prime Services and Real Estate.
* Cantor Fitzgerald's affiliate businesses include: BGC Group, Inc. (BGC), Newmark Group, Inc. (Newmark), and GFI Group (GFI).</t>
        </is>
      </c>
    </row>
    <row r="7">
      <c r="A7" t="inlineStr">
        <is>
          <t>li-4195252962</t>
        </is>
      </c>
      <c r="B7" t="inlineStr">
        <is>
          <t>Product Manager, AI Quality</t>
        </is>
      </c>
      <c r="C7" t="inlineStr">
        <is>
          <t>Glean</t>
        </is>
      </c>
      <c r="D7" t="inlineStr">
        <is>
          <t>linkedin</t>
        </is>
      </c>
      <c r="E7" t="inlineStr"/>
      <c r="F7" t="inlineStr"/>
      <c r="G7" t="inlineStr"/>
      <c r="H7" t="inlineStr"/>
      <c r="I7" t="inlineStr">
        <is>
          <t>**About Glean**
 Founded in 2019, Glean is an innovative AI\-powered knowledge management platform designed to help organizations quickly find, organize, and share information across their teams. By integrating seamlessly with tools like Google Drive, Slack, and Microsoft Teams, Glean ensures employees can access the right knowledge at the right time, boosting productivity and collaboration. The company’s cutting\-edge AI technology simplifies knowledge discovery, making it faster and more efficient for teams to leverage their collective intelligence.
 Glean was born from Founder \&amp; CEO Arvind Jain’s deep understanding of the challenges employees face in finding and understanding information at work. Seeing firsthand how fragmented knowledge and sprawling SaaS tools made it difficult to stay productive, he set out to build a better way \- an AI\-powered enterprise search platform that helps people quickly and intuitively access the information they need. Since then, Glean has evolved into the leading Work AI platform, combining enterprise\-grade search, an AI assistant, and powerful application\- and agent\-building capabilities to fundamentally redefine how employees work.
**About The Role**
 As Glean’s PM for Glean Model Hub, you will evaluate LLM models, define the roadmap for growing Glean’s LLM portfolio, manage relationships with inference and model providers, and determine product strategy for allowing customers to experiment with different LLMs. You will own projections of LLM usage, cost, and capacity planning while driving customer enablement and their upgrade adoption journey for the latest LLMs and LLM\-native capabilities.
**You Will**
* Spending a lot of time with our customers to deeply understand their knowledge needs
* Developing key parts of our product roadmap, marrying customers’ needs with our product vision
* Empowering your team by giving context, setting direction, and building alignment
* Driving customer\-focused decisions, clear prioritization, and efficient execution
* Coordinating cross\-functionally with with leadership, go\-to\-market teams, and other key stakeholders across the company
* Building processes that will scale as our team and company go through rapid growth
**About You**
* You have 4\+ years of experience in product management at SaaS companies, primarily serving large enterprises with responsibilities spanning AI/ML Ops and external\-facing platform capabilities.
* Having built or worked with LLMs for at\-scale products is a major plus.
* You have a strong technical background and experience with both UX and API driven products and 3rd party product partnerships.
* You are an excellent written and verbal communicator.
* You have a proven track record of taking ownership, taking initiative, and delivering results.
* You collaborate effectively with cross\-functional partners.
* You have a learning and growth mindset.
* You are mission\-first and understand that your success is measured by your product and team’s success.
* You are an early adopter in building with or adopting AI for your own product craft and you are excited about helping customers accelerate their own AI adoption journey.
**Location:**
* This role is hybrid (3\-4 days a week in one of our SF Bay Area offices)
**Compensation \&amp; Benefits**
 The standard base salary range for this position is $160,000 \- $240,000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8">
      <c r="A8" t="inlineStr">
        <is>
          <t>li-4373965049</t>
        </is>
      </c>
      <c r="B8" t="inlineStr">
        <is>
          <t>Technical Platform Product Manager</t>
        </is>
      </c>
      <c r="C8" t="inlineStr">
        <is>
          <t>Wowza</t>
        </is>
      </c>
      <c r="D8" t="inlineStr">
        <is>
          <t>linkedin</t>
        </is>
      </c>
      <c r="E8" t="inlineStr"/>
      <c r="F8" t="inlineStr"/>
      <c r="G8" t="inlineStr"/>
      <c r="H8" t="inlineStr"/>
      <c r="I8" t="inlineStr">
        <is>
          <t>Global leader in video streaming software is seeking a Product Manager to join an already elite team to work remotely as a full\-time permanent employee.
 Ideal candidate will have 5\+ years in a Technical Program or Product Management within a software or SaaS environment (Streaming experience a huge plus)
 We need someone focusing on market sizing, ROI modeling, performance analytics, and assisting other PM's making data\-driven decisions (e.g., pulling from salesforce, hubspot, product usage data to track performance)
 Please be passionate about creating Data\-Driven Roadmaps \&amp; Prioritization using product telemetry, analytics, and customer feedback to define priorities and validate roadmap decisions.
 You will be partnering with Product and Engineering leads to ensure each initiative is justified by measurable data such as usage trends, customer outcomes, or revenue impact.
 This is an outstanding opportunity with a stable yet growing company that values its employees.</t>
        </is>
      </c>
    </row>
    <row r="9">
      <c r="A9" t="inlineStr">
        <is>
          <t>li-4366270390</t>
        </is>
      </c>
      <c r="B9" t="inlineStr">
        <is>
          <t>Product Manager</t>
        </is>
      </c>
      <c r="C9" t="inlineStr">
        <is>
          <t>Doppel</t>
        </is>
      </c>
      <c r="D9" t="inlineStr">
        <is>
          <t>linkedin</t>
        </is>
      </c>
      <c r="E9" t="inlineStr"/>
      <c r="F9" t="inlineStr"/>
      <c r="G9" t="inlineStr">
        <is>
          <t>New York, United States</t>
        </is>
      </c>
      <c r="H9" t="inlineStr"/>
      <c r="I9" t="inlineStr">
        <is>
          <t>**Why Join Doppel**
 Doppel is built to outsmart one of the great threats AI presents: mass\-manufactured social engineering. Countless scams, deepfakes, and other social engineering attacks are surging across every digital channel: websites, social media, ads, encrypted messaging apps, mobile, and more. Our mission is simple but bold: make the internet a safer place by outsmarting the world’s fastest\-evolving digital threats.
 Backed by a16z and Bessemer and trusted by some of the world’s most recognized brands (OpenAI, United Airlines, Coinbase, etc.), Doppel is growing fast. If you’re driven to solve real\-world problems with bold technology, we’d love to meet you.
**What We're Building**
 We're building the AI\-native social engineering defense platform.
 This means we're designing scalable systems that monitor billions of domains, social media accounts, apps, dark web forums, etc., and leverage AI agents to identify and neutralize digital threats.
**What We're Looking For**
 You’re an experienced product manager with strong judgment, high standards, and a bias for shipping. You turn ambiguous problems into clear plans, align teams around the right priorities, and deliver products that move meaningful customer and business outcomes. You’ll get the opportunity to join a rapidly growing company that’s making the Internet a safer place every day.
* Ownership: You set direction, make hard tradeoffs, and drive outcomes, not just features.
* Discovery: You stay close to customers, frame the right problems, and validate solutions with fast feedback loops.
* Data \&amp; rigor: You define success metrics, use evidence to prioritize, and keep iterating.
* Cross\-functional leadership: You work across engineering and GTM to keep teams aligned and execution unblocked.
* Communication: You write and think clearly. Crisp docs, clear decisions, and straightforward tradeoffs.
**What We Offer**
 🚀 A mission\-driven culture with low ego, high ownership, deep customer obsession, and exceptional talent density
 🍽️ Free lunch and dinner in the office
 🌴 Flexible PTO
 ✈️ Quarterly team offsites
 Join Doppel
 Doppel is the first platform built to dismantle digital deception at scale. We scan over 150 billion entities daily and deploy continuously adaptive AI SOC agents, paired with expert human analysts, to uncover and disrupt the infrastructure behind phishing, impersonation, and online fraud before attacks can spread. Our Threat Grid turns every customer signal into shared intelligence, making each disruption smarter, faster, and more effective.
 We’re not just another cybersecurity company. We’re defining the future of social engineering defense, where trust is protected, and deception becomes unprofitable. Backed by top\-tier investors and trusted by some of the world’s most recognized brands, Doppel is growing fast. If you’re driven to solve real\-world problems with bold technology, we’d love to meet you.</t>
        </is>
      </c>
    </row>
    <row r="10">
      <c r="A10" t="inlineStr">
        <is>
          <t>li-4373961126</t>
        </is>
      </c>
      <c r="B10" t="inlineStr">
        <is>
          <t>Global Retail Product Owner</t>
        </is>
      </c>
      <c r="C10" t="inlineStr">
        <is>
          <t>Dyson Benelux</t>
        </is>
      </c>
      <c r="D10" t="inlineStr">
        <is>
          <t>linkedin</t>
        </is>
      </c>
      <c r="E10" t="inlineStr"/>
      <c r="F10" t="inlineStr"/>
      <c r="G10" t="inlineStr">
        <is>
          <t>St James, NY</t>
        </is>
      </c>
      <c r="H10" t="inlineStr"/>
      <c r="I10" t="inlineStr">
        <is>
          <t>**Summary**
 Salary: Competitive Job Family: Retail Enablement Location: Singapore \- St James Power Station Headquarters
**About Us**
 Dyson is a global technology enterprise. We solve the problems others choose to ignore, with surprising new inventions that defy convention and simply work better. We’re growing fast and our ambition is huge – more categories, more locations and more people.
 At Dyson, we sell by demonstrating. Through our growing network of Dyson Stores and retail spaces, we explain how our technology works and why it is better. Our Product Management team bridges the gap between market retail, Global Retail and Retail IT, contributing to the delivery of Retail and IT initiatives while shaping the long‑term Dyson Retail strategy.
 We prioritise our campus culture and do not offer a regular hybrid working setup, maintaining Dyson's spirit of collaboration, creativity and inventiveness in our dynamic workspaces.
**About The Role**
 As our Global Retail Product Owner, you will play a pivotal role in shaping the next phase of Dyson's retail evolution. Your primary focus will be to design, build, and optimise omnichannel user journeys and clienteling experiences that connect our retail stores, digital platforms, and CRM ecosystem. You will be building many of these capabilities from the ground up and defining new ways for Dyson to engage customers and empower retail teams.
 Main responsibilities include but not limited to:\-
* Partner with market teams globally to conduct journey analysis, synthesise insights from data, and inform product decisions
* Prepare clear product updates and partner closely with Retail IT
* Define, refine, and prioritise requirements for future enhancements that unlock new omnichannel capabilities
* Contribute to building Dyson's clienteling foundations
* Cultivate strong business partnerships with key stakeholders across market retail teams globally and Retail IT
* Champion customer‑centric thinking and proactively identify opportunities to elevate Dyson’s retail experience
* Shaping how customers discover, engage, and stay connected with Dyson
* Ensure the solutions are embraced by retail teams and translate into exceptional customer experiences across all touchpoints
**About You**
 To be successful in this position you will possess a strong interest in retail frontline realities with the ability to design solutions that meet the needs of retail teams. You will be highly organised, delivery focused and comfortable taking initiative in fast moving environments and have the ability to collaborate effectively with stakeholders at all levels.
 Previous skills \&amp; experience:\-
* Degree in a Business discipline preferred but not essential
* Proficiency in Jira and Confluence for backlog management and cross‑functional collaboration
* Excellent verbal and written communication skills, able to engage diverse audiences and articulate complex concepts simply
* Demonstrated experience managing product workstreams from discovery through delivery, ideally involving cross‑channel or customer‑journey initiatives
* Good understanding of the retail industry, customer experience and omnichannel behaviours (knowledge of CRM, digital or clienteling considered a plus)
* Experience working in agile delivery teams with a strong understanding of product‑centric ways of working
 Dyson is an equal opportunity employer. We know that great minds don’t think alike, and it takes all kinds of minds to make our technology so unique. We welcome applications from all backgrounds and employment decisions are made without regard to race, colour, religion, national or ethnic origin, sex, sexual orientation, gender identity or expression, age, disability, protected veteran status or other any other dimension of diversity.
 Posted: 17 February 2026
 Apply
 Share this
* Share on LinkedIn
* Share on Facebook
* Share on Twitter
* Share on Email</t>
        </is>
      </c>
    </row>
    <row r="11">
      <c r="A11" t="inlineStr">
        <is>
          <t>li-4372885223</t>
        </is>
      </c>
      <c r="B11" t="inlineStr">
        <is>
          <t>Product Owner</t>
        </is>
      </c>
      <c r="C11" t="inlineStr">
        <is>
          <t>Capgemini</t>
        </is>
      </c>
      <c r="D11" t="inlineStr">
        <is>
          <t>linkedin</t>
        </is>
      </c>
      <c r="E11" t="inlineStr"/>
      <c r="F11" t="inlineStr"/>
      <c r="G11" t="inlineStr">
        <is>
          <t>Chicago, IL</t>
        </is>
      </c>
      <c r="H11" t="inlineStr"/>
      <c r="I11"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**Role\- Sr. Product owner with Payments** 
**Location\- Chicago, IL\- Hybrid** 
**Responsibilities:** 
* Independently oversees the design process for an application and innovates unique solution patterns for that application Demonstrates a deep understanding of business processes and technical building blocks to help develop product vision and strategy with Product Owners
* Trains others in and out of your department in solution design patterns
* Actively researches innovative solutions and ways to build business capabilities
* Work with executive level stakeholders on new payment services business strategies and create the architectures to realize the required capabilities
* Create and maintain the Technology vision and roadmap for the financial clearing and settlement product area
* Accountable for working with the product area architects to incorporate the technical enhancements in their target architectures and technical roadmaps
* Provide consulting to payment services architects and application teams on best practices
* Work with the third\-party vendors for product evaluations roadmaps feature implementations
**Minimum Qualifications** 
* 10 Years Software Development Software Engineering Technical Architecture or related
* Internal applicants only technical proficiency rating of expert on the Dreyfus architecture scale
* Hands on experience with Architecture and designing
* In\-depth knowledge and experience in payment transaction clearing settlement fee billing and pricing
* Experience with Payment networks Banking industry and Debit card processing
* Experience building high performing scalable systems that adapt and grow to customer needs
* Architecture patterns Integration patterns Right sizing the services Micro services
* Familiarity using Kubernetes AWS or other cloud computing services
* Architecture and design documentation using industry standard tools
* Good communication and presentation skills
 The base compensation range for this role in the posted location is: $110,000\-130,000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Paid time off based on employee grade (A\-F), defined by policy: Vacation: 12\-25 days, depending on grade, Company paid holidays, Personal Days, Sick Leave
 Medical, dental, and vision coverage (or provincial healthcare coordination in Canada)
 Retirement savings plans (e.g., 401(k) in the U.S., RRSP in Canada)
 Life and disability insurance
 Employee assistance programs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12">
      <c r="A12" t="inlineStr">
        <is>
          <t>li-4374101149</t>
        </is>
      </c>
      <c r="B12" t="inlineStr">
        <is>
          <t>Product Owner</t>
        </is>
      </c>
      <c r="C12" t="inlineStr">
        <is>
          <t>Stelvio Inc.</t>
        </is>
      </c>
      <c r="D12" t="inlineStr">
        <is>
          <t>linkedin</t>
        </is>
      </c>
      <c r="E12" t="inlineStr"/>
      <c r="F12" t="inlineStr"/>
      <c r="G12" t="inlineStr">
        <is>
          <t>Phoenix, AZ</t>
        </is>
      </c>
      <c r="H12" t="inlineStr"/>
      <c r="I12" t="inlineStr">
        <is>
          <t>Product Owner – e\-Clearance
 Hybrid \| Downtown Phoenix, AZ
 Stelvio is working with a client operating at scale in the
 **transportation and mobility technology** 
 space. This is a product\-led organisation solving complex, high\-impact problems where software is used in live, mission\-critical environments.
 The Role
 We’re looking for an experienced
 **Product Owner** 
 to take ownership of development for an
 **e\-Clearance product area** 
 . You’ll work in a fast\-moving, highly collaborative environment, partnering closely with Product Management, Engineering, Design, QA, and business stakeholders.
 Your focus will be translating product vision and business objectives into clear, actionable backlog items and ensuring the team is consistently delivering value to customers. This role requires strong judgement, comfort working with complex systems, and the ability to operate effectively where priorities evolve.
 What You’ll Do
* Own, prioritise, and maintain the product backlog in line with business and product goals
* Develop a strong understanding of customer operations and how the product delivers operational value
* Prioritise features and user stories within sprints to maximise customer impact
* Ensure backlog items are well defined, understood, and appropriately estimated
* Lead sprint planning, backlog refinement, and discovery activities
* Translate requirements into clear, actionable user stories for development teams
* Review product performance and use insights to propose improvements to customer experience
* Act as a product domain expert and key point of contact for internal and external stakeholders
* Work closely with engineering, design, and QA to maintain quality and consistency
* Identify opportunities to improve processes, delivery, and outcomes
* Stay current with Agile best practices and relevant industry trends
 You
* Bachelor’s degree or equivalent practical experience
* 5\+ years’ experience as a Product Owner or in a closely related role
* Strong background in business process and requirements analysis
* Experience working with complex, interconnected systems
* Solid understanding of Agile methodologies, particularly Scrum
* Hands\-on experience with backlog management tools such as Jira or Azure DevOps
* Strong communication, decision\-making, and organisational skills
* Familiarity with user\-centred design principles
* Comfortable influencing cross\-functional teams without formal authority
* Willingness to travel occasionally
 Benefits
* Medical, dental, and vision coverage from day one
* Paid time off including vacation, sick time, holidays, and floating holidays
* 401(k) with employer match
* Company\-funded lifestyle allowance supporting physical and mental wellbeing
* Tuition reimbursement
* Access to voluntary benefits such as legal and pet programs
* Employee Assistance Program at no cost
* Strong focus on employee wellbeing, development, and community involvement</t>
        </is>
      </c>
    </row>
    <row r="13">
      <c r="A13" t="inlineStr">
        <is>
          <t>li-4309206474</t>
        </is>
      </c>
      <c r="B13" t="inlineStr">
        <is>
          <t>Product Manager</t>
        </is>
      </c>
      <c r="C13" t="inlineStr">
        <is>
          <t>Orkes</t>
        </is>
      </c>
      <c r="D13" t="inlineStr">
        <is>
          <t>linkedin</t>
        </is>
      </c>
      <c r="E13" t="inlineStr"/>
      <c r="F13" t="inlineStr"/>
      <c r="G13" t="inlineStr">
        <is>
          <t>Cupertino, CA</t>
        </is>
      </c>
      <c r="H13" t="inlineStr"/>
      <c r="I13" t="inlineStr">
        <is>
          <t>**About Us**
 Orkes is a platform for developers to build durable, distributed event driven applications. Based on the popular open source orchestration engine Conductor, Orkes lets developers focus on faster go to market with applications, scaling them to handle billions of workflows without having to worry about failures, scalability or visibility into the executions.
 We are looking for a Product Manager with a focus on identifying, defining and launching products and services that will drive the adoption of Orkes with engineering teams. In this role, you will be pivotal in shaping our user journey, driving customer onboarding, activation, and conversion. If you are passionate about data\-driven decision\-making, optimizing user experiences, and driving customer activation and conversion, this role is perfect for you.
**Your Day\-to\-day At Orkes**
* Take ownership of the first days of a user journey and ensure a seamless and engaging experience.
* Implement strategies to improve user onboarding, reduce friction, and enhance user satisfaction during initial interactions with our product.
* Collaborate with cross\-functional teams (Engineering, DevRel, Sales, Marketing) to define and track key performance metrics related to user acquisition, activation, conversion and expansion.
* Analyze the user journey, from initial onboarding to conversion and beyond, and identify areas for improvement.
* Continuously monitor and improve conversion rates throughout the user journey. Collaborate with Product Engineering and Design teams to implement changes that enhance conversion at key touch points.
* Regularly analyze user behavior and engagement data to uncover insights and trends. Use these insights to make informed decisions and iterate on growth strategies as well as continuous product evolution across core Conductor and cloud offerings.
* Embrace a culture of experimentation.
* Test hypotheses, run A/B tests, and iterate on features based on real\-time data and user feedback.
* Create and deliver regular reports on growth metrics and initiatives to company leadership. \-Clearly communicate progress, challenges, and opportunities to stakeholders.
* Utilize data analytics to measure and analyze key performance indicators.
* Make informed decisions based on data insights and continuously optimize strategies.
**Qualities That Will Help You Succeed**
* Proven experience as a Product Manager for a technology product (preferably a product for application developers) with a track record of driving growth and optimization.
* Previous exposure to and understanding of product\-led growth strategies, including alignment with Go\-to\-Market (GTM) teams.
* Proven experience bringing structured thinking and prioritization to what needs to be built and launched while thriving in an environment where there is ambiguity
* Results\-oriented mindset with a focus on driving measurable outcomes.
* A deep understanding of user\-centered design principles and user experience best practices.
* Excellent project management skills with the ability to prioritize and manage multiple initiatives simultaneously.
* Strong analytical and problem\-solving skills and a bias for action.
* Reverse engineering from customer needs.
* Excellent communication and interpersonal skills to collaborate effectively with distributed cross\-functional teams.
**You Will Have a Fast Start If**
* Engineering background (e.g., you wrote some code before)
* You have defined and launched SaaS offerings in the cloud infrastructure space
*The requirements listed in the job descriptions are guidelines. You don’t have to satisfy every requirement or meet every qualification listed. If your skills are transferable we would still love to hear from you.*
**More Details**
 The base salary for this role is between $150,000 and $180,000 USD. When determining compensation, a number of factors will be considered: skills, experience, job scope, location, and competitive compensation market data.
* Start Date: As soon as possible
* Status: Full Time
* Type: Hybrid, 2\-3x per week in office
* Location: Seattle or San Francisco Bay Area
* Department: Product Engineering
* Reports to: CPO
**Benefits**
* Comprehensive health coverage including medical, dental, and vision
* Flexible PTO
* Support for personal development
 At Orkes, we are committed to building a team that reflects a rich tapestry of perspectives, identities, and professional experiences. We believe that diversity is not just a checkbox, but a driving force behind innovation, creativity, and success. By embracing a variety of backgrounds, we cultivate an inclusive environment where every team member feels valued and empowered to bring their authentic selves to work.
 Join us at Orkes and be a part of a team where your unique perspectives are not only welcomed but celebrated. Together we are shaping the future technology by leveraging the strength that comes from embracing diversity in all its forms. Your Journey with us is an opportunity to contribute to something greater and make a lasting impact.</t>
        </is>
      </c>
    </row>
    <row r="14">
      <c r="A14" t="inlineStr">
        <is>
          <t>li-4371968535</t>
        </is>
      </c>
      <c r="B14" t="inlineStr">
        <is>
          <t>Product Manager II, Healthcare</t>
        </is>
      </c>
      <c r="C14" t="inlineStr">
        <is>
          <t>WHOOP</t>
        </is>
      </c>
      <c r="D14" t="inlineStr">
        <is>
          <t>linkedin</t>
        </is>
      </c>
      <c r="E14" t="inlineStr"/>
      <c r="F14" t="inlineStr"/>
      <c r="G14" t="inlineStr">
        <is>
          <t>Boston, MA</t>
        </is>
      </c>
      <c r="H14" t="inlineStr"/>
      <c r="I14" t="inlineStr">
        <is>
          <t>At WHOOP, we're on a mission to unlock human performance and extend healthspan. WHOOP empowers its members to perform at a higher level through a deeper understanding of their bodies and daily lives.
 WHOOP is seeking a Product Manager II to join the Healthcare Product team. This role is focused on executing high\-impact health experiences that help members interpret their data and take meaningful action toward improved health outcomes.
 As a PM II, you will be deeply embedded in day\-to\-day product execution — partnering closely with Engineering, UX Design, Data Science, Clinical, and Regulatory teams to ship high\-quality, behavior\-changing features. You will take complex health problems and translate them into clear, actionable product requirements and development plans.
 This role is ideal for a product manager with 3–4 years of experience who has shipped consumer products before, thrives in ambiguity, and wants to grow into broader strategic ownership over time.
**Responsibilities**
* Lead execution of healthcare\-related features through launch and iteration
* Translate high\-level product direction into clear requirements, user stories, and engineering\-ready specifications
* Proactively identify risks, clarify ambiguity, and remove blockers to ensure high\-quality, on\-time delivery
* Drive clear timelines and documentation, manage dependencies, and ensure high\-quality delivery without losing focus on product outcomes
* Break down complex, ambiguous health challenges into clear problem statements and phased development plans
* Balance member value, business impact, and technical feasibility when making tradeoffs
* Ensure features are intuitive, simple, and behaviorally effective — especially when working with complex physiological data
* Define KPIs and success metrics for features and experiments
* Partner with Product Analytics to analyze performance data and member feedback
* Use quantitative and qualitative insights to inform new feature development, iteration, and continuous improvement
* Work closely with Engineering, UX Design, Data Science, Clinical, Regulatory, and other stakeholders to deliver cohesive health experiences
* Translate diverse stakeholder input into clear, aligned product decisions
* Maintain crisp documentation and strong communication across teams
* Advocate for high\-quality member experiences that are clear, trustworthy, and actionable
* Apply strong product principles to ensure features solve real problems in simple, elegant ways
* Sweat the details to ensure clarity, usability, and polish
**Qualifications**
* 3–4 years of experience as a Product Manager with a demonstrated track record of shipping consumer\-facing products
* Demonstrated ability to own features end\-to\-end in agile development environments
* Strong product judgment and ability to articulate clear reasoning behind prioritization decisions
* Experience defining KPIs and measuring product impact
* Excellent organizational skills and ability to lead cross\-functional teams
* Strong analytical and problem\-solving abilities with a data\-driven, member\-centric mindset
* Entrepreneurial mindset with comfort operating in ambiguous problem spaces
* Excellent communication skills, with the ability to clearly articulate complex concepts and tradeoffs
* Experience in digital health or regulated environments is a strong plus, but not required
* Passion for health, performance, and alignment with WHOOP’s mission and values
***This role is based in the WHOOP office located in Boston, MA. The successful candidate must be prepared to relocate if necessary to work out of the Boston, MA office.***
*Interested in the role, but don’t meet every qualification? We encourage you to still apply! At WHOOP, we believe there is much more to a candidate than what is written on paper, and we value character as much as experience. As we continue to build a diverse and inclusive environment, we encourage anyone who is interested in this role to apply.*
*WHOOP is an Equal Opportunity Employer and participates in E\-verify to determine employment eligibility. It is unlawful in Massachusetts to require or administer a lie detector test as a condition of employment or continued employment. An employer who violates this law shall be subject to criminal penalties and civil liability.*
*The WHOOP compensation philosophy is designed to attract, motivate, and retain exceptional talent by offering competitive base salaries, meaningful equity, and consistent pay practices that reflect our mission and core values.*
*At WHOOP, we view total compensation as the combination of base salary, equity, and benefits, with equity serving as a key differentiator that aligns our employees with the long\-term success of the company and allows every member of our corporate team to own part of WHOOP and share in the company’s long\-term growth and success.*
*The U.S. base salary range for this full\-time position is $125,000 \- $170,000\. Salary ranges are determined by role, level, and location. Within each range, individual pay is based on factors such as job\-related skills, experience, performance, and relevant education or training.*
*In addition to the base salary, the successful candidate will also receive benefits and a generous equity package.*
*These ranges may be modified in the future to reflect evolving market conditions and organizational needs. While most offers will typically fall toward the starting point of the range, total compensation will depend on the candidate’s specific qualifications, expertise, and alignment with the role’s requirements.*</t>
        </is>
      </c>
    </row>
    <row r="15">
      <c r="A15" t="inlineStr">
        <is>
          <t>li-4365904920</t>
        </is>
      </c>
      <c r="B15" t="inlineStr">
        <is>
          <t>Technical Product Manager, AI</t>
        </is>
      </c>
      <c r="C15" t="inlineStr">
        <is>
          <t>StackAdapt</t>
        </is>
      </c>
      <c r="D15" t="inlineStr">
        <is>
          <t>linkedin</t>
        </is>
      </c>
      <c r="E15" t="inlineStr"/>
      <c r="F15" t="inlineStr"/>
      <c r="G15" t="inlineStr"/>
      <c r="H15" t="inlineStr"/>
      <c r="I15" t="inlineStr">
        <is>
          <t>StackAdapt is the leading technology company that empowers marketers to reach, engage, and convert audiences with precision. With 465 billion automated optimizations per second, the AI\-powered StackAdapt Marketing Platform seamlessly connects brand and performance marketing to drive measurable results across the entire customer journey. The most forward\-thinking marketers choose StackAdapt to orchestrate high\-impact campaigns across programmatic advertising and marketing channels.
 On StackAdapt's Product team, you will build products that help our customers thrive. There is no "standard" day for a Product Manager at StackAdapt – every day will have its own set of interesting challenges.
 Our AI Agent (aka Ivy™) feature is key to the success of StackAdapt. As a Technical Product Manager on the Ivy team, you coordinate with teams across all departments to build an AI ecosystem to support our internal stakeholders. You have experience shipping successful digital products and are obsessed with details. You have a bias for data\-informed decisions and creating clarity out of ambiguity. This role reports to the Director of Product. StackAdapt is a remote\-first company, and we are open to candidates located anywhere in the US or Canada for this position.
**What You'll Be Doing**
* Research, understand, and validate stakeholder needs and translate that into a path that aligns with our goals and vision.
* Develop a short and long\-term vision for your portfolio, which helps you forge ahead, ensuring that we’re accomplishing our goals day by day.
* Be hyper\-focused on every last detail, ensuring we’re always working on the most impactful feature.
* Deliver products end\-to\-end with a team of talented engineers and designers.
* Communicate precisely across the organization to ensure everyone who needs to be informed is at the correct time.
* Drive awareness and adoption of your portfolio, and take an active role in enablement.
* Driving strategic cross\-functional alignment to deliver a cohesive, best\-in\-class AI product experience that seamlessly integrates across our entire portfolio
* Resolve questions about your portfolio of products from customer\-facing teams, as well as help to triage bugs and regressions as they appear.
 What You'll Bring to the Table
* Proven experience shipping products as a Product Manager at a digital SaaS company (and can speak to their successes).
* Prior experience with advertising technologies and AdTech.
* Prior experience building products using LLMs and GenAI.
* Understand Product Management craft and theory. You can speak intelligently about Product Management practices and have the practical experience to back it up.
* You live in the weeds and can speak about how you can zoom in and out as needed to optimize our process as effectively as possible.
* Wearing multiple hats is second nature to you; one minute, you could be talking technical details on a ticket, and the next you’re presenting your ideas to the Revenue team without skipping a beat.
* An in\-depth understanding of Lean and Agile best practices.
* An in\-depth understanding of design thinking, inclusive design, and usability heuristics.
* You prioritize projects with reason, clarity, and purpose \- ensuring alignment across stakeholders and focusing on the KPIs and metrics you’re moving.
* You understand what it means to lead by influence, not formal authority.
**StackAdapter's Enjoy**
* Highly competitive salary
* Retirement/ 401K/ Pension Savings globally
* Competitive Paid time off packages including birthday's off!
* Access to a comprehensive mental health care program
* Health benefits from day one of employment
* Work from home reimbursements
* Optional global WeWork membership for those who want a change from their home office and hubs in London and Toronto
* Robust training and onboarding program
* Coverage and support of personal development initiatives (conferences, courses, books etc)
* Access to StackAdapt programmatic courses and certifications to support continuous learning
* An awesome parental leave program
* A friendly, welcoming, and supportive culture
* Our social and team events!
*StackAdapt is a diverse and inclusive team of collaborative, hardworking individuals trying to make a dent in the universe. No matter who you are, where you are from, who you love, follow in faith, disability (or superpower) status, ethnicity, or the gender you identify with (if you’re comfortable, let us know your pronouns), you are welcome at StackAdapt. If you have any requests or requirements to support you throughout any part of the interview process, please let our Talent team know.*
*We use artificial intelligence (AI) to streamline the resume reviews of candidates and assess their fit based on the criteria outlined in the job posting. We do not use AI to make any final hiring or interview decisions.*
**About StackAdapt**
 We've been recognized for our diverse and supportive workplace, high performing campaigns, award\-winning customer service, and innovation. We've been awarded:
 Ad Age Best Places to Work 2024
 G2 Top Software and Top Marketing and Advertising Product for 2024
 Campaign’s Best Places to Work 2023 for the UK
 2024 Best Workplaces for Women and in Canada by Great Place to Work®
 \#1 DSP on G2 and leader in a number of categories including Cross\-Channel Advertising
 To learn more about our privacy practices, please see our Privacy Policy.</t>
        </is>
      </c>
    </row>
    <row r="16">
      <c r="A16" t="inlineStr">
        <is>
          <t>li-4369302377</t>
        </is>
      </c>
      <c r="B16" t="inlineStr">
        <is>
          <t>Technical Product Manager</t>
        </is>
      </c>
      <c r="C16" t="inlineStr">
        <is>
          <t>Foley</t>
        </is>
      </c>
      <c r="D16" t="inlineStr">
        <is>
          <t>linkedin</t>
        </is>
      </c>
      <c r="E16" t="inlineStr"/>
      <c r="F16" t="inlineStr"/>
      <c r="G16" t="inlineStr"/>
      <c r="H16" t="inlineStr"/>
      <c r="I16" t="inlineStr">
        <is>
          <t>We’re looking for a Technical Product Manager to own and evolve Foley’s enterprise platform ecosystem. In this role, you will sit within Product Management and lead technically complex systems that enable scale, data integrity, and revenue as we modernize our platform and continue our transition to cloud\-based architecture.
 You will own a platform\-level roadmap, partner closely with Engineering and Architecture, and play a key role in usage\-based and transactional billing integrations that directly support how we monetize our products. This is a product\-first role for someone who enjoys owning complex systems, working cross\-functionally, and shaping the backbone of a modern SaaS business.
 What you’ll do
* Platform Strategy \&amp; Ownership
+ Own and evolve the enterprise platforms roadmap, balancing scalability, reliability, and revenue impact
+ Define system boundaries, integration patterns, and long\-term platform direction in partnership with Engineering and Architecture
* Execution \&amp; Delivery
+ Translate complex business and technical problems into clear product requirements and a prioritized backlog
+ Define and drive usage\-based and transactional billing data flows, ensuring accurate tracking, attribution, and reporting
* Collaboration \&amp; Communication
+ Partner closely with Engineering to design scalable, resilient solutions and make informed technical tradeoffs
+ Coordinate delivery across Product, Engineering, Data, Finance, RevOps, and Customer teams
+ Communicate roadmap, progress, risks, and tradeoffs clearly to stakeholders
 Who you are
* 3–5\+ years of experience as a Product Manager or Technical Product Manager
* Experience working deeply with enterprise platforms such as CRM, ERP, billing, or systems of record
* Hands\-on experience with usage\-based or transactional billing in a SaaS environment
* Understanding of data models, APIs, and system\-to\-system integrations
* Ability to partner effectively with engineers and guide technical tradeoffs
* Clear communication skills and comfort working through ambiguity
 Nice to have
* Experience supporting usage\-based or hybrid pricing models
* Exposure to data warehouses and analytics workflows
* Experience supporting cloud migrations from on\-premise systems
* Background in regulated or compliance\-heavy SaaS environments
**Location:** 
 This role is primarily remote (US\-based) and will work EST hours, with the expectation of occasional visits to our offices.
 This role may be based remotely out of the following states: Arizona, Colorado, Connecticut, Florida, Georgia, Illinois, Indiana, Kansas, Massachusetts, Michigan, Nebraska, New Hampshire, New Jersey, New York, North Carolina, Pennsylvania, Rhode Island, South Carolina, Tennessee, Texas, Virginia, Wisconsin.
**About Us**
 At Foley, we’re reimagining how safety\-sensitive industries hire, stay compliant, and manage risk. We’ve evolved into a modern SaaS company with an all\-in\-one, AI\-ready platform that helps transportation, construction, distribution, and utility businesses operate faster, smarter, and safer.
 As we continue to grow, we’re looking for curious, strategic thinkers who thrive in complexity, are motivated by making an impact, and want to join a team that’s passionate about building great products and supporting customers. Our core values —
 **Teammateship, Grit, and Innovation** 
 — guide everything we do. Whether we’re collaborating internally or helping customers, we approach every challenge with optimism, humor, and a shared commitment to success.
**Benefits**
 Foley offers a comprehensive benefits package that includes medical, dental, and vision coverage, a 401(k) with company match, paid time off and holidays, wellness programs, and an employee assistance program.
**Equal Employment Opportunity**
 Foley is an Equal Opportunity Employer. We celebrate diversity and are committed to creating an inclusive environment for all employees. All qualified applicants will receive consideration for employment without regard to race, color, religion, sex, sexual orientation, gender identity or expression, national origin, age, disability, protected veteran status, or any other legally protected characteristic.
**Reasonable Accommodations**
 If you require a reasonable accommodation during the application or interview process, please contact us at
 **careers@foley.io**
**Employment Status**
 Employment with Foley is on an at\-will basis. Nothing in this job posting or in future communications should be construed as a contract of employment.
**Massachusetts Applicants:** 
 It is unlawful in Massachusetts to require or administer a lie detector test as a condition of employment or continued employment. An employer who violates this law shall be subject to criminal penalties and civil liability.</t>
        </is>
      </c>
    </row>
    <row r="17">
      <c r="A17" t="inlineStr">
        <is>
          <t>li-4366333915</t>
        </is>
      </c>
      <c r="B17" t="inlineStr">
        <is>
          <t>Product Owner</t>
        </is>
      </c>
      <c r="C17" t="inlineStr">
        <is>
          <t>ConnectPay Payroll Services</t>
        </is>
      </c>
      <c r="D17" t="inlineStr">
        <is>
          <t>linkedin</t>
        </is>
      </c>
      <c r="E17" t="inlineStr"/>
      <c r="F17" t="inlineStr"/>
      <c r="G17" t="inlineStr">
        <is>
          <t>Mansfield, MA</t>
        </is>
      </c>
      <c r="H17" t="inlineStr"/>
      <c r="I17" t="inlineStr">
        <is>
          <t>ConnectPay provides comprehensive payroll and HR solutions specifically designed for small and medium\-sized businesses. Our mission is to simplify payroll processes while ensuring full compliance with tax regulations, enabling our clients to focus on growing their businesses.
 At ConnectPay, we pride ourselves on combining cutting\-edge technology with a personalized, human\-first approach. We understand that every business is unique, so we tailor our services—including payroll processing, tax compliance, and HR support—to meet the specific needs of our clients.
 We believe that our employees are our most valuable asset. By fostering a culture of innovation, collaboration, and professional growth, we empower our team to deliver exceptional service and create meaningful daily impact for our clients.
 As a Product Owner, you will work closely with product managers, engineering, and design to turn strategy into clear, actionable requirements. You’ll help refine features, prioritize backlog items, and ensure our payroll, tax, and HRIS capabilities continue to evolve in ways that deliver value to small business customers. This role is ideal for someone early in their product career who enjoys problem solving, collaborating with cross functional teams, and owning day\-to\-day product execution.
**Key Responsibilities**
 Backlog \&amp; Requirements
* Translate high\-level product strategy into detailed user stories, acceptance criteria, and functional requirements.
* Maintain and prioritize the product backlog to ensure clarity and alignment with business and customer needs.
* Work with engineering to refine requirements and support sprint planning activities.
 Customer \&amp; Market Insights
* Conduct user interviews, analyze support trends, and gather feedback to understand customer pain points.
* Review product usage data to identify patterns, opportunities, and areas for improvement.
 Cross Functional Collaboration
* Partner with design to support user flows, prototypes, and UX decisions.
* Work with engineering throughout the development cycle, ensuring clarity and alignment on scope and objectives.
* Collaborate with compliance teams to understand core payroll and tax requirements.
* Coordinate with go\-to\-market teams to communicate upcoming releases and product updates.
 Execution \&amp; Delivery
* Assist in defining release goals and supporting successful feature launches.
* Participate in sprint ceremonies (standups, retros, planning, grooming).
* Test new features, validate acceptance criteria, and troubleshoot issues when needed.
**Qualifications**
* 1–3 years of experience in product ownership, business analysis, or a related role.
* Exposure to SaaS, HRIS, payroll, or financial/operations software is a plus.
* Strong communication and documentation skills.
* Ability to break complex problems into clear, structured requirements.
* Basic understanding of agile methodologies.
**Preferred Qualifications**
* Experience working with API driven products or integrations.
* Familiarity with small business customer needs.
* Comfort with data analysis tools (e.g., SQL, product analytics platforms).
 CP Payroll believes in fair and equitable pay. A reasonable estimate of this role’s hiring base salary range is $88,000 \- $107,000\. The actual salary will depend on a variety of factors, including but not limited to a candidate’s education, training, experience, location, and internal equity. In addition to base salary, all CP Payroll team members receive equity and participate in either an annual bonus plan, based on company and individual performance, or a role\-based sales incentive plan.
 This role is eligible for an annual bonus with a target of 7\.5% of base salary, based on company and individual performance.
 At CP Payroll, we are proud to offer a comprehensive team member benefits package, including 401(k) with company contributions, group medical, dental, and vision coverage, life insurance, short and long\-term disability insurance, and flexible spending accounts.
 CP Payroll is an equal opportunity employer. We are committed to a work environment free from discrimination and harassment. All employment decisions are made without regard to race, color, religion, gender, sexual orientation, gender identity or expression, national origin, age, disability, marital status, veteran status, or any other protected characteristic under applicable law.</t>
        </is>
      </c>
    </row>
    <row r="18">
      <c r="A18" t="inlineStr">
        <is>
          <t>li-4311414300</t>
        </is>
      </c>
      <c r="B18" t="inlineStr">
        <is>
          <t>Product Manager, Custody</t>
        </is>
      </c>
      <c r="C18" t="inlineStr">
        <is>
          <t>Crypto.com</t>
        </is>
      </c>
      <c r="D18" t="inlineStr">
        <is>
          <t>linkedin</t>
        </is>
      </c>
      <c r="E18" t="inlineStr"/>
      <c r="F18" t="inlineStr"/>
      <c r="G18" t="inlineStr"/>
      <c r="H18" t="inlineStr"/>
      <c r="I18" t="inlineStr">
        <is>
          <t>We are looking for Product Managers to drive product initiatives from inception through execution. This is a unique opportunity for someone with vision to architect and manage an industry\-changing platform that helps change the way we deal with money. You will be able to drive impact and launch products/features across our global footprint. You will collaborate closely with engineers, designers, analysts, marketers, and other cross\-functional team members to ship remarkable features and products.
**Job Responsibilities** 
* Create and maintain the team’s roadmap, milestones, and dependencies with strategic priorities in mind
* Define features, write product specifications, facilitate user studies, iterate on feedback, help write test plans with QA, manage the backlog, and ultimately ship products/features in a timely manner
* Interview and interact with customers to build empathy, ensuring that their needs are met
* Prioritize initiatives and projects appropriately and weigh tradeoffs that must be made
* Perform market research and analysis
* Represent the team in communication with cross\-functional teams
* Manage specific features within a product line
**Job Requirements** 
* Experience with settlement operations is a plus
* Experience with regulated financial products for institutional clients will be beneficial
* Domain knowledge of digital assets, private key management is preferred
* A data\-informed work style, viewed through a compassionate lens of the user
* A passion for building delightful customer\-facing products and experiences
* Experience shipping and iterating on successful Software or Financial products at scale
* Demonstrated leadership, taking initiative and producing results
* The ability to collaborate well with designers, engineers, QA, Marketing, compliance, growth
* Diligent and open to learning new things
* Bring humility to your work and how you work with others
* Good aptitude for understanding technical concepts and applying them is preferred
**Why we do it
 Here at
 Crypto.com
 we are committed to creating an environment where internal talent is recognised and career growth and opportunities are presented to everyone in a fair and transparent way.
 We want everyone to feel empowered in taking ownership of their careers and openly encourage our people leaders to nurture and develop Talent within their teams and across the organization to realize our true ambition of being here for good.
 Our colleagues around the world are our biggest asset and we want our people to be able to grow their careers with us, making it easy to move internally as easily as it is to move externally.
 Internal Transfer Policy click
 here
 .
**Life @ Crypto.com
 Empowered to think big. Try new opportunities while working with a talented, ambitious and supportive team.
 Transformational and proactive working environment. Empower employees to find thoughtful and innovative solutions.
 Growth from within. We help to develop new skill\-sets that would impact the shaping of your personal and professional growth.
 Work Culture. Our colleagues are some of the best in the industry; we are all here to help and support one another.
 One cohesive team. Engage stakeholders to achieve our ultimate goal \- Cryptocurrency in every wallet. 
 Work Flexibility Adoption. Flexi\-work hour and hybrid or remote set\-up
 Aspire career alternatives through us \- our internal mobility program offers employees a new scope.  
***Are you ready to kickstart your future with us?***
**Benefits
 Competitive salary
 Attractive annual leave entitlement including: birthday, work anniversary
 401(k) plan with employer match
 Eligible for company\-sponsored group health, dental, vision, and life/disability insurance
 Work Flexibility Adoption. Flexi\-work hour and hybrid or remote set\-up
 Aspire career alternatives through us. Our internal mobility program can offer employees a diverse scope.  
 Our Crypto.com benefits packages vary depending on region requirements, you can learn more from our talent acquisition team.
**About
 **Crypto.com** 
**:
 Founded in 2016, Crypto.com serves more than 150 million customers and is the world's fastest growing global cryptocurrency platform. Our vision is simple: Cryptocurrency in Every Wallet™. Built on a foundation of security, privacy, and compliance, Crypto.com is committed to accelerating the adoption of cryptocurrency through innovation and empowering the next generation of builders, creators, and entrepreneurs to develop a fairer and more equitable digital ecosystem.
 Learn more at
 https://crypto.com
 . 
 Crypto.com is an equal opportunities employer and we are committed to creating an environment where opportunities are presented to everyone in a fair and transparent way. 
 Crypto.com
  values diversity and inclusion, seeking candidates with a variety of backgrounds, perspectives, and skills that complement and strengthen our team.
 Personal data provided by applicants will be used for recruitment purposes only.
 Please note that only shortlisted candidates will be contacted.
 We may use artificial intelligence tools to analyze the content of your Resume/CV against the specific requirements for the position. The purpose is to support our recruitment team in reviewing applications more effectively. These tools assist our recruitment team in their evaluation of your application by providing recommendations, but they do not replace human judgment. Final hiring decisions are ultimately made by humans who consider the insights generated by the tools along with other relevant information. If you would like more details about how your personal information is processed, please contact us.**********</t>
        </is>
      </c>
    </row>
    <row r="19">
      <c r="A19" t="inlineStr">
        <is>
          <t>li-4354692435</t>
        </is>
      </c>
      <c r="B19" t="inlineStr">
        <is>
          <t>Product Manager - Tech, Consumer Growth</t>
        </is>
      </c>
      <c r="C19" t="inlineStr">
        <is>
          <t>Audible</t>
        </is>
      </c>
      <c r="D19" t="inlineStr">
        <is>
          <t>linkedin</t>
        </is>
      </c>
      <c r="E19" t="inlineStr"/>
      <c r="F19" t="inlineStr"/>
      <c r="G19" t="inlineStr">
        <is>
          <t>Newark, NJ</t>
        </is>
      </c>
      <c r="H19" t="inlineStr"/>
      <c r="I19" t="inlineStr">
        <is>
          <t>**Description**
 At Audible, we believe stories have the power to transform lives. It’s why we work with some of the world’s leading creators to produce and share audio storytelling with our millions of global listeners. We are dreamers and inventors who come from a wide range of backgrounds and experiences to empower and inspire each other. Imagine your future with us.
**About This Role**
 As a Product Manager \- Tech, Consumer Growth, you will work at the intersection of media and technology, introducing Audible's unique value proposition and immersive storytelling to new customers around the world. You will focus relentlessly on customer needs, collaborating with cross\-functional teams to launch product features that will surprise and delight our customers and drive Audible customer growth.
**About You**
 You are a customer\-obsessed product manager who thrives in fast\-paced, cross\-functional environments. You excel at driving growth initiatives with data\-driven decision making, influencing stakeholders and developing solutions that deliver best\-in\-class customer experiences. You combine strong analytical skills, persuasive communication, and the tenacity to turn ambitious ideas into results.
 As a Product Manager \- Tech, Consumer Growth, you will...
* Contribute to product roadmaps and execute features that enhance Audible's user experience and drive Audible customer growth
* Design, launch, and analyze experiments using statistical rigor to maximize customer and business value
* Prioritize backlogs, accelerate team workflows, and remove blockers to optimize feature development
* Collaborate with engineering, design, data science, and marketing teams to deliver outcomes for new customers
**About Audible**
 Audible is the leading producer and provider of audio storytelling. We spark listeners’ imaginations, offering immersive, cinematic experiences full of inspiration and insight to enrich our customers daily lives. We are a global company with an entrepreneurial spirit. We are dreamers and inventors who are passionate about the positive impact Audible can make for our customers and our neighbors. This spirit courses throughout Audible, supporting a culture of creativity and inclusion built on our People Principles and our mission to build more equitable communities in the cities we call home.
**Basic Qualifications**
* Bachelor's degree in Computer Science, Engineering, or a related technical field
* 3\+ years of experience in consumer product management, with 1\+ year in complex organizations
* Experience in data driven hypothesis testing and experimentation
* Experience working with design teams to improve the user experience for customer facing products/features
**Preferred Qualifications**
* Relevant experience in consumer growth product management
* Relevant content streaming/media/entertainment industry experience
* Expertise with growth frameworks, experimentation, and optimization of conversion metrics
* Experience with product development on mobile web and desktop surfaces
* Ability to define success metrics and leverage quantitative/qualitative data to validate assumptions and guide decisions
* Ability to understand technical trade\-offs and collaborate effectively with engineering teams on design decisions
* Ability to rally diverse teams toward shared goals and outcomes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NJ, Newark \- 142,200\.00 \- 192,300\.00 USD annually
**Company** 
 \- Audible, Inc.
 Job ID: A3152740</t>
        </is>
      </c>
    </row>
    <row r="20">
      <c r="A20" t="inlineStr">
        <is>
          <t>li-4372853689</t>
        </is>
      </c>
      <c r="B20" t="inlineStr">
        <is>
          <t>Product Owner I</t>
        </is>
      </c>
      <c r="C20" t="inlineStr">
        <is>
          <t>RemoteHunter</t>
        </is>
      </c>
      <c r="D20" t="inlineStr">
        <is>
          <t>linkedin</t>
        </is>
      </c>
      <c r="E20" t="inlineStr"/>
      <c r="F20" t="inlineStr"/>
      <c r="G20" t="inlineStr"/>
      <c r="H20" t="inlineStr"/>
      <c r="I20" t="inlineStr">
        <is>
          <t>About the Opportunity:
 This role involves working closely with product, engineering, and account management teams to support the development and maintenance of a pharmacy data clearinghouse. The focus is on data ingestion and analytics support within an agile product development team. The position is ideal for a data\-focused contributor eager to learn and gain experience in product ownership.
 Responsibilities:
 • Learn from senior team members and contribute insights and assistance as needed.
 • Collaborate with cross\-functional teams to define product requirements related to data ingestion, storage, and analytics.
 • Manage the Jira board by refining work into stories with clear acceptance criteria, planning sprints, prioritizing tickets, and grooming the backlog.
 • Ensure effective scheduling and timely delivery of new features, enhancements, and bug fixes.
 • Work closely with engineers and analysts to ensure data is ingested, transformed, and stored according to business needs.
 • Communicate product status, progress, and upcoming releases to stakeholders, executives, and customers.
 • Create and maintain product documentation, including user guides and release notes.
 • Monitor key product metrics and analytics to identify improvement areas and make data\-driven decisions.
 • Explore opportunities to enhance workflows through AI or automation tools (e.g., document summarization, task routing, data parsing).
 • Identify repetitive tasks and collaborate with team leads to implement scalable automation solutions.
 Requirements:
 • 2\+ years of experience as a product owner with data\-related technologies or in a data engineering organization.
 • Willingness to learn product management and development methodologies and best practices.
 • Familiarity with data visualization and reporting tools such as Tableau, Power BI, or similar.
 • Familiarity with SQL, Python, or similar programming languages.
 • Understanding of data ingestion, storage, and analytics concepts and technologies.
 • Experience driving projects from start to finish with predictable cadence involving multiple stakeholders.
 • Excellent communication and interpersonal skills.
 • Comfort using or learning AI\-supported tools (e.g., ChatGPT, CoPilot) to improve workflows.
 • Forward\-thinking, curious mindset open to experimenting with new technologies.
 • Strong analytical and problem\-solving skills with creativity in designing solutions.
 • Ability to thrive in fast\-paced, high\-growth, and evolving environments.
 • Ability to work effectively in a remote\-first environment with high\-quality virtual interactions.
 • Ability to travel periodically for work.
 Benefits \&amp; Perks:
 • Autonomy to build products within a supportive team.
 • Opportunity to learn from high\-level strategic priorities and world\-class investors and advisors.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1">
      <c r="A21" t="inlineStr">
        <is>
          <t>li-4371980295</t>
        </is>
      </c>
      <c r="B21" t="inlineStr">
        <is>
          <t>Senior Global Product Manager</t>
        </is>
      </c>
      <c r="C21" t="inlineStr">
        <is>
          <t>Nanosonics</t>
        </is>
      </c>
      <c r="D21" t="inlineStr">
        <is>
          <t>linkedin</t>
        </is>
      </c>
      <c r="E21" t="inlineStr"/>
      <c r="F21" t="inlineStr"/>
      <c r="G21" t="inlineStr">
        <is>
          <t>California, United States</t>
        </is>
      </c>
      <c r="H21" t="inlineStr"/>
      <c r="I21" t="inlineStr">
        <is>
          <t>**About The Company** 
 At Nanosonics, we improve patient outcomes through innovative infection prevention technologies used in healthcare systems around the world. As an Australian MedTech with global reach, we are purpose\-driven, commercially disciplined, and committed to raising standards in patient safety.
 We are seeking a Senior Product Manager (Global) to lead the strategy, growth, and lifecycle of our products
 **the preferred candidate will live in the West coast time zone as collaboration with AUS team is critical to the success of this role.** 
 This is a highly visible, enterprise role requiring strategic clarity, strong commercial acumen, clinical empathy, and the ability to lead cross\-functional teams through complexity.
**The Opportunity** 
 You will own and evolve global product strategy \- ensuring our solutions deliver meaningful value to patients, providers, and the business. Acting as the bridge between regions and headquarters, you will shape innovation priorities, drive commercial performance, and influence executive decision\-making.
**About the Role** 
 Key Accountabilities
 Product Strategy \&amp; Growth
 • Define and execute global product strategy aligned to company objectives and market needs
 • Translate customer insights into clear, prioritised roadmaps
 • Identify growth opportunities through market and competitive analysis
 Commercial Leadership
 • Develop robust business cases, pricing strategies, and ROI models
 • Prioritise initiatives balancing speed, investment, and regulatory complexity
 Stakeholder \&amp; Customer Engagement
 • Act as the primary global product contact for regions
 • Influence senior stakeholders by connecting product decisions to business impact
 • Build strong cross\-functional alignment across clinical, technical, and commercial teams
 Execution \&amp; Lifecycle Management
 • Lead products from concept through launch and post\-market optimisation
 • Monitor product health and drive continuous improvement
**Qualifications / What You Bring** 
 • 5–10 years’ experience in product management, ideally within MedTech or regulated environments
 • Proven success launching and managing complex products
 • Strong financial and commercial acumen
 • Ability to lead through ambiguity and influence without authority
 • Exceptional communication skills, including executive\-level presentation experience
 • Bachelor’s degree in Business, Engineering, Life Sciences or related field (MBA highly regarded)
**Why Nanosonics?** 
 • Purpose\-driven work improving patient safety globally
 • Collaborative, high\-performing culture
 • Enterprise visibility and executive exposure
 • Sydney\-based global headquarters
 If you are commercially sharp, strategically minded, and motivated by making a meaningful impact in healthcare, we would love to hear from you.
**What We Offer** 
 • Competitive pay
 • Medical, dental, and vision benefits with employer HSA contributions and FSA options
 • Immediately vested 401K (US) with company match
 • Paid Vacation, Holidays and Sick Time
 • Make a difference in your community with 8 hours of Volunteer Paid Time Off each year, giving you the ability to support a cause or organization of your choice.
 • Employer\-paid short\-term disability, long\-term disability, and life insurance
 • Robust Employee Assistance Program
 • Tuition Reimbursement for eligible programs
 • Opportunities to expand your skill set and share your knowledge across a ASX publicly traded, global organization
 • Company culture of internal promotions, diverse career paths, and meaningful advancement
**Salary range:** 
 $155,000 to $165,000 annual salary, plus bonus opportunity
 Nanosonics is committed to fostering a diverse, inclusive, and equitable workplace where everyone feels valued and respected. We welcome applicants of all backgrounds and strive to ensure equal opportunities in recruitment, development, and advancement. We uphold the principle of equal pay for equal work and actively work to eliminate any unexplainable pay gaps. If you’re passionate about contributing to an environment where diversity thrives, we encourage you to apply.</t>
        </is>
      </c>
    </row>
    <row r="22">
      <c r="A22" t="inlineStr">
        <is>
          <t>li-4372875739</t>
        </is>
      </c>
      <c r="B22" t="inlineStr">
        <is>
          <t>Product Manager</t>
        </is>
      </c>
      <c r="C22" t="inlineStr">
        <is>
          <t>Tata Consultancy Services</t>
        </is>
      </c>
      <c r="D22" t="inlineStr">
        <is>
          <t>linkedin</t>
        </is>
      </c>
      <c r="E22" t="inlineStr"/>
      <c r="F22" t="inlineStr"/>
      <c r="G22" t="inlineStr">
        <is>
          <t>Phoenix, AZ</t>
        </is>
      </c>
      <c r="H22" t="inlineStr"/>
      <c r="I22" t="inlineStr">
        <is>
          <t>**Role: Product Manager** 
**location: Phoenix, Arizona, United States.** 
 Job Description
 Product Manager
 Must Have Technical/Functional Skills
 • Identify modernization opportunities, including simplification, consolidation, performance improvements, and enhanced network\-based risk decisioning.
 • Partner with Risk Technology, Network teams, Enterprise Architecture, and Data Strategy to shape long\-term platform capabilities.
 • Develop detailed product requirements, user stories, acceptance criteria, and success metrics for authorization and risk features.
 • Map current legacy workflows and translate them into target\-state capabilities on the new authorization system
 or network.
 • Lead migration planning including dependency assessment, sequencing, change\-management strategy, and operational readiness.
 • Drive execution through agile ceremonies, backlog prioritization, and release planning. Support the team through
 the various migration phases (build, parallel test, ramp up, cutover, fallback, and decommission).
 • Partner closely with engineering leaders to ensure timely delivery, high quality, and adherence to architectural standards.
 • Coordinate functional tests, performance validation, and end\-to\-end readiness assessments.
 Roles \&amp; Responsibilities
 • 5–8\+ years of Product Management experience, ideally in payments, risk systems, platform modernization,
 or large\-scale technology transformation.
 • Proven experience driving cross\-functional programs with complex dependencies.
 • Ability to translate technical concepts into clear business requirements and communicate with both engineering and leadership stakeholders.
 • Experience working in Agile development environments.
 • Data\-oriented mindset with the ability to define KPIs and use analytics to drive decision\-making.
**Interested candidates please share me your updated resume to gopinath.j3@tcs.com**</t>
        </is>
      </c>
    </row>
    <row r="23">
      <c r="A23" t="inlineStr">
        <is>
          <t>li-4371986083</t>
        </is>
      </c>
      <c r="B23" t="inlineStr">
        <is>
          <t>Lead Product Manager</t>
        </is>
      </c>
      <c r="C23" t="inlineStr">
        <is>
          <t>RxBenefits, Inc.</t>
        </is>
      </c>
      <c r="D23" t="inlineStr">
        <is>
          <t>linkedin</t>
        </is>
      </c>
      <c r="E23" t="inlineStr"/>
      <c r="F23" t="inlineStr"/>
      <c r="G23" t="inlineStr"/>
      <c r="H23" t="inlineStr"/>
      <c r="I23" t="inlineStr">
        <is>
          <t>**Lead Product Manager (Clinical/Weight Loss)** 
 The Lead Product Manager will be responsible for end\-to\-end product management of a fast\-growing, evolving set of clinical and weight loss products. The ideal candidate will have significant clinical product or PBM experience (5 \+ years), and thrive in high growth environments.
*Job Responsibilities:*
* Define and communicate product vision, strategy, and roadmap aligned with company goals.
* Lead end\-to\-end product lifecycle: ideation, requirements, design, development, launch, and ongoing optimization.
* Partner with engineering, design, analytics, and business stakeholders to deliver high\-quality products on time.
* Use data\-driven insights (customer feedback, usage metrics, competitive analysis) to inform product decisions and measure success.
* Serve as the voice of the customer, ensuring solutions solve real problems and deliver excellent user experience.
* Manage stakeholder communication and ensure alignment across executive, business, and technical teams.
* Monitor product performance, define KPIs, and continuously iterate to improve adoption, engagement, and outcomes.
*Required Skills / Experience:*
* Bachelor’s in business administration or similar field
* Minimum5years of PBM or clinical product experience
* Curious, creative, and strategic thinker
* Strong analytical and problem\-solving skills
* Demonstrated success in releasing products that meet and exceed business objectives
* Demonstrate ability to become a subject matter expert in their aligned product or market and how to develop solutions for this market.
* Proven ability to influence cross\-functional teams without formal authority
* Preference for MBA, MPH or similar advanced degree
*Based on relevant market data and other factors, the anticipated hiring range for this role is $140,000 \- $175,000 annually. Final compensation rates will be determined based on various factors, including but not limited to experience, skills, knowledge, and internal equity considerations. This role is also short\-term incentive eligible. Incentive amounts will vary by individual and business goals.* 
*We are committed to fair and equitable compensation practices. The final salary offered to the selected candidate may vary from the posted range due to individual qualifications. Our goal is to ensure that all teammates are compensated fairly and competitively based on their contributions to our organization.* 
*RxBenefits is also committed to providing best in class benefits to our teammates. We offer a robust total rewards package that includes:* 
* *Remote first work environment*
* *Choice of a HDHP or PPO Medical plan, we pay 100% of the premium for the HDHP for you and your eligible family members*
* *Dental, Vision, Short\- and Long\-Term Disability, and Group Life Insurance that we also pay 100% of premiums (for your family too on Dental and Vision)*
* *Additional buy\-up options for Short\- and Long\-Term Disability and Life Insurance*
* *401(k) with an employer match up to 3\.5% available after 60 days*
* *Community Service Day to give back and support what you love in your community*
* *10 company holidays including MLK Day, Juneteenth, and the day after Thanksgiving plus a floating holiday to use as you like*
* *Reimbursements for high\-speed internet, we’ll send you a computer and monitors to help you do your best work*
* *Tuition Reimbursement for accredited degree programs*
* *Paid New Parent Leave that can be used for adoption or birth*
* *Pet insurance to protect your furbabies*
* *A robust mental health benefit and EAP service through Spring Health to support you when you need it most*</t>
        </is>
      </c>
    </row>
    <row r="24">
      <c r="A24" t="inlineStr">
        <is>
          <t>li-4343800651</t>
        </is>
      </c>
      <c r="B24" t="inlineStr">
        <is>
          <t>Group Product Manager</t>
        </is>
      </c>
      <c r="C24" t="inlineStr">
        <is>
          <t>ClickUp</t>
        </is>
      </c>
      <c r="D24" t="inlineStr">
        <is>
          <t>linkedin</t>
        </is>
      </c>
      <c r="E24" t="inlineStr"/>
      <c r="F24" t="inlineStr"/>
      <c r="G24" t="inlineStr"/>
      <c r="H24" t="inlineStr"/>
      <c r="I24" t="inlineStr">
        <is>
          <t>At ClickUp, we’re not just building software. We’re architecting the future of work! In a world overwhelmed by work sprawl, we saw a better way. That’s why we created the first truly converged AI workspace, unifying tasks, docs, chat, calendar, and enterprise search, all supercharged by context\-driven AI, empowering millions of teams to break free from silos, reclaim their time, and unlock new levels of productivity. At ClickUp, you’ll have the opportunity to learn, use, and pioneer AI in ways that shape not only our product, but the future of work itself. Join us and be part of a bold, innovative team that’s redefining what’s possible! 🚀
**About The Role**
 As a Group Product Manager, you will lead a team of Product Managers to drive the vision, strategy, and execution for a portfolio of high\-impact product areas within the core product. You will manage a team of 4\-6 Product Managers at various levels. You can expect \~30% of your time dedicated to individual contributions within the core product, leading by example.
 Key Responsibilities
* Lead and mentor a team of Product Managers across multiple squads.
* Set product vision and strategy aligned with company goals.
* Own the group roadmap, balancing quick wins with long\-term initiatives.
* Collaborate cross\-functionally with engineering, design, analytics, GTM teams, and EPD leadership.
* Stay on top of metrics for all areas
* Establish product rituals and processes to streamline operations across the organization.
* Conduct market research and analyze user feedback.
* Define and track key performance metrics.
* Foster a culture of ownership and continuous improvement.
* Build strong stakeholder relationships.
* Present strategy and results to executives.
* Contribute as an IC on a specific area of your team.
* Hire and onboard Product Managers to the product organization.
**Qualifications**
* 10\+ years in Product Management, with 5\+ years managing a team of Product Managers.
* Proven experience in building and scaling B2B SaaS products in high\-growth environments.
* Strong analytical and data\-driven decision\-making skills.
* Excellent communication and stakeholder management abilities.
* Demonstrated ownership of business metrics and results.
* Comfortable with ambiguity, a fast pace, and high expectations.
* Experience in startups and/or at scale.
* High standards for product quality and user experience.
* Passionate about AI
 Nice to Have
* Experience in leading AI\-driven products
* Background in developer platforms or productivity tools.
* Familiarity with ClickUp’s product areas (e.g., Views, Tasks, Whiteboard, Mobile, Chrome extension).
 Unsure if you meet all the qualifications of this job description but are deeply excited about the role? We hire based on ambition, grit, and a passion for improving the way people work. If you think ClickUp is the company for you, we encourage you to apply!
 At ClickUp, we assess every candidate based on the potential impact they can have. We hire the best people for the job and support each person’s journey to build their boldest career.
**Equal Opportunity Employer**
*ClickUp is an Equal Opportunity Employer, and qualified applicants will receive consideration for employment without regard to race, color, religion, sex, sexual orientation, gender identity, or national origin.*
**Privacy Notice**
*ClickUp collects and processes personal data in accordance with applicable data protection laws.*
* If you are a European Job Applicant, see our privacy policy for further details.
* If you are a Philippine Job Applicant, see our privacy policy and our Philippine Data Privacy Notice for further details.
**Visa Sponsorship**
*Please note we are unable to sponsor or take over sponsorship of an employment visa for roles outside of engineering and product at this time. Sponsorship for engineering and product roles is not guaranteed, but is instead based on the business needs for that specific role at that time. Please reach out to the recruiter with any questions.*
**Fraud Alert**
 ClickUp Talent Acquisition will only initiate contact via an
 **@** 
**clickup.com** 
 email or through our official careers portal on clickup.com. We will never request fees, payments, or sensitive personal information. Please disregard any offers received outside these channels and report them to support@clickup.com.
 Compensation Range: $250K \- $300K</t>
        </is>
      </c>
    </row>
    <row r="25">
      <c r="A25" t="inlineStr">
        <is>
          <t>li-4366223047</t>
        </is>
      </c>
      <c r="B25" t="inlineStr">
        <is>
          <t>Product Manager - Spot</t>
        </is>
      </c>
      <c r="C25" t="inlineStr">
        <is>
          <t>Boston Dynamics</t>
        </is>
      </c>
      <c r="D25" t="inlineStr">
        <is>
          <t>linkedin</t>
        </is>
      </c>
      <c r="E25" t="inlineStr"/>
      <c r="F25" t="inlineStr"/>
      <c r="G25" t="inlineStr">
        <is>
          <t>Waltham, MA</t>
        </is>
      </c>
      <c r="H25" t="inlineStr"/>
      <c r="I25" t="inlineStr">
        <is>
          <t>As a Product Manager for Spot, you help design, build, and ship Boston Dynamics’ end\-to\-end robotic solutions, including software and hardware features, service offerings, and go\-to\-market plans. In this role, you will work with and support senior Product Managers across multiple product lines and applications, acting as a force multiplier by driving execution and clarity across multiple product initiatives. This offers a rare opportunity to gain broad, hands\-on exposure to the full product lifecycle while collaborating closely with engineering, design, sales, marketing, and customer\-facing teams.
 You’ll help gather and refine requirements, analyze user and market insights, contribute to roadmap planning, and support execution from concept through launch. Over time, you’ll have the opportunity to grow in responsibility and specialize in the product area that aligns best with your strengths and interests. The successful Product Manager in this role is curious, organized, and eager to learn; ready to define the tactical initiatives that deliver against the strategic plan. This role sits at the intersection of many teams, balancing the needs of internal and external stakeholders to deliver the best results for our customers. This role is onsite in Waltham, MA, and will require occasional travel to remain closely aligned with market and customer needs.
 Boston Dynamics is a world leader in mobile robots, tackling some of the toughest robotics challenges. For years, our awe\-inspiring viral videos on YouTube have shown the world what remarkably capable robots can do. Now we are quickly becoming a recognized leader in automation solutions for industrial applications and warehouse logistics.
**Day To Day Activities**
* Gather and synthesize qualitative and quantitative customer data to identify product gaps, validate hypotheses, and inform requirements and prioritization
* Work directly with customers (remotely and on\-site) to understand workflows, pain points, and success criteria
* Conduct market, gap, and competitive analysis to identify opportunities and inform product decisions
* Support prioritization across competing initiatives by analyzing impact, effort, risk, and customer value
* Coordinate between BD customers, design, engineering, and GTM teams to develop, integrate, test, and launch new capabilities for Spot
* Review product usage data and metrics to assess feature performance and inform iteration and pivot
* Support the development of business plans, pricing models, service plans, and other go\-to\-market components critical to scaling our quadruped solutions in partnership with senior PMs and GTM teams
**Desired Skills**
* Minimum 2 years of experience as a product manager or in a relevant industry or in a relevant academic program
* Proven ability to conduct comprehensive market research, including segmentation, sizing, and competitive landscape assessments
* Conceptual understanding of market dynamics and product\-market fits
* Exceptional ability to synthesize complex data sets into clear, actionable market insights and recommendations
* Comfortable working in fast\-paced, ambiguous environments typical of early\-stage commercial companies
* High level of curiosity, drive and autonomy
* Excellent skills in collaboration, prioritization, documentation, and communication
* Fluency in multiple languages is a plus
**Travel**
* Occasional travel to customer sites and regions of interest
* Otherwise, this role is expected to be onsite in Waltham, MA
 The pay range for this position is between $ 101,545\.95 to $184,798\.00 annually. Base pay will depend on multiple individualized factors including, but not limited to internal equity, job related knowledge, skills and experience. This range represents a good faith estimate of compensation at the time of posting. Boston Dynamics offers a generous Benefits package including medical, dental vision, 401(k), paid time off and a annual bonus structure. Additional details regarding these benefit plans will be provided if an employee receives an offer for employment. We are interested in every qualified candidate who is eligible to work in the United States. However, we are not able to sponsor visas for this position. We are growing rapidly, building a commercial company that delivers cutting edge technology and solutions to our customers from industrial applications to logistics and warehouse solutions.
***We are interested in every qualified candidate who is eligible to work in the United States. However, we are not able to sponsor visas for this position.***
****Boston Dynamics will never ask you to divulge your personal financial or account information as part of its recruiting process.****</t>
        </is>
      </c>
    </row>
    <row r="26">
      <c r="A26" t="inlineStr">
        <is>
          <t>li-4374104108</t>
        </is>
      </c>
      <c r="B26" t="inlineStr">
        <is>
          <t>AI Product Manager – B2B Aviation</t>
        </is>
      </c>
      <c r="C26" t="inlineStr">
        <is>
          <t>Avitor.ai</t>
        </is>
      </c>
      <c r="D26" t="inlineStr">
        <is>
          <t>linkedin</t>
        </is>
      </c>
      <c r="E26" t="inlineStr"/>
      <c r="F26" t="inlineStr"/>
      <c r="G26" t="inlineStr">
        <is>
          <t>Manhattan, NY</t>
        </is>
      </c>
      <c r="H26" t="inlineStr"/>
      <c r="I26" t="inlineStr">
        <is>
          <t>*This position is based in New York and requires immediate availability. Candidates must currently reside in New York, as we are unable to accommodate relocation or delayed start dates.* 
 Avitor.ai is building AI\-driven workflow automation for the private aviation industry. We work directly with brokers, operators, and aviation teams to reduce manual work, improve response time, and streamline quoting, sourcing, and communication.
 We’re looking for a Product Manager who can own product execution end\-to\-end — from translating real\-world aviation workflows into clear product requirements, to shipping features that customers immediately use and value.
 This role is ideal for someone who enjoys working closely with engineers, understands B2B SaaS workflows, and is comfortable operating in a fast\-moving environment where product decisions matter.
 What You’ll Do
* Own product features from discovery through delivery
* Work closely with engineering to define requirements, prioritize work, and ship high\-quality releases
* Translate complex, real\-world workflows into simple, scalable product experiences
* Partner with leadership to shape roadmap priorities based on customer needs and business goals
* Talk directly with customers to understand pain points and validate solutions
* Continuously improve existing features based on usage, feedback, and performance
 What We’re Looking For
* Experience as a Product Manager in B2B SaaS or workflow\-driven products
* Strong ability to break down complex processes into clear product requirements
* Comfort working cross\-functionally with engineering, leadership, and customers
* Ability to prioritize effectively and make tradeoffs in a fast\-paced environment
* Clear communicator who can align stakeholders around product decisions
*Aviation experience is a plus, but not required. Curiosity, ownership, and execution matter most.* 
 Why Avitor.ai
* You’ll work on real problems in a specialized industry where software still has massive room for improvement
* You’ll have direct impact on product direction and customer outcomes
* You’ll collaborate closely with leadership and engineering, not sit behind layers of process
* You’ll help shape how AI is actually used in private aviation — not just talked about
* If you enjoy building practical, high\-impact products and want meaningful ownership, we’d love to talk.
-</t>
        </is>
      </c>
    </row>
    <row r="27">
      <c r="A27" t="inlineStr">
        <is>
          <t>li-4351186500</t>
        </is>
      </c>
      <c r="B27" t="inlineStr">
        <is>
          <t>Sr. Product Manager III (6274)</t>
        </is>
      </c>
      <c r="C27" t="inlineStr">
        <is>
          <t>MetroStar</t>
        </is>
      </c>
      <c r="D27" t="inlineStr">
        <is>
          <t>linkedin</t>
        </is>
      </c>
      <c r="E27" t="inlineStr"/>
      <c r="F27" t="inlineStr"/>
      <c r="G27" t="inlineStr"/>
      <c r="H27" t="inlineStr"/>
      <c r="I27" t="inlineStr">
        <is>
          <t>As
 **Sr. Product Manager III** 
 for the M\&amp;S Product Team One leads feature planning, backlog management, and execution alignment for a core modeling and simulation product team. This role serves as both the senior product owner for the team and a project management extension of program leadership. The position ensures that engineering execution, schedules, risks, and dependencies remain aligned with program milestones, operational priorities, and modernization objectives. This is a people manager role with direct responsibility for team coordination and cross\-functional alignment.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Support program leadership by maintaining visibility into team\-level schedule, risks, dependencies, and resource needs.
* Coordinate deliverables with engineering and PMO, ensuring documentation, sprint goals, and prioritization align with program milestones.
* Prepare updates and briefings for PMO leadership including progress summaries, risk escalations, and cross\-team impacts.
**What you’ll need to succeed:** 
* Hold an active U.S. Government Secret clearance.
* 10\+ years product management. Strong requirements decomposition, backlog management, and team coordination.
* Experience with Agile methodologies, programmatic support and leadership across engineering, test, and DevSecOps teams.
* Demonstrated experience providing project management support to program leadership including schedule tracking, dependency management, risk identification, and reporting.
* Ability to partner with the PM and Deputy PM to maintain alignment across product teams, PMO, engineering, and test.
**SALARY RANGE:** 
 $138,000 – $152,000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28">
      <c r="A28" t="inlineStr">
        <is>
          <t>li-4373976838</t>
        </is>
      </c>
      <c r="B28" t="inlineStr">
        <is>
          <t>Product Manager (Chicago, Hybrid, US)</t>
        </is>
      </c>
      <c r="C28" t="inlineStr">
        <is>
          <t>Parking Network B.V.</t>
        </is>
      </c>
      <c r="D28" t="inlineStr">
        <is>
          <t>linkedin</t>
        </is>
      </c>
      <c r="E28" t="inlineStr"/>
      <c r="F28" t="inlineStr"/>
      <c r="G28" t="inlineStr">
        <is>
          <t>Chicago, IL</t>
        </is>
      </c>
      <c r="H28" t="inlineStr"/>
      <c r="I28" t="inlineStr">
        <is>
          <t>Product Manager, Card Networks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Cards team at Stripe is responsible for the infrastructure, user facing features, and business of accepting credit, debit, and pre\-paid card payments. Delivering the best offering for processing credit, debit, and prepaid cards is critical to Stripe’s mission, given the central role card payments play in internet commerce.
 What you’ll do
 We are hiring a product manager to drive our Cards Networks strategy and execution in North America and LATAM. Specifically, this product manager will own the products and infrastructure powering our core processing for global card brands and local card networks. A world\-class cards processing offering is the foundation on which our business is built and what our customers continuously expect. As a result, it is critical that we continuously expand, improve and maintain the edge of our card processing capabilities.
 This role is an opportunity to truly “own” a critical platform within Stripe’s core business. This PM will partner with an experienced Engineering lead to define and deliver the associated product and infrastructure for these efforts.
**Responsibilities**
* Work with GTM teams (Sales, Account Management) to define how to expand or improve our cards coverage to meet the needs of our US and global customers
* Work with Partnerships Teams to represent our product and users in negotiation with card networks
* Engage with merchants to understand their current experience in cards processing, associated pain points, and opportunities for improvement
* Collaborate with Engineering to develop Stripe’s cards network capabilities roadmap
* Work with Finance to understand the costs of Stripe’s current cards processing capabilities and drive improvements
 Who you are
 We’re looking for someone who meets the minimum requirements to be considered for the role. If you meet these requirements, you are encouraged to apply. The preferred qualifications are a bonus, not a requirement.
**Minimum Requirements**
* Product experience: 5\+ years of relevant experience
* Strong business acumen: You enjoy digging into the details of how a business works, identifying how to make it better, and building product/technical solutions to do so
* Customer and Partner facing experience: You’re comfortable in front of customers or third\-party collaborators, and have experience navigating customer conversations
* Operational savvy: You are strong operationally, capable of designing and driving a cross\-functional team and process
* Analytical horsepower: You dig deep into the data, think from first principles, and deliver the right results
* Crisp communicator: High attention to detail including precise and effective written and verbal communications, including with external customers/partners
* Results\-oriented: You enjoy doing whatever it takes to execute on complex projects
**Nice To Haves**
* Experience in Payments, working with Card Networks or Banking partners.
* Experience with SQL or a willingness/aptitude to learn
* Experience in external facing role (sales, partnerships) and business negotiations
 Hybrid work at Stripe
 This role is available either in an office or a remote location (35\+ miles or 56\+ km from a Stripe office).
 In\-office expectations
*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$146,400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Apply for this job</t>
        </is>
      </c>
    </row>
    <row r="29">
      <c r="A29" t="inlineStr">
        <is>
          <t>li-4358191121</t>
        </is>
      </c>
      <c r="B29" t="inlineStr">
        <is>
          <t>Senior Product Manager</t>
        </is>
      </c>
      <c r="C29" t="inlineStr">
        <is>
          <t>HockeyStack</t>
        </is>
      </c>
      <c r="D29" t="inlineStr">
        <is>
          <t>linkedin</t>
        </is>
      </c>
      <c r="E29" t="inlineStr"/>
      <c r="F29" t="inlineStr"/>
      <c r="G29" t="inlineStr">
        <is>
          <t>San Francisco, CA</t>
        </is>
      </c>
      <c r="H29" t="inlineStr"/>
      <c r="I29" t="inlineStr">
        <is>
          <t>HockeyStack Is An Applied AI Company On a Mission To Automate Sales, Marketing, And Customer Success For B2B Companies. We Build The Most Complete And Accurate Picture Of The B2B Buyer By Integrating With Every Tool Your Team Uses, Partnering With Third\-party Data Providers, And Deploying Custom AI Research Agents. We Use This Data To Power Applications That Automate High\-value, High\-complexity Workflows Across The Go\-to\-market And Revenue Teams. Our Core Products Include
* Marketing Intelligence – instantly answers questions like “What led to that sudden drop in pipeline?”
* Account Intelligence – surfaces next\-best actions to help reps move target accounts toward conversion
 Since launching in January 2023, we’ve come through Y Combinator, raised a $26M Series A led by Bessemer. We’re growing 3× year\-over\-year, have hit multimillion ARR, and process over 60 TB of GTM data monthly. Based at our San Francisco HQ, we operate fully in\-person, move fast and hire people who are ready to win.
**🚀 Your Mission**
 We’re reinventing how revenue teams work. Our platform is AI\-driven, design\-obsessed, and built for the people on the frontlines — sales reps and marketers who demand tools that actually help them win. As a Senior Product Manager, you’ll be at the heart of shaping products that don’t just get used, but get loved. This is your chance to join a rocket ship at the hypergrowth stage (post\-Series A), with the freedom to set the bar for how our product scales. If you’ve got the taste, grit, and imagination to create category\-defining software, we want you here.
**🔧 What You’ll Do**
* Own product initiatives end\-to\-end, from idea to launch to iteration.
* Partner with design and engineering to ship products with exceptional taste and attention to detail.
* Own documentation, onboarding, rollout, usage monitoring processes.
* Assist in building the roadmap and the product development process.
* Talk to users, build deep empathy for SDRs, AEs, and marketers, and translate their needs into solutions that get adopted.
* Collaborate with GTM teams to align launches with revenue impact and market clarity.
* Communicate product vision across teams and stakeholders.
**🧬 What We’re Looking For**
* Ownership\-first mindset — you take initiative, move fast, and figure things out.
* Thrive in early\-stage, high\-urgency environments where speed and impact matter.
* Fully committed to working in\-person 5 days/week at our SF HQ.
* Curious, self\-aware, and feedback\-driven — you bring energy, not ego.
* See this role as a defining chapter — not a stepping stone or side quest.
* 5\+ years of experience in enterprise SaaS.
* Background in early\-stage companies (Series A or B).
* Strong product sense with taste for design and details.
* Ability to empathize with sales and marketing teams.
* Exposure to both technical and commercial sides of a business.
* GM\-like mindset — awareness of how product connects to revenue and go\-to\-market.
* Excellent written and verbal clarity in communication while conveying complex ideas
* Ability to think outside the box and make nuclear changes vs. incremental improvements
**✨ Why Join Now?**
 We’re at an inflection point. The product is proven, the market is massive, and the opportunity is wide open. You’ll be joining a company with real traction, rapid growth, and meaningful backing—where every person still shapes the outcome. This isn’t just a job. It’s a chance to build something category\-defining with people who care deeply about doing it right.
 As part of our San Francisco, California\-based team, the salary range for this role is
 **$160,000– $220,000 USD base pay annually \+ meaningful equity** 
 , depending on experience and qualifications.
 HockeyStack is proud to be an
 **Equal Opportunity Employer** 
 . We do not discriminate based on race, color, religion, sex, sexual orientation, gender identity, national origin, protected veteran status, disability, or any other legally protected status. We celebrate diversity and are committed to fostering an inclusive environment for all employees.</t>
        </is>
      </c>
    </row>
    <row r="30">
      <c r="A30" t="inlineStr">
        <is>
          <t>li-4372850836</t>
        </is>
      </c>
      <c r="B30" t="inlineStr">
        <is>
          <t>AI Product Manager - Remote</t>
        </is>
      </c>
      <c r="C30" t="inlineStr">
        <is>
          <t>RemoteHunter</t>
        </is>
      </c>
      <c r="D30" t="inlineStr">
        <is>
          <t>linkedin</t>
        </is>
      </c>
      <c r="E30" t="inlineStr"/>
      <c r="F30" t="inlineStr"/>
      <c r="G30" t="inlineStr"/>
      <c r="H30" t="inlineStr"/>
      <c r="I30" t="inlineStr">
        <is>
          <t>About the Opportunity:
 This AI Product Manager role is responsible for defining product roadmaps and leading the development of multiple new digital offerings to expand digital services within a highly visible, innovative, digitally\-savvy, and customer\-centric healthcare organization. The position collaborates with cross\-functional teams, drives a lean and agile development process, and ensures seamless delivery of a product vision aligned with operational needs.
 Responsibilities:
 • Manage key initiatives end\-to\-end, from ideation to implementation, defining project requirements and collaborating with cross\-functional teams.
 • Conduct research on best practices and analyze data to monitor project performance and identify improvement areas.
 • Develop and implement data analytics strategies to identify trends, risks, and opportunities and address performance bottlenecks.
 • Ensure AI investments translate into scalable solutions with high adoption across departments.
 • Drive adoption by engaging clinicians and staff, integrating solutions into workflows, and aligning deployments with organizational goals.
 • Define KPIs and track clinical, operational, financial, and satisfaction outcomes to communicate impact and refine the AI product portfolio.
 • Address risk, ethics, alignment, and ensure AI tools are usable, safe, compliant, and trustworthy in a hospital context.
 • Represent patient perspectives in defining and selecting innovative digital solutions, understanding user personas, pain points, and journeys.
 • Translate user needs and business problems into clear solutions and product requirements; shape product strategy and priorities.
 • Collaborate cross\-functionally with teams in Engineering, Design, Customer Support, Marketing, and Business Development on complex projects.
 • Develop feature lists, user stories, roadmaps; maintain an agile backlog and sprint process.
 • Lead sprint ceremonies and manage product documentation.
 • Gather and manage product feedback via surveys, concept testing, analytics, and A/B testing; make product decisions based on user needs, business goals, and operational capabilities.
 • Champion the MVP concept, focusing on desirability, viability, and feasibility.
 • Define product goals and KPIs; monitor, report, and improve product performance; adjust roadmaps as needed; manage multiple product roadmaps concurrently.
 • Act as liaison between clinical and operational teams to identify needs, ideate, prioritize, design, test concepts, and deliver innovative solutions.
 • Assist with business case development and operating plans.
 • Develop communication materials to share vision and progress with leadership and identify growth opportunities.
 • Influence and partner with key stakeholders to promote solution\-oriented approaches.
 • Monitor market competition and evaluate competitive offerings to ensure product competitiveness.
 • Refine product strategy, including pricing, target personas, and distribution channels.
 Requirements:
 • Minimum of three years’ experience as a Product Manager leading cross\-functional teams, preferably with Artificial Intelligence workflows.
 • Project management experience is highly preferred.
 • Ability to manage multiple priorities simultaneously.
 • High School Diploma or GED required.
 • Bachelor’s degree in Computer Science, Information Technology, Healthcare, or a related field preferred.
 Compensation:
 • Minimum salary 100,110\.40
 • Maximum salary 160,180\.80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1">
      <c r="A31" t="inlineStr">
        <is>
          <t>li-4373977036</t>
        </is>
      </c>
      <c r="B31" t="inlineStr">
        <is>
          <t>Product Manager, US Public Sector (Remote)</t>
        </is>
      </c>
      <c r="C31" t="inlineStr">
        <is>
          <t>Lensa</t>
        </is>
      </c>
      <c r="D31" t="inlineStr">
        <is>
          <t>linkedin</t>
        </is>
      </c>
      <c r="E31" t="inlineStr"/>
      <c r="F31" t="inlineStr"/>
      <c r="G31" t="inlineStr">
        <is>
          <t>Santa Clara, CA</t>
        </is>
      </c>
      <c r="H31" t="inlineStr"/>
      <c r="I3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Cisco. Clicking "Apply Now" or "Read more" on Lensa redirects you to the job board/employer site. Any information collected there is subject to their terms and privacy notice.
 The application window is expected to close on: 02/27/2026
**Job posting may be removed earlier if the position is filled or if a sufficient number of applications are received** 
 .
**This role can be performed from any location within the United States**
**Meet the Team**
 As the leader in cloud\-managed IT, Cisco Meraki connects passionate people to their mission by simplifying the digital workplace. Our impact is driven by the innovative, purposeful, and vibrant people who make up our inclusive community. When technology is intuitive, our customers can focus on what matters. Our employees fuel the magic of the Meraki community. They have fostered an environment that empowers Merakians to challenge limits, embrace risks, and assist our customers in pursuing their missions.
**Your Impact**
 We are seeking a motivated and collaborative Engineering Product Manager to lead the roadmap and development of our FedRAMP Moderate cloud. You will be the business and subject matter expert and partner with Engineering, Security, Sales, and Legal teams to translate government regulations and needs into actionable product requirements that expand our addressable market. By working with Marketing to define go\-to\-market strategies and pricing, you will enable our sales teams to drive rapid growth and adoption across federal verticals. You will also champion the user experience, ensuring our cloud platform and devices meet rigorous compliance standards while remaining intuitive for customers. Your leadership will directly influence Meraki's Public Sector strategy, bridging the gap between technology and critical government missions.
 Every day is truly unlike the one before! Your penchant for approaching problems with creative solutions, a passion for engineering, and ambition to be part of an innovative and inspiring team are the tools that you'll need to be a Cisco Meraki Product Manager.
**Minimum Qualifications**
* 5\+ years of experience in a Product Management role, specifically within a B2B or SaaS environment.
* Experience working with government customers or in regulated industries with a focus on technology adoption.
* Experience defining product roadmaps and translating technical requirements for cloud\-based platforms.
* Must be a U.S. Person to comply with government requirements for work in FedRAMP High or IL\-5 environments.
**Preferred Qualifications**
* Knowledge of privacy and compliance regulations, specifically ISO 27001, Common Criteria, SOC, FISMA, FIPS 140, or FedRAMP.
* Deep domain expertise in networking technologies.
* Excellent communication skills with the ability to articulate complicated concepts to non\-technical audiences.
* Strong systematic thinking abilities to understand user needs, regulations, and product architecture and build a clear plan of action.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$168,800\.00 to $241,200\.00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$168,800\.00 \- $277,400\.00
**Non\-Metro New York State \&amp; Washington State**
 $148,800\.00 \- $248,200\.00
* For quota\-based sales roles on Cisco's sales plan, the ranges provided in this posting include base pay and sales target incentive compensation combined.
* Employees in Illinois, whether exempt or non\-exempt, will participate in a unique time off program to meet local requirements.
 Cisco is an Affirmative Action and Equal Opportunity Employer and all qualified applicants will receive consideration for employment without regard to race, color, religion, gender, sexual orientation, national origin, genetic information, age, disability, veteran status, or any other legally protected basis.
 Cisco will consider for employment, on a case by case basis, qualified applicants with arrest and conviction records.
 If you have questions about this posting, please contact support@lensa.com</t>
        </is>
      </c>
    </row>
    <row r="32">
      <c r="A32" t="inlineStr">
        <is>
          <t>li-4365907729</t>
        </is>
      </c>
      <c r="B32" t="inlineStr">
        <is>
          <t>Research Product Manager, Labs</t>
        </is>
      </c>
      <c r="C32" t="inlineStr">
        <is>
          <t>Anthropic</t>
        </is>
      </c>
      <c r="D32" t="inlineStr">
        <is>
          <t>linkedin</t>
        </is>
      </c>
      <c r="E32" t="inlineStr"/>
      <c r="F32" t="inlineStr"/>
      <c r="G32" t="inlineStr">
        <is>
          <t>New York, NY</t>
        </is>
      </c>
      <c r="H32" t="inlineStr"/>
      <c r="I32"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Research Product Manager for the Labs teams at Anthropic, you will own the ideation and development of new, moonshot products as we advance transformative, safe AI. The Labs team runs Anthropic's most ambitious experiments: new product categories that don't exist yet. The team focuses on 0\-to\-1 product development, taking our most advanced research and transforming it into innovative applications like Claude Code and MCP.
 We seek experienced founders and product managers who can bridge pure research and ambitious product experimentation, with the ability to identify and ultimately define entirely new product categories enabled by AI.
**Responsibilities**
* Work with researchers to understand what's emerging and what it means for users
* Identify nascent research capabilities that could become transformative products
* Build prototypes yourself to validate ideas before committing resources
* Lead 0\-to\-1 product development from research to internal prototypes to shipped products
* Define product strategy for experimental initiatives that push beyond our current offerings
* Creatively build MVPs and prototypes to validate product\-market fit with the lowest cost possible
* Lead vision, strategy, roadmap, and execution of frontier technologies that leverage the latest AI capabilities to solve real\-world problems
**You Might Be a Good Fit If You**
* Have 5\+ years in product management, with experience launching new products and scaling existing products. Founder background is a plus.
* Possess a deep technical background with experience working cross\-functionally with engineering teams to ship technical products.
* Have the ability to navigate and execute amidst ambiguity, and to flex into different domains based on the business problem at hand, finding simple, easy\-to\-understand solutions
* Have a track record of launching ambitious products that have found distribution or commercial success
* Think creatively about the risks and benefits of new technologies, and think beyond past checklists and playbooks
* Stay up\-to\-date and hands\-on with emerging research and industry trends
* Prototype with AI tools like Claude Code
 The annual compensation range for this role is listed below.
 For sales roles, the range provided is the role’s On Target Earnings ("OTE") range, meaning that the range includes both the sales commissions/sales bonuses target and annual base salary for the role.
**Annual Salary**
 $385,000—$460,000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33">
      <c r="A33" t="inlineStr">
        <is>
          <t>li-4372874676</t>
        </is>
      </c>
      <c r="B33" t="inlineStr">
        <is>
          <t>AI product manager (Wealth management)</t>
        </is>
      </c>
      <c r="C33" t="inlineStr">
        <is>
          <t>Tekshapers</t>
        </is>
      </c>
      <c r="D33" t="inlineStr">
        <is>
          <t>linkedin</t>
        </is>
      </c>
      <c r="E33" t="inlineStr"/>
      <c r="F33" t="inlineStr"/>
      <c r="G33" t="inlineStr">
        <is>
          <t>New York, NY</t>
        </is>
      </c>
      <c r="H33" t="inlineStr"/>
      <c r="I33" t="inlineStr">
        <is>
          <t>· 6\-10 years of experience in product management, data platforms, or AI/ML applications within financial services, fintech, or analytics environments.
 · Strong understanding of machine learning, data science, and model fine\-tuning workflows.
 · Proven ability to manage complex data ecosystems across multiple internal and external stakeholders.
 · Technical proficiency in Python, PySpark, SQL, Git, HTML, and CSS.
 · Experience leading initiatives that connect AI solutions to measurable business outcomes in asset management, trading, or risk analytics.
 · Bachelor’s degree in Engineering, Physics, or related technical field; advanced degree preferred.
**Desired Attributes** 
 · Analytical mindset with strong quantitative and technical grounding.
 · Ability to translate abstract investment or business objectives into practical AI\-driven solutions.
 · Exceptional communication and stakeholder management skills.
 · Entrepreneurial problem solver with a passion for data transformation and intelligent automation.</t>
        </is>
      </c>
    </row>
    <row r="34">
      <c r="A34" t="inlineStr">
        <is>
          <t>li-4365929222</t>
        </is>
      </c>
      <c r="B34" t="inlineStr">
        <is>
          <t>Product Manager, Customer Experience</t>
        </is>
      </c>
      <c r="C34" t="inlineStr">
        <is>
          <t>Macmillan Learning</t>
        </is>
      </c>
      <c r="D34" t="inlineStr">
        <is>
          <t>linkedin</t>
        </is>
      </c>
      <c r="E34" t="inlineStr"/>
      <c r="F34" t="inlineStr"/>
      <c r="G34" t="inlineStr"/>
      <c r="H34" t="inlineStr"/>
      <c r="I34" t="inlineStr">
        <is>
          <t>At Macmillan Learning, we're committed to driving innovation that transforms education. We seek team members who thrive on pushing boundaries, envisioning future possibilities, and building solutions that make a lasting impact. Whether you're a Pioneer shaping bold new ideas, a Builder turning possibilities into reality, or a Stabilizer optimizing for success, you'll play a vital role in advancing our mission. If you're excited by the prospect of testing new technologies, implementing transformative strategies, and thriving in a fast\-paced, innovative environment, we’d love to hear from you!
 The Product Manager, Customer Experience leads the efforts to enhance and grow Macmillan Learning’s digital customer experience by determining course of action to build intuitive and empowering customer\-facing user experiences that have a measurable outcomes and impact. The Product Manger, CX formulates strategies and practices, leading cross\-functional teams and efforts when needed, to understand customer problems and work with design, development, customer support, and market release to deliver an impactful solution. The Product Manager, CX expresses personal ownership of the prioritization of features, expresses the view of customers during decision\-making and prioritization processes, and synthesizes cross\-functional input to ensure solutions brought to market are feasible, viable, and desirable. This role does not have managerial responsibilities.
*We know that talented candidates sometimes hesitate to apply when they don't meet every single qualification listed. We encourage you to apply if you're excited about this role and believe you can contribute meaningfully to our team, even if your background doesn't align perfectly with every requirement. We're looking for people who are passionate about our mission and can bring valuable perspectives to our work. Different experiences, skills, and approaches all have the potential to strengthen what we do. If this opportunity interests you, we'd love to hear how your unique background and abilities could contribute to our team's success. We're committed to building a workplace where everyone can do their best work and where diverse viewpoints are valued. We encourage all qualified candidates to apply \- we're excited to learn about the different ways you might add value to our organization.*
**Major Responsibilities Include, But Are Not Limited To**
* Responsible for cataloging and synthesizing feedback from users and internal customer liaisons to manage a well organized and well informed backlog.
* Evangelize the product backlog such that priorities show clear alignment to business objectives.
* As needed, coordinate cross\-functionally with other product managers, third\-party solution partners, engineering and UX to complete multi\-team initiatives and establish priority.
* Define product features and communicate requirements to design, engineering, and external partner teams via clearly\-written requirement documents, diagrams, and concise verbal communication.
* Track and drive cross\-functional product rollout outside of the product development team (Product/UX/Engineering), including coordinating with third\-party solution providers, Learning Science, Marketing, Sales, and Customer Experience teams to facilitate successful product use.
* Assess, measure, and present the impact of their team’s work directly to stakeholders and external partners, quantifying the value of their progress, and evaluating or recommending possible courses of action.
* Establish and maintain internal partner relationships aligned with evaluating viability and supporting implementation through launch efforts.
**Required Qualifications**
* Bachelor's Degree.
* 3\+ years’ experience designing, building new, and enhancing existing products.
* 2\+ years’ product management or business analyst experience.
* Demonstrated ability to exert influence and deliver on capabilities without having direct control over all participating resources.
* Entrepreneurial drive and demonstrated ability to achieve goals in a fast\-paced environment.
* Knowledgeable about customer experience, customer support, customer funnel, self\-service.
* Problem solving, organizational, and analytical skills.
* Excellent ability to communicate complex information orally and in writing to a variety of stakeholders.
* Experience building trust and collaboration through excellent interpersonal skills.
* Strong technical abilities.
* Flexible and willing to work as a team member doing whatever it takes to release an exceptional product.
* Exceptional customer relationship skills.
* Strong quantitative and data analysis skills.
* Self\-motivated, curious, and comfortable with taking initiative.
* Demonstrated success in product strategy and execution.
* Knowledgeable about leveraging AI and automation for customer experience.
**Preferred Qualifications**
* Product management or product design experience with a focus on higher education.
* Success delivering and managing AI and automation solutions for customer experience, e.g. AI agents, chatbots, search, etc.
* A passion for EdTech, teaching, learning, or another role.
* Product Management, Agile Scrum, Agile certification.
* Solid product management experience with a track record of creating innovative software/mobile applications.
* Programming or prototyping experience a plus, agile experience preferred.
**Salary Range:** 
 $89,000 \- $115,000 / year.
**Exemption Status: Exempt**
**Physical Requirements**
 Requires periods of close concentration; must be able to multi\-task; must be able to travel occasionally; work overtime \- more than 40 hours a week – regularly, as needed
 The position is eligible for remote employment, excluding the following locations: Alaska, Arkansas, Hawaii, Mississippi, Nevada, South Dakota, West Virginia, Wyoming.
**Benefits**
 Regular full\-time and qualifying part\-time employees and their dependents are eligible for Macmillan benefits, effective on the employee’s date of hire. Macmillan also offers health benefits coverage to qualifying same\-sex and opposite\-sex domestic partners (may require additional documentation) of active employees.
* Competitive pay and bonus plan
* Generous Health Benefits (Medical, Dental, Vision)
* Contributions to your 401k retirement account through Fidelity
* Generous paid time off, sick time, floating holidays, and paid holidays (Spring Reset Day , Juneteenth, Indigenous People's Day, Election Day, and more!)
* Employee Assistance Program, Education Assistance Program
* 100% employer\-paid life and AD\&amp;D insurance
* And much more!
 Macmillan Learning is a privately\-held, family owned company that improves lives through learning. By linking research to learning practice, we develop pioneering products and learning materials for students that are highly effective and drive improved outcomes. Our engaging content is developed in partnership with the world's best researchers, educators, administrators, and developers. To learn more, please visit macmillanlearning.com or see us on Facebook, Twitter, LinkedIn or join our Macmillan Community. Macmillan Learning is a division of the Holtzbrinck Publishing Group, a family\-owned global media company headquartered in Stuttgart, Germany.
 At Macmillan Learning, we believe diverse perspectives and backgrounds enrich our mission to improve lives through learning. We actively seek candidates who reflect a wide range of identities, experiences, and communities. We are an Equal Opportunity Employer and all qualified applicants will receive consideration for employment without regard to race, color, religion, age, ethnicity, national origin, sex, sexual orientation, gender, gender identity or expression, disability status, physical ability, neurodiversity, genetic information, protected veteran status, family and economic status and background, geographical status and background, or any other characteristic protected by federal, state, or local law. You can read more about our Diversity, Equity, \&amp; Inclusion initiatives here.
 The successful candidate for this position will be an employee of Bedford, Freeman \&amp; Worth Publishing Group, LLC d/b/a Macmillan Learning. Bedford Freeman \&amp; Worth Publishing Group, LLC has developed an equal opportunity compliance program in compliance with the NY Department of Education’s guidance. Portions of the equal opportunity compliance program are available for review by applicants and employees by contacting Human Resources at Macmillan Learning.</t>
        </is>
      </c>
    </row>
    <row r="35">
      <c r="A35" t="inlineStr">
        <is>
          <t>li-4365907109</t>
        </is>
      </c>
      <c r="B35" t="inlineStr">
        <is>
          <t>Group Product Manager, Gemini Enterprise</t>
        </is>
      </c>
      <c r="C35" t="inlineStr">
        <is>
          <t>Google</t>
        </is>
      </c>
      <c r="D35" t="inlineStr">
        <is>
          <t>linkedin</t>
        </is>
      </c>
      <c r="E35" t="inlineStr"/>
      <c r="F35" t="inlineStr"/>
      <c r="G35" t="inlineStr">
        <is>
          <t>Sunnyvale, CA</t>
        </is>
      </c>
      <c r="H35" t="inlineStr"/>
      <c r="I35" t="inlineStr"/>
    </row>
    <row r="36">
      <c r="A36" t="inlineStr">
        <is>
          <t>li-4351147192</t>
        </is>
      </c>
      <c r="B36" t="inlineStr">
        <is>
          <t>Product Owner</t>
        </is>
      </c>
      <c r="C36" t="inlineStr">
        <is>
          <t>Q2</t>
        </is>
      </c>
      <c r="D36" t="inlineStr">
        <is>
          <t>linkedin</t>
        </is>
      </c>
      <c r="E36" t="inlineStr"/>
      <c r="F36" t="inlineStr"/>
      <c r="G36" t="inlineStr">
        <is>
          <t>Austin, TX</t>
        </is>
      </c>
      <c r="H36" t="inlineStr"/>
      <c r="I36" t="inlineStr">
        <is>
          <t>**As passionate about our people as we are about our mission.**
**Why Join Q2?**
 Q2 is a leading provider of digital banking and lending solutions to banks, credit unions, alternative finance companies, and fintechs in the U.S. and internationally. Our mission is simple: build strong and diverse communities through innovative financial technology—and we do that by empowering our people to help create success for our customers.
**What Makes Q2 Special?**
 Being as passionate about our people as we are about our mission. We celebrate our employees in many ways, including our “Circle of Awesomeness” award ceremony and day of employee celebration among others! We invest in the growth and development of our team members through ongoing learning opportunities, mentorship programs, internal mobility, and meaningful leadership relationships. We also know that nothing builds trust and collaboration like having fun. We hold an annual Dodgeball for Charity event at our Q2 Stadium in Austin, inviting other local companies to play, and community organizations we support to raise money and awareness together.
**Summary**
 Q2 is seeking a Product Owner for the SMART product to drive execution of data\-driven personalization, targeting, and campaign enablement capabilities within Digital Banking. In this role, you will partner closely with Product Management, Engineering, and Delivery to translate SMART’s strategic roadmap into clear, prioritized user stories that support measurable marketing outcomes such as engagement, conversion, cross\-sell, and retention.
 The ideal candidate brings a strong technical foundation paired with a marketing or growth\-oriented background, with experience in digital marketing platforms, audience segmentation, campaign execution, or analytics. You will work across data services, APIs, and platform integrations to ensure SMART capabilities can be effectively leveraged by financial institutions and their marketing teams. Acting as the executional bridge between Product Managers and engineering teams, you will manage dependencies, ensure sprint readiness, maintain high\-quality documentation, and drive consistent delivery of complex initiatives. This role requires the ability to translate marketing use cases into scalable platform capabilities while balancing technical feasibility with business impact.
**RESPONSIBILITIES**
* Align with Product \&amp; Delivery leadership to prioritize product backlog.
* Define product functionality and write detailed user stories/epics with end\-user empathy.
* Manage sprints: planning, review, and acceptance of completed work.
* Apply Agile methods to encourage disciplined software development and frequent inspection.
* Articulate product vision and user stories clearly to teams and clients.
* Deliver product acceptance criteria and ensure quality delivery.
* Drive Objectives and Key Results (OKRs) and roadmap execution. EXPERIENCE AND KNOWLEDGE
* Bachelor’s degree; 2–5 years of related experience.
* Technical background with backend integrations, APIs, and scalable solutions.
* Experience with Agile Scrum methodology and process management.
* Proven ability to manage complex rollouts with multiple stakeholders.
* Strong analytical and problem\-solving abilities.
* Proficiency with Atlassian Suite (Jira, Confluence).
* Comfortable working across distributed teams
*This position requires fluent written and oral communication in English.*
*Applicants must be authorized to work for any employer in the U.S. We are unable to sponsor or take over sponsorship of an employment Visa at this time.*
**Health \&amp; Wellness**
* Hybrid Work Opportunities
* Flexible Time Off
* Career Development \&amp; Mentoring Programs
* Health \&amp; Wellness Benefits, including competitive health insurance offerings and generous paid parental leave for eligible new parents
* Community Volunteering \&amp; Company Philanthropy Programs
* Employee Peer Recognition Programs – “You Earned it”
 Click here to find out more about the benefits we offer.
**Our Culture \&amp; Commitment**
 We’re proud to foster a supportive, inclusive environment where career growth, collaboration, and wellness are prioritized. And our benefits go beyond healthcare—offering resources for physical, mental, and professional well\-being. Click here to find out more about the benefits we offer. Q2 employees are encouraged to give back through volunteer work and nonprofit support through our Spark Program (see more). We believe in making an impact—in the industry and in the community.
 We are an Equal Opportunity Employer. All qualified applicants will receive consideration for employment without regard to race, color, religion, sex, sexual orientation, gender identity, national origin, age, disability, genetic information, or veteran status.
*Applicants in California or Washington State may not be exempt from federal and state overtime requirements*</t>
        </is>
      </c>
    </row>
    <row r="37">
      <c r="A37" t="inlineStr">
        <is>
          <t>li-4302886825</t>
        </is>
      </c>
      <c r="B37" t="inlineStr">
        <is>
          <t>Principal Product Manager, Revenue Systems</t>
        </is>
      </c>
      <c r="C37" t="inlineStr">
        <is>
          <t>Gusto</t>
        </is>
      </c>
      <c r="D37" t="inlineStr">
        <is>
          <t>linkedin</t>
        </is>
      </c>
      <c r="E37" t="inlineStr"/>
      <c r="F37" t="inlineStr"/>
      <c r="G37" t="inlineStr"/>
      <c r="H37" t="inlineStr"/>
      <c r="I37"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**By The Numbers**
* Named \#1 best software for small business of 2024 by G2
* 2,700\+ employees in the United States, Canada, Mexico, and Turkiye and growing
* Over $500M in annual revenue
* The SMB market is large (and growing!) with huge opportunities for Gusto to make an incredible impact for SMBs
+ There are 6\.2M employers in the US, 98% have fewer than 100 employees (1\)
+ 550,000 new businesses are created each year in the US (1\)
**What Product Management Is Like At Gusto**
* We’re looking for high\-autonomy, entrepreneurial Product Managers to come build high\-impact solutions for small businesses and their employees. We believe in high\-ownership Product Managers who operate like business owners \- owning an entire roadmap end to end and shipping product all the way from strategy through to the nitty gritty details (some describe this kind of role as a “GM” type role).
* Our Product team is lean, which means you’ll have a high degree of impact and ownership.
* We’re here to serve small and medium businesses. Gusto has a strong mission\-driven culture, and we care deeply about lifting up these business owners.
**About The Team**
 The Revenue Systems team is responsible for the system that determines the who, what and when of revenue communications with our customers \- including product, sales and lifecycle communications. This involves building out Gusto’s audience management and decisioning systems that together are responsible for managing the actions across all revenue channels.
**Here’s What You’ll Do Day\-to\-day**
* Ownership: Revenue system of the systems that manage revenue communications to customers, including revenue focused in\-product communications, sales calls and lifecycle communications
+ For the above purposes, inclusive of content management (CMS tools such as Contentful), audience creation (CDP tools such as HighTouch) and decisioning systems (orchestration level tools such as Marketo and Iterable, as well as AI based digital decisioning automation)
* North Star: Contribute to achievement of the entirety of the company revenue goal. Revenue systems are expected to contribute to appropriately a 10\-20% lift in aggregate incremental revenue contribution in any year
* Collaborate: You will collaboratively partner with the following teams: Growth (Biztech, Expansion, Leads, Onboarding, Activation), Marketing (Lifecycle, and Sales (Revenue ops)
**Here’s What We're Looking For**
* 8\+ years of product management experience either in revenue systems or sufficiently adjacent to revenue systems to have context in the domain
* Candidates that have worked in related fields will be considered if their systems product management skills are sufficient to allow them to quickly assimilate revenue systems specific knowledge
* Outstanding skills in articulating the goals of complex systems, the end state design to achieve the goals and the breaking down of execution into discrete steps to arrive at the end state design
* A both technical, product and strategic understanding of how systems, customer experience and revenue generation work together in complex systems
* Capability to translate between business \&amp; product goals and system capabilities in a way that is understandable and actionable for multiple stakeholders
* The capability to leverage next generation AI/ML technologies within complex systems
*If you don't think you meet all of the criteria above but still are interested in the job, please apply. Nobody checks every box, and we're looking for someone excited to join the team.*
 Our cash compensation amount for this role is $179,000/yr to $224,000/yr in Denver \&amp; most major metro locations, and $210,000/yr to $263,000/yr for San Francisco, Seattle \&amp; New York. Final offer amounts are determined by multiple factors including candidate location, experience and expertise and may vary from the amounts listed above.
**Where do PMs at Gusto work?**
 We have offices in Denver, San Francisco, and New York and have remote team members across the US and Canada. We are also actively hiring for the following hubs: Toronto, Canada, Los Angeles, CA, and Seattle, WA. Our open roles will specify on the careers page and in the job description where the position is eligible for work.
* Business Applications with Planned Wages (www.census.gov)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38">
      <c r="A38" t="inlineStr">
        <is>
          <t>li-4356081277</t>
        </is>
      </c>
      <c r="B38" t="inlineStr">
        <is>
          <t>Senior Product Manager, Accounts &amp; Identity</t>
        </is>
      </c>
      <c r="C38" t="inlineStr">
        <is>
          <t>Sony Interactive Entertainment</t>
        </is>
      </c>
      <c r="D38" t="inlineStr">
        <is>
          <t>linkedin</t>
        </is>
      </c>
      <c r="E38" t="inlineStr"/>
      <c r="F38" t="inlineStr"/>
      <c r="G38" t="inlineStr">
        <is>
          <t>San Mateo, CA</t>
        </is>
      </c>
      <c r="H38" t="inlineStr"/>
      <c r="I38"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**Senior Product Manager, Accounts \&amp; Identity**
**San Mateo, CA or San Diego, CA (hybrid)**
 At PlayStation, every great gaming moment starts with reliable and secure access. The Accounts \&amp; Identity team designs and builds the identity systems that power access, protection, and confidence for millions of players across console, PC, mobile, and web.
 Our team seeks a Senior Product Manager to shape the future of PlayStation’s Identity Platform spanning identity, account access, and scalable privacy foundations that protect user data and enable choice and control. This role helps shape platform\-level capabilities supporting data rights, consent, and evolving privacy expectations, alongside secure and seamless access experiences. You’ll partner with vertical teams, strengthen device and user trust, and evolve PlayStation’s intelligent, risk\-based platform for current and future generations of consoles and experiences.
**What You’ll Do**
* Lead the vision, roadmap, and execution for the Identity Platform that enables secure, frictionless player access across every PlayStation surface.
* Partner with Product Security, Global Fraud, Privacy, Legal, Online Safety, and User Experience Design \&amp; Research to build trusted, player\-friendly systems.
* Collaborate with console, client, and server engineering groups to deliver scalable, reliable identity services and experiences.
* Define measurable outcomes, success metrics, and indicators that track login reliability, account protection, and friction reduction.
* Drive go\-to\-market and rollout readiness in partnership with marketing, regional, and support teams so new identity capabilities land smoothly worldwide.
* Use data\-informed insights to balance security, privacy, and convenience, ensuring PlayStation accounts stay secure and accessible.
* Translate complex technical capabilities into intuitive player experiences.
* Represent the voice of the player and champion PlayStation values of passion, innovation, and inclusivity in every decision.
**What We’re Looking For**
**Must\-have**
* Bachelor’s degree in a business or technical field, or equivalent experience.
* 6\+ years of product management experience, including taking technical products from conception to launch in close partnership with engineering and design.
* Proven success driving horizontal product strategies that span devices or services.
* Proficiency discussing APIs, data models, and trust systems; strong analytical approach.
* Excellent collaboration and communication skills
**Nice\-to\-have**
* Experience in consumer identity, authentication, account security, fraud or risk signals in user flows.
* Hands\-on familiarity with OAuth 2\.0, OpenID Connect, FIDO2, or WebAuthn.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$168,900—$253,300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39">
      <c r="A39" t="inlineStr">
        <is>
          <t>li-4367318908</t>
        </is>
      </c>
      <c r="B39" t="inlineStr">
        <is>
          <t>Technical Product Manager</t>
        </is>
      </c>
      <c r="C39" t="inlineStr">
        <is>
          <t>Talently</t>
        </is>
      </c>
      <c r="D39" t="inlineStr">
        <is>
          <t>linkedin</t>
        </is>
      </c>
      <c r="E39" t="inlineStr"/>
      <c r="F39" t="inlineStr"/>
      <c r="G39" t="inlineStr">
        <is>
          <t>New York, NY</t>
        </is>
      </c>
      <c r="H39" t="inlineStr"/>
      <c r="I39" t="inlineStr">
        <is>
          <t>**Job Title:** 
 Technical Product Manager
**Location:** 
 Hybrid \- New York, New York, United States
**Salary:** 
 $180,000\-$200,000
**Skills:** 
 Ruby on Rails, Go, TypeScript, React, API Design
**About the Software Company / The Opportunity:** 
 Join a forward\-thinking company in the software industry dedicated to creating groundbreaking technology aimed at transforming healthcare and improving patient outcomes. As a Lead Product Engineer, you will collaborate with cross\-functional leaders—including engineering, product, and clinical operations—to deliver innovative technical solutions that power impactful cardiac care. This hybrid role based in New York offers you the chance to oversee complex, multi\-team projects, drive technical development, and make a meaningful impact in a mission\-driven environment.
**Responsibilities:** 
* Lead end\-to\-end delivery of technical products and features, managing parallel projects across multiple teams.
* Gather requirements from diverse stakeholders and translate needs into actionable technical specifications and Jira tickets.
* Own product vision and roadmaps, partnering with engineering leadership to drive delivery and resolve blockers.
* Prototype new features and solutions, enabling rapid experimentation and validating feasibility.
* Bridge the gap between high\-level business goals and robust technical execution.
* Facilitate agile processes and project tracking for efficient, on\-time delivery and team collaboration.
* Oversee product quality assurance, release management, and maintain technical documentation standards.
**Must\-Have Skills:** 
* Strong technical background with capabilities in prototyping, code review, and understanding of APIs and system architecture.
* Proven experience as a Product Manager, Tech Lead, or Technical Program Manager in fast\-paced engineering environments.
* Excellent cross\-functional communication and leadership skills.
* Demonstrated ability to manage large projects and multiple priorities.
* Hands\-on software engineering experience (such as Ruby on Rails, Go, PHP, or JavaScript).
* Bachelor's degree or higher in Computer Science or similar field.
* 3\+ years in technical product management or tech lead roles.
**Nice\-to\-Have Skills:** 
* Experience working in health tech or early stage startups.
* Familiarity with TypeScript, React, Flutter, GraphQL, AWS, PostgreSQL, Elasticsearch, Apache Kafka.
* Background in driving products from concept to launch within technical environments.
* Proficiency in agile methodologies and project management tools such as Jira.
* Ability to synthesize stakeholder feedback and align teams on technical deliverables.</t>
        </is>
      </c>
    </row>
    <row r="40">
      <c r="A40" t="inlineStr">
        <is>
          <t>li-4366344277</t>
        </is>
      </c>
      <c r="B40" t="inlineStr">
        <is>
          <t>Technical Product Manager</t>
        </is>
      </c>
      <c r="C40" t="inlineStr">
        <is>
          <t>Telnyx</t>
        </is>
      </c>
      <c r="D40" t="inlineStr">
        <is>
          <t>linkedin</t>
        </is>
      </c>
      <c r="E40" t="inlineStr"/>
      <c r="F40" t="inlineStr"/>
      <c r="G40" t="inlineStr">
        <is>
          <t>Texas, United States</t>
        </is>
      </c>
      <c r="H40" t="inlineStr"/>
      <c r="I40" t="inlineStr">
        <is>
          <t>**About Telnyx**
*Telnyx is an industry leader that's not just imagining the future of global connectivity—we're building it. From architecting and amplifying the reach of a* 
*private, global, multi\-cloud IP network* 
*, to bringing* 
*hyperlocal edge* 
*technology right to your fingertips through intuitive APIs, we're shaping a new era of seamless interconnection between people, devices, and applications.*
*We're driven by a desire to transform and modernize what's antiquated, automate the manual, and solve real\-world problems through innovative connectivity solutions. As a testament to our success, we're proud to stand as a financially stable and profitable company. Our robust profitability allows us not only to invest in pioneering technologies but also to foster an environment of continuous learning and growth for our team.*
*Our collective vision is a world where borderless connectivity fuels limitless innovation. By joining us, you can be part of laying the foundations for this interconnected future. We're currently seeking passionate individuals who are excited about the opportunity to contribute to an industry\-shaping company while growing their own skills and careers.*
**The Opportunity**
 We’re looking for a
 **Technical Product Manager** 
 to own production\-critical product areas alongside engineering teams.
 This role sits close to the systems that power our platform. You’ll work on products that are live, used by real customers, and expected to behave correctly under failure, scale, and operational pressure.
 This is not a roadmap\-only or stakeholder\-only PM role. You’ll be involved in
 **on\-call, incident response, and post\-mortems** 
 , and you’ll help shape how our systems evolve safely over time.
**What You’ll Do**
* Own product areas that are live and operationally critical
* Work directly with engineers on scoping, sequencing, and tradeoffs
* Participate in on\-call rotations and incident response
* Help drive post\-mortems and ensure learnings turn into real system improvements
* Test and validate changes before release
* Balance delivery, reliability, and risk — not just feature output
**What We’re Looking For**
* Experience owning products or systems that run in production
* Comfort working with engineers on technical tradeoffs and system behavior
* Experience with incidents, failures, or on\-call environments
* Strong judgment under ambiguity and pressure
* Clear, pragmatic communication
**You Don’t Need**
* prior telco experience
* a “Technical PM” title
* to be the most technical person in the room
 We care about ownership, judgment, and reliability thinking.
**Nice To Have (but Not Required)**
* Former software engineering background
* Experience with platforms, infrastructure, payments, or messaging
* Experience writing or reviewing code
**Why Telnyx**
 You’ll work on real systems with real impact, alongside teams that value:
* thoughtful decision\-making
* operational ownership
* calm, pragmatic collaboration</t>
        </is>
      </c>
    </row>
    <row r="41">
      <c r="A41" t="inlineStr">
        <is>
          <t>li-4351186076</t>
        </is>
      </c>
      <c r="B41" t="inlineStr">
        <is>
          <t>Principal Product Manager - Platform (Relocate to the UK)</t>
        </is>
      </c>
      <c r="C41" t="inlineStr">
        <is>
          <t>Samsara</t>
        </is>
      </c>
      <c r="D41" t="inlineStr">
        <is>
          <t>linkedin</t>
        </is>
      </c>
      <c r="E41" t="inlineStr"/>
      <c r="F41" t="inlineStr"/>
      <c r="G41" t="inlineStr">
        <is>
          <t>Pennsylvania, United States</t>
        </is>
      </c>
      <c r="H41" t="inlineStr"/>
      <c r="I41"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This is a defining opportunity for a
 **Principal Product Manager** 
 to serve as the
 **Strategic Owner** 
 for Samsara's
 **Reporting Platform** 
 —the unified analytics layer that transforms our massive, multi\-product data streams into customer value.
 The Platform Group is the foundation of our Connected Operations Cloud. Within it, the Data \&amp; Extensibility team is responsible for the
 **quality, integrity, and massive\-scale processing of all data** 
 collected from Samsara's 1\.4M\+ connected devices.
 You will be the product leader responsible for defining the future of how our global customers analyze their operations across all Samsara product lines (Safety, Telematics, Equipment Monitoring, etc.). The Reporting Platform is highly strategic: your work will directly impact
 **Samsara’s revenue growth** 
 by enabling customers to realize the value of their data through native, custom, and AI\-enhanced reports and visualizations. This role requires solving complex challenges at the intersection of
 **data governance, platform scalability, and intuitive user experience** 
 .
 This role is based in the UK.
 **We will provide relocation and sponsorship assistance for you to move to the region.**
**In this role, you will:**
* Pioneer the 3\-5 year strategic roadmap and architecture for the Reporting Platform, positioning it as a core differentiator and multi\-hundred\-million dollar platform for the business.
* Define the strategy for incorporating AI/ML tools into data exploration and visualization, transforming raw data into prescriptive, actionable insights for customers.
* Influence executive leadership and cross\-product teams on critical investment areas, long\-term technical debt reduction, and data governance standards.
* Own the vision for cross\-product data analysis, ensuring seamless and high\-performance reporting across Telematics, Safety, Equipment Monitoring, and all future product lines.
* Partner with customer\-facing teams to close strategic enterprise accounts and build executive\-level relationships with top customers, serving as the platform's product evangelist.
* Drive the definition of the most important customer problems to solve, leveraging data and market needs to build the long\-term strategy and work backwards from winning.
* Champion, role model, and embed Samsara’s cultural values as we scale globally.
**Minimum requirements for the role:**
* 10\+ years of progressive experience, including 7\+ years in product management, with a proven track record of operating and delivering complex, multi\-year initiatives.
* Deep expertise in large\-scale data platforms, business intelligence (BI) tools, or customer\-facing reporting/analytics products.
* Excellent technical understanding with an ability to grasp and lead strategic discussions on data warehousing, data quality, data integrity, and API design.
* Exceptional strategic mindset and analytical skills, capable of synthesizing disparate customer insights and market data into a cohesive, high\-impact product strategy.
* Proven track record of delivering outstanding results for customers and the business, managing significant complexity and ambiguity independently.
* Superior executive communication skills, comfortable and effective presenting and defending complex strategy to customers, executives, and broad internal audiences.
**An ideal candidate also has:**
* Experience driving complex technical initiatives involving multiple internal Platform and Product stakeholders.
* Prior experience working on products involving both external (customer\-facing) and internal stakeholders for roadmap planning and development.
* A prior technical background (e.g., software engineering, data science) or a deep technical education (Bachelors or Masters in a technical field).
* History of working on highly successful B2B enterprise products.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t>
        </is>
      </c>
    </row>
    <row r="42">
      <c r="A42" t="inlineStr">
        <is>
          <t>li-4366193100</t>
        </is>
      </c>
      <c r="B42" t="inlineStr">
        <is>
          <t>Senior Product Owner</t>
        </is>
      </c>
      <c r="C42" t="inlineStr">
        <is>
          <t>Abarca Health</t>
        </is>
      </c>
      <c r="D42" t="inlineStr">
        <is>
          <t>linkedin</t>
        </is>
      </c>
      <c r="E42" t="inlineStr"/>
      <c r="F42" t="inlineStr"/>
      <c r="G42" t="inlineStr"/>
      <c r="H42" t="inlineStr"/>
      <c r="I42" t="inlineStr">
        <is>
          <t>**What You’ll Do**
*In a few words…*
*Abarca is igniting a revolution in healthcare. We built our company on the belief that with smarter technology we are redefining pharmacy benefits, but this is just the beginning…*
 Senior Product Owners on our team leverage a keen attention to detail and sharp observational skills to understand our product and services as well as their histories and upcoming innovations. In this role, you’ll work through analysis of the business requirements and software development life cycle to prepare all things product related! We’ll also need you to help identify improvements for operating procedures, evaluate existing or propose road maps and prepare specifications while collaborating with clients, internal operations, and technology teams.
*The fundamentals for the job…*
* Be the subject matter expert for one to two product domains within Abarca.
* Create, update, enhance, or refine business requirements, user stories and acceptance criteria in an agile framework.
* Assist and partner with other Product Owners and Product Managers in solving business needs through collaborative product feature enhancements.
* Gather requirements with internal clients and technology teams to solve complex business needs and translate ideas into requirements.
* Work collaboratively with business partners, SMEs, Developers, and Testers to ensure a shared understanding of business requirements.
* Determine feasibility of business requirements and recommend changes to support business needs and processes.
* Assist in analyzing business solution options by evaluating current system processes and identifying possible solution options for new functionality or modifications to existing functionality.
* Provide support for your product domain in research, analysis and troubleshooting related to your products.
* Provide input and engage in setting priorities to define a product roadmap working with other product owners and product managers.
* Understand the products that you own and how they interact upstream and downstream within the product ecosystem.
* Ensure that system solution options are thoroughly researched, analyzed, and documented.
* Develops acceptance criteria and leads User Acceptance Testing (UAT) efforts to ensure the product meets the needs of the business.
* Provide support to Applications Development through participation in Design Reviews.
* Project estimates and resource plans for systems solutions.
**What We Expect Of You**
*The bold requirements…*
* Bachelor’s or Master’s Degree in a related area (In lieu of a degree, equivalent relevant work experience may be considered.)
* 6 \+ years of experience as a product owner, product analyst or in roles associated and/or collaborating with product management within an Agile SDLC environment
* Experience in project management, client facing tasks, facilitating meetings, and setting priorities.
* Experience leveraging and utilizing SQL, business intelligence and associated data analysis tools.
* Experience in developing roadmaps, managing product questions, vendor management, leading meetings and developing technical product documentation.
* Experience in market research and analysis as well as sales support within requests for proposal.
* Experience in developing and documenting acceptance criteria and user stories.
* Experience in collaborating within an agile and scrum environment and with associated SDLC toolsets (example: DevOps, Jira, etc.).
* Excellent oral and written communication skills.
* We are proud to offer a flexible hybrid work model which will require certain on\-site work days (Puerto Rico Location Only)
* This position requires availability to work in a specified time zone or working schedule, accommodating the business needs of our clients and team members.
* This position may require availability for on\-call hours, including evenings, weekends, and holidays, to promptly address emergent issues or provide necessary support as dictated by operational demands (if applicable).
*Nice to haves…*
* Scrum Certified Product Owner or Product Strategy Product Owner certification preferred.
* Experience with business intelligence solutions to create ad\-hoc queries \&amp; reports to support analysis.
* Experience Healthcare, Pharmacy, and Pharmacy Benefit industries, Medicare Part D, and CMS regulations, NCPDPD standards and/or HIMSS.
* Experience in UX and/or Human Centered Design.
 Physical requirements…
* Must be able to access and navigate each department at the organization’s facilities.
* Sedentary work that primarily involves sitting/standing.
***At Abarca we value and celebrate diversity. Diversity, equity, inclusion, and belonging are guiding principles of Abarca and ensure Abarca’s workforce reflects the communities it serves. We are proud to provide equal employment opportunities to all employees and applicants for employment and prohibit discrimination and harassment of any type without regard to race, color, religion, age, sex, national origin, disability status, medical condition, genetic information, protected veteran status, sexual orientation, gender identity or expression, or any other characteristic protected by federal, state, or local laws.***
***Abarca Health LLC is an equal employment opportunity employer and participates in E\-Verify. “Abarca Health LLC does not sponsor employment visas at this time”***
***The above description is not intended to limit the scope of the job or to exclude other duties not mentioned. It is not a final set of specifications for the position. It’s simply meant to give readers an idea of what the role entails.***</t>
        </is>
      </c>
    </row>
    <row r="43">
      <c r="A43" t="inlineStr">
        <is>
          <t>li-4291175047</t>
        </is>
      </c>
      <c r="B43" t="inlineStr">
        <is>
          <t>Principal Product Manager</t>
        </is>
      </c>
      <c r="C43" t="inlineStr">
        <is>
          <t>Advisor360°</t>
        </is>
      </c>
      <c r="D43" t="inlineStr">
        <is>
          <t>linkedin</t>
        </is>
      </c>
      <c r="E43" t="inlineStr"/>
      <c r="F43" t="inlineStr"/>
      <c r="G43" t="inlineStr">
        <is>
          <t>Needham, MA</t>
        </is>
      </c>
      <c r="H43" t="inlineStr"/>
      <c r="I43" t="inlineStr">
        <is>
          <t>At Advisor360°, we build technology that transforms how wealth management firms operate, scale, and serve their clients. As a leading SaaS platform in the fintech space, we’re trusted by some of the largest independent broker\-dealers and RIAs to power the full advisor and client experience—from portfolio construction and reporting to compliance and client engagement.
 What sets us apart? It's not just the tech (though it's best\-in\-class). It's the people, the purpose, and the passion behind everything we do.
 We’re a team of builders, thinkers, and doers who believe that great companies are defined by the stories they tell and the experiences they create—internally and externally. We bring deep industry expertise, a collaborative spirit, and a commitment to innovation as we reshape what’s possible in wealth management.
 As we grow, we’re looking for teammates who are ready to roll up their sleeves, think big, and help elevate our brand in a way that reflects the bold ambitions we have for our company and the clients we serve. Join us, and be part of a company that's not only moving fast—but making it count.
****This role is hybrid, requiring three days per week onsite in our Needham, MA headquarters.****
 The Principal Product Manager is a player/coach responsible for product planning, product marketing, and customer engagement for their product. This includes managing the product throughout the Product Lifecycle, gathering and prioritizing product and customer requirements, defining the product vision, and working closely with engineering to deliver winning products. The Product Manager (PM) works with sales, marketing, and support to ensure revenue and customer satisfaction goals are met. Responsibilities also include ensuring that product and marketing efforts support the company’s overall strategy and goals.
 Specifically, in this role, this Principal PM will work closely to maintain and evolve a large segment of Advisor360°’s critical data estate. Advisors require access to extensive, diverse data that defines investment products and tracks transactions and holdings across their clients to power performance accounting and analytics. Advisor360° must deliver this data in a timely and accurate fashion through advisor\-and\-investor\-facing components of the platform. This PM will be directly responsible for ensuring this critical data continues to be an industry\-leading resource for our customers and their clients.
**Here’s What You’ll Do**
* Independently coordinates research, continuous customer discovery, and analysis to inform strategic roadmap priorities for their product area and is recognized SME in that domain.
* Manages on\-time execution, takes charge of project prioritization, collaborates with development and design teams, and ensures alignment with roadmap goals.
* Effectively and persuasively documents, presents, and communicates product concepts such as requirements and vision readouts to all audiences, from development to the Executive Leadership Team (ELT).
* Manages and is accountable for end\-to\-end product and functional launches for their product area. Collaborates closely with Training, Marketing, ILs, and CS\&amp;O teams to produce and execute effective market entry strategies, ensures training materials are ready, and aligns messaging with the roadmap.
* Prioritizes thesis\-driven development by independently defining, monitoring, and analyzing qualitative and quantitative product performance metrics to iterate towards value creation. Actively participates in and drives performance and monitoring improvement initiatives by collaborating with cross\-functional teams to gather data and insights for performance assessment.
* Manages and engages with clients independently, being a key client SME in their product area. Works to develop and maintain a collaborative, empathetic relationship. Is mindful of client\-level strategic initiatives at the executive and functional levels and strives to be seen as a proactive partner.
* Leads cross\-functional meetings and actively fosters communication among stakeholders to achieve project success and alignment of goals across teams.
* Continuously evaluates, proposes, and assists in implementing changes to the SDLC, PDLC, and other processes by collaborating across teams and promoting adoption.
* Actively mentors and guides reports, providing expertise and support in their growth and development within the product management domain.
**What You Bring To The Table**
* 6\+ years’ experience with financial services software, as either supplier or user.
* Strong conceptual knowledge of structured data, database design, and database development, with RDBMS tools such as Microsoft SQL or PostgreSQL.
* Experience with cloud\-based data platforms such as Snowflake is desired.
* Candidates with a strong background in or experience with Financial Investment Data aggregation, normalization, enrichment, and reconciliation are preferred.
* Experience in scoping and planning UI and UX requirements for products that are data\-driven.
* Experience working with product scope that crosses the boundaries of several teams, including multiple product teams and engineering teams.
* Well\-rounded understanding of the needs of financial advisors and their clients.
* Experience in creating and iterating to a great customer experience backed by qualitative and quantitative data.
* Ability to understand and participate in technical system design discussions.
* Fundamental analytical and conceptual thinking skills.
* Experience working directly with customers and prospects.
* Excellent verbal and written communication skills to communicate and collaborate effectively with all levels of the organization and external stakeholders.
* Ability to consistently provide a high level of attention to detail with strong organizational skills.
* Ability to manage and deliver successful results within a project timeline.
* Understanding of Scrum concepts and Agile principles.
* Ability to present, with confidence, new solutions for existing problems to colleagues and managers.
**Why You’ll Love Working With Us**
 It’s not just about work—it’s about building a career and enjoying the ride! Here’s what you can expect:
**The estimated base salary range for this position is $188,000**
**–**
**$210,000**
**\+ bonus \&amp; equity.**
**Advisor360**
 °
 **provides an estimate of the compensation for roles that may be hired as required by state regulations. Compensation may vary based on factors including, but not limited to, individual candidate experience, skills, and qualifications.**
**Additionally, Advisor360**
 °
 **leverages current market data to determine compensation, therefore posted compensation figures are subject to change as new market data becomes available. The salary, other forms of compensation, and benefits information is accurate as of the date of this posting. Advisor360**
 °
 **reserves the right to modify this information at any time, subject to applicable law.**
 We believe in recognizing and rewarding performance. Our compensation package includes competitive base salaries, annual performance\-based bonuses, and the chance to share in the equity value you and your colleagues create during your time with the company. We offer comprehensive health benefits, including dental, life, and disability insurance. We also trust our employees to manage their time effectively, which is why we offer an unlimited paid time off program to help you perform at your best every day.
 Join us on this journey. Advisor360° is an equal opportunity employer committed to a diverse workforce. We believe diversity drives innovation and are therefore building a company where people of all backgrounds are truly welcome and included. Everyone is encouraged to bring their unique, authentic selves to work each and every day. The way we see it, we are here to learn from each other.
 While we are interested in qualified applicants who are permanently eligible to work for any employer in the United States, we are unable to sponsor or take over sponsorship for employment visas at this time.
 To all recruitment agencies: We do not accept unsolicited agency resumes and are not responsible for any fees related to unsolicited resumes.
****It is unlawful in Massachusetts to require or administer a lie detector test as a condition of employment or continued employment. An employer who violates this law shall be subject to criminal penalties and civil liability.****</t>
        </is>
      </c>
    </row>
    <row r="44">
      <c r="A44" t="inlineStr">
        <is>
          <t>li-4358161040</t>
        </is>
      </c>
      <c r="B44" t="inlineStr">
        <is>
          <t>Senior Product Manager - Tech, Amazon Key</t>
        </is>
      </c>
      <c r="C44" t="inlineStr">
        <is>
          <t>Ring</t>
        </is>
      </c>
      <c r="D44" t="inlineStr">
        <is>
          <t>linkedin</t>
        </is>
      </c>
      <c r="E44" t="inlineStr"/>
      <c r="F44" t="inlineStr"/>
      <c r="G44" t="inlineStr">
        <is>
          <t>Sunnyvale, CA</t>
        </is>
      </c>
      <c r="H44" t="inlineStr"/>
      <c r="I44" t="inlineStr">
        <is>
          <t>**Description**
 At Amazon Key, we are on a mission to empower customers to easily manage access to their homes and businesses. As part of the Amazon Devices and Ring organization, we invent new devices, software, and services to solve critical access problems for our customers.
 As a Senior Product Manager\-Tech, you will help build a product roadmap and a coherent customer experience across an array of applications. You will work closely with software and hardware engineering teams, program managers, user experience designers, sales \&amp; marketing , and with other internal Amazon product stakeholders across the company, as well as with Key’s external network of partners \&amp; customers. This role is a great fit for someone who thrives in a dynamic environment, and who is sensitive to the diverse perspectives of stakeholders and works with them to resolve differences. We’re looking for customer obsessed entrepreneurs who are passionate about innovating on behalf of customers, demonstrate a high degree of product ownership, and want to have fun while making history.
 It is still Day 1 at Amazon, and we need a creative problem\-solver with exceptional judgment and the ability to deliver business results under ambiguous circumstances and tight timelines. The ideal candidate has a passion for access control combined with an established track record delivering break\-out hardware \&amp; software experiences.
 Key job responsibilities
 Lead end\-to\-end product roadmap and execution plan
 Define the long\-term strategy and vision for customers (including new hardware)
 Work with technical and non\-technical stakeholders to understand and improve product capabilities
 Analyze market trends \&amp; customer feedback and usage metrics to identify pain points and feature improvement opportunities
 Build innovative concepts and successfully champion them through senior management and other teams
 Drive requirement definition and design
 Define and own the business metrics and KPIs for our products and services
 Coordinate with vendors, manufacturing/ supply chain for hardware for optimizing costs and inventory
**Basic Qualifications**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A3017310</t>
        </is>
      </c>
    </row>
    <row r="45">
      <c r="A45" t="inlineStr">
        <is>
          <t>li-4365907217</t>
        </is>
      </c>
      <c r="B45" t="inlineStr">
        <is>
          <t>Product Manager</t>
        </is>
      </c>
      <c r="C45" t="inlineStr">
        <is>
          <t>TwinSpires</t>
        </is>
      </c>
      <c r="D45" t="inlineStr">
        <is>
          <t>linkedin</t>
        </is>
      </c>
      <c r="E45" t="inlineStr"/>
      <c r="F45" t="inlineStr"/>
      <c r="G45" t="inlineStr">
        <is>
          <t>Louisville, KY</t>
        </is>
      </c>
      <c r="H45" t="inlineStr"/>
      <c r="I45" t="inlineStr">
        <is>
          <t>Title: Product Manager
 Requisition ID\#: 2191
 Location:
 Louisville, KY, US, 40222
 Property: TwinSpires
 Pay Range: Market Competitive
 TwinSpires is the premier online horse racing wagering platform in the United States. TwinSpires is owned and operated by Churchill Downs, Inc., and is the official online betting partner of the Kentucky Derby, bringing you more than 148 years of wagering experience. Players can wager through the TwinSpires desktop, mobile, and app\-based advance\-deposit wagering platforms as well as at retail locations and race tracks across the country.
**Job Summary**
 At TwinSpires, the Product Manager is critical to delivering a quality experience to our players. You will be responsible for driving the delivery of key product features to enhance our players digital experience on the TwinSpires platform. This role will be aligned to one or more feature teams and partner with engineering to deliver user stories following an agile process. You will work with various stakeholders at different levels of the organization to assess business needs, gather requirements, build acceptance criteria, test cases and document processes.
**Essential Duties And Responsibilities**
* Develop expertise in an existing product area (e.g. Handicapping, Wagering, Registration/Login) and establish detailed knowledge of our TwinSpires’ customer base
* Collaborate with other Product Managers and other stakeholders to assess the market landscape and develop strategic plans to deliver a continuously improving player experience
* Analyze potential product enhancements and requests to determine the best way to develop and build the best solution in the time available, while setting the expectations for the delivery of new functionality
* Oversee/manage detailed information gathering/capture from the business teams and functional teams (Design, Marketing, Analytics etc.), preparing the handover of requirements to Scrum teams in the form of Epics and User Stories
* Partner with the scrum teams to deliver user stories
* Measure outcome delivered to customers in each sprint against what was expected to be delivered
* Maintains regular touchpoints with stakeholders of the product
* Manage the product backlog through an ongoing process of defining, refining and prioritization
* Drive the Funding, Registration and Login strategy for TwinSpires
* Other duties as assigned by Management
**Required Skills And Abilities**
* Excellent verbal and written communication skills
* Organizational skills with attention to detail
* Ability to identity and address the needs of our end\-users
* Authorized to work in the United States on a full\-time basis.
* Ability to work full\-time in the Louisville TwinSpires office.
* Travel between Louisville and Lexington, 10% of time.
**Education And Experience**
* Bachelor’s Degree in Computer Science or Business or 3\+ years experience working in Digital eCommerce.
* Experience acting as a product owner, product manager or comparable role driving feature delivery, preferably related to funding features.
* Experience working in an Agile environment
* Experience working with Jira and Confluence
* Outstanding written and verbal communications
* Flexible, versatile and able to cope well under pressure
* Excellent time management skills
* Ability to act both tactically and strategically
* Show usage of own initiative
* Passion and/or interest in the Horse racing industry is a huge plus
* Product Certification would be a plus
**Physical Requirements \&amp; Working Conditions**
 The following physical and mental demands are representative of those that must be met by an employee to successfully perform the essential functions of this job. Reasonable accommodations may be made to enable individuals with disabilities to perform the essential functions.
* 
+ While performing the duties of this job, the employee is frequently required to sit, sometimes for prolonged periods while working at a desk, on the phone, and/or on the computer; type on a computer keyboard; use hands to finger, handle or feel; talk or hear; reach with hands or arms; walk or stand; and perform some repetitive motion activities.
+ Specific vision abilities required by this job include close vision, color vision, color differentiation, peripheral vision, depth perception, and ability to adjust focus.
+ This position requires the ability to work effectively as part of a team; and concentrate on a variety of details when faced with interruptions and changing work priorities.
+ The mental demands are representative of those that must be met by an employee to successfully perform the essential functions, as described above, including but not limited to: demonstrated ability to anticipate and solve practical problems or resolve issues; reason, calculate figures and amounts; collect, interpret, and/or analyze complex data and information, and draw valid conclusions; interpret procedures and policies; and meet schedules in a dynamic and sometimes demanding work environment.
+ The noise level in this work environment is usually moderate. The work environment characteristics are representative of those an employee encounters while performing the essential functions of this job in a typical office environment.
+ The physical demands described here are representative of those that must be met by an employee to successfully perform the essential functions of this job. Reasonable accommodations may be made to enable individuals with disabilities to perform the essential functions.
 All qualified applicants will receive consideration for employment without regard to race, color, religion, sex, sexual orientation, gender identity, national origin, or disability.
 Work With Us
 Churchill Downs Incorporated is an inclusive and fun place to work. We celebrate unique approaches and points of view. We believe diversity is a mindset that drives excellence. We’re always learning, evolving and growing. We innovate through mutual respect of ideas and collaboration. This allows us to build a common language that inspires our team members and propels us toward the achievement of our vision.
 Already Work Here?
**Here's a Link To Apply Internally**
 Employee Login
**Nearest Major Market:** 
 Louisville</t>
        </is>
      </c>
    </row>
    <row r="46">
      <c r="A46" t="inlineStr">
        <is>
          <t>li-4373964730</t>
        </is>
      </c>
      <c r="B46" t="inlineStr">
        <is>
          <t>Senior Product Manager, Tech, Partner-Branded FTV, FireTV Devices</t>
        </is>
      </c>
      <c r="C46" t="inlineStr">
        <is>
          <t>Lensa</t>
        </is>
      </c>
      <c r="D46" t="inlineStr">
        <is>
          <t>linkedin</t>
        </is>
      </c>
      <c r="E46" t="inlineStr"/>
      <c r="F46" t="inlineStr"/>
      <c r="G46" t="inlineStr">
        <is>
          <t>Seattle, WA</t>
        </is>
      </c>
      <c r="H46" t="inlineStr"/>
      <c r="I4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Amazon. Clicking "Apply Now" or "Read more" on Lensa redirects you to the job board/employer site. Any information collected there is subject to their terms and privacy notice.
**Description**
 Are you passionate about building scaling platforms to power millions of smart TVs from many leading global brands? Amazon's Fire TV organization is seeking an experienced Senior Product Manager to join our team driving reference solutions and platform product\-tech.
 Join us as we set the scene for what's next in TV.
 Key job responsibilities
* Understand the needs and related trends for customers, TV partners, and offline consumer electronics retailers
* Keep abreast with the technologies and trends related to TVs
* Define the product strategy for the region accounting for customers, partner and business needs
* Define the roadmap for TVs including TV line\-up, specifications, software features working backwards from customers, partners, industry and business needs
* Develop detailed, crisp business requirements and user stories that can be used to create product specifications and architecture for each product and application
* Work closely with engineering, program management, and QA teams to implement and deliver the product, on\-time and exceeding a high quality bar
* Drive decisions across cross\-functional teams that include engineering, UX and commercial teams.
* Drive product launches in concert with Engineering, Go to Market, operations, PR and other teams
 A day in the life
* Work with TV partners on defining the product roadmap, product requirements
* Understand business requirements and write product requirementss (BRDs/PRDs), strategy docs, and PRFAQs
* Work with engineering and other tech teams to build the product and see them through launch
* Work with go\-to\-market, business development, finance, PR and other internal teams on the launch of TVs
**About The Team**
 We power Fire TV's expansion across the global smart TV landscape by building the enterprise tools and services that enable TV manufacturers to bring Fire TV to millions of customers. Our diverse, international team embodies Amazon's "Day 1" mindset – we're scrappy problem\-solvers who find creative ways to deliver results, but we never lose our sense of humor along the way. Whether we're streamlining factory processes in China or debugging validation tools in Bengaluru, we're laser focused on our partners' success. If you're energized by complex challenges and passionate about building tools that scale, we'd love to have you join us.
**Basic Qualifications**
* Bachelor's degree in computer science, engineering, math, finance, or economics
* 3\+ years of technical (software development, network development, IT, other related) experience
* Experience in taking a product from conception \&amp; definition phase through engineering design and taking it to market
* Experience working with customers, technical teams, and management to collect requirements, describe software product features, and technical designs
* 5\+ years of product management experience
**Preferred Qualifications**
* Knowledge of engineering practices and patterns for the full software/hardware/networks development life cycle, including coding standards, code reviews, source control management, build processes, testing, certification, and livesite operations
* Experience working within teams delivering software products and features using agile methodologies
* Knowledge of the semiconductor industry, processes, technologies and key suppliers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$137,000/year in our lowest geographic market up to $236,800/year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 This position will remain posted until filled. Applicants should apply via our internal or external career site.
 If you have questions about this posting, please contact support@lensa.com</t>
        </is>
      </c>
    </row>
    <row r="47">
      <c r="A47" t="inlineStr">
        <is>
          <t>li-4343821195</t>
        </is>
      </c>
      <c r="B47" t="inlineStr">
        <is>
          <t>Sr Product Manager - Devices</t>
        </is>
      </c>
      <c r="C47" t="inlineStr">
        <is>
          <t>Amazon</t>
        </is>
      </c>
      <c r="D47" t="inlineStr">
        <is>
          <t>linkedin</t>
        </is>
      </c>
      <c r="E47" t="inlineStr"/>
      <c r="F47" t="inlineStr"/>
      <c r="G47" t="inlineStr">
        <is>
          <t>Hawthorne, CA</t>
        </is>
      </c>
      <c r="H47" t="inlineStr"/>
      <c r="I47" t="inlineStr">
        <is>
          <t>**Description**
 Ring is seeking a results\-driven technical product manager to join the product team in developing devices that help make neighborhoods safer. You will have end\-to\-end ownership, from defining the use cases to launching the product to production. A successful candidate will be highly analytical, comfortable collaborating in a fast\-paced environment while demonstrating leadership, have technical competence, and be meticulous.
 Key job responsibilities
 Define and drive the business strategy for your products, driven by internal and external analysis
 Develop detailed, crisp business requirements and user stories that can be used to create product specifications and architecture for each product
 Manage prioritization and trade\-offs among customer experience, performance, profitability, and operational support load
 Exceptional written and verbal communication skills with the ability to communicate complex concepts clearly and persuasively across disciplines and levels in the organization
 Work alongside hardware and software teams to deliver your products on time, with quality
 Work cross\-functionally with teams to execute product launches
 Proactively identify and resolve strategic and/or tactical issues that impair the teams’ ability to meet goals
 Experience improving product operations efficiency
**Basic Qualifications**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A3143036</t>
        </is>
      </c>
    </row>
    <row r="48">
      <c r="A48" t="inlineStr">
        <is>
          <t>li-4373963734</t>
        </is>
      </c>
      <c r="B48" t="inlineStr">
        <is>
          <t>Product Manager - Shelton, CT</t>
        </is>
      </c>
      <c r="C48" t="inlineStr">
        <is>
          <t>Lensa</t>
        </is>
      </c>
      <c r="D48" t="inlineStr">
        <is>
          <t>linkedin</t>
        </is>
      </c>
      <c r="E48" t="inlineStr"/>
      <c r="F48" t="inlineStr"/>
      <c r="G48" t="inlineStr">
        <is>
          <t>Shelton, CT</t>
        </is>
      </c>
      <c r="H48" t="inlineStr"/>
      <c r="I4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Hubbell Power Systems. Clicking "Apply Now" or "Read more" on Lensa redirects you to the job board/employer site. Any information collected there is subject to their terms and privacy notice.
 Product Manager \- Shelton, CT
 Apply now »
 Date: Jan 28, 2026
 Location: Shelton, CT, US, 06484\-4300
 Company: Hubbell Incorporated
**Job Overview**
 The Product Manager is responsible for the overall product strategy, business leadership and capacity plans for the assigned product lines to meet sales, profit and other financial objectives. Identifies product extensions, changes and improvements for existing products, and provides guidance in the innovation, definition, development and introduction of new products. Recommends high level strategies and advises management of marketplace trends affecting market strategies. In conjunction with Engineering, Manufacturing, Finance, Sales, Management develops business plans for product lines which will meet financial performance and business objectives.
 A Day In The Life
* Provides leadership for assigned product lines by establishing annual marketing plans, product development program management, capacity forecasts and financial operating plans.
* Is recognized as the primary point of contact and subject matter expert for assigned product lines, providing support and education for all stake holders including field sales, channel partners and customers.
* Maintains close working relationships with Sales, distributor partners and customers to identify new opportunities and to grow sales of existing products.
* Monitors sales and field reports, pricing levels, competition and proposals pertaining to responsible product area.
* Monitors manufacturing costs versus standards and/or budgets and forecasts, giving recommendations for cost improvements.
* Forecasts and communicates major changes in capacity requirements so Operations can plan accordingly.
* Analyzes product life cycles and recommends redesign or improvement of existing products to increase sales and/or profitability.
* Stays abreast of technological advances to develop a competitive strategy to enhance market position, new applications for products, and modifications to improve flexibility and customer appeal. Ability to learn about assigned technology areas to understand and communicate program needs.
* Establishes effective communication channels and working relationships at all levels to provide pertinent, timely and accurate information and ensure effective performance of related product line functions. Has experience in making presentations to all levels of the organization successfully communicating complex issues and business cases.
* Responsible for keeping management informed of the progress, status and direction of assigned product lines and projects, including overall trends in the marketplace in order to develop product strategies.
* Develops and implements a marketing strategy for assigned product lines that includes promotions, marketing collateral, merchandising and alternate channels to market.
* Supports sales efforts by participating in a variety of training events, trade shows, market development programs and industry association committees.
* Develops, tracks and drives new product development, redesign and product modification efforts by managing cross functionally activities through the organization and communicates requirements and issues effectively.
* Actively participates in sales and operations planning. Uses financial forecasts as the basis for developing demand, inventory and production plans.
 What will help you thrive in this role?
**Requirements**
 This is a high visibility position that will interface with all levels within the organization. The individual must be highly analytical, organized, tactically oriented and possess excellent communication and leadership skills. The ideal candidate will meet these requirements:
 Bachelor Degree in Engineering General, Marketing or Business
 At least 5 years of experience required, preferrably in the Electrical, Construction or Consumer Products Industry
 Direct Experience gathering Voice Of Customer (VOC) and market research required
**Demonstrated Experience Leading Successful Teams Through Influencing Skills**
 Strong verbal and written communication required. Should be comfortable presenting to large audiences and customers.
 Hubbell Incorporated
 Hubbell creates critical infrastructure solutions that power our customers, communities, people and the planet. Our company is strategically aligned around enabling grid modernization and electrification. As more products plug in to an aging grid, Hubbell solutions enable the transition to a more reliable, resilient and efficient energy infrastructure. Founded in 1888 our innovation has made us a leading global manufacturer of high quality electrical and utility solutions enabling customers to operate critical infrastructure reliably and efficiently.
 The company operates in two segments. Hubbell Utility Solutions (HUS) enable the grid to conduct, communicate and control energy across utility applications and Hubbell Electrical Solutions (HES) are essential to managing power across a wide range of industries and applications. Our vertical market solutions can be applied to markets including Data Centers, Renewables, Commercial Buildings, Industrial, Telecom and Transportation. Supporting both of our business segments is our corporate and Hubbell Unified Business Solutions teams that provide consistent process, tools technologies across our businesses.
 We are committed to operating sustainably and ethically while promoting an inclusive and supportive culture for our people to grow and develop in their careers. Our employees proudly work and serve our communities from our headquarters in Shelton, CT, across the United States and around the globe.
 Hubbell Electrical Solutions
 Hubbell Electrical Solutions (HES) are essential to managing power across a wide range of industries and applications. HES provides the critical components that allow operators of buildings, factories and other industrial infrastructure to connect, protect, wire and manage power.
 Hubbell Incorporated, its subsidiaries and affiliates, is an EO Employer AA: M/F/Veteran/Disability. All qualified applicants will receive consideration for employment without regard to race, color, religion, sex, national origin, disability, protected veteran status, sexual orientation, gender identity or any other protected class.
 The above summary of position responsibilities and requirements is not intended, and should not be construed, to be an exhaustive list of duties, skills, efforts, physical requirements, or working conditions associated with the position. It is intended to be an accurate reflection of those principal position elements essential for making decisions related to position performance, employee development, and compensation.
 If you have questions about this posting, please contact support@lensa.com</t>
        </is>
      </c>
    </row>
    <row r="49">
      <c r="A49" t="inlineStr">
        <is>
          <t>li-4327806506</t>
        </is>
      </c>
      <c r="B49" t="inlineStr">
        <is>
          <t>eMedix Product Owner I</t>
        </is>
      </c>
      <c r="C49" t="inlineStr">
        <is>
          <t>CompuGroup Medical SE &amp; Co. KGaA</t>
        </is>
      </c>
      <c r="D49" t="inlineStr">
        <is>
          <t>linkedin</t>
        </is>
      </c>
      <c r="E49" t="inlineStr"/>
      <c r="F49" t="inlineStr"/>
      <c r="G49" t="inlineStr">
        <is>
          <t>Columbia, SC</t>
        </is>
      </c>
      <c r="H49" t="inlineStr"/>
      <c r="I49" t="inlineStr">
        <is>
          <t>**Create the future of e\-health together with us by becoming an eMEDIX Product Owner I**
 At CompuGroup Medical we have the mission of building ground\-breaking solutions for digital healthcare. Our vision is revolutionizing how healthcare professionals produce, access, and utilize information and thus enabling them to focus on the core value of their work: patient outcomes.
**Your Contribution**
* Gather and prioritize product requirements from stakeholders, customers, and end\-users.
* Collaborate closely with development teams to ensure timely delivery of features and ensure features meet business and customer needs before release (UAT).
* Make data\-driven decisions using analytics and customer feedback.
* Research and evaluate potential partnerships, including gathering pricing information, assessing feature fit, coordinating product demonstrations, and analyzing overall value alignment with business goals.
**Your Qualification**
* Familiarity with UX/UI principles and tools.
* Strong analytical and process flow skills required, including a thorough understanding of how to interpret customer business needs and translate them into application and operational requirements.
* Flexibility and the ability to be creative a must.
* Must be able to interpret business and technical requirements to other teams.
* Experience working with product management tools (e.g., Jira, Confluence, Aha!) and the use of Ms Word, Outlook, Visio and Excel.
* Interact professionally with a diverse group, executives, managers, and subject matter experts using strong project management skill.
**What You Can Expect From Us**
* Purpose: Become a part of a significant initiative. At the intersection of healthcare and digital innovation, we are shaping the future of e\-health.
* Equal Opportunity Employer: At CGM, we value our team members and strive to create an environment where everyone has the opportunity to succeed.
* Career Opportunities: We are offering a variety of internal career opportunities and numerous long\-term perspectives.
* Security: We offer a secure workplace in a crisis\-proof market.
* All\-round benefits package: Medical, Dental and Vision as well as 401k with employer matching. Personal Time Off to promote work life balance.
* Work environment: Modern workplaces, flexible working hours, hybrid work options and much more.
 Convinced? Submit your application now! Please make sure to include your salary expectations as well as your earliest possible hire date.
**We create the future of e\-health.** 
 Join us in a cause that shapes the very future of hope and healing. At the powerful crossroads of healthcare and innovation, we are passionately building the next chapter of e\-health—a revolution that saves lives, transforms care, and brings compassion into the digital age. Together, we can make a lasting difference.</t>
        </is>
      </c>
    </row>
    <row r="50">
      <c r="A50" t="inlineStr">
        <is>
          <t>li-4372862486</t>
        </is>
      </c>
      <c r="B50" t="inlineStr">
        <is>
          <t>Associate Product Manager (APM), New College Graduate Rotational Program - 2026 (Austin, TX)</t>
        </is>
      </c>
      <c r="C50" t="inlineStr">
        <is>
          <t>Visa</t>
        </is>
      </c>
      <c r="D50" t="inlineStr">
        <is>
          <t>linkedin</t>
        </is>
      </c>
      <c r="E50" t="inlineStr"/>
      <c r="F50" t="inlineStr"/>
      <c r="G50" t="inlineStr">
        <is>
          <t>Austin, TX</t>
        </is>
      </c>
      <c r="H50" t="inlineStr"/>
      <c r="I50" t="inlineStr">
        <is>
          <t>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**We will be accepting applications for this position from 2/17/2026 \- 2/23/2026\.**
**Job Description**
 The global Product Organization delivers the holistic product strategy for Visa and accelerates the seamless delivery of our products into markets. We are investing in the next generation of talent to ensure our products, services and data are the center of the changing ways people pay and get paid, for everyone, everywhere. We are fueled by a diverse team of talented team members who continuously raise the bar on delivering best\-in\-class products and services to people all over the world.
 We are looking for looking for New College Graduates that are interested in being a future
 **Product Manager** 
 to join our progressive
 **Associate Product Manager Program** 
 . In this program you will be staffed on our highest need initiatives and enrolled in a learning and development plan targeted at developing our most critical product manager competencies. While experiences may vary by candidate and business need, the program will include four six month rotations over the course of two years, working on high impact product opportunities while collaborating with a wide array of key stakeholders across product, engineering, sales, strategy, finance and marketing. Rotation and learning experiences will build skills in innovation and design, product marketing, commercialization, and product implementation. The intention is that, upon completion, high performing program participants will be prepared to take on advanced product management roles.
 As an
 **Associate Product Manager** 
 at Visa, you will be a key member of the team that drives the latest and most innovative ideas from product ideation, to build, to launch, to scaling in the market. You will assist in delivering next generation product offerings to our customers, including innovative payment experiences, cutting edge fraud prevention, capabilities to help banks, tech companies, fintechs and merchants meet their consumers’ needs, and local solutions tailored to one or more of the 200 countries we operate in.
 You must be a self\-starter, ready to learn and experiment, and be able to work both independently and as part of a team. A key driver of success will be the ability to focus on the highest leverage activities in the face of rapid change and new information, and the ability to independently drive activities all the way to successful completion. Product management will be a focal point in our strategy to delivery world\-class products to market, and the Associate Product Manager role is a key piece of that vision.
**Responsibilities**
* Support the development of the product strategy, go\-to\-market plans, and product design documents (concept document, business case, product requirements)
* Support the development of the product roadmap to define/support the product goals and strategies
* Become knowledgeable on Visa’s products and support the product team in driving the development of product features and functionality, leveraging the strong foundation of existing capabilities where appropriate.
* Understand market trends, competition, and user requirements
* Distill market research to provide perspective to the team and product management leaders to inform insights and decisions
* Collaborate with designers to create design concepts and with Engineering to implement and iterate on these concepts
* Collaborate with internal Visa teams (e.g., regional teams, Product Marketing, Business Development, Finance) to define and execute a cohesive strategy related to a specific product or feature
**Qualifications**
**Basic Qualifications**
* Bachelor's or Master's degree graduating May 2025 \- August 2026
* Must be available to start working August/September 2026 – no early or late start dates to ensure a common onboarding experience and development opportunities
**Preferred Qualifications**
* BA/BS degree in Product Management, Computer Science, Engineering, Data Science, Mathematics, Statistics, or a related technical field, or equivalent practical experience in conjunction with a less technical BA/BS
* Internships with related work experience
* Eagerness and self\-starting approach and an entrepreneurial mindset
* Problem\-solving, organizational, analytical, and critical thinking skills
* Excellent written and verbal communication skills
* Experience working in cross\-functional collaborative environments
* Knowledge or experience with Agile methodology to drive product development and delivery
* Technical fluency including programming languages; data analysis; business case/modeling; pricing; design
* Coursework or experience is a plus
* Proven ability to take initiative and to build strong and productive relationships
* Entrepreneurial and resourceful with the ability to handle numerous projects concurrently
* Focused on providing excellent customer experiences
* Team oriented, collaborative, and flexible
**Additional Information**
**U.S. APPLICANTS ONLY:** 
 The estimated salary range for a new hire into this position is $103,500,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
**Work Authorization:** 
 Permanent Authorization to work in the U.S. is a precondition of employment for this position. Visa will not sponsor applicants for work visas in connection with this position. Future sponsorship will not be considered.
**Work Hours:** 
 Varies upon the needs of the department
**This is a hybrid position.** 
 Expectation of days in office will be confirmed by your hiring manager.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t>
        </is>
      </c>
    </row>
    <row r="51">
      <c r="A51" t="inlineStr">
        <is>
          <t>li-4371957743</t>
        </is>
      </c>
      <c r="B51" t="inlineStr">
        <is>
          <t>Senior Product Manager</t>
        </is>
      </c>
      <c r="C51" t="inlineStr">
        <is>
          <t>Blink - Employee Experience Platform</t>
        </is>
      </c>
      <c r="D51" t="inlineStr">
        <is>
          <t>linkedin</t>
        </is>
      </c>
      <c r="E51" t="inlineStr"/>
      <c r="F51" t="inlineStr"/>
      <c r="G51" t="inlineStr">
        <is>
          <t>Boston, MA</t>
        </is>
      </c>
      <c r="H51" t="inlineStr"/>
      <c r="I51" t="inlineStr">
        <is>
          <t>**🌍 Boston** 
**🤝 Product and Engineering** 
**💚 Reporting to VP of Product** 
 We're not just closing the digital divide; we're reconnecting distributed organisations, enabling seamless communication, and re\-engaging employees like never before. Blink, a mobile\-first employee experience platform, puts everything employees need right in their hands. With teams in Boston, London, and Sydney, we're making waves worldwide, partnering with industry leaders like Domino's, JD Sports and McDonald's.
**About The Role** 
 We're looking for a Senior Product Manager to drive our enterprise integration strategy and support our growing US customer base. This is a unique opportunity to own critical partnerships with systems like Workday and ServiceNow, while working directly with enterprise customers to shape product direction.
 You'll be the bridge between our engineering teams, sales organization, and customers \- translating complex integration requirements into product solutions while supporting pre\-sales efforts with technical expertise and rapid prototyping.
**What You'll Own** 
* Partnership Management: Key to our Workday partnership and integration strategy, ensuring seamless connectivity between Blink and enterprise systems of record
* Customer\-Driven Product Development: Champion the US market perspective in product development, ensuring regional customer needs, competitive dynamics, and market opportunities drive strategic product decisions and roadmap priorities
* Pre\-Sales Support: Partner with sales on enterprise deals, creating product mockups, demos, and documentation to win complex opportunities
* Squad Product Leadership: Lead the squad's product direction end\-to\-end, setting priorities and making day\-to\-day trade\-offs in close partnership with Engineering, ensuring work aligns to strategic goals while maintaining momentum on customer commitments
* Discovery to Launch: Lead discovery processes to validate new feature ideas, working closely with customers and internal teams to define requirements, then shepherd features through development to successful market launch
* Go\-to\-Market Strategy: Partner with marketing, sales, and customer success to develop launch strategies, positioning, and enablement materials that drive feature adoption
* Product Roadmap: Own and communicate a clear roadmap for your squad, which balances customer requests, technical debt, strategic initiatives, and new product opportunities
* Cross\-Functional Collaboration: Work closely with sales, customer success, and marketing to gather insights, support deals, and ensure product decisions ladder up to business objectives
**Requirements** 
**Required:** 
* 5\+ years minimum of product management experience in B2B SaaS
* Deep experience with enterprise systems of record (ServiceNow, Workday, SAP, Oracle HCM, etc.) \- either building integrations directly or partnering with these platforms
* Strong experience operating in agile, iterative product teams and making prioritisation and scope decisions under real\-world constraints
* Demonstrated ability to work effectively in fast\-paced environments with evolving priorities and incomplete information
* Strong technical acumen to work effectively with engineering teams and solution architects
* Comfortable being customer\-facing and representing product in pre\-sales situations with a proven track record working with enterprise customers and supporting complex sales cycles
* Excellent communication skills and ability to translate technical concepts for diverse audiences
**Nice to Have:** 
* Design skills or experience with prototyping tools (Figma, modern AI\-powered design tools)
* Experience with internal communications or employee experience platforms
* API and integration platform experience
* Prior experience in a high\-growth SaaS scale\-up environment
**Benefits** 
**💚 Why Blink?** 
 You will have the opportunity to be part of something impactful, large\-scale, and meaningful. Most importantly, you'll work for a company with a strong purpose, with an ambitious and supportive team embarking on a journey most start\-ups can only dream of!
**Benefits include:** 
* A competitive salary
* Generous equity allocations with significant upside potential
* 20 day's leave \+ public holidays
* 401(k) A generous plan to help you save for a bright future
* Private health insurance\- we'll pay for your medical, dental, and vision coverage
* Enhanced parental leave
* Additional time off between Christmas and New Year
* The ability for you to grow, learn and solve a variety of challenges, working in a supportive environment with smart, talented people
* Social events (lunches, breakfasts, nights out)</t>
        </is>
      </c>
    </row>
    <row r="52">
      <c r="A52" t="inlineStr">
        <is>
          <t>li-4366277401</t>
        </is>
      </c>
      <c r="B52" t="inlineStr">
        <is>
          <t>Product Manager</t>
        </is>
      </c>
      <c r="C52" t="inlineStr">
        <is>
          <t>NAPA Auto Parts</t>
        </is>
      </c>
      <c r="D52" t="inlineStr">
        <is>
          <t>linkedin</t>
        </is>
      </c>
      <c r="E52" t="inlineStr"/>
      <c r="F52" t="inlineStr"/>
      <c r="G52" t="inlineStr">
        <is>
          <t>Atlanta, GA</t>
        </is>
      </c>
      <c r="H52" t="inlineStr"/>
      <c r="I52" t="inlineStr">
        <is>
          <t>**Position Mission**
 The Product Manager role is critical to deliver business value to drive sales, improve efficiency, and improve customer satisfaction through the production of quality products and to ensure that our customers have the right parts available at the right time. The role will lead introduction of products that will expand product assortment at NAPA while delivering maximum value to stakeholders across the value chain. The successful candidate will possess strong leadership characteristics with a demonstrated ability to drive collaboration
 across different stakeholder groups. In addition, the candidate should be a results\-oriented, self\-starter with an understanding of or willing to learn the automotive aftermarket value chain.
**Position Performance Measures**
* NPI roadmap including pipeline, driving sales dollars
* NPI vitality
* Product differentiation and competitive advantages
**Responsibilities**
* Develop and execute product strategies and roadmaps aligned with business objectives for aftermarket automotive parts.
* Conduct market research, competitor analysis, and customer feedback gathering to identify market needs, trends, and opportunities.
* Define product requirements, specifications, and business cases to support new product launches or enhancements.
* Collaborate with procurement, supply chain, sales, marketing, and technical teams to ensure timely product availability, accurate pricing, and effective promotions.
* Monitor product performance, sales trends, and profitability; implement corrective actions and continuous improvements.
* Manage product lifecycle from introduction through discontinuation, maximizing product value and minimizing obsolescence.
* Assist in training and supporting sales teams on product features, benefits, and competitive differentiators.
* Engage with key customers, suppliers, and industry partners to drive collaborative product development and innovation.
* Lead SKU rationalization identifying opportunities for sunsetting or replacement.
* Define launch scope per releases by prioritizing backlog based on value\-add to business and alignment with strategic vision.
* Source and provide pertinent product information to cross functional teams to ensure accurate part setup.
* Manage NPI project requirements, schedule and risks meeting objectives for quality, cost and delivery.
* Collaborate across functions to develop marketing collaterals in support of new product launches.
* Coordinate communication of NPI launches to sales, marketing and other key stakeholders to drive adoption and incremental revenue.
* Collect data from sales, field, and competition to determine product specs which provide our products a competitive advantage within the marketplace.
* Collaborate with suppliers and marketing to identify potential new product features and benefits and work with marketing/category to communicate the features and benefits to the field.
* Own product knowledge and be resource to cross\-functional partners for product information in a timely manner.
**Experience, Education, And Abilities**
 Requirements include but may not be limited to the following:
* Bachelor’s degree or equivalent work experience. MBA or advanced degree a plus
* 3\-5 years of business analysis / product management experience
* Automotive aftermarket experience preferred
* Strong verbal and written communication skills with capacity to tailor style to the audience
* Experience facilitating conversation across a diverse set of stakeholders.
* Exceptional attention to detail
* Experience using various computer applications including Microsoft Excel, PowerPoint, and other applications in the Microsoft Office Suite
* Ability to work across all internal departments to drive projects to on\-time completion.
* Highly motivated individual that has a strong drive for results; communicates effectively both in written and verbal communication formats.
* Demonstrated ability to manage multiple projects simultaneously.
* Consumer/Customer centric thinking and problem solving skills
 Not the right fit? Let us know you're interested in a future opportunity by joining our Talent Community on jobs.genpt.com or create an account to set up email alerts as new job postings become available that meet your interest!
 GPC conducts its business without regard to sex, race, creed, color, religion, marital status, national origin, citizenship status, age, pregnancy, sexual orientation, gender identity or expression, genetic information, disability, military status, status as a veteran, or any other protected characteristic. GPC's policy is to recruit, hire, train, promote, assign, transfer and terminate employees based on their own ability, achievement, experience and conduct and other legitimate business reasons.</t>
        </is>
      </c>
    </row>
    <row r="53">
      <c r="A53" t="inlineStr">
        <is>
          <t>li-4366217729</t>
        </is>
      </c>
      <c r="B53" t="inlineStr">
        <is>
          <t>Lead Product Manager, New Alarms Product</t>
        </is>
      </c>
      <c r="C53" t="inlineStr">
        <is>
          <t>Verkada</t>
        </is>
      </c>
      <c r="D53" t="inlineStr">
        <is>
          <t>linkedin</t>
        </is>
      </c>
      <c r="E53" t="inlineStr"/>
      <c r="F53" t="inlineStr"/>
      <c r="G53" t="inlineStr">
        <is>
          <t>San Mateo, CA</t>
        </is>
      </c>
      <c r="H53" t="inlineStr"/>
      <c r="I53" t="inlineStr">
        <is>
          <t>**Who We Are**
 Verkada is transforming how organizations protect their people and places with an integrated, AI\-powered platform. A leader in cloud physical security, Verkada helps organizations strengthen safety and efficiency through one connected software platform that includes solutions for video security, access control, air quality sensors, alarms, intercoms, and visitor management.
 Over 30,000 organizations worldwide, including more than 100 companies in the Fortune 500, trust Verkada as their physical security layer for easier management, intelligent control, and scalable deployments. Founded in 2016, Verkada has expanded rapidly with 15 offices and 2,200\+ full\-time employees.
**About The Role**
 Verkada Alarms enable our customers to detect potential threats using AI and sensor technology, verify those events, and respond quickly to ensure the safety of property and people.
 We are looking for a Product Manager to lead a new line of business. In this role, your mission will be to build the most advanced and performant detection and response system in the industry. You will grow our suite of traditional and AI powered sensors, and build out solutions which support everything from retailers managing hundreds of small stores to manufacturing with massive one million square foot warehouses – and everything in between.
 We are committed to a thriving in\-office culture. This role requires you to work onsite at our HQ in San Mateo, CA.
 What You'll Do
* Own new product hardware and software product roadmap and success for Verkada, understand customers’ detection needs and physical site topologies, and translate those requirements into a landed, successful reality
* Oversee product development from concept to success, working closely with hardware and software engineering to ensure those devices meet customer needs and development timelines
* Manage relationships with regulatory and compliance entities to best understand how to meet their requirements in various jurisdictions
* Direct pricing, go\-to\-market positioning, and sales training for new Alarms devices
* Understand the needs of customers and channel partners, ensuring Verkada hardware scales from small to large with simplicity, speed, and flexibility
 What You Bring
* 8\+ years of experience in product management, preferably in B2B
* Undergraduate degree in Computer Science, Electrical Engineering, or similar quantitative field. MS, PhD, or MBA optional
* Proven history of launching and scaling hardware and/or embedded systems products
* Strong customer intuition, technical depth, and ability to navigate tradeoffs are critical to success in this role
* Ability to lead across strategy and execution. We pride ourselves in sweating the details and search for this in candidates
* Real passion for craftsmanship and product details. If you’ve spent days retrofitting your house with the latest smart home technology, you’ll like it here
* Foundational understanding of firmware, networking, device bring\-up, electrical, and mechanical design aspects of hardware
**Employee Benefits**
 Verkada is committed to fostering a workplace environment that prioritizes the holistic health and wellbeing of our employees and their families by offering comprehensive wellness perks, benefits, and resources. Our benefits and perks programs include, but are not limited to:
* Healthcare programs that can be tailored to meet the personal health and financial well\-being needs. Premiums are 100% covered for the employee under at least one plan and 80% for family premiums under all plans
* Nationwide medical, vision, and dental coverage
* Health Saving Account (HSA) with annual employer contributions and Flexible Spending Account (FSA) with tax saving options
* Expanded mental health support
* Paid parental leave policy \&amp; fertility benefits
* Time off to relax and recharge through our paid holidays, firmwide extended holidays, flexible PTO, and personal sick time
* Professional development stipend
* Fertility stipend
* Wellness/fitness benefits
* Healthy lunches provided daily
* Commuter benefits
**Additional Information**
* We do sponsor and take over sponsorship of employment visas for this role. If we make you an offer, we will make every reasonable effort to get you a visa.
**Annual Pay Range**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A Verkada employee may be eligible for additional forms of compensation, depending on their role, including sales incentives, discretionary bonuses, and/or equity in the company in the form of restricted stock units (RSUs)
 Below is the annual on\-target earnings (OTE) range for full\-time employees for this position, comprised of base compensation and commissions (if applicable).
 Estimated Annual Pay Range
 $205,000—$240,000 USD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t>
        </is>
      </c>
    </row>
    <row r="54">
      <c r="A54" t="inlineStr">
        <is>
          <t>li-4366248996</t>
        </is>
      </c>
      <c r="B54" t="inlineStr">
        <is>
          <t>Senior Product Manager (AI)</t>
        </is>
      </c>
      <c r="C54" t="inlineStr">
        <is>
          <t>Planet DDS</t>
        </is>
      </c>
      <c r="D54" t="inlineStr">
        <is>
          <t>linkedin</t>
        </is>
      </c>
      <c r="E54" t="inlineStr"/>
      <c r="F54" t="inlineStr"/>
      <c r="G54" t="inlineStr">
        <is>
          <t>Irvine, CA</t>
        </is>
      </c>
      <c r="H54" t="inlineStr"/>
      <c r="I54" t="inlineStr">
        <is>
          <t>**About Planet DDS**
 We’re on a mission to fix dental software \- and we’re not playing small. Our platform replaces clunky, outdated systems with modern, cloud\-based, AI\-powered technology built to actually work at scale. From practice management to imaging to revenue cycle automation, we’re tearing down the old infrastructure and rebuilding the future of dentistry. Planet DDS is the fastest\-growing provider of dental practice management solutions and the \#1 cloud platform for DSOs and multi\-location groups.
 Here, you won’t just join a team \- you’ll join a movement. We want bold thinkers who are ambitious enough to push limits, empathetic enough to work as one, and accountable enough to own big outcomes. Trust is our currency, collaboration is our edge, and impact is our fuel. If you’re ready to grow fast, challenge the status quo, and help reinvent an entire industry, Planet DDS is where you belong.
 To learn more, visit: Planet DDS .
* This role requires the ability to work onsite in our Irvine, CA office.
**Overview**
 We are seeking a
 **Senior Product Manager – AI** 
 to operate inside a fast\-paced, AI\-first product pod built for speed, experimentation, and real\-world impact. This is not a traditional requirements\-driven PM role. It is a hands\-on, iterative role for a product manager who works close to engineers, thinks in experiments, and ships continuously.
 You will operate in a small, empowered pod (PM, Engineer, Designer) and be accountable for turning AI capabilities into shipped, measured, and iterated customer value. Success in this role is defined by learning velocity, product outcomes, and production impact. This role is ideal for a strong PM who is already AI\-curious or AI\-capable and wants to grow into a truly AI\-native product leader.
**Job Duties**
* Own a dedicated AI\-focused product pod, shipping customer value through rapid, continuous delivery in production environments.
* Lead tight build → measure → learn loops, prioritizing speed, evidence, and iteration over perfection or long planning cycles.
* Work day\-to\-day with engineers, making real\-time tradeoff decisions across scope, quality, speed, and learning without heavy process overhead.
* Identify and validate high\-impact opportunities where applied AI can materially improve customer workflows, efficiency, or outcomes.
* Translate ambiguous AI capabilities (e.g., models, prompts, automation, agents) into clear user value propositions, product hypotheses, and measurable success metrics.
* Partner closely with engineering to shape technically feasible, production\-ready AI solutions, rather than research\-only or platform\-only initiatives.
* Define success metrics and baselines before work begins and ensure features are instrumented from day one.
* Use usage data, qualitative feedback, and operational signals to actively decide when to iterate, expand, pause, or stop initiatives.
* Conduct lightweight, continuous customer discovery (calls, usability tests, workflow reviews) to validate direction and inform iteration.
* Communicate learnings, progress, risks, and decisions clearly to stakeholders with minimal documentation and process overhead.
* Align pod outcomes to broader company strategy while protecting pod autonomy, focus, and delivery speed.
* Contribute to evolving our AI\-first product practices, including experimentation patterns, metrics, and pod operating norms, with a focus on shipping and learning in live customer environments.
**Skills And Qualifications**
* 5\-7 years of SaaS product management experience, including at least 3 years leading strategic or high\-scale initiatives.
* Proven success operating in high\-ambiguity, fast\-moving environments.
* Strong experience with Agile and modern product discovery/delivery practices.
* Demonstrated ability to define success metrics and use data to drive decisions.
* Strong communication skills with the ability to clearly explain tradeoffs, risks, and learnings to executives.
* Experience contributing to AI\-powered features or platforms.
* Background working in small, autonomous teams or startup\-like environments.
* Comfortable shipping MVPs, running experiments, and iterating based on real\-world usage.
* Experience with tools such as Jira, Aha!, Pendo, analytics platforms, and customer feedback systems.
* Bachelor’s degree required; advanced degree preferred but not required.
**Benefits**
* Medical, dental and vision insurance
* Health Savings Account
* Flexible Spending Accounts
* Telehealth
* 401(k) and 401(k) match
* Life and AD\&amp;D insurance
* Short\-Term and Long\-Term Disability
* FTO or Vacation
* Sick Time
* Employee Well\-Being program
* 11 paid holidays
* Volunteer Time Off
* Employee Referral program
* Additional perk and voluntary benefit programs
 Salary is based on a number of factors and may vary depending on job\-related knowledge, skills, and experience. This position is also eligible for variable pay as part of the total compensation package.
**Planet Dds Core Ideology**
 To encourage measurable progress toward our vision and make the best decisions on behalf of employees and customers, we adopted a set of common values:
* Collaborative – Working independently and across teams, we create scalable solutions to enable company growth
* Empathetic – We are educated on the experience of our customers and feel vested in their success
* Accountable – We feel ownership for the quality of our work and take pride in the positive outcomes
* Trustworthy – We operate with integrity and honest, making promises we know that we can keep
* Ambitious – We are driven by our ability to make a long\-term, positive impact on the lives of dental market leaders
 Planet DDS is an Equal Opportunity Employer. All qualified applicants will receive consideration for employment without regard to race, color, religion, sex, sexual orientation, gender identity, national origin, disability, protected veteran status, or any other characteristic protected by applicable law.</t>
        </is>
      </c>
    </row>
    <row r="55">
      <c r="A55" t="inlineStr">
        <is>
          <t>li-4373967121</t>
        </is>
      </c>
      <c r="B55" t="inlineStr">
        <is>
          <t>AI Product Manager</t>
        </is>
      </c>
      <c r="C55" t="inlineStr">
        <is>
          <t>Hitachi Energy</t>
        </is>
      </c>
      <c r="D55" t="inlineStr">
        <is>
          <t>linkedin</t>
        </is>
      </c>
      <c r="E55" t="inlineStr"/>
      <c r="F55" t="inlineStr"/>
      <c r="G55" t="inlineStr">
        <is>
          <t>Raleigh, NC</t>
        </is>
      </c>
      <c r="H55" t="inlineStr"/>
      <c r="I55" t="inlineStr">
        <is>
          <t>We are seeking an experienced
 **AI Product Manager** 
 to design and implement Proof of Concepts (PoCs) for
 **Multi\-Agent Systems (MAS)** 
 that will drive innovation in enterprise AI applications. This role involves building intelligent agents, integrating them into distributed environments, and collaborating with cross\-functional teams to deliver scalable AI solutions.
* Lead discovery: conduct stakeholder interviews and current‑state mapping (SIPOC/Swimlane/BPMN), with bottleneck/root‑cause analysis to surface high‑value MAS opportunities.
* Translate insights into product artifacts: craft clear problem statements, PRDs, user stories, acceptance criteria, and success metrics (OKRs/KPIs).
* Own lifecycle delivery: maintain and prioritize the backlog across PoC → MVP → Production.
* Define MAS system design: specify multi‑agent architectures and orchestration patterns (task decomposition, routing, tool/API use, memory/knowledge access, guardrails) aligned with platform standards.
* Leverage platform/CoE: partner to use approved models, frameworks, and components; publish reusable process maps, playbooks, and templates (PRDs, test plans, adoption guides).
* Drive agile execution: run ceremonies, manage timelines, coordinate cross‑functional contributors (data, ML, application, security), and remove delivery blockers.
* Lead readiness \&amp; adoption: own UAT strategy, change management, enablement, and rollout plans to achieve measurable outcomes.
* Ensure trusted data: coordinate with data owners for secure access, data quality, lineage, and integration to systems of record (CRM/ERP/MDM).
* Embed responsible AI: enforce safety, privacy, fairness, and auditability in alignment with governance and compliance.
* Measure \&amp; communicate impact: track cycle‑time, accuracy, data‑quality, adoption, and cost‑to‑serve; iterate continuously; serve as single‑threaded owner reporting status, risks, and decisions to sponsors and technical leadership.
**Your Background**
* Education \&amp; experience: Bachelor’s or Master’s degree in Computer Science, Engineering, or related field.
* Tech experience: Experience in Multi\-Agent Systems (MAS) initiatives.
* Ability to effectively use AI tools in design processes.
* You have experience of creating and implementing data and artificial intelligence products.
* Soft skills: Excellent communication and influencing skills across technical and executive audiences.
* Good communication and teamwork skills, with the ability to explain technical ideas to diverse audiences.
* Experience working in collaborative, cross\-functional environments.
* Proficiency in both spoken and written English is required.
**More About Us**
 We pride ourselves on offering a holistic range of competitive benefits to support your financial, physical and mental wellbeing and personal development. We want you to truly thrive with us, in work and out.
 We can provide more information during the recruitment process.
*We are committed to full transparency and compliance with all legal requirements, ensuring that every candidate knows exactly what to expect at each stage of the recruitment process. Once the process is successfully completed, we will share detailed information about financial conditions and benefits with the selected candidate. Before signing the employment contract, you will receive all remaining details of the offer, giving you the time and space to review everything carefully.\**
* Applicable only for Poland location align with local law regulations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t>
        </is>
      </c>
    </row>
    <row r="56">
      <c r="A56" t="inlineStr">
        <is>
          <t>li-4366320148</t>
        </is>
      </c>
      <c r="B56" t="inlineStr">
        <is>
          <t>Principal Product Manager, Amazon Now</t>
        </is>
      </c>
      <c r="C56" t="inlineStr">
        <is>
          <t>Amazon</t>
        </is>
      </c>
      <c r="D56" t="inlineStr">
        <is>
          <t>linkedin</t>
        </is>
      </c>
      <c r="E56" t="inlineStr"/>
      <c r="F56" t="inlineStr"/>
      <c r="G56" t="inlineStr">
        <is>
          <t>Bellevue, WA</t>
        </is>
      </c>
      <c r="H56" t="inlineStr"/>
      <c r="I56" t="inlineStr">
        <is>
          <t>**Description**
 If you have a founder's mentality, are a seasoned product \&amp; business person and are looking for an opportunity to impact how we innovate getting products to customers when and how they need them, then this is the team for you.
 The Amazon Now team is a passionate group of mission\-focused leaders working on an exciting new initiative \- deliveries in under 30 minutes. In this role, you will work with a wide range of stakeholders across operational, technical, business, retail, and finance teams to drive overall selection, customer experience, and business performance. The role will focus on the Amazon Now selection strategy, building localized selection, owning vendor promotions and partnerships, improving pricing and in\-stock, and implementing operational process improvements. The successful candidate will leverage their team to build and implement a multi\-year roadmap of initiatives that enhance customer selection and drive the flywheel to accelerate growth.
 Your work will directly to impact the shopping experience of millions of customers globally by operationalizing this exciting new service.
**Basic Qualifications**
* 10\+ years of product or program management, product marketing, business development or technology experience
* 10\+ years of blending product and program management skills to execute strategic initiatives about process creation, standardization, and improvement experience
* Bachelor's degree
* Experience owning/driving roadmap strategy and definition
* Experience with end to end product delivery
* Experience with feature delivery and tradeoffs of a product
* Experience as a product manager or owner
**Preferred Qualifications**
* Experience owning technology products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\- 178,100\.00 \- 240,900\.00 USD annually
 USA, WA, Bellevue \- 161,900\.00 \- 219,000\.00 USD annually
**Company** 
 \- Amazon.com Services LLC
 Job ID: A3167107</t>
        </is>
      </c>
    </row>
    <row r="57">
      <c r="A57" t="inlineStr">
        <is>
          <t>li-4358161037</t>
        </is>
      </c>
      <c r="B57" t="inlineStr">
        <is>
          <t>Program Manager II, (Alpha/Beta Testing), Ring Insights</t>
        </is>
      </c>
      <c r="C57" t="inlineStr">
        <is>
          <t>Ring</t>
        </is>
      </c>
      <c r="D57" t="inlineStr">
        <is>
          <t>linkedin</t>
        </is>
      </c>
      <c r="E57" t="inlineStr"/>
      <c r="F57" t="inlineStr"/>
      <c r="G57" t="inlineStr">
        <is>
          <t>Hawthorne, CA</t>
        </is>
      </c>
      <c r="H57" t="inlineStr"/>
      <c r="I57" t="inlineStr">
        <is>
          <t>**Description**
 Are you a passionate, self\-starting Program Manager interested in facilitating Alpha, Beta, and Delta testing for products designed to reduce crime in neighborhoods? Ring is looking for a Program Manager who is customer obsessed, has a bias for action, and wants to learn and be curious.
 You will join the Ring Insights Team in supporting our product team in managing highly successful Alpha, Beta, and Delta tests that bring new products to market. In this role, you'll leverage AI\-powered analytics tools to accelerate data processing and surface insights from user feedback at scale, while applying your strategic thinking and stakeholder relationship management skills to drive successful product launches. This is an opportunity to combine AI\-enhanced efficiency with human\-centered research expertise to amplify your impact.
 Key job responsibilities
* Drive simultaneous Alpha and Beta testing programs by deploying AI\-driven test scenario generation and anomaly detection systems to identify edge cases across hardware, firmware, software, and mobile applications, while applying human judgment to prioritize critical issues and balance risk against launch timelines
* Collaborate with Product Management to gain deep product knowledge and leverage AI\-powered content analysis tools to automatically generate targeted test scenarios and adaptive user feedback surveys, while exercising strategic thinking to ensure alignment with product vision and customer needs
* Strategically recruit and manage global test participants to ensure diverse representation across target markets and user personas
* Monitor and optimize worldwide tester engagement through AI\-based predictive models that forecast participant churn, automatically trigger personalized re\-engagement workflows, detect device connectivity issues, and surface participation anomalies, while using human judgment to interpret behavioral patterns and craft meaningful interventions
* Leverage AI\-powered analytics tools to process survey results and user feedback at scale, automatically categorize sentiment, identify emerging themes, and flag critical issues in real\-time, while applying human judgment to interpret nuanced insights, validate AI\-generated patterns against qualitative context, and translate findings into actionable product recommendations that balance technical feasibility with customer impact
* Synthesize AI\-generated trend reports with qualitative customer insights and cross\-functional stakeholder input to develop comprehensive recommendations, using machine learning models to surface non\-obvious correlations and predict feature impact, while exercising critical thinking to balance data\-driven insights with strategic business context, organizational constraints, and long\-term vision
* Coordinate seamlessly with worldwide stakeholders and cross\-functional teams across multiple time zones, navigating complex organizational dynamics and building trusted relationships
* Maintain strict compliance with Amazon's Prototype Security protocols and Trade Compliance regulations, exercising human judgment on ambiguous compliance scenarios
* Monitor and assess competitive landscape, market dynamics, and emerging industry trends to advocate on behalf of the customer
* Partner strategically with worldwide shipping teams to establish clear delivery timelines, provide early tracking information, and maintain efficient communication channels, ensuring test products reach global participants by target in\-hand dates for synchronized program launch
* Exercise critical thinking to resolve conflicts between AI recommendations and real\-world constraints, making judgment calls that balance competing priorities across quality, timeline, and resource considerations
**About The Team**
 The Ring Insights organization, founded in 2017, is a growing group of customer obsessed individuals. Our work and workstreams center around identifying customer needs and advocating for them through Alpha, Beta, and Delta Testing. We're actively evolving our capabilities by integrating AI\-powered analytics and automation tools to drive deeper insights at scale while significantly reducing manual overhead. This transformation enables our team to process larger volumes of user feedback, identify patterns across global test populations more quickly, and generate data\-driven recommendations faster than ever before. By leveraging AI to handle repetitive analytical tasks and accelerate reporting, our team members can focus their expertise on building meaningful relationships with stakeholders, applying contextual judgment to complex scenarios, and translating insights into strategic product recommendations
**Basic Qualifications**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 Experience working with or evaluating AI systems
**Preferred Qualifications**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 Experience in Alpha/Beta testing for both hardware and software products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A3152487</t>
        </is>
      </c>
    </row>
    <row r="58">
      <c r="A58" t="inlineStr">
        <is>
          <t>li-4358241064</t>
        </is>
      </c>
      <c r="B58" t="inlineStr">
        <is>
          <t>Program Manager II, (Alpha/Beta Testing), Ring Insights</t>
        </is>
      </c>
      <c r="C58" t="inlineStr">
        <is>
          <t>Ring</t>
        </is>
      </c>
      <c r="D58" t="inlineStr">
        <is>
          <t>linkedin</t>
        </is>
      </c>
      <c r="E58" t="inlineStr"/>
      <c r="F58" t="inlineStr"/>
      <c r="G58" t="inlineStr">
        <is>
          <t>Hawthorne, CA</t>
        </is>
      </c>
      <c r="H58" t="inlineStr"/>
      <c r="I58" t="inlineStr">
        <is>
          <t>**Description**
 Are you a passionate, self\-starting Program Manager interested in facilitating Alpha, Beta, and Delta testing for products designed to reduce crime in neighborhoods? Ring is looking for a Program Manager who is customer obsessed, has a bias for action, and wants to learn and be curious.
 You will join the Ring Insights Team in supporting our product team in managing highly successful Alpha, Beta, and Delta tests that bring new products to market. In this role, you'll leverage AI\-powered analytics tools to accelerate data processing and surface insights from user feedback at scale, while applying your strategic thinking and stakeholder relationship management skills to drive successful product launches. This is an opportunity to combine AI\-enhanced efficiency with human\-centered research expertise to amplify your impact.
 Key job responsibilities
* Drive simultaneous Alpha and Beta testing programs by deploying AI\-driven test scenario generation and anomaly detection systems to identify edge cases across hardware, firmware, software, and mobile applications, while applying human judgment to prioritize critical issues and balance risk against launch timelines
* Collaborate with Product Management to gain deep product knowledge and leverage AI\-powered content analysis tools to automatically generate targeted test scenarios and adaptive user feedback surveys, while exercising strategic thinking to ensure alignment with product vision and customer needs
* Strategically recruit and manage global test participants to ensure diverse representation across target markets and user personas
* Monitor and optimize worldwide tester engagement through AI\-based predictive models that forecast participant churn, automatically trigger personalized re\-engagement workflows, detect device connectivity issues, and surface participation anomalies, while using human judgment to interpret behavioral patterns and craft meaningful interventions
* Leverage AI\-powered analytics tools to process survey results and user feedback at scale, automatically categorize sentiment, identify emerging themes, and flag critical issues in real\-time, while applying human judgment to interpret nuanced insights, validate AI\-generated patterns against qualitative context, and translate findings into actionable product recommendations that balance technical feasibility with customer impact
* Synthesize AI\-generated trend reports with qualitative customer insights and cross\-functional stakeholder input to develop comprehensive recommendations, using machine learning models to surface non\-obvious correlations and predict feature impact, while exercising critical thinking to balance data\-driven insights with strategic business context, organizational constraints, and long\-term vision
* Coordinate seamlessly with worldwide stakeholders and cross\-functional teams across multiple time zones, navigating complex organizational dynamics and building trusted relationships
* Maintain strict compliance with Amazon's Prototype Security protocols and Trade Compliance regulations, exercising human judgment on ambiguous compliance scenarios
* Monitor and assess competitive landscape, market dynamics, and emerging industry trends to advocate on behalf of the customer
* Partner strategically with worldwide shipping teams to establish clear delivery timelines, provide early tracking information, and maintain efficient communication channels, ensuring test products reach global participants by target in\-hand dates for synchronized program launch
* Exercise critical thinking to resolve conflicts between AI recommendations and real\-world constraints, making judgment calls that balance competing priorities across quality, timeline, and resource considerations
**About The Team**
 The Ring Insights organization, founded in 2017, is a growing group of customer obsessed individuals. Our work and workstreams center around identifying customer needs and advocating for them through Alpha, Beta, and Delta Testing. We're actively evolving our capabilities by integrating AI\-powered analytics and automation tools to drive deeper insights at scale while significantly reducing manual overhead. This transformation enables our team to process larger volumes of user feedback, identify patterns across global test populations more quickly, and generate data\-driven recommendations faster than ever before. By leveraging AI to handle repetitive analytical tasks and accelerate reporting, our team members can focus their expertise on building meaningful relationships with stakeholders, applying contextual judgment to complex scenarios, and translating insights into strategic product recommendations
**Basic Qualifications**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 Experience working with or evaluating AI systems
**Preferred Qualifications**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 Experience in Alpha/Beta testing for both hardware and software products.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A3152484</t>
        </is>
      </c>
    </row>
    <row r="59">
      <c r="A59" t="inlineStr">
        <is>
          <t>li-4356172626</t>
        </is>
      </c>
      <c r="B59" t="inlineStr">
        <is>
          <t>Senior Principal Product Manager (Threat Prevention)</t>
        </is>
      </c>
      <c r="C59" t="inlineStr">
        <is>
          <t>Palo Alto Networks</t>
        </is>
      </c>
      <c r="D59" t="inlineStr">
        <is>
          <t>linkedin</t>
        </is>
      </c>
      <c r="E59" t="inlineStr"/>
      <c r="F59" t="inlineStr"/>
      <c r="G59" t="inlineStr">
        <is>
          <t>Santa Clara, CA</t>
        </is>
      </c>
      <c r="H59" t="inlineStr"/>
      <c r="I59" t="inlineStr">
        <is>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Your Career
 As the Principal Product Manager for Threat Prevention, you will define and execute the strategic vision for our Advanced Threat Prevention security subscription. This role is crucial for innovating our IPS capabilities to protect customers from sophisticated, AI\-driven cyber threats. You will leverage a deep technical background in cybersecurity and a passion for customer protection to lead and collaborate with top industry minds, driving transformative security outcomes in a rapidly evolving threat landscape.
 Your Impact
* Own and articulate the long\-term strategic vision and roadmap for the Advanced Threat Prevention product, ensuring alignment with company objectives.
* Drive the growth and innovation of the security product portfolio, creating a differentiated roadmap that disrupts the market.
* Collaborate extensively with engineering, sales, and marketing leadership to ensure cohesive strategy and execution for best\-in\-class security solutions.
* Analyze complex business data to identify and execute on significant growth opportunities and successfully enter new, high\-growth markets.
* Serve as a key subject matter expert and evangelist for threat prevention, engaging with customers, partners, and industry analysts.
* Mentor and guide other product managers, fostering a culture of innovation, accountability, and continuous improvement within the team.
* Challenge the status quo by identifying problems, critically reviewing data, and providing practical solutions to enhance product capabilities.
**Qualifications**
 Your Experience
* BS or MS in a technical field (e.g., Computer Science, Electrical Engineering), or equivalent military experience.
* 7\+ years of experience in a technical product management role, with a focus on cybersecurity technologies.
* Proven ability to define and execute complex product strategies that result in substantial business impact and market disruption.
* MBA is highly desirable.
* Demonstrated track record of successfully launching and scaling new products or offerings at a portfolio level.
* Superior written and verbal communication skills with the ability to influence and align stakeholders from individual contributors to executive leadership.
* Experience with cloud\-based security solutions covering threat analysis, incident response, intrusion prevention (IPS), or antivirus (AV) technologies.
* Exceptional analytical skills to make complex, data\-driven decisions that influence long\-term product strategy.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$220,900\.00 \- $303,175\.00/yr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row>
    <row r="60">
      <c r="A60" t="inlineStr">
        <is>
          <t>li-4366363310</t>
        </is>
      </c>
      <c r="B60" t="inlineStr">
        <is>
          <t>Product Owner - ERP Squad</t>
        </is>
      </c>
      <c r="C60" t="inlineStr">
        <is>
          <t>Baylor Scott &amp; White Health</t>
        </is>
      </c>
      <c r="D60" t="inlineStr">
        <is>
          <t>linkedin</t>
        </is>
      </c>
      <c r="E60" t="inlineStr"/>
      <c r="F60" t="inlineStr"/>
      <c r="G60" t="inlineStr">
        <is>
          <t>Dallas, TX</t>
        </is>
      </c>
      <c r="H60" t="inlineStr"/>
      <c r="I60" t="inlineStr">
        <is>
          <t>**Job Summary**
* The Product Owner (ERP Squad) is responsible for maximizing the value delivered by Baylor Scott \&amp; White Health’s ERP platforms across Finance, Supply Chain, and Human Resources. This role owns the ERP product backlog, translates complex business needs into actionable work, and partners closely with business leaders, delivery teams, and managed service providers (e.g., Accenture MSP) to ensure secure, reliable, and outcome\-driven delivery.
* The ERP Product Owner operates in a highly integrated environment (PeopleSoft, SCM, HR systems, automation, and third\-party vendors) and must balance regulatory requirements, operational stability, and continuous improvement.
 True hybrid position
* Employee living in DFW will be onsite one day each week.
* Employee living outside DFW, but still in BSW service area \- will be onsite one day each month.
**Key Responsibilities**
**Product Ownership \&amp; Strategy**
* Own and prioritize the ERP Squad backlog aligned to enterprise priorities, quarterly objectives, and regulatory timelines
* Translate Finance, Supply Chain, and HR business needs into clear epics, features, and user stories with measurable outcomes
* Ensure initiatives align with ERP roadmaps, architectural standards, and long\-term platform strategy
* Partner with IS Directors, Architects, and Business Product Leaders to shape quarterly and annual plans
**Delivery \&amp; Execution**
* Lead sprint planning, backlog refinement, reviews, and retrospectives for ERP initiatives
* Coordinate delivery across internal teams, Accenture MSP, and third\-party vendors
* Manage complex dependencies across modules (Finance, SCM, HR) and integrated systems
* Ensure readiness for major events such as Open Enrollment, Year\-End Tax Updates, and vendor transitions
**Stakeholder \&amp; Vendor Management**
* Act as the primary point of accountability between business stakeholders and ERP delivery teams
* Communicate scope, tradeoffs, timelines, and risks clearly to senior leaders
* Collaborate with vendors on enhancements, upgrades, automations, and integrations
* Support contract and performance management with ERP service partners
**Metrics, Quality \&amp; Outcomes**
* Define and track success metrics such as delivery predictability, defect leakage, automation impact, cycle time, and business adoption
* Ensure production stability, security role compliance, and audit readiness
* Support continuous improvement through automation (e.g., RPA/BOTs), platform upgrades, and process optimization
**Required Experience \&amp; Skills**
* 5\+ years of Product Owner, Product Manager, or similar experience in ERP or large enterprise platforms
* Hands\-on experience with ERP systems such as PeopleSoft, SAP, Oracle, Workday, or equivalent
* Experience supporting Finance, Supply Chain, or HR business processes
* Strong backlog management, requirements decomposition, and prioritization skills
* Experience working with system integrators or managed service providers
* Ability to navigate ambiguity, regulatory constraints, and competing enterprise priorities
**Benefits**
 Our competitive benefits package includes the following
 Immediate eligibility for health and welfare benefits
 401(k) savings plan with dollar\-for\-dollar match up to 5%
 Tuition Reimbursement
 PTO accrual beginning Day 1
 Note: Benefits may vary based upon position type and/or level
**Qualifications**
* EDUCATION \- Bachelor's or 4 years of work experience above the minimum qualification
* EXPERIENCE \- 7 Years of Experience</t>
        </is>
      </c>
    </row>
    <row r="61">
      <c r="A61" t="inlineStr">
        <is>
          <t>li-4366283578</t>
        </is>
      </c>
      <c r="B61" t="inlineStr">
        <is>
          <t>Product Manager - Black Diamond</t>
        </is>
      </c>
      <c r="C61" t="inlineStr">
        <is>
          <t>SS&amp;C Technologies</t>
        </is>
      </c>
      <c r="D61" t="inlineStr">
        <is>
          <t>linkedin</t>
        </is>
      </c>
      <c r="E61" t="inlineStr"/>
      <c r="F61" t="inlineStr"/>
      <c r="G61" t="inlineStr">
        <is>
          <t>Jacksonville, FL</t>
        </is>
      </c>
      <c r="H61" t="inlineStr"/>
      <c r="I61"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**Job Title: Product Manager**
**Location** 
 : Jacksonville, FL \- Hybrid \- Georgia \&amp; Texas \- Remote
**Get To Know The Team:**
 Join the company ranked \#1 on the list of Best Places to Work in Jacksonville and Northeast Florida. The Black Diamond Product is a growth area within SS\&amp;C Technologies, providing leading software and services for the investment management industry. We are seeking a Product Manager to support our Model Marketplace, Proposal Generation, and Managed Accounts solutions. The ideal candidate will have experience with model construction, outsourced trading, and investment proposal technology, with prior exposure to rebalancing and trading solutions preferred.
**What You Will Get To Do:**
* Interact with leaders, teams, clients, and partners to fully understand what drives a great user experience and client value.
* Engineer and design product enhancements, including data models, business logic, and application permissions.
* Prepare clear and complete system requirements for execution by software engineering and quality assurance.
* Manage project phasing and backlog prioritization
* Work with product management, sales, marketing, and service to effectively roll out new product enhancements
**What You Will Bring:**
* A proven track record of exceptional ambition, drive, and proven results. In college and/or professionally
* Superior solutions\-oriented and complex problem\-solving skills
* Excellent verbal and written skills
* Product Management experience preferred.
* Wealth Management knowledge is also preferred.
* Bachelor’s Degree from an accredited institution in finance, engineering\-related fields, or comparable work experience.
**Why You Will Love It Here!**
* Flexibility: Hybrid Work Model \&amp; a Business Casual Dress Code, including jeans
* Your Future: 401 (k) Matching Program, Professional Development Reimbursement
* Work/Life Balance: Flexible Personal/Vacation Time Off, Sick Leave, Paid Holidays
* Your Well\-being: Medical, Dental, Vision, Employee Assistance Program, Parental Leave
* Wide Ranging Perspectives: Committed to Celebrating the Variety of Backgrounds, Talents and Experiences of Our Employees
* Training: Hands\-On, Team\-Customized, including SS\&amp;C University
* Extra Perks: Discounts on fitness clubs, travel, and more!
 Thank you for your interest in SS\&amp;C! To further explore this opportunity, please apply through our careers page on the corporate website at www.ssctech.com/careers.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is>
      </c>
    </row>
    <row r="62">
      <c r="A62" t="inlineStr">
        <is>
          <t>li-4373983649</t>
        </is>
      </c>
      <c r="B62" t="inlineStr">
        <is>
          <t>Senior Product Manager, Tokenization</t>
        </is>
      </c>
      <c r="C62" t="inlineStr">
        <is>
          <t>Coinbase</t>
        </is>
      </c>
      <c r="D62" t="inlineStr">
        <is>
          <t>linkedin</t>
        </is>
      </c>
      <c r="E62" t="inlineStr"/>
      <c r="F62" t="inlineStr"/>
      <c r="G62" t="inlineStr">
        <is>
          <t>New York, NY</t>
        </is>
      </c>
      <c r="H62" t="inlineStr"/>
      <c r="I62"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**Coinbase Institutional \- Making the Future Real** 
 Without us, crypto is just a whitepaper. We make it real. Coinbase Institutional builds cutting\-edge platforms that allow thousands of the world’s largest financial institutions to trade, custody, and participate in the global cryptoeconomy. From launching industry "firsts" to scaling secure infrastructure for hundreds of digital assets, we provide the trusted gateways for staking, governance, and web3\. Whether it’s prime brokerage or international markets, we are building the scalable tech and seamless UI that empowers the biggest players on the planet to move money forward.
**Join us, and build the infrastructure for what’s next.** 
 We are looking for a highly curious and execution\-focused Product Manager to join our Tokenization team. This team is a unique group that blends deep, multi\-asset class financial experience across investment and operations with a world\-class smart contract engineering team. Together, we are building the future of global tokenization infrastructure, integrating across both regulated financial systems and the rapid innovation of DeFi.
 This role is for a flexible product manager who thrives in a fast\-paced, execution\-focused culture. The ideal candidate understands the worlds of both institutional finance and modern product design, but more importantly, possesses a top 1% curiosity and a work ethic to match our ambitious delivery schedule. If you are a rapid learner who is passionate about building at the intersection of traditional assets and blockchain technology, this is the role for you.
**What You'll Be Doing (i.e., Job Duties)** 
* Support the full product lifecycle, from ideation and requirements gathering to launch, post\-launch analysis, and iteration.
* Assist in identifying and evaluating new product opportunities by conducting market research, competitive analysis, and gathering insights from clients and internal experts.
* Collaborate closely with engineering, design, sales, legal, and operations teams to translate product requirements into clear specifications and deliver high\-quality features.
* Help define and track key product metrics and KPIs to guide product prioritization and measure success.
* Create and maintain essential product documentation, including user stories, process flows, and project plans to ensure alignment across all teams.
* Clearly communicate product updates, timelines, and progress to internal stakeholders to ensure alignment with our ambitious delivery schedule.
**What We Look For In You (i.e., Job Requirements)** 
* 7\+ years of experience in product management, and/or relevant experience in institutional finance, management consulting, or a technical product role.
* Foundational knowledge spanning both institutional finance (e.g., capital markets, asset management, financial operations) and product development principles.
* An insatiable curiosity and a proven ability to learn complex technical and financial concepts quickly.
* Exceptional communication, relationship management, and organizational skills.
* Strong analytical, prioritization, and problem\-solving abilities, with a comfort for working effectively with incomplete or ambiguous information.
* Ability to work with engineering, design, and business stakeholders, influencing outcomes and driving execution.
* A high degree of ownership and the ability to thrive in a fast\-paced environment with a 'no\-task\-is\-too\-small' attitude.
* A deep and demonstrated interest in digital assets, tokenization, DeFi, and the future of financial markets.
 Job ID: P75933
 Pay Transparency Notice: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$207,485 USD \- $244,100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63">
      <c r="A63" t="inlineStr">
        <is>
          <t>li-4356041338</t>
        </is>
      </c>
      <c r="B63" t="inlineStr">
        <is>
          <t>Integration Services, Product Manager</t>
        </is>
      </c>
      <c r="C63" t="inlineStr">
        <is>
          <t>McGraw Hill</t>
        </is>
      </c>
      <c r="D63" t="inlineStr">
        <is>
          <t>linkedin</t>
        </is>
      </c>
      <c r="E63" t="inlineStr"/>
      <c r="F63" t="inlineStr"/>
      <c r="G63" t="inlineStr"/>
      <c r="H63" t="inlineStr"/>
      <c r="I63" t="inlineStr">
        <is>
          <t>**Overview**
**Make an Impact!**
 At McGraw Hill we create best\-in\-class, next\-generation learning platforms that are used by millions of students and educators worldwide from kindergarten through graduate school. Our goal is to accelerate student success through intuitive and effective learning tools and content that maximize a teacher’s time and a student’s learning experience. We do all of this in a supportive, collaborative environment where you can grow your career in a way that fits into your life.
**How can you make an impact?** 
 McGraw Hill, the leading provider of digital and print educational solutions, is looking for a
 **Product Manager, Integration Services** 
 . As the Product Manager for Integration Services, you will work closely with engineers, designers, customers and other stakeholders to conduct research, devise innovative ideas, requirements and roadmaps, work with the go\-to\-market (GTM) teams to successfully launch new integrated experiences, measure their in\-field performance against KPIs (Key Performance Indicators), and implement improvement strategies and tactics. You will be responsible for partnering with leadership to determine what the product team builds, the investment needed, and the growth levers tied to usage and quality of user experience, and the technical plan for the agile teams to execute against.
**This is a remote position open to applicants authorized to work for any employer within the United States.**
**What you will be doing:**
* Business Case Ownership – Develop and execute investment business cases for platform strategy, including financial forecasts, KPI definition, and operational implementation
* Strategic Product Roadmap – Partner with leadership to create market\-focused development roadmaps that maximize customer value and revenue opportunities
* Go\-to\-Market Leadership – Collaborate on comprehensive launch plans for new features, covering data requirements, timelines, training, and stakeholder communication
* Market Research \&amp; Customer Insights – Conduct user research and competitive analysis to understand customer needs, market segmentation, and platform positioning
* Data\-Driven Decision Making – Leverage analytics throughout the product lifecycle to inform strategy, drive innovation, and optimize customer experiences
* Cross\-Functional Collaboration – Work with technical teams, program managers, UX designers, and stakeholders to align platform investments and ensure quality delivery
* Requirements \&amp; Product Management – Draft project charters, translate customer needs into engineering requirements, and manage cross\-team dependencies for successful delivery
* Product Lifecycle Oversight – Own end\-to\-end product cycles aligned with business milestones, ensuring on\-time, on\-budget, and quality delivery while managing technical debt
* Performance Monitoring \&amp; Optimization – Track KPIs, manage technical debt, monitor competitive landscape, and drive continuous product improvements based on customer feedback
* User Story \&amp; Backlog Management – Develop detailed user stories with clear acceptance criteria, prioritize the product backlog, and ensure all stories are development\-ready with supporting documentation and dependencies
**What you need to be considered:**
* Education \&amp; Experience: Bachelor's degree required (advanced preferred), with 3–5 years in product management or related field, particularly in educational software and Pre\-K through Higher Education content
* Product Management: Proven ability to manage multiple complex projects simultaneously within deadline and budget constraints, with Agile methodology experience and product owner certification preferred
* Customer Focus: Strong background in user research, customer interaction, and user\-centered design processes with emphasis on creating intuitive user experiences
* Technical Collaboration: Ability to work effectively with engineering teams and translate technical concepts into business\-friendly terms, with experience in wireframing, use case development, and user story writing
* SaaS Product Delivery: Demonstrated success launching complex SaaS products from inception to market, especially educational software for large user bases with zero downtime requirements
* Data\-Driven Decision Making: Strong analytical skills for synthesizing financial, usage, and research data to understand market trends and create informed product strategies
* Leadership \&amp; Communication: Excellent interpersonal skills with ability to influence and collaborate across diverse teams, time zones, and work cultures while managing healthy debate that drives innovation
* Technical Tools \&amp; Environment: Experience with Jira, Confluence, remote team management, and ability to thrive in high\-intensity, deadline\-driven environments with acute attention to detail
**Here’s what we offer:**
 At McGraw Hill, you will be empowered to make a real impact on a global scale. Every day your individual efforts can contribute to the lives of millions.
 The pay range for this position is between $76,500 \- $130,000 annually. However, base pay offered may vary depending on job\-related knowledge, skills, experience, and location. An annual bonus plan may be provided as part of the compensation package, in addition to a full range of medical and/or other benefits, depending on the position offered. Click here to learn more about our benefit offerings.
 McGraw Hill recruiters always use a “@mheducation.com” or "@careers.mheducation.com” email addresses and/or from our Applicant Tracking System, iCIMS. Any variation of this email domain should be considered suspicious. Additionally, McGraw Hill recruiters and authorized representatives will never request sensitive information in email.
 50292</t>
        </is>
      </c>
    </row>
    <row r="64">
      <c r="A64" t="inlineStr">
        <is>
          <t>li-4358291722</t>
        </is>
      </c>
      <c r="B64" t="inlineStr">
        <is>
          <t>Senior Product Manager</t>
        </is>
      </c>
      <c r="C64" t="inlineStr">
        <is>
          <t>Microsoft</t>
        </is>
      </c>
      <c r="D64" t="inlineStr">
        <is>
          <t>linkedin</t>
        </is>
      </c>
      <c r="E64" t="inlineStr"/>
      <c r="F64" t="inlineStr"/>
      <c r="G64" t="inlineStr">
        <is>
          <t>Redmond, WA</t>
        </is>
      </c>
      <c r="H64" t="inlineStr"/>
      <c r="I64"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end\-to\-end,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Are you customer\-obsessed and passionate about cybersecurity? Join the Microsoft Security Customer Experience Engineering (CxE) team and help shape the future of security. CXE collaborates with customers, partners, and internal scale engines to accelerate product adoption and incubate new feature developments. Microsoft Security is looking for a Senior Product Manager with technical knowledge of the Security advanced workloads, has experience working with channel partners, has experience with developing AI agents and incorporating AI in their work. This role primarily focuses on channel partner engagement to accelerate their business growth, adoption enablement, to accelerate security product usage and deliver actionable insights to engineering.
 This role demands a passion for enhancing the customer experience, fostering a consistent and efficient collaboration between engineers and customers, and enabling a customer\-centric development culture.
 Our fast\-paced environment motivates team members to innovate and be at the forefront of product development, with a customer\-first mindset. If you are eager to work directly with our commercial customers, partners, and MVPs, and connect them to our engineering \&amp; research product teams to create a better product, then we would love to have you on our team.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Technology Acumen and Expertise: Serve as a trusted advisor and specialist on Security products and capabilities. Able to integrate AI into real\-world applications.
* Product Management and Strategic Investment: Lead product management efforts by collaborating across organizations to evaluate trade\-offs, prioritize investments, and align with company objectives.
* Influence roadmap decisions to meet success criteria and bowlers. Execute campaigns that support feature incubation, usage, and adoption. Lead Top\-tier and Strategic partner engagements, unblock adoption obstacles, and maintain prioritized feedback lists to inform engineering and roadmap decisions.
* Customer\-Centric Insights: Anticipate customer needs and market opportunities through data\-driven analysis. Identify patterns across feature areas, assess impact, and prioritize barriers. Deliver actionable insights from partner engagements to influence engineering investments and accelerate adoption of security capabilities
* Cross\-Functional Collaboration: Partner with internal and external stakeholders, including Engineering, Product Marketing, Business Planning, Small and Medium Enterprises \&amp; Channel, and executive leadership, to shape product vision, strategy, and roadmap and deliver AI\-driven outcomes. Define release criteria, customer acquisition strategies, and lead creation of deployment tools, collateral, and processes.
* Effective Communication: Articulate product strategy to diverse audiences through webinars, documentation, and partner engagements. Build consensus and alignment around deployment goals.
* Thought Leadership: Foster a shared vision and address hurdles within the team. Influence and align stakeholders, including group managers and leaders, around a unified product direction.  Partner\-led Customer Adoption Enablement: Accelerate partner\-led customer success through targeted enablement, training, and support initiatives.
* 
* Embody our culture and values
**Qualifications**
 Qualifications
* Bachelor's Degree AND 5\+ years experience in product/service/program management or software development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4\+ years of experience supporting deployments of Security Products, preferably in advanced workloads including Defender, Purview, Sentinel or similar.
* 4\+ years of experience evaluating and translating partner insights into customer needs, requirements, and difficulties, and communicating solutions (positioning, technology, value, priority) and improvements to technical and non\-technical stakeholders and translating customer feedback into product features.
* Ability to forge trusted relationships with partners communicating on behalf of Microsoft Security engineering, facilitating understanding of the value proposition of Microsoft product portfolio.
* Experience engaging with partners and managing expectations in partner\-facing roles.
* Highly adaptable to change and comfortable pivoting in response to changing circumstances and ambiguous situations within a dynamic and fast\-paced environment, and understand fact\-based communications / presentations both verbal and written and adapting style and level of information based on audience (C\-Level, business, architect, analysts, admins, developers).
* Experience in program or product management driving adoption strategies, resolving blockers, and influencing engineering priorities through actionable insights.
* 4\+ years’ experience disrupting a market for a product, feature, or experience (e.g., healthy disruption, taking the place of an established competing product).
* 4\+ years’ experience improving product metrics (e.g., growing customer base, expanding customer usage, avoiding customer churn).
 \#MSFTSecurity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5">
      <c r="A65" t="inlineStr">
        <is>
          <t>li-4374101288</t>
        </is>
      </c>
      <c r="B65" t="inlineStr">
        <is>
          <t>Senior Product Manager, Platform</t>
        </is>
      </c>
      <c r="C65" t="inlineStr">
        <is>
          <t>FloQast</t>
        </is>
      </c>
      <c r="D65" t="inlineStr">
        <is>
          <t>linkedin</t>
        </is>
      </c>
      <c r="E65" t="inlineStr"/>
      <c r="F65" t="inlineStr"/>
      <c r="G65" t="inlineStr">
        <is>
          <t>Los Angeles, CA</t>
        </is>
      </c>
      <c r="H65" t="inlineStr"/>
      <c r="I65" t="inlineStr">
        <is>
          <t>FloQast is at the forefront of the accounting industry, providing an AI\-powered Accounting Transformation Platform created by accountants, for accountants. We are dedicated to revolutionizing how accounting and finance teams work, enabling them to move beyond manual, tedious tasks and into a strategic, advisory role. By leveraging our groundbreaking, auditable AI Agents and purpose\-built solutions, we empower teams to streamline their financial close, enhance compliance, and achieve a new level of transparency and accuracy. Our mission is to help accountants reclaim their time, simplify their work, and ultimately shape the future of their profession. Come join us!
 As a Sr. Product Manager, Platform, you will own the vision, strategy, and evolution of our enterprise\-grade platform. You'll build the scalable foundation that enables our application teams to innovate quickly, creating leverage and reducing time\-to\-market as we meet the needs of our largest and most demanding customers. You will bring your technical expertise to bear as a key partner working alongside our Engineering, Design, and cross\-functional teams, and shape the future of our AI\-powered Accounting Transformation Platform.
* Visa sponsorship is NOT available at this time
**What You'll Do**
* Define and Drive Platform Strategy: Own the vision, strategy, and roadmap for core platform components, including shared services, APIs, and foundational user \&amp; admin experiences. Partner closely with our senior Product and Engineering leadership to align platform investments with overall company goals and the long\-term vision of our AI\-powered platform.
* Enable Product Innovation: Serve as a key partner to our application\-focused Product and Engineering teams, identifying and prioritizing shared services that create leverage and reduce time\-to\-market.
* Serve Enterprise Customers: Deeply understand the needs of our largest and most demanding customers. Translate these requirements into detailed technical specifications and a prioritized roadmap that ensures our platform remains enterprise\-grade and capable of handling complex, large\-scale data and workflows.
* Lead with Technical \&amp; Customer Expertise: Bring your technical acumen to guide the entire product lifecycle from ideation and requirements gathering to launch. Work closely with Engineering to build for the long term and make sound technical investments. Collaborate with Design on building user\-friendly experiences that are shared across our applications, including for admin personas.
* Influence and Evangelize: Act as the primary champion for the platform, building internal buy\-in for the roadmap and communicating its value to stakeholders across the organization. Assist the Enterprise sales team in supporting customer deals and representing platform capabilities. Work with the Partnership team to likewise enable our strategic and ecosystem partners to leverage and extend FloQast using the capabilities provided by the platform.
**What You'll Bring**
* 5\+ years of experience in product management, with a minimum of 3 years dedicated to platform, infrastructure, or B2B SaaS API product(s). You have a proven track record of owning and launching core platform capabilities that not only enable other teams but also directly drive new product innovation.
* Strong technical fluency with hands\-on experience in software development or systems architecture. You can confidently dive into the technical details of APIs, cloud infrastructure, and data models to make informed product decisions and earn the trust of your engineering partners.
* Experience building products that scale to the largest and most demanding enterprise customers.
* A strategic mindset for defining and prioritizing a platform roadmap that aligns with broader company goals, while balancing internal and external customer needs.
* Exceptional communication and collaboration skills to effectively partner with engineering, design, and senior leadership. You can articulate complex technical topics to a wide range of audiences and build buy\-in for your vision.
 \#BI\-Remote
 This job posting is for our Senior Product Manager, the base pay range for this position is $164,000 \- $246,000\. Compensation is not limited to base salary. FloQast values our Total Rewards, and offers a competitive and elaborate Benefits Package including, but not limited to, Medical, Dental, Vision, Family Forming benefits, Life \&amp; Disability Insurance, and Unlimited Vacation. FloQast reserves the right to amend, change, alter, and revise pay ranges and benefits offerings at any time. All applicants acknowledge that by applying to this position you understand that this specific pay range is contingent upon meeting the qualifications and requirements of the role, and for the successful completion of the interview selection and process. It is at the Company's discretion to determine what pay is provided to a candidate within the range associated with the role.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6">
      <c r="A66" t="inlineStr">
        <is>
          <t>li-4374102317</t>
        </is>
      </c>
      <c r="B66" t="inlineStr">
        <is>
          <t>Senior Product Manager, Platform</t>
        </is>
      </c>
      <c r="C66" t="inlineStr">
        <is>
          <t>FloQast</t>
        </is>
      </c>
      <c r="D66" t="inlineStr">
        <is>
          <t>linkedin</t>
        </is>
      </c>
      <c r="E66" t="inlineStr"/>
      <c r="F66" t="inlineStr"/>
      <c r="G66" t="inlineStr">
        <is>
          <t>San Jose, CA</t>
        </is>
      </c>
      <c r="H66" t="inlineStr"/>
      <c r="I66" t="inlineStr">
        <is>
          <t>FloQast is at the forefront of the accounting industry, providing an AI\-powered Accounting Transformation Platform created by accountants, for accountants. We are dedicated to revolutionizing how accounting and finance teams work, enabling them to move beyond manual, tedious tasks and into a strategic, advisory role. By leveraging our groundbreaking, auditable AI Agents and purpose\-built solutions, we empower teams to streamline their financial close, enhance compliance, and achieve a new level of transparency and accuracy. Our mission is to help accountants reclaim their time, simplify their work, and ultimately shape the future of their profession. Come join us!
 As a Sr. Product Manager, Platform, you will own the vision, strategy, and evolution of our enterprise\-grade platform. You'll build the scalable foundation that enables our application teams to innovate quickly, creating leverage and reducing time\-to\-market as we meet the needs of our largest and most demanding customers. You will bring your technical expertise to bear as a key partner working alongside our Engineering, Design, and cross\-functional teams, and shape the future of our AI\-powered Accounting Transformation Platform.
* Visa sponsorship is NOT available at this time
**What You'll Do**
* Define and Drive Platform Strategy: Own the vision, strategy, and roadmap for core platform components, including shared services, APIs, and foundational user \&amp; admin experiences. Partner closely with our senior Product and Engineering leadership to align platform investments with overall company goals and the long\-term vision of our AI\-powered platform.
* Enable Product Innovation: Serve as a key partner to our application\-focused Product and Engineering teams, identifying and prioritizing shared services that create leverage and reduce time\-to\-market.
* Serve Enterprise Customers: Deeply understand the needs of our largest and most demanding customers. Translate these requirements into detailed technical specifications and a prioritized roadmap that ensures our platform remains enterprise\-grade and capable of handling complex, large\-scale data and workflows.
* Lead with Technical \&amp; Customer Expertise: Bring your technical acumen to guide the entire product lifecycle from ideation and requirements gathering to launch. Work closely with Engineering to build for the long term and make sound technical investments. Collaborate with Design on building user\-friendly experiences that are shared across our applications, including for admin personas.
* Influence and Evangelize: Act as the primary champion for the platform, building internal buy\-in for the roadmap and communicating its value to stakeholders across the organization. Assist the Enterprise sales team in supporting customer deals and representing platform capabilities. Work with the Partnership team to likewise enable our strategic and ecosystem partners to leverage and extend FloQast using the capabilities provided by the platform.
**What You'll Bring**
* 5\+ years of experience in product management, with a minimum of 3 years dedicated to platform, infrastructure, or B2B SaaS API product(s). You have a proven track record of owning and launching core platform capabilities that not only enable other teams but also directly drive new product innovation.
* Strong technical fluency with hands\-on experience in software development or systems architecture. You can confidently dive into the technical details of APIs, cloud infrastructure, and data models to make informed product decisions and earn the trust of your engineering partners.
* Experience building products that scale to the largest and most demanding enterprise customers.
* A strategic mindset for defining and prioritizing a platform roadmap that aligns with broader company goals, while balancing internal and external customer needs.
* Exceptional communication and collaboration skills to effectively partner with engineering, design, and senior leadership. You can articulate complex technical topics to a wide range of audiences and build buy\-in for your vision.
 \#BI\-Remote
 This job posting is for our Senior Product Manager, the base pay range for this position is $164,000 \- $246,000\. Compensation is not limited to base salary. FloQast values our Total Rewards, and offers a competitive and elaborate Benefits Package including, but not limited to, Medical, Dental, Vision, Family Forming benefits, Life \&amp; Disability Insurance, and Unlimited Vacation. FloQast reserves the right to amend, change, alter, and revise pay ranges and benefits offerings at any time. All applicants acknowledge that by applying to this position you understand that this specific pay range is contingent upon meeting the qualifications and requirements of the role, and for the successful completion of the interview selection and process. It is at the Company's discretion to determine what pay is provided to a candidate within the range associated with the role.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7">
      <c r="A67" t="inlineStr">
        <is>
          <t>li-4356230329</t>
        </is>
      </c>
      <c r="B67" t="inlineStr">
        <is>
          <t>Senior Product Manager (Enterprise Browser )</t>
        </is>
      </c>
      <c r="C67" t="inlineStr">
        <is>
          <t>Palo Alto Networks</t>
        </is>
      </c>
      <c r="D67" t="inlineStr">
        <is>
          <t>linkedin</t>
        </is>
      </c>
      <c r="E67" t="inlineStr"/>
      <c r="F67" t="inlineStr"/>
      <c r="G67" t="inlineStr">
        <is>
          <t>Santa Clara, CA</t>
        </is>
      </c>
      <c r="H67" t="inlineStr"/>
      <c r="I67" t="inlineStr">
        <is>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Your Career
 In this role, you will shape and drive the strategy for Palo Alto Networks’ Prisma Access Browser, a leading\-edge product disrupting the cybersecurity market. You will leverage your deep expertise in product management to lead an engineering squad, define technical requirements, and manage the product roadmap from early\-stage development to market maturity. By collaborating with designers, analyzing data, and engaging with customers, you will deliver compelling, user\-focused solutions that provide meaningful value and maintain our competitive edge.
 Your Impact
* Own and drive the product strategy, vision, and roadmap for key product themes such as data protection, threat prevention, and policy configuration.
* Conduct comprehensive market, competitor, and technology research to inform product strategy and identify new opportunities for innovation.
* Prioritize features, define detailed technical requirements, and lead a dedicated engineering squad through the agile development lifecycle.
* Collaborate closely with product designers to create compelling, intuitive, and user\-centric UI/UX for new features and product enhancements.
* Manage the end\-to\-end delivery of features, ensuring they meet quality standards, are released on schedule, and align with business objectives.
* Engage directly with customers, partners, and field teams to gather feedback, validate product direction, and ensure solutions meet market needs.
* Serve as the subject matter expert for the Prisma Access Browser, providing guidance, thought leadership, and support across the organization.
**Qualifications**
 Your Experience
* Minimum of 6 years of product management experience in the cybersecurity or browser development industry.
* Solid technical background with a strong understanding of software development principles and web technologies.
* Demonstrated experience analyzing data from diverse sources to inform product decisions and strategy.
* Experience with both inbound (feature prioritization, requirements definition) and outbound (go\-to\-market, customer engagement) product management activities.
* Excellent presentation, written, and verbal communication skills.
* Experience in one or more of the following domains: Network Security (Firewall, Proxy), Endpoint Protection (EDR/EPP), Identity Management, Data Loss Prevention (DLP), or Remote Browser Isolation (RBI).
* Proven track record of bringing a product from an early\-stage concept to market maturity and growth.
* Experience in technical escalations management or a high\-tier support role.
* Familiarity or hands\-on experience with Large Language Models (LLMs) and AI technologies.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$148,700\.00 \- $240,525\.00/yr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row>
    <row r="68">
      <c r="A68" t="inlineStr">
        <is>
          <t>li-4371701203</t>
        </is>
      </c>
      <c r="B68" t="inlineStr">
        <is>
          <t>Senior Product Manager</t>
        </is>
      </c>
      <c r="C68" t="inlineStr">
        <is>
          <t>Home Franchise Concepts</t>
        </is>
      </c>
      <c r="D68" t="inlineStr">
        <is>
          <t>linkedin</t>
        </is>
      </c>
      <c r="E68" t="inlineStr"/>
      <c r="F68" t="inlineStr"/>
      <c r="G68" t="inlineStr">
        <is>
          <t>Irvine, CA</t>
        </is>
      </c>
      <c r="H68" t="inlineStr"/>
      <c r="I68" t="inlineStr">
        <is>
          <t>**About The Company**
 Home Franchise Concepts is one of the largest franchising systems in the home improvement goods and services space. The Company’s brands: Budget Blinds, The Tailored Closet, PremierGarage, AdvantaClean, Kitchen Tune\-Up, Bath Tune\-Up, Two Maids, Aussie Pet Mobile, Lightspeed Restoration and Concrete Craft are consistently rated at the top of their categories and supported by more than 2,500 franchise territories.
 Home Franchise Concepts is a subsidiary of JM Family Enterprises, a family\-owned, professionally managed diversified automotive company.
 A few of the Company’s many accolades and awards include:
* Entrepreneur’s Franchise 500
* Entrepreneur’s Franchise 500 Best in Category
* Entrepreneur’s Top Low\-Cost Franchise
* Entrepreneur’s Top New \&amp; Emerging Franchises
* Entrepreneur’s Top Home\-based Franchises
* Entrepreneur’s Top 100 Global Franchises
 You can learn more about Home Franchise Concepts on our Careers page.
**Summary**
 The Senior Product Manager serves as the strategic and operational leader for Budget Blinds’ core product categories, including the blinds and shades portfolio and the associated Vendor Alliance Partners (VAPs). This hybrid role combines end‑to‑end product category ownership with vendor relationship leadership, ensuring all products, programs, partners, and initiatives deliver exceptional value to franchisees, customers, and the system as a whole.
 This role provides backup support for Director\-level responsibilities as needed, offers exposure to Director\-level work through project\-based support and cross\-functional collaboration, builds competencies that may support future career progression, and develops leadership capabilities through mentorship, feedback, and stretch assignments.
**Supervisory Responsibilities**
* This role has no supervisory responsibilities
* Our preferred candidate will have previous experience as a people leader, coach, or mentor
**Essential Duties \&amp; Responsibilities**
* Lead long‑term strategy development for assigned product categories
* Own and maintain the product roadmap
* Analyze trends, franchisee feedback, competitive landscape, and category performance
* Lead the full lifecycle of assigned categories
* Partner with vendors on new product introductions and innovation efforts
* Serve as the primary business liaison for Vendor Alliance Partners
* Monitor performance and collaborate with Finance on forecasting
* Collaborate with Marketing and vendors on promotional programs
* Coordinate vendor sample orders
* Act as a cross\-functional leader
* Gather franchisee insights and translate into actions
* Support corporate events and initiatives
* Other duties and responsibilities as assigned
**Required Skills \&amp; Abilities**
* Experience working with external vendors
* Strong analytical and communication skills
* Demonstrated success in cross\-functional environments
* Strong strategic mindset
* Ability to influence without authority
* Highly organized
* Data‑driven decision‑maker
* Leadership potential for future growth
**Education And Experience**
* Bachelor's Degree and
* Minimum of five years of Product Management experience, or
* Equivalent combination of education and experience
* Window covering industry experience is required
* Experience in franchising or home services industries is preferred
* Familiarity with rebate, forecasting, or promotional funding programs is preferred
* Understanding of product safety compliance
* Experience managing complex product portfolios
**Physical Requirements**
* Light\-duty work environment – primarily office\-based with minimal physical exertion.
* Ability to sit for extended periods while working on a computer.
* Occasional standing or walking for presentations or facilitation.
* Ability to lift and carry up to 15 lbs occasionally.
* Hybrid model – Work from the office on Tues/Wed/Thurs and from home on Mon/Fri.
* Up to 25% travel may be required for meetings, vendor events, training, or conventions in the US and internationally
 To perform this job successfully, an individual must be able to perform each essential job function satisfactorily. The requirements listed above are representative of the knowledge, skill, and/or ability required. Reasonable accommodations may be made to enable individuals with disabilities to perform the essential functions.
 The pay range for this position is $125,000 \- $140,000\. Actual pay will be determined by factors including candidate experience and qualifications. At Home Franchise Concepts, we offer a highly competitive benefits package designed to support you and your family. Our offerings include medical, dental, and vision insurance, Flexible Spending Accounts (FSAs), Health Savings Accounts (HSAs), and supplemental life insurance. Associates are also eligible for an annual discretionary bonus and can participate in our 401(k) retirement plan, which includes matching contributions equal to 100% of the first three percent of eligible compensation contributed and 50% of the next two percent. In addition, we provide 10 paid holidays, 8 paid hours for associates to volunteer in their community, and open time off to support work\-life balance. During the interview process, our Talent team will be happy to share more details about our benefits and career development opportunities.
**HOME FRANCHISE CONCEPTS IS PROUD TO BE AN EQUAL OPPORTUNITY EMPLOYER**
 Home Franchise Concepts is an Equal Employment Opportunity employer. We are committed to recruiting, hiring, retaining, and promoting qualified associates without regard to age, race, religion, color, gender, sex (including pregnancy, childbirth and related medical conditions), sexual orientation, gender identity, gender expression, mental or physical disability, national origin, marital status, citizenship, military status, genetic information, veteran status, or any other characteristic protected by federal, state, provincial, or local law.
**DISABILITY ACCOMMODATIONS**
 If you have a disability and require a reasonable accommodation to complete the job application process, please contact HFC's Talent Acquisition department at HR@gohfc.com for assistance. If you have an accommodation request for one of our recruiting events, please notify us at least 72 hours prior so that we may provide assistance.
 \#HiringHFC</t>
        </is>
      </c>
    </row>
    <row r="69">
      <c r="A69" t="inlineStr">
        <is>
          <t>li-4373942887</t>
        </is>
      </c>
      <c r="B69" t="inlineStr">
        <is>
          <t>Product Owner/infrastructure</t>
        </is>
      </c>
      <c r="C69" t="inlineStr">
        <is>
          <t>TEKsystems</t>
        </is>
      </c>
      <c r="D69" t="inlineStr">
        <is>
          <t>linkedin</t>
        </is>
      </c>
      <c r="E69" t="inlineStr"/>
      <c r="F69" t="inlineStr"/>
      <c r="G69" t="inlineStr">
        <is>
          <t>Charlotte, NC</t>
        </is>
      </c>
      <c r="H69" t="inlineStr"/>
      <c r="I69" t="inlineStr">
        <is>
          <t>**Technical Product Owner \- Charlotte, NC**
 Will be working in Environment Stability and Engineering Team.
 We Are Looking For Knowledge In The Below Areas
* Good understanding of infrastructure/ rest services/database
* Create and Run to run a query in DB
* Service test in postman
* Splunk queries
* Ability to create env roadmaps, release planning, etc.
* Experience with Kanban methodology
 Skills
 Scrum, Agile, Jira
 Top Skills Details
 Scrum,Agile,Jira
 Additional Skills \&amp; Qualifications
 PO
 Experience Level
 Expert Level
 Job Type \&amp; Location
 This is a Contract position based out of Charlotte, NC.
 Pay And Benefits
 The pay range for this position is $55\.00 \- $65\.00/hr.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 Medical, dental \&amp; vision
* Critical Illness, Accident, and Hospital
* 401(k) Retirement Plan – Pre\-tax and Roth post\-tax contributions available
* Life Insurance (Voluntary Life \&amp; AD\&amp;D for the employee and dependents)
* Short and long\-term disability
* Health Spending Account (HSA)
* Transportation benefits
* Employee Assistance Program
* Time Off/Leave (PTO, Vacation or Sick Leave) Workplace Type This is a hybrid position in Charlotte,NC. Application Deadline This position is anticipated to close on Feb 27, 2026\. h4\&gt;About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70">
      <c r="A70" t="inlineStr">
        <is>
          <t>li-4333379769</t>
        </is>
      </c>
      <c r="B70" t="inlineStr">
        <is>
          <t>Platform Product Manager</t>
        </is>
      </c>
      <c r="C70" t="inlineStr">
        <is>
          <t>Beckman Coulter Diagnostics</t>
        </is>
      </c>
      <c r="D70" t="inlineStr">
        <is>
          <t>linkedin</t>
        </is>
      </c>
      <c r="E70" t="inlineStr"/>
      <c r="F70" t="inlineStr"/>
      <c r="G70" t="inlineStr">
        <is>
          <t>Chaska, MN</t>
        </is>
      </c>
      <c r="H70" t="inlineStr"/>
      <c r="I70" t="inlineStr">
        <is>
          <t>**Bring more to life.**
 Are you ready to accelerate your potential and make a real difference within life sciences, diagnostics and biotechnology?
 At Beckman Coulter Diagnostics, one of Danaher’s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As a global leader in clinical diagnostics, Beckman Coulter Diagnostics has challenged convention to elevate the diagnostic laboratory’s role in improving patient health for more than 90 years. Our diagnostic solutions are used in routine and complex clinical testing, and are used in hospitals, reference and research laboratories, and physician offices around the world. Every hour around the world, more than one million tests are run on Beckman Coulter Diagnostics systems, impacting 1\.2 billion patients and more than three million clinicians per year. From uncovering the next clinical breakthrough, to rapid and reliable sample analysis, to more rigorous decision making—we are enabling clinicians to deliver the best possible care to their patients with improved efficiency, clinical confidence, adaptive collaboration, and accelerated intelligence.
 Learn about the Danaher Business System which makes everything possible.
 The
 **Platform Product Manager** 
 is responsible for Develops specific marketing plans and activities for specific product(s) or product line(s) to establish, enhance or distinguish product placement within the competitive arena. Develops business plans and product positioning in the marketplace. Oversees market research, monitors competitive activity and identifies customer needs. Establishes pricing strategies. Works with engineering, manufacturing and sales to develop new products or enhance existing product(s) or product line(s).
 This position reports to the VP Automation Clinical IT Innovations, Product and Program Management and is part of the Product Management/Marketing Team.
 The role is an
 **ONSITE** 
 role and can either be based in
 **Munich** 
 (Germany) or in
 **Chaska** 
 (USA).
**In This Role, You Will Have The Opportunity To**
* Define and maintain a platform product strategy and multigenerational roadmap aligned with the needs of the service organization and all instrument product lines.
* Translate user\-centric service and product requirements into reusable platform capabilities such as IoT\-based instrument connectivity, authentication, data management, predictive maintenance, analytics, and GenAI\-powered workflows.
* Collaborate across a highly matrixed organization, aligning cross\-functional stakeholders from Product Management, Service, R\&amp;D, Regulatory, and Software Engineering.
* Gather, prioritize, and evangelize customer use cases for the digital platform that enhance instrument reliability, service efficiency, and user experience.
* Manage product lifecycle activities for digital platform components, including release planning, backlog prioritization, and cross\-functional feature delivery.
* Lead discovery and validation efforts with service teams and product lines to understand unmet needs and emerging opportunities for the digital software platform and serve as the voice of the customer (internal and external) for the digital platform, driving alignment and transparency across engineering and commercial teams.
* Leverage agile methodologies to drive fast\-paced, iterative development in compliance with regulatory standards and quality processes and track key performance indicators (KPIs) and platform adoption metrics to measure business impact and inform continuous improvement.
**The Essential Requirements Of The Job Include**
* Bachelor's degree in Engineering, Computer Science, or a related technical field, with 8\+ years of relevant experience; Master's degree preferred.
* Proven experience as a Product Manager or Product Owner for software platforms, enterprise software, or digital solutions in a large matrixed organization.
* Demonstrated ability to gather and translate complex user needs into clear, actionable roadmaps and platform features.
* Experience working with cross\-functional teams in regulated environments—such as medical devices, diagnostics, or healthcare software.
* Excellent communication, influencing, and stakeholder engagement skills with the ability to align diverse teams around a shared vision.
* Ability to balance short\-term delivery pressures with long\-term strategic goals in a fast\-moving and mission\-critical environment.
**It would be a plus if you also possess previous experience in:**
* Demonstrated track record of successfully applying technologies to develop creative and efficient solutions, especially in the context of IoT integration and smart instrument connectivity.
* Experience working with cross\-functional teams in regulated environments—such as medical devices, diagnostics, or healthcare software.
* Strong understanding of platform thinking and product lifecycle management for enabling cross\-functional software development at scale.
 Beckman Coulter Diagnostics, a Danaher operating company, offers a broad array of comprehensive, competitive benefit programs that add value to our lives. Whether it’s a health care program or paid time off, our programs contribute to life beyond the job. Check out our benefits at Danaher Benefits Info.
 At Beckman Coulter Diagnostics we believe in designing a better, more sustainable workforce. We recognize the benefits of flexible, remote working arrangements for eligible roles and are committed to providing enriching careers, no matter the work arrangement. This position is eligible for a remote work arrangement in which you can work remotely from your home. Additional information about this remote work arrangement will be provided by your interview team. Explore the flexibility and challenge that working for Beckman Coulter Diagnostics can provide.
 The base salary range for this role is $140,000 – $170,000\. This role is also eligible for Sales Incentive Compensation (SIC). The total target compensation at plan (base \+ SIC) is $180,000 – $200,000 annually. Actual SIC earnings may exceed or fall below the target based on individual sales performance. This is the range that we in good faith believe is the range of possible compensation for this role at the time of this posting. This range may be modified in the future.
 We offer comprehensive package of benefits including paid time off, medical/dental/vision insurance and 401(k) to eligible employees.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
 Danaher Corporation and all Danaher Companies are committed to equal opportunity regardless of race, color, national origin, religion, sex, age, marital status, disability, veteran status, sexual orientation, gender identity, or other characteristics protected by law.
 The U.S. EEO posters are available here.
 We comply with federal and state disability laws and make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contact:1\-202\-419\-7762 or applyassistance@danaher.com.</t>
        </is>
      </c>
    </row>
    <row r="71">
      <c r="A71" t="inlineStr">
        <is>
          <t>li-4366267394</t>
        </is>
      </c>
      <c r="B71" t="inlineStr">
        <is>
          <t>Program Manager, Community Support</t>
        </is>
      </c>
      <c r="C71" t="inlineStr">
        <is>
          <t>Airbnb</t>
        </is>
      </c>
      <c r="D71" t="inlineStr">
        <is>
          <t>linkedin</t>
        </is>
      </c>
      <c r="E71" t="inlineStr"/>
      <c r="F71" t="inlineStr"/>
      <c r="G71" t="inlineStr"/>
      <c r="H71" t="inlineStr"/>
      <c r="I71"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Community Support Team within Global Operations is the voice of the Airbnb brand, with over 20,000 ambassadors supporting our community and providing the glue that helps power millions of experiences and a sense of community and belonging for guests and hosts on our platform each year.
 Our organization deeply believes in providing a frictionless experience at scale, works across the company to ensure the support experience is integrated across the entire lifecycle, and endeavors to make support a secret weapon and strategic differentiator for our brand.
**The Difference You Will Make**
 As a PM in Community Support, you are responsible for implementing cross\-functional and cross\-platform programs that drive the strategic goals of the Community Support organization and Airbnb. You serve as the bridge between critical business functions such as Community Support, Product/Platform, Design, Engineering, Policy and Shared Services teams, aligning stakeholders and shepherding teams through the process of bringing our strategic initiatives to life. You will deliver on the end\-to\-end scoping, planning, execution, and launch of initiatives to achieve success for our product, hosts, and guests. This high touch individual must come with experience working with seasoned executives, and be able to work with and influence stakeholders throughout Airbnb. You’ll play a critical role in bringing to life Community Support’s vision to build the world’s most loyal travel community through exceptional service.
**A Typical Day**
* Build an understanding of how their program fits within the broader company initiatives, including cross\-functional teams, related programs, and organizational ways of working. With guidance, synthesizes these various external influences and adapts program delivery to reach an ideal outcome
* With minimal guidance, drives a project vision and purpose by collaborating with cross\-functional teams.
* Manages cross\-functional meetings and aligns stakeholders and teams to drive action plans and results.
* Develops plans and monitors progress against the plan, communicates and effectively escalates issues and blockers with path to green recommendations
* Evaluates existing governance structures and optimises or creates new ones for the program team, seeks leadership feedback.
* Produces and revises documents and presentations that are leadership\-ready, seeks guidance to refine as needed.
* Communicates complex information or ideas at the right altitude for the audience.
**Your Expertise**
* Bachelor's Degree or equivalent, preferably in education or related field;
* 4\+ years of broad experience in customer service across contact center operations, digital support, and contact center technology
* Experience managing and executing complex, cross\-functional projects, ideally in a contact center and/or customer service environment
* Organized and collaborative Program Manager who inspires and motivates their team while driving results on time, and at high quality
* Understanding of technology use cases in customer service and contact centers
* Experience in creating project plans and business cases to show measurable impact of program, progress and project execution
* Ability to create compelling presentations and storytelling to to executives
* Experience and ease interacting with and influencing senior stakeholders
* Proven ability to pivot and deal with ambiguous situations resulting in a structured outcome.
* Exceptional collaboration, partnership and influencing skills with the ability to work in a global environment across multiple locations and time zones to drive consensus across teams
* Grace under pressure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$129,000—$152,000 USD</t>
        </is>
      </c>
    </row>
    <row r="72">
      <c r="A72" t="inlineStr">
        <is>
          <t>li-4373956893</t>
        </is>
      </c>
      <c r="B72" t="inlineStr">
        <is>
          <t>Associate Product Manager-Downstream Marketing (NC)</t>
        </is>
      </c>
      <c r="C72" t="inlineStr">
        <is>
          <t>Lensa</t>
        </is>
      </c>
      <c r="D72" t="inlineStr">
        <is>
          <t>linkedin</t>
        </is>
      </c>
      <c r="E72" t="inlineStr"/>
      <c r="F72" t="inlineStr"/>
      <c r="G72" t="inlineStr">
        <is>
          <t>Morrisville, NC</t>
        </is>
      </c>
      <c r="H72" t="inlineStr"/>
      <c r="I7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Teleflex. Clicking "Apply Now" or "Read more" on Lensa redirects you to the job board/employer site. Any information collected there is subject to their terms and privacy notice.
 Associate Product Manager\-Downstream Marketing (NC)
**Date:** 
 Feb 7, 2026
**Location:** 
 Morisville, NC, US
**Company:** 
 Teleflex
**Expected Travel** 
 : Up to 25%
**Requisition ID** 
 :13038
**About Teleflex Incorporated**
 As a global provider of medical technologies, Teleflex is driven by our purpose to improve the health and quality of people's lives. Through our vision to become the most trusted partner in healthcare, we offer a diverse portfolio with solutions in the therapy areas of anesthesia, emergency medicine, interventional cardiology and radiology, surgical, vascular access, and urology. We believe that the potential of great people, purpose\-driven innovation, and world\-class products can shape the future direction of healthcare.
 Teleflex is the home of Arrow, Barrigel, Deknatel, LMA, Pilling, QuikClot, Rüsch, UroLift and Weck \- trusted brands united by a common sense of purpose.
 At Teleflex, we are empowering the future of healthcare. For more information, please visit
 **teleflex.com** 
 .
**Surgical** 
 \- Whatever the latest surgical breakthrough looks like, Teleflex is working to make it happen. From our
 ***MiniLap Percutaneous Surgical System***
 to our
 ***Weck Hem\-o\-lok Polymer Locking Ligation System***
 , and
 ***Weck EFx Shield Fascial Closure System***
 , our portfolio of products adds up to a powerful offering of solutions that help to improve patient outcomes. These innovative, minimally invasive surgery products are offered alongside time\-tested and trusted
 ***Pilling Surgical Instrument***
***and***
***Lightsource***
 solutions, as well as the
 ***Titan SGS Stapler***
 portfolio that equips surgeons with advanced bariatric technologies that are designed to deliver a consistent sleeve shape to help enhance perioperative outcomes in sleeve gastrectomy. This wide array of devices and instruments helps meet the challenges of an evolving healthcare environment.
**Position Summary**
 The
 **Weck portfolio of ligation solutions** 
 from Teleflex, including the renowned
 **Hem\-o\-lok®** 
 and
 **Horizon® Ligation Systems** 
 , has empowered surgeons around the world to ligate with security and confidence for decades. Globally, this portfolio represents more than
 **$180 million in annual revenue** 
 for the Surgical Business Unit.
 More than just clips, the Weck ligation portfolio is built around a core commitment to
 **service excellence** 
 \-encompassing
 **applier maintenance, staff training, inventory management, repair programs, and clinical education** 
 \-all of which contribute to an exceptional customer experience and enduring market leadership.
 The
 **Associate** 
**Product Manager, Ligation Portfolio** 
 will be responsible forassistingin the
 **creation, execution, and management of full\-stream marketing initiatives** 
 for the Weck ligation portfolio, with a particular emphasis on the
 **Horizon® platform** 
 and
 **service programs** 
 across the global ligation business.
 This role will collaborate cross\-functionally to drive commercial growth, develop marketing content and campaigns, and work closely with the Sales organization to ensure seamless execution of marketing strategies and alignment with business objectives.
 This position will be based in Morrisville, NC 3 days a week.
**Principal Responsibilities**
* Support the strategic and tactical marketing activities for the Weck ligation portfolio, with a focus on the Horizon® product line and associated service and repair programs.
* Collaborate with cross\-functional partners including Sales, MarCom, Operations, and Service to assist in the execution of marketing initiatives and ensure alignment across teams.
* Assist in the development of marketing collateral, training tools, and promotional campaigns that drive product awareness, adoption, and growth.
* Gather and analyze competitive intelligence, market trends, and customer insights to support strategic recommendations and identify new opportunities.
* Contribute to initiatives that enhance the customer experience, strengthen field engagement, and reinforce Weck's leadership in surgical ligation.
* Demonstrate a proactive, team\-oriented approach and support additional projects or responsibilities as assigned.
* Partner with the sales team to conduct customer research in the field
* Uphold the Teleflex Code of Ethics and adhere to all company policies, procedures, and quality standards.
 This position requires direct contact with an implantable device. ? Yes ? No
**Education / Experience Requirements**
* Four\-year College degree, MBA preferred
* 1\-3 years marketing experience preferred
* 2\+ years of clinical experience with surgical medical devices in the OR setting preferred
* Medical Device sales experience a plus
* Experience in local brand marketing (line marketing) with responsibility for a brand or portfolio of brands within a country or region preferred
**Specialized Skills / Other Requirements**
* Strategic thinker who knows the importance of flawless execution
* Ability to work with colleagues to drive consensus on product portfolio decisions
* Advanced communication skills resulting in the ability to gain alignment with senior management and to work with colleagues to drive consensus on product line decisions
* Ability to drive focus and prioritization
* Experience in insights generation, portfolio management, brand strategy, new product development, market research, positioning, messaging, and segmentation
* Understands new product development processes and the medical regulatory environment
* Self\-starter, knows how to approach the job, passionate about the industry
* Able to work in a lean environment without a large infrastructure behind him/her
* Willing to create and fix processes when and where necessary for success
* Unquestionable ethics and integrity
 TRAVEL REQUIRED: 30 % domestic and international
*At Teleflex, we follow a comprehensive hiring process. We do not accept unsolicited resumes from agency recruiters or 3rd party firms. We do not make unsolicited job offers. We do not ask for money or require equipment purchase up\-front.*
*Teleflex Incorporated is an equal opportunity employer. Applicants will be considered without regard to age, race, religion, color, national origin, ancestry, sexual orientation, disability, nationality, sex, or veteran status. If you require accommodation to apply for a position, please contact us at: 877\-880\-8588 or Talent@Teleflex.com.*
*Teleflex, the Teleflex logo, Arrow, Barrigel, Deknatel, LMA, Pilling, QuikClot, Rüsch, UroLift and Weck are trademarks or registered trademarks of Teleflex Incorporated or its affiliates, in the U.S. and/or other countries.*
*© 2025 Teleflex Incorporated. All rights reserved.*
 If you have questions about this posting, please contact support@lensa.com</t>
        </is>
      </c>
    </row>
    <row r="73">
      <c r="A73" t="inlineStr">
        <is>
          <t>li-4355789595</t>
        </is>
      </c>
      <c r="B73" t="inlineStr">
        <is>
          <t>Technical Program Manager – Adversarial Model Research</t>
        </is>
      </c>
      <c r="C73" t="inlineStr">
        <is>
          <t>OpenAI</t>
        </is>
      </c>
      <c r="D73" t="inlineStr">
        <is>
          <t>linkedin</t>
        </is>
      </c>
      <c r="E73" t="inlineStr"/>
      <c r="F73" t="inlineStr"/>
      <c r="G73" t="inlineStr">
        <is>
          <t>San Francisco, CA</t>
        </is>
      </c>
      <c r="H73" t="inlineStr"/>
      <c r="I73" t="inlineStr">
        <is>
          <t>**About The Team**
 The Human Data team at OpenAI is responsible for identifying and mitigating risks in advanced AI systems by designing evaluations, surfacing vulnerabilities, and collaborating closely with researchers to strengthen model reliability and public trust.
**About The Role**
 As a Technical Program Manager, you will lead initiatives that test the safety and robustness of OpenAI’s models through creative experimentation and structured evaluation. You’ll coordinate efforts across research and engineering teams to transform ambiguous risks into concrete research programs and influence future model development and deployment.
 We’re looking for people who are technically savvy, comfortable with ambiguity, and excited about shaping the future of safe AI.
 This role is based in San Francisco, CA. We use a hybrid work model of 3 days in the office per week and offer relocation assistance to new employees.
**In This Role, You Will**
* Lead programs that explore unexpected model behaviors and identify failure modes.
* Translate vague or emergent risk signals into clear priorities and actionable research plans.
* Design and run creative evaluations, experiments, and red\-teaming campaigns.
* Collaborate with research, product, and deployment teams to integrate findings into model training and deployment cycles.
* Develop repeatable systems for tracking model performance and understanding emerging behavior patterns.
**You Might Thrive In This Role If You**
* Have strong experience in technical program management, with excellent organizational and communication skills.
* Are familiar with large language models, prompt engineering, or model evaluation techniques.
* Are comfortable managing fast\-paced, high\-uncertainty projects and shaping them from the ground up.
* Are creative and resourceful in devising new methods for testing model behavior and performance.
* Can effectively coordinate across technical and non\-technical stakeholders to drive alignment and execution.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74">
      <c r="A74" t="inlineStr">
        <is>
          <t>li-4366312332</t>
        </is>
      </c>
      <c r="B74" t="inlineStr">
        <is>
          <t>Sr. Product Manager - Tech, Supply Chain, Amazon Leo - Inventory and Fulfillment Technology</t>
        </is>
      </c>
      <c r="C74" t="inlineStr">
        <is>
          <t>Amazon</t>
        </is>
      </c>
      <c r="D74" t="inlineStr">
        <is>
          <t>linkedin</t>
        </is>
      </c>
      <c r="E74" t="inlineStr"/>
      <c r="F74" t="inlineStr"/>
      <c r="G74" t="inlineStr">
        <is>
          <t>Redmond, WA</t>
        </is>
      </c>
      <c r="H74" t="inlineStr"/>
      <c r="I74" t="inlineStr">
        <is>
          <t>**Description**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As part of Leo's Inventory and Fulfillment Technology (IFT) team, you will play a pivotal role in building and launching global transportation and operational cost allocation capabilities. You will be responsible for developing an impactful technical product suite that meets Leo's global expansion plan. This requires exceptional foresight to design future\-proof integration patterns that can evolve with both business needs and regulatory requirements while minimizing changes to business systems.
 The ideal candidate for this role has strong business and product sense combined with a solid understanding of financial and accounting concepts. You will need to thrive and succeed in an entrepreneurial environment without being hindered by ambiguity. You will work with multiple engineering teams across organizations and partner with our customers across Tax, Accounting, Finance, Trade and other teams to define product vision, roadmap, detail product requirements and testing plan. You will drive difficult trade\-off decisions and communicate the solutions clearly to stakeholders across tech and business organizations to help them understand decisions and options. You will need to dive deep with the development team and challenge the design as needed to drive technical trade\-off decisions.
 High judgment, ability to influence, analytical talent, exceptional communications, the ability to partner with technical and non\-technical stakeholders and leadership are essential to success in this role.
 Key job responsibilities
* Define and align product vision with business goals, and develop the product roadmap to achieve the product vision and business results.
* Collaborate with global Finance, Accounting and Tax partners and product managers to identify detail product requirements and work closely with engineering to manage feature release schedules, risks, and trade\-offs.
* Influence techs design in partnership with engineering teams in Leo and in Amazon to make sure technology choices are aligned to our needs, and ensure product re\-usability and avoid redundancies.
* Develop testing and communicate plans for feature releases.
 Export Control Requirement: Due to applicable export control laws and regulations, candidates must be a U.S. citizen or national, U.S. permanent resident (i.e., current Green Card holder), or lawfully admitted into the U.S. as a refugee or granted asylum.
 A day in the life
 As an IFT employee at Leo, your day involves collaborating with Engineering teams to prioritize critical work, ensuring alignment with launch deadlines. You'll engage with customers and regional leaders across continents to define requirements, balancing global fulfillment needs with regional nuances. Coordinating with external technical teams is key, as you develop and execute a comprehensive plan to meet technical deliverables on time. Your role is a blend of technical oversight and cross\-functional collaboration, ensuring that each aspect of the global fulfillment strategy is ready for launch and optimized for success.
**About The Team**
 Work/Life Balance
 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**Basic Qualifications**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Redmond \- 151,200\.00 \- 204,600\.00 USD annually
**Company** 
 \- Amazon Kuiper Commercial Services LLC
 Job ID: A3167162</t>
        </is>
      </c>
    </row>
    <row r="75">
      <c r="A75" t="inlineStr">
        <is>
          <t>li-4297968635</t>
        </is>
      </c>
      <c r="B75" t="inlineStr">
        <is>
          <t>Product Manager (Salesforce)</t>
        </is>
      </c>
      <c r="C75" t="inlineStr">
        <is>
          <t>CMC</t>
        </is>
      </c>
      <c r="D75" t="inlineStr">
        <is>
          <t>linkedin</t>
        </is>
      </c>
      <c r="E75" t="inlineStr"/>
      <c r="F75" t="inlineStr"/>
      <c r="G75" t="inlineStr">
        <is>
          <t>Irving, TX</t>
        </is>
      </c>
      <c r="H75" t="inlineStr"/>
      <c r="I75" t="inlineStr">
        <is>
          <t>**it’s what’s inside that counts**
**\_\_\_\_\_\_\_\_\_\_\_\_\_\_\_\_\_\_\_\_\_\_\_\_\_\_\_\_\_\_\_**
 There’s more to CMC than our products and the buildings, structures, and roads they go into. At CMC, it’s the people inside our recycling centers, fabrication plants, manufacturing facilities, steel mills and offices that make us who we are as a company. Our success comes from finding, retaining, and supporting the highest quality talent by offering:
* Day 1 Benefits Coverage with low cost Medical, Vision and Dental
* Day 1 Paid\-time Off and Vacation
* 4\.5% Company Match 401(k) Plan
* $500 Annual Company\-paid Lifestyle Benefit
* Competitive Compensation and Bonuses
* Company\-paid Life and Disability Insurance
* Employee Stock Purchase Plan
* Training and Advancement Opportunities
**Why This Job**
 CMC provides an excellent opportunity to learn the steel, construction reinforcement and ground stabilization industries and to grow in your career. Whether you will spend your day brainstorming in an office cubicle, operating a crane, running manufacturing equipment or troubleshooting technical obstacles, at CMC, you’ll get the training and support from your team that you need to excel in your role and reach your full potential.
**What You'll Do**
* Work directly with a line of business to develop a product roadmap outlining features, functions, and release plans based on market research, customer feedback, and business objectives.
* Act as the central point of contact to reach consensus and drive business decisions that build the roadmap.
* Conduct market research to identify customer needs, market trends, and the competitive landscape.
* Analyze data to make informed decisions about product features and improvements.
* Work closely with cross\-functional teams, including IT, design, marketing, sales, and operations, to ensure successful digital development and launch.
* Communicate product updates, milestones, and the roadmap to internal stakeholders and external audiences.
* Deliver product updates and enhancements across multiple channels internally and externally in conjunction with the Enablement team.
* Manage relationships and projects with external partners around specific initiatives or deployments.
* Lead the product development process from concept to launch, including planning, development, testing, and release.
* Define product requirements, specifications, and feature prioritization based on customer and market insights.
* Gather feedback to iterate and improve product features and functionality.
* Maintain a detailed view of the product, including epics and user stories, and plan future sprints to ensure value is optimized.
* Identify dependencies between product features, time constraints, and KPI metrics while managing several competing priorities between stakeholders, end\-users and developers, and constant changes to the priorities of the product.
* Develop go\-to\-market strategies and promotional campaigns in collaboration with the Commercial Operations and Marketing teams.
* Provide product training and support to internal teams, customers, and partners as needed.
* Manage the product lifecycle, including updates, enhancements, and end\-of\-life decisions.
* Monitor market trends and the competitive landscape to identify opportunities for innovation, differentiation, or alternatives.
* Ability to translate customer needs and market insights into actionable product requirements.
* Release planning and tracking skills, collaboration with development teams, and drive for process improvement.
**What You'll Need**
* Excellent analytical and problem\-solving skills
* Strong learning aptitude and agility. Strong leadership and communication skills
* Salesforce Associate: Validates foundational knowledge in Salesforce, including reporting, user administration, sharing, customization, and data management.
* Marketing Associate: Highlights foundational understanding of Salesforce Marketing Cloud and general marketing concepts.
* Salesforce Administrator: Demonstrates skills in managing and configuring Salesforce, including user setup, security, and data management would be a plus.
* Knowledge of implementation methodologies and different product development approaches.
* Experience using project management tools such as Jira, TFS, Salesforce Agile Accelerator
* Ability to liaise with stakeholders at all levels.
**Your Education**
* Bachelor's Degree or equivalent relevant experience required
 We are CMC, a Fortune 500® company at the leading edge of our industry. Our construction reinforcement and steel products have supported construction projects and structures around the world. The secret to our success? We’ve built our legacy by assembling a team of innovators and doers to tackle some of the most challenging construction reinforcement problems facing our world for more than 100 years — and we’re just getting started.
 If you’re ready to join a team working to make our industry more sustainable, support the bridges, roadways, buildings and infrastructure that connects our communities, and do meaningful work, you’re ready to join CMC. Apply today and start moving your career — and our world — forward. Let's build a better world!
*CMC is committed to providing equal employment opportunities (EEO) to all employees and applicants for employment without regard to race, color, religion, sex, age, physical or mental disability, national origin, citizenship, military or veteran status, sexual orientation, gender identity and/or expression, genetic information, or other status protected by federal, state or local law.*
*From Fortune Magazine. © 2025 Fortune Media IP Limited. All rights reserved. Used under license.*</t>
        </is>
      </c>
    </row>
    <row r="76">
      <c r="A76" t="inlineStr">
        <is>
          <t>li-4366214431</t>
        </is>
      </c>
      <c r="B76" t="inlineStr">
        <is>
          <t>Principal Product Manager, Tax Platform</t>
        </is>
      </c>
      <c r="C76" t="inlineStr">
        <is>
          <t>Gusto</t>
        </is>
      </c>
      <c r="D76" t="inlineStr">
        <is>
          <t>linkedin</t>
        </is>
      </c>
      <c r="E76" t="inlineStr"/>
      <c r="F76" t="inlineStr"/>
      <c r="G76" t="inlineStr">
        <is>
          <t>Denver, CO</t>
        </is>
      </c>
      <c r="H76" t="inlineStr"/>
      <c r="I76"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**By The Numbers**
* Named \#1 best software for small business of 2024 by G2
* 2,700\+ employees in the United States, Canada, Mexico, and Turkiye and growing
* Over $500M in annual revenue
* The SMB market is large (and growing!) with huge opportunities for Gusto to make an incredible impact for SMBs
+ There are 6\.2M employers in the US, 98% have fewer than 100 employees (1\)
+ 550,000 new businesses are created each year in the US (1\)
**What Product Management Is Like At Gusto**
* We’re looking for high\-autonomy, entrepreneurial Product Managers to come build high\-impact solutions for small businesses and their employees. We believe in high\-ownership Product Managers who operate like business owners \- owning an entire roadmap end to end, and shaping the product from strategy setting through the nitty gritty execution details.
* Our Product team is lean, which means you’ll have a high degree of impact and ownership.
* We’re here to serve small and medium businesses. Gusto has a strong mission\-driven culture, and we care deeply about lifting up these business owners.
**About The Team**
 Tax is a critical pillar of Gusto’s platform. The Tax Platform team owns the core systems that determine how tax liabilities are calculated, tracked, paid, reconciled, and filed for more than 400,000 small businesses.
 These systems sit at the intersection of money movement, regulatory compliance, and customer trust. The Tax Platform provides shared capabilities used across Tax, Compliance, and R\&amp;D, shaping how tax data flows through the company and how other teams build safely on top of Gusto’s tax foundation.
 This is high\-leverage, system\-level work. The team is actively modernizing tightly coupled legacy systems, improving correctness and traceability, and creating durable platform capabilities that reduce risk and unlock faster product development across the company. We partner closely with Engineering, Compliance, Legal, CX, Data Science, and Operations to ensure Gusto’s tax platform remains accurate, scalable, and resilient as the business grows.
**Here’s What You’ll Do Day\-to\-day**
* Ownership: Own the strategy, roadmap, and execution for foundational Tax Platform systems, with responsibility for shaping platform direction across multiple quarters and years.
* North Star: Define and evolve a clear Tax Platform strategy that ladders into Gusto’s broader Tax strategy, bringing clarity to ambiguous problem spaces and guiding day\-to\-day decisions around prioritization, sequencing, and tradeoffs.
* Collaborate \&amp; Evangelize: Partner closely with Engineering, Compliance, Legal, CX, Data Science, and Product teams to align priorities, unblock dependencies, and drive adoption of shared platform capabilities. Translate between platform work and customer and business outcomes to help engineering teams understand impact and help stakeholders understand the value and tradeoffs of platform investments.
* Customer Impact: Tie platform initiatives to customer outcomes by using data, domain expertise, and partner input to prioritize work that improves accuracy, timeliness, trust, and operational reliability.
* Execution Excellence: Advocate for durable, correct, and scalable solutions while maintaining momentum through incremental delivery, thoughtful sequencing, and clear success metrics.
**Here’s What We're Looking For**
* 8\+ years of product management experience, including meaningful ownership of platform teams, strategy and multi\-year initiatives that created leverage across multiple teams or product areas.
* Demonstrated success operating in complex, multi\-product environments with cross\-team dependencies and internal platform customers.
* Strong system\-level thinking and product judgment, with the ability to navigate ambiguity, make hard tradeoffs, and drive clarity without relying on consensus.
* Experience evolving or modernizing critical systems over time, balancing short\-term delivery with long\-term platform health and risk reduction.
* Comfort working in regulated or compliance\-sensitive domains such as payroll tax, fintech, HR, or legal tech, with a deep appreciation for accuracy, auditability, and customer trust.
* Proven ability to partner closely with engineering teams and translate between platform decisions, customer impact, and business outcomes.
* A strong POV on building products in the age of AI; experience building AI\-driven features is a big bonus
*If you don't think you meet all of the criteria above but still are interested in the job, please apply. Nobody checks every box, and we're looking for someone excited to join the team.*
 Our cash compensation amount for this role is targeted at $180,000 to $224,000/yr in Denver \&amp; most major metro locations, and $210,000 to $263,000/yr for San Francisco, New York, \&amp; Seattle. Final offer amounts are determined by multiple factors including candidate location, experience and expertise and may vary from the amounts listed above
**Where do PMs at Gusto work?**
 We have offices in Denver, San Francisco, and New York and have remote team members across the US and Canada. We are actively hiring for the following Hubs: Toronto, Canada and Seattle, WA. Our open roles will specify on the careers page and in the job description where the position is eligible for work.
* Business Applications with Planned Wages (www.census.gov)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77">
      <c r="A77" t="inlineStr">
        <is>
          <t>li-4330440818</t>
        </is>
      </c>
      <c r="B77" t="inlineStr">
        <is>
          <t>Associate Manager, Enterprise Platform Product Owner - Office of the Chief Information Officer (OCIO)</t>
        </is>
      </c>
      <c r="C77" t="inlineStr">
        <is>
          <t>Regeneron</t>
        </is>
      </c>
      <c r="D77" t="inlineStr">
        <is>
          <t>linkedin</t>
        </is>
      </c>
      <c r="E77" t="inlineStr"/>
      <c r="F77" t="inlineStr"/>
      <c r="G77" t="inlineStr">
        <is>
          <t>Sleepy Hollow, NY</t>
        </is>
      </c>
      <c r="H77" t="inlineStr"/>
      <c r="I77" t="inlineStr">
        <is>
          <t>Are you passionate about driving enterprise platform strategies and delivering impactful solutions in the biotech industry? This role is designed for an experienced product owner with relevant pharmaceutical/biotech experience in disciplines including Project Portfolio Management (PPM), Technology Business Management (TBM), financial\-based systems, and enterprise architecture. The candidate should also possess a proven ability to lead cross\-functional teams, manage technical upgrades, oversee financial and resource management, collaborate with stakeholders, and craft compelling narratives for senior executives to realize business outcomes from digital technology platforms and investments.
**A Typical Day Might Include The Following**
* Define and maintain the product vision, strategy, and roadmap for enterprise platforms, with a focus on PPM, TBM, and financial\-based systems.
* Lead the creation of product roadmap presentations for steering committees and senior leadership, ensuring alignment with organizational goals.
* Collaborate with business stakeholders to understand their needs, prioritize features, and ensure platform capabilities deliver measurable value.
* Act as the primary liaison between business teams, IT teams, vendors, third\-party and internal helpdesks to gather requirements and ensure alignment.
* Facilitate workshops, discovery sessions, and regular communication with stakeholders to prioritize features and resolve challenges.
* Leverage expertise in PPM tools (e.g., Planview, Jira, Project Place, MS Project and others) to optimize project and portfolio management processes.
* Oversee the implementation and integration of TBM frameworks (e.g., Apptio, ServiceNow, Oracle) to enhance IT financial management, cost transparency, and value optimization.
* Ensure financial\-based systems (e.g., Oracle ERP, budgeting, forecasting) are seamlessly integrated with PPM and TBM platforms to enable comprehensive reporting and analytics.
* Ensure platform design and architecture align with enterprise standards, scalability, and security requirements.
* Lead the development of architecture documents for review and approval by enterprise architecture and governance teams.
* Provide oversight of platform services through the helpdesk, ensuring timely resolution of issues and optimal user satisfaction.
* Manage service\-related contracts, ensuring compliance, performance, and alignment with organizational goals.
* Track and analyze day\-to\-day metrics to monitor platform performance and identify areas for improvement.
* Manage and oversee technical upgrades for enterprise platforms, ensuring minimal disruption to business operations.
* Work closely with finance partners to articulate the financial impact of platform investments and ensure alignment with business objectives.
**This Role Might Be For You If You**
* Strong knowledge of PPM tools (e.g., Planview, Project Place, Jira, Microsoft Project) and TBM solutions (e.g., Apptio, ServiceNow TBM).
* Experience with enterprise architecture principles and system integration strategies.
* Knowledge of financial\-based systems (e.g., Oracle, Workday) and their integration with TBM frameworks.
* Proven ability to manage complex, cross\-functional projects and deliver results in a fast\-paced environment.
* Strong analytical skills, with the ability to translate business needs into technical requirements.
* Exceptional storytelling and interpersonal skills, with experience preparing executive\-level presentations that are clear, concise, and impactful.
* Experience in data governance, financial reporting, and compliance
**To Be Considered For This Role, You Must Have**
* Bachelor’s degree in Computer Science, Information Systems, Business Administration, or a related field (Master’s degree preferred).
* 7\+ years of experience in product ownership or management roles, with a focus on enterprise platforms, PPM tools, TBM frameworks, and financial\-based systems.
* Product Owner (CSPO) or similar Agile certification (preferred)
* TBM certifications (e.g., Apptio TBM Unified Certification) are highly desirable.
* PMP, SAFe Agile, or ITIL certifications are a plus.
 Does this sound like you? Apply now to take your first step towards living the Regeneron Way! We have an inclusive culture that provides comprehensive benefits, which vary by location. In the U.S., benefits may include health and wellness programs (including medical, dental, vision, life, and disability insurance), fitness centers, 401(k) company match, family support benefits, equity awards, annual bonuses, paid time off, and paid leaves (e.g., military and parental leave) for eligible employees at all levels! For additional information about Regeneron benefits in the US, please visit https://careers.regeneron.com/en/working\-at\-regeneron/total\-rewards/. For other countries’ specific benefits, please speak to your recruiter.
 Please be advised that at Regeneron, we believe we are most successful and work best when we are together. For that reason, many of Regeneron’s roles are required to be performed on\-site. Please speak with your recruiter and hiring manager for more information about Regeneron’s on\-site policy and expectations for your role and your location.
 Regeneron is an equal opportunity employer and all qualified applicants will receive consideration for employment without regard to race, color, religion or belief (or lack thereof), sex, nationality, national or ethnic origin, civil status, age, citizenship status, membership of the Traveler community, sexual orientation, disability, genetic information, familial status, marital or registered civil partnership status, pregnancy or parental status, gender identity, gender reassignment, military or veteran status, or any other protected characteristic in accordance with applicable laws and regulations. The Company will also provide reasonable accommodation to the known disabilities or chronic illnesses of an otherwise qualified applicant for employment, unless the accommodation would impose undue hardship on the operation of the Company's business.
 For roles in which the hired candidate will be working in the U.S., the salary ranges provided are shown in accordance with U.S. law and apply to U.S.\-based positions. For roles which will be based in Japan and/or Canada, the salary ranges are shown in accordance with the applicable local law and currency. If you are outside the U.S, Japan or Canada, please speak with your recruiter about salaries and benefits in your location.
 Please note that certain background checks will form part of the recruitment process. Background checks will be conducted in accordance with the law of the country where the position is based, including the type of background checks conducted. The purpose of carrying out such checks is for Regeneron to verify certain information regarding a candidate prior to the commencement of employment such as identity, right to work, educational qualifications etc.
****Salary Range (annually)****
 $114,800\.00 \- $187,400\.00</t>
        </is>
      </c>
    </row>
    <row r="78">
      <c r="A78" t="inlineStr">
        <is>
          <t>li-4373963851</t>
        </is>
      </c>
      <c r="B78" t="inlineStr">
        <is>
          <t>Senior Technical Program Manager</t>
        </is>
      </c>
      <c r="C78" t="inlineStr">
        <is>
          <t>Lensa</t>
        </is>
      </c>
      <c r="D78" t="inlineStr">
        <is>
          <t>linkedin</t>
        </is>
      </c>
      <c r="E78" t="inlineStr"/>
      <c r="F78" t="inlineStr"/>
      <c r="G78" t="inlineStr">
        <is>
          <t>Glendale, CA</t>
        </is>
      </c>
      <c r="H78" t="inlineStr"/>
      <c r="I7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The Walt Disney Company. Clicking "Apply Now" or "Read more" on Lensa redirects you to the job board/employer site. Any information collected there is subject to their terms and privacy notice.
 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**Building the future of Disney's media:** 
 Our Technologists are designing and building the products and platforms that will power our media, advertising, and distribution businesses for years to come.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**Innovation:** 
 We develop and implement groundbreaking products and techniques that shape industry norms, and solve complex and distinctive technical problems.
 The Business Operations team helps guide and articulate technology strategy and research, and is responsible for driving the day\-to\-day operation of the Product \&amp; Technology organization, including: project and portfolio management and tracking; organization\-level capital, space, and resource management and allocation; process management; technical incident management; and our administrative and workplace experience support team.
 This position is part of the Global Program Management team which manages the execution of DE\&amp;E Technology programs, including scope, delivery schedules and budgets in addition to identifying dependencies, managing risks and quantifying business impact. This role collaborates with Product, Engineering and QA to understand and rationalize strategic roadmaps while providing easy to understand, transparent reporting to leadership during delivery.
**Job Summary**
 Within the Business Operations organization the Technical Program Manager is responsible for managing small through large\-scale, complex projects in the Software Engineering area from initiation through closure. These initiatives will involve daily hands\-on management of technology activities utilizing Agile and Scrum based software development practices; and may include working with other technical teams to effectively deliver business solutions.
 This role requires a wide range of leadership competencies, technical (PM) experience and communications skills. Responsible for managing projects using DE\&amp;E Technology processes, tools and methodologies, which includes the development of the scope of work and the management of time, cost, risk, and communications.
**Responsibilities And Duties Of The Role**
* Lead execution of cross\-functional technical programs.
* Act as Scrum Lead for one or more agile teams\-facilitating sprint planning, stand\-ups, retrospectives, and backlog refinement.
* Partner with Product, Engineering, Design, and QA leads to ensure roadmaps are actionable, realistic, and aligned with long\-term business goals.
* Drive accountability and team health to help teams stay focused, remove blockers, and improve velocity over time.
* Anticipate integration challenges between teams and systems by surfacing and resolving cross\-functional risks and dependencies early.
* Facilitate and participate in technical design reviews, contributing to clarity in decision\-making and ensuring alignment across stakeholders.
* Translate complex technical concepts into accessible language for partners across the business, from editorial and content ops to executive stakeholders.
* Define and track key metrics for delivery and quality and use data to identify areas for continuous improvement.
* Foster a collaborative, transparent, and inclusive team culture.
**Technical Proficiency**
* Intermediate understanding of technical domains relevant to media (e.g., mobile, web and living device development, streaming infrastructure, video pipelines, CDN architecture, media asset management).
* Can analyze and facilitate decisions around technical challenges with some direction from engineers.
* Helps bridge technical and non\-technical worlds by connecting dots between backend services, APIs, delivery pipelines, and user\-facing applications.
* Comfortable guiding technical discussions and identifying trade\-offs.
**Required Education, Experience/Skills/Training**
* Minimum Qualifications:
* 5\+ years of experience in technical program management, with at least 4\+ years leading Agile software teams as a Scrum Lead or equivalent.
* A strong delivery mindset. Able to lead programs from ambiguity to clarity, idea to launch.
* Experience in media, streaming, or digital content technologies is a plus.
* Excellent communication, organization, and stakeholder management skills\-you're the connective tissue between teams.
* Hands\-on experience with Agile tools like Jira, Confluence, and a working knowledge of Agile/Scrum principles and ceremonies.
* Extensive knowledge and experience with the software development lifecycle.
* BA/BS or equivalent experience required.
* Preferred Qualifications:
* CSM / CSP Certification preferred.
* Experience in streaming media software and digital technology.
* Experience with backend systems, machine learning, and personalization a plus.
* Have some technical proficiency demonstrated in any number of ways, ex. coding skills, quality assurance experience or technical writing background or similar.
 The hiring range for this position in Glendale, CA is $129,300 to $173,300 per year and in Bristol, CT is $129,300 to $173,000 per year and in New York, NY is $135,000 to $181,600\.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**Job ID:** 
 10141768
**Location:** 
 Glendale,California
**Job Posting Company:** 
 Disney Entertainment and ESPN Product \&amp; Technology
 The Walt Disney Company and its Affiliated Companies are Equal Employment Opportunity employers and welcome all job seekers including individuals with disabilities and veterans with disabilities. If you have a disability and believe you need a reasonable accommodation in order to search for a job opening or apply for a position, email Candidate.Accommodations@Disney.com with your request. This email address is not for general employment inquiries or correspondence. We will only respond to those requests that are related to the accessibility of the online application system due to a disability.
 If you have questions about this posting, please contact support@lensa.com</t>
        </is>
      </c>
    </row>
    <row r="79">
      <c r="A79" t="inlineStr">
        <is>
          <t>li-4373973591</t>
        </is>
      </c>
      <c r="B79" t="inlineStr">
        <is>
          <t>Lead Program Manager - REMOTE</t>
        </is>
      </c>
      <c r="C79" t="inlineStr">
        <is>
          <t>Jobgether</t>
        </is>
      </c>
      <c r="D79" t="inlineStr">
        <is>
          <t>linkedin</t>
        </is>
      </c>
      <c r="E79" t="inlineStr"/>
      <c r="F79" t="inlineStr"/>
      <c r="G79" t="inlineStr">
        <is>
          <t>Indiana, United States</t>
        </is>
      </c>
      <c r="H79" t="inlineStr"/>
      <c r="I79" t="inlineStr">
        <is>
          <t>This position is posted by Jobgether on behalf of a partner company. We are currently looking for a Principal Technical Program Manager. In this role, you will shape the future of project initiatives at our partner's organization, bringing clarity to complex challenges while collaborating with diverse teams. Your leadership will guide engineering and product teams to drive innovation and operational maturity, directly influencing the strategic direction of advanced technologies. As you work on high\-impact programs, your contributions will enhance workflows and integrate AI capabilities, fostering a culture of excellence and creativity within the framework of ongoing transformations. Your presence in this role is vital for cultivating strong partnerships and ensuring program success across the board.
**Accountabilities**
* Define and drive strategic initiatives and technical investments across multiple engineering teams.
* Collaborate with leaders and cross\-functional partners to translate business objectives into clear technical programs.
* Serve as the connective tissue across engineering, product, design, operations, and customer support.
* Partner with engineering and technical leaders to influence architectural direction and identify risks.
* Lead program execution from concept through delivery while anticipating risks and enabling teams.
* Drive process improvements that enhance visibility and strengthen platform reliability.
* Champion AI adoption by identifying opportunities to incorporate AI into products and workflows.
* Mentor TPMs and other program leaders, sharing best practices to scale program leadership.
**Requirements**
* 8\+ years of Technical Program Management experience in complex, multi\-team engineering initiatives.
* Strong technical fluency across modern engineering practices and software development lifecycle.
* Demonstrated ability to partner with engineering leaders to influence technical strategy.
* Proven track record of driving clarity and alignment in high\-ambiguity environments.
* Skilled at translating ambiguous requirements into structured, measurable programs.
* Exceptional communication skills to engage senior leaders confidently and concisely.
* Experience using AI tools to accelerate productivity and decision\-making processes.
**Benefits**
* Competitive base salary and eligibility for equity awards.
* Flexible work environment with remote work options.
* Opportunities for professional growth and mentorship.
* Inclusive company culture that values diverse experiences and perspectives.
* Access to the latest tools and technologies to enhance work efficiency.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80">
      <c r="A80" t="inlineStr">
        <is>
          <t>li-4303129076</t>
        </is>
      </c>
      <c r="B80" t="inlineStr">
        <is>
          <t>Clinical Product Manager - Pharmacist</t>
        </is>
      </c>
      <c r="C80" t="inlineStr">
        <is>
          <t>Hearst Health</t>
        </is>
      </c>
      <c r="D80" t="inlineStr">
        <is>
          <t>linkedin</t>
        </is>
      </c>
      <c r="E80" t="inlineStr"/>
      <c r="F80" t="inlineStr"/>
      <c r="G80" t="inlineStr"/>
      <c r="H80" t="inlineStr"/>
      <c r="I80" t="inlineStr">
        <is>
          <t>**Job Description**
**In Some Jobs You Take Orders. In This One, You Write History.**
**Join the healthcare information technology team that’s turning drug and medical device data into knowledge used by thousands of hospitals; the majority of U.S. health plans, retail pharmacies, and pharmacy benefit managers; and millions of healthcare decision makers throughout the world. Partnering with our information system developer and healthcare institution customers, you’ll help evolve leading\-edge thinking into reality and make a measurable difference in improving human health.**
**We’re looking for people who are: Intelligent. Productive. Committed. Willing and able to go above and beyond. Passionate about making a difference. Innovative. Energized. And want to play an essential role in a successful company’s continued growth.**
**Are you ready for this exciting challenge?**
**\_\_\_\_\_\_\_\_\_\_\_\_\_\_\_\_\_\_\_\_\_\_\_\_\_\_\_\_\_\_\_\_\_\_\_\_\_\_\_\_\_\_\_\_\_\_\_\_\_\_\_\_\_\_\_\_\_\_\_\_\_\_\_\_\_\_\_\_\_\_\_\_\_\_\_\_\_\_\_\_\_\_\_\_**
 First Databank (FDB) is seeking a highly skilled and experienced Product Manager with a strong background in pharmacy informatics to join our team. The ideal candidate will have a deep understanding of health system pharmacy operations, medication order configuration and lifecycle within an EHR and clinical decision support (CDS) development. As a Product Manager, you will be responsible for overseeing the entire product lifecycle, from ideation to market launch, ensuring the delivery of high\-quality software solutions that meet the needs of our customers and patients, as well as commercial targets.
**Key Responsibilities:**
* Develop and implement content and software product strategies, taking into consideration market trends, customer needs, and competitive landscape within the health system and pharmacy sectors.
* Collaborate with cross\-functional teams across all levels of the organization, including Clinical and Editorial, Sales, Marketing, Software Engineering, and Quality Management to develop and execute product roadmaps and launch plans along with go\-to\-market strategies.
* Manage relationships with health system clinicians, informaticists and technologists, working closely with them to ensure software product adoption, success, and alignment with their needs and requirements.
* Monitor software product performance, identify opportunities for improvement, and drive continuous innovation to enhance the customer experience and patient outcomes.
* Conduct market research and gather customer feedback to inform software product development and enhancement efforts.
* Develop and maintain strong relationships with key stakeholders, including clinical executives, physicians, pharmacists, informaticists and other healthcare professionals, to ensure software product adoption and success.
* Provide subject matter expertise on pharmacy operations, EHR integrations and software development, serving as a resource for internal and external stakeholders.
* Ensure compliance with all relevant industry regulations and guidelines, as well as company policies and procedures.
**Requirements:**
* Bachelor’s degree in healthcare, Pharmacy, Computer Science, Business, or a related field; advanced degree (e.g., MBA, PharmD) preferred.
* Minimum of 5 years of experience in the healthcare industry, with a focus on software product management and EHR configuration.
* Strong understanding of the health system and pharmacy landscape, including market trends, competitive dynamics, and regulatory requirements.
* Proven track record of successful software product management, including product development, launch, and lifecycle management.
* Excellent communication, collaboration, and interpersonal skills, with the ability to work effectively with cross\-functional teams and diverse stakeholders.
* Strong analytical and problem\-solving skills, with the ability to make data\-driven decisions and recommendations.
* Self\-motivated, detail\-oriented, and able to manage multiple projects and priorities in a fast\-paced environment.
* Willingness to travel as needed to support product launches, customer meetings, and industry events.
 \*\*\*This is a hybrid role working out of either the South San Francisco, California or Carmel, Indiana office.\*\*\*
**\_\_\_\_\_\_\_\_\_\_\_\_\_\_\_\_\_\_\_\_\_\_\_\_\_\_\_\_\_\_\_\_\_\_\_\_\_\_\_\_\_\_\_\_\_\_\_\_\_\_\_\_\_\_\_\_\_\_\_\_\_\_\_\_\_\_\_\_\_\_\_\_\_\_\_\_\_\_\_\_\_\_\_\_\_\_\_\_\_\_\_\_\_**
**About FDB:**
 FDB is the leading provider of drug and medical device knowledge that helps healthcare professionals make precise decisions. With thousands of customers worldwide, FDB enables our information system developer partners to deliver valuable, useful, and differentiated solutions. We offer more than three decades of experience in transforming medical knowledge into actionable, targeted, and effective solutions that help improve patient safety, operational efficiency, and healthcare outcomes. For a complete look at our solutions and services, please visit www.fdbhealth.com or follow us on LinkedIn .
 We value Integrity, Respect, Responsibility, Teamwork, and Creativity. Our offices in South San Francisco and Indianapolis have been awarded with Top Workplaces honors by The Bay Area News Group and the Indy Star, since 2016 (the Top Workplaces honors are based solely on the results of an employee feedback survey by a leading research firm that specializes in organizational health and workplace improvement). FDB offers competitive salaries and extensive benefits – including medical, dental, vision, long term disability, life insurance, and matching 401k.
 We are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 or local law.
 If you need a reasonable accommodation for any part of the employment process, please contact us by email at careers@fdbhealth.com and let us know the nature of your request and your contact information. Requests for accommodation will be considered on a case\-by\-case basis. Please note that only inquiries concerning a request for reasonable accommodation will be responded to from this email address. ﻿For more information about our commitment to equal employment opportunity, please visit EEO is the Law , EEO is the Law Supplement , Pay Transparency , and FDB EEO/AA Statement .
 In accordance with applicable law, Hearst is required to include a reasonable estimate of the compensation for this role if hired in San Francisco, CA. The reasonable estimate, $145,000\-$180,000\. Please note this information is specific to those hired in location. If this role is open to candidates outside of location, the salary range would be aligned to that specific location. A final decision on the successful candidate’s starting salary will be based on a number of permissible, non\-discriminatory factors, including but not limited to skills and experience, training, certifications, and education.
 This role is also eligible for a competitive beneﬁts package that includes medical, dental, vision, life, and disability insurance; 401(k) retirement plan; ﬂexible spending savings account; paid holidays; paid time off; employee assistance program; and other company beneﬁts. Learn more about our benefits here.</t>
        </is>
      </c>
    </row>
    <row r="81">
      <c r="A81" t="inlineStr">
        <is>
          <t>li-4356120296</t>
        </is>
      </c>
      <c r="B81" t="inlineStr">
        <is>
          <t>Senior Digital Product Manager</t>
        </is>
      </c>
      <c r="C81" t="inlineStr">
        <is>
          <t>Viking</t>
        </is>
      </c>
      <c r="D81" t="inlineStr">
        <is>
          <t>linkedin</t>
        </is>
      </c>
      <c r="E81" t="inlineStr"/>
      <c r="F81" t="inlineStr"/>
      <c r="G81" t="inlineStr"/>
      <c r="H81" t="inlineStr"/>
      <c r="I81" t="inlineStr">
        <is>
          <t>**Job Summary** 
 The Senior Digital Product Manager at Viking will take ownership of the user personalized experience initiatives leveraging Adobe Experience Cloud. Drive hands on implementation of Adobe Target activities and Adobe Journey Optimizer (AJO) personalized user journeys, and collaborate across UX, engineering, and marketing to improve engagement and conversion.
 This is a hybrid position based in our Woodland Hills, CA office. You will be required to adhere to our hybrid work policy, working from our office three days each week.
**Job Responsibilities** 
* Digital Personalization \&amp; Testing
* Configure, launch, and manage Adobe Target activities including A/B testing, multivariate testing (MVT), experience AJO / Targeting, automated personalization, and recommendations.
* Configure, launch, and manage AJO Campaigns and journeys.
* Serve as the technical lead within Marketing for AJO / Target solutions collaborating with engineering, AEM, Real\-Time Customer Data Platform (RT CDP), Launch, and Analytics teams.
* Deploy rules/audience\-based personalization, experiences, and dynamic recommendations.
* Develop repeatable frameworks for experimentation and personalization programs.
* Hands\-on development skills to implement AJO / Target tests and user personalized journeys.
* Stay current with Adobe updates and drive incorporation of new features.
* Cross\-Functional Collaboration
* Work closely with Digital Product Managers, UX/UI, marketing, analytics, RT CDP teams to define audience segments and ensure seamless implementation of personalized experiences and tests.
* Align marketing campaigns with personalization roadmaps.
* Build strong working relationships across internal teams for smooth execution.
* Measurement \&amp; Insights
* Analyze AJO / Target and analytics data to extract insights and validate experiments.
* Report performance, lift, and ROI to stakeholders.
* Drive continuous optimization based on data and feedback.
* Mentorship \&amp; Enablement
* Coach stakeholders on Adobe personalization best practices and implementation processes.
* Help drive adoption and understanding of Adobe personalization capabilities across the organization.
**Job Requirements** 
* Bachelor's degree in Computer Science, Business, Marketing, or a related field.
* 7\+ years in digital product management, with at least 3\+ years focused on personalization and A/B testing.
* Extensive hands\-on experience with AJO / Target implementation, optimization, and integrated testing.
* Knowledge of how profile scripts work as well as MBOX and customer attributes work in Adobe Target.
* Strong understanding of web analytics, A/B testing, audiences, and personalization best practices.
* Proficient in JavaScript, HTML, CSS, APIs and familiarity with WebSDK, data layers and debugging tools.
**Preferred Skills** 
* AJO / Target Business Practitioner or Developer certification preferred.
* Experience with Adobe Experience Platform RT CDP, Target, Journey Optimizer, and Launch.
* Familiarity with front‑end technologies (HTML/CSS/JS) and data engineering workflows.
* Strong communication and stakeholder management skills.
**What We Offer You** 
* Highly competitive compensation plan.
* Salary range $135,000\-$160,000 annually determined by a myriad of factors including, but not limited to, years of experience, depth of experience, individual qualifications and other relevant business considerations.
* Employees are eligible for annual discretionary bonus.
* 401(k) plan with company match.
* Employee Share Purchase Plan (ESPP) Viking full\-time regular employees working in the United States can purchase Viking shares through payroll deductions.
* Full benefits including medical, dental, vision, life and disability insurance at a highly subsidized rate (some plans are fully paid by Viking).
* Accrue 15 paid vacation days, sick time accrual by state, and 6 paid holidays per year.
* Opportunity to take a free and/or discounted cruise.
* Highly subsidized gym membership.
* Discounts on theatres, theme parks, movie tickets, travel discounts through IATA membership and too many more discounts to name.
* Viking is a certified Great Place to Work company. This certification is a result of our commitment to excellence, integrity and our teams’ outstanding contributions.
**Viking is a certified Great Place to Work company. This certification is a result of our commitment to excellence, integrity and our teams’ outstanding contributions.** 
**About Viking** 
 Viking was founded in 1997 and provides destination\-focused voyages on oceans, rivers and lakes around the world. Designed for experienced travelers with interests in science, history, culture and cuisine, Chairman Torstein Hagen often says Viking offers experiences for The Thinking Person®.
 Viking has more than 250 awards to its name, including being rated \#1 for Rivers, \#1 for Oceans and \#1 for Expeditions by Condé Nast Traveler and voted at the top of its categories by Travel \+ Leisure. No other cruise line has ever received these same honors by both publications at the same time.</t>
        </is>
      </c>
    </row>
    <row r="82">
      <c r="A82" t="inlineStr">
        <is>
          <t>li-4366237009</t>
        </is>
      </c>
      <c r="B82" t="inlineStr">
        <is>
          <t>Sr. Lead Product Manager - Digital Assets</t>
        </is>
      </c>
      <c r="C82" t="inlineStr">
        <is>
          <t>Early Warning®</t>
        </is>
      </c>
      <c r="D82" t="inlineStr">
        <is>
          <t>linkedin</t>
        </is>
      </c>
      <c r="E82" t="inlineStr"/>
      <c r="F82" t="inlineStr"/>
      <c r="G82" t="inlineStr">
        <is>
          <t>Scottsdale, AZ</t>
        </is>
      </c>
      <c r="H82" t="inlineStr"/>
      <c r="I82" t="inlineStr">
        <is>
          <t>At Early Warning, we’ve powered and protected the U.S. financial system for over thirty years with cutting\-edge solutions like Zelle®, Paze℠, and so much more. As a trusted name in payments, we partner with thousands of institutions to increase access to financial services and protect transactions for hundreds of millions of consumers and small businesses.
 Positions located in Scottsdale, San Francisco, Chicago, or New York follow a hybrid work model to allow for a more collaborative working environment.
 Candidates responding to this posting must independently possess the eligibility to work in the United States, for any employer, at the date of hire. This position is ineligible for employment Visa sponsorship.
**Overall Purpose**
 The Sr. Product Manager is the champion responsible for evaluating and determining the product(s) and/or features to be built and delivered to our customers. The role will build, align, and motivate a cross functional team to develop a common understanding of the customers’ pain points and the passion to solve issues and develop innovative solutions that delight customers. The role may lead multiple products.
**Essential Functions**
* Visionary and Strategist: Builds the right cross\-functional team to obtain a common understanding of customer pain points, empathy and excitement for solving customer issues and driving product revenue. Articulates product strategy and vision across the enterprise across multiple products.
* Customer Passion and Advocacy: Brings the customer viewpoint to the product design process with a demonstrated competency to actively listen to customer feedback across all touchpoints and channels; to routinely leverage this feedback into insights; and to build products and services that delight and inspire.
* Creative Problem Solver: Works closely with marketing, research, analytics, design and development partners, uses technical savvy and customer insights to develop real world solutions working in a highly collaborative environment. Uses insights about the market and industry to drive development of value\-added solutions for customers.
* Commitment to Risk Management: Oversees the integration of strong risk and security controls. Ensures compliance to laws and regulations.
* Technical Understanding: Able and adept at working directly with the technologists to deliver market solutions. Clearly defines requirements, grooms user stories, motivates technical teams and partners with technology closely
**Area of Specialty: Digital Assets**
* Define the product vision, roadmap, and backlog for digital asset–enabled cross\-border payment capabilities, including transaction orchestration, settlement, and partner integrations.
* Lead cross\-functional discovery and delivery for end\-to\-end cross\-border payment journeys, influencing upstream and downstream platform dependencies.
* Partner closely with Engineering, Risk, Compliance, and Legal teams to ensure products meet AML, sanctions, consumer protection, and regulatory requirements across jurisdictions.
* Balance customer experience, scalability, and risk considerations in designing global payment flows, including error handling, reconciliation, and transparency.
**Minimum Qualifications**
* Education and/or experience typically obtained through completion of a bachelors degree.
* 9 or more years of related work experience OR post\-secondary degree and at least 4 years of related work experience
* Strong understanding of payments ecosystems, cross\-border remittance models, and emerging digital asset / stablecoin use cases.
* Ability to translate complex regulatory and technical constraints into clear product requirements and user stories.
* Experience working in regulated environments with high availability, security, and auditability expectations.
* Demonstrated experience in design thinking and agile development process and methodology
* Demonstrated leadership experience and cross functional collaboration experience
* Proven experience in and passion for building and delivering great products
* Demonstrated experience in setting a product strategy, roadmap and in meeting product revenue targets
* Excellent listening and execution skills
* Background and drug screen
**Preferred Qualifications**
* Master’s degree
* Certifications in design thinking and/or agile.
* Prior experience working in payments, financial services or similar regulated industry.
 The above job description is not intended to be an all\-inclusive list of duties and standards of the position.
**Physical Requirements**
 Early Warning works together in a highly collaborative office environment. As such, working conditions consist of a normal office environment. Work is primarily sedentary and requires extensive use of a computer and involves sitting for periods of approximately four hours. Work may require occasional standing, walking, kneeling and reaching. Must be able to lift 10 pounds occasionally and/or negligible amount of force frequently. Requires visual acuity and dexterity to view, prepare, and manipulate documents and office equipment including personal computers. Requires the ability to communicate with internal and/or external customers.
 Employee must be able to perform essential functions and physical requirements of position with or without reasonable accommodation.
 Candidates responding to this posting must independently possess the eligibility to work in the United States at the date of hire.
**The Base Pay Scale For This Position In**
 Phoenix, AZ/ Chicago, IL in USD per year is: $145,000 \- $186,000\.
 New York, NY/ San Francisco, CA in USD per year is: $174,000 \- $223,000\.
 Additionally, candidates are eligible for a discretionary incentive plan and benefits.
 This pay scale is subject to change and is not necessarily reflective of actual compensation that may be earned, nor a promise of any specific pay for any specific candidate, which is always dependent on legitimate factors considered at the time of job offer. Early Warning Services takes into consideration a variety of factors when determining a competitive salary offer, including, but not limited to, the job scope, market rates and geographic location of a position, candidate’s education, experience, training, and specialized skills or certification(s) in relation to the job requirements and compared with internal equity (peers). The business actively supports and reviews wage equity to ensure that pay decisions are not based on gender, race, national origin, or any other protected classes.
 Some of the Ways We Prioritize Your Health and Happiness
* Healthcare Coverage – Competitive medical (PPO/HDHP), dental, and vision plans as well as company contributions to your Health Savings Account (HSA) or pre\-tax savings through flexible spending accounts (FSA) for commuting, health \&amp; dependent care expenses.
* 401(k) Retirement Plan – Featuring a 100% Company Safe Harbor Match on your first 6% deferral immediately upon eligibility.
* Paid Time Off – Unlimited Time Off for Exempt (salaried) employees, as well as generous PTO for Non\-Exempt (hourly) employees, plus 11 paid company holidays and a paid volunteer day.
* 12 weeks of Paid Parental Leave
* Maven Family Planning – provides support through your Parenting journey including egg freezing, fertility, adoption, surrogacy, pregnancy, postpartum, early pediatrics, and returning to work.
 And SO much more! We continue to enhance our program, so be sure to check our Benefits page here for the latest. Our team can share more during the interview process!
 Pursuant to the San Francisco Fair Chance Ordinance, we will consider for employment qualified applicants with arrest and conviction records.
***Early Warning Services, LLC (“Early Warning”) considers for employment, hires, retains and promotes qualified candidates on the basis of ability, potential, and valid qualifications without regard to race, religious creed, religion, color, sex, sexual orientation, genetic information, gender, gender identity, gender expression, age, national origin, ancestry, citizenship, protected veteran or disability status or any factor prohibited by law, and as such affirms in policy and practice to support and promote equal employment opportunity and affirmative action, in accordance with all applicable federal, state, and municipal laws. The company also prohibits discrimination on other bases such as medical condition, marital status or any other factor that is irrelevant to the performance of our employees.***</t>
        </is>
      </c>
    </row>
    <row r="83">
      <c r="A83" t="inlineStr">
        <is>
          <t>li-4327737756</t>
        </is>
      </c>
      <c r="B83" t="inlineStr">
        <is>
          <t>Senior Staff Product Manager, Drone Hardware Platforms &amp; Sensors</t>
        </is>
      </c>
      <c r="C83" t="inlineStr">
        <is>
          <t>Skydio</t>
        </is>
      </c>
      <c r="D83" t="inlineStr">
        <is>
          <t>linkedin</t>
        </is>
      </c>
      <c r="E83" t="inlineStr"/>
      <c r="F83" t="inlineStr"/>
      <c r="G83" t="inlineStr">
        <is>
          <t>San Mateo, CA</t>
        </is>
      </c>
      <c r="H83" t="inlineStr"/>
      <c r="I83" t="inlineStr">
        <is>
          <t>Skydio is the leading US drone company and the world leader in autonomous flight, the key technology for the future of drones and aerial mobility. The Skydio team combines deep expertise in artificial intelligence, best\-in\-class hardware and software product development, operational excellence, and customer obsession to empower a broader, more diverse audience of drone users, from utility inspectors to first responders, soldiers in battlefield scenarios and beyond.
**About The Role**
 As a Senior Staff Product Manager for Drone Hardware Platforms \&amp; Sensors, you will work closely with our customers and our hardware and embedded software engineering teams to help define and shape Skydio’s current and next\-gen drone platforms, controllers, cameras, and accessories ecosystem. You’ll ensure that we are building and delivering the right products to solve the most important problems across enterprise, government, and public safety. This is an incredible opportunity to have an outsized impact in service of our customers.
**Location**
 This position is based onsite 5 days/week at our HQ in San Mateo, CA, with \~25% travel. We offer relocation assistance if needed.
**How You'll Make An Impact**
* Help shape our overall vehicle and hardware strategy in collaboration with our CEO and engineering executives, including the development of new hardware products, including new vehicle form factors.
* Engage with customers, prospects, and internal stakeholders to understand core business problems and develop visions and strategies to solve them.
* Draw upon direct customer experiences and ride\-alongs as well as usage analytics to solve the most important and impactful problems for our customers.
* Continually develop, own, and publish product requirement documents and roadmaps for Skydio’s vehicle hardware, controllers, cameras/sensors and embedded software.
* Partner with designers and engineering leaders spanning hardware, firmware, computer vision, AI, and machine learning to execute your product vision and requirements.
* Capture, document, and distill feedback from customers and prospects to steer product development.
* Collaborate closely with sales and customer success to build and maintain close customer relationships and ensure success.
* Partner with product marketing to develop launch plans, product positioning and messaging to bring your products to market.
**What Would Make You a Strong Fit**
* 7\+ years of proven success in defining and delivering complex hardware products with integrated software.
* Deep technical understanding of IoT or camera/sensors product technologies.
* Experience launching robust hardware products for Enterprise, Public Safety or Defense Customers.
* Detail\-oriented with exceptional written and oral communication skills.
* Direct or indirect experience with engineering that allows you to actively participate in deep discussions with engineers on complex technical architecture challenges and tradeoffs.
* Highly facilitative team player who strives to enable others to do their best work.
* A passion for speaking with \-\- and learning from \-\- customers.
* A background in electrical engineering, mechanical engineering, or computer science. An advanced degree or an MBA would be a plus, but is not required.
* Background experience in utilities, public safety or federal (ISR) workflows
* Experience with enterprise/professional robotics or drones
* Expertise in camera interfaces, either in photography, videography, and/or for drone cameras
**Compensation:** 
 At Skydio, our compensation packages for regular, full\-time employees include competitive base salaries, equity in the form of stock options, and comprehensive benefits packages. Compensation will vary based on factors, including skill level, proficiencies, transferable knowledge, and experience. Relocation assistance may also be provided for eligible roles. The annual base salary range for this position is $196,000 \- $260,000\*. Fundamentally, we believe that equity is the key to long\-term financial growth, and we ensure all regular, full\-time employees have the opportunity to significantly benefit from the company's success. Regular, full\-time employees are eligible to enroll in the Company’s group health insurance plans. Regular, full\-time employees are eligible to receive the following benefits: Paid vacation time, sick leave, holiday pay and 401K savings plan. This position and all associated benefits are subject to applicable federal, state, and local laws, as well as the Company’s policies and eligibility criteria.
* Compensation for certain positions may vary based on the position’s location.
 At Skydio we believe that diversity drives innovation. We have created a multidisciplinary environment that embraces the power of diverse perspectives to create elegant solutions for complex problems. We are committed to growing our network of people, programs, and resources to nurture an inclusive culture.
 Qualified applicants will receive consideration for employment without regard to race, color, religion, sex, sexual orientation, gender identity, national origin, disability, protected veteran status, or other characteristics protected by federal, state or local anti\-discrimination laws.
 For positions located in the United States of America, Skydio, Inc. uses E\-Verify to confirm employment eligibility. To learn more about E\-Verify, including your rights and responsibilities, please visit https://www.e\-verify.gov/</t>
        </is>
      </c>
    </row>
    <row r="84">
      <c r="A84" t="inlineStr">
        <is>
          <t>li-4373972782</t>
        </is>
      </c>
      <c r="B84" t="inlineStr">
        <is>
          <t>Principal Program Manager REMOTE</t>
        </is>
      </c>
      <c r="C84" t="inlineStr">
        <is>
          <t>Jobgether</t>
        </is>
      </c>
      <c r="D84" t="inlineStr">
        <is>
          <t>linkedin</t>
        </is>
      </c>
      <c r="E84" t="inlineStr"/>
      <c r="F84" t="inlineStr"/>
      <c r="G84" t="inlineStr">
        <is>
          <t>Massachusetts, United States</t>
        </is>
      </c>
      <c r="H84" t="inlineStr"/>
      <c r="I84" t="inlineStr">
        <is>
          <t>This position is posted by Jobgether on behalf of a partner company. We are currently looking for a Principal Technical Program Manager. In this role, you will shape the future of project initiatives at our partner's organization, bringing clarity to complex challenges while collaborating with diverse teams. Your leadership will guide engineering and product teams to drive innovation and operational maturity, directly influencing the strategic direction of advanced technologies. As you work on high\-impact programs, your contributions will enhance workflows and integrate AI capabilities, fostering a culture of excellence and creativity within the framework of ongoing transformations. Your presence in this role is vital for cultivating strong partnerships and ensuring program success across the board.
**Accountabilities**
* Define and drive strategic initiatives and technical investments across multiple engineering teams.
* Collaborate with leaders and cross\-functional partners to translate business objectives into clear technical programs.
* Serve as the connective tissue across engineering, product, design, operations, and customer support.
* Partner with engineering and technical leaders to influence architectural direction and identify risks.
* Lead program execution from concept through delivery while anticipating risks and enabling teams.
* Drive process improvements that enhance visibility and strengthen platform reliability.
* Champion AI adoption by identifying opportunities to incorporate AI into products and workflows.
* Mentor TPMs and other program leaders, sharing best practices to scale program leadership.
**Requirements**
* 8\+ years of Technical Program Management experience in complex, multi\-team engineering initiatives.
* Strong technical fluency across modern engineering practices and software development lifecycle.
* Demonstrated ability to partner with engineering leaders to influence technical strategy.
* Proven track record of driving clarity and alignment in high\-ambiguity environments.
* Skilled at translating ambiguous requirements into structured, measurable programs.
* Exceptional communication skills to engage senior leaders confidently and concisely.
* Experience using AI tools to accelerate productivity and decision\-making processes.
**Benefits**
* Competitive base salary and eligibility for equity awards.
* Flexible work environment with remote work options.
* Opportunities for professional growth and mentorship.
* Inclusive company culture that values diverse experiences and perspectives.
* Access to the latest tools and technologies to enhance work efficiency.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85">
      <c r="A85" t="inlineStr">
        <is>
          <t>li-4350243741</t>
        </is>
      </c>
      <c r="B85" t="inlineStr">
        <is>
          <t>Sr. Technical Program Manager</t>
        </is>
      </c>
      <c r="C85" t="inlineStr">
        <is>
          <t>Electronic Arts (EA)</t>
        </is>
      </c>
      <c r="D85" t="inlineStr">
        <is>
          <t>linkedin</t>
        </is>
      </c>
      <c r="E85" t="inlineStr"/>
      <c r="F85" t="inlineStr"/>
      <c r="G85" t="inlineStr">
        <is>
          <t>Orlando, FL</t>
        </is>
      </c>
      <c r="H85" t="inlineStr"/>
      <c r="I85"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Operations
 Central Technology Operations exists to empower innovation and enable scalability for teams across our organization. We strive for operational excellence to foster data\-driven decision\-making and enable teams to focus on transformative creativity. Joining Operations means working with strategic partners in world\-class technology teams, opportunities to streamline processes and eliminate barriers, and telling stories that support the evolution of interactive entertainment.
* (Hybrid Role)
 The Role
 As a Senior Technical Program Manager, you will join EA’s Central Technology Operations Team and lead large\-scale technology programs that enable seamless collaboration across product teams and departments. Reporting to the Director of Operations, you will drive operational excellence, optimize processes, and deliver strategic technology initiatives. This role requires strong technical expertise and focuses on driving technological innovation within EA’s gaming ecosystem.
 The Operations team serves as a cross\-functional partner, fostering efficiency and innovation. As a Senior Technical Program Manager, your expertise in technical program delivery, stakeholder management, and strategic planning will be vital in solving complex problems and advancing our technological capabilities.
 What You'll Do
* Lead Technical Programs: Build and lead technically\-focused programs and initiatives aimed at supporting EA’s innovation goals.
* Facilitate Collaboration: Senior leaders, product teams, engineering, and cross\-functional partners to define, plan, and execute technology programs aligned with organizational goals, ensuring technical requirements are met.
* Drive Alignment: Develop and maintain strong relationships with stakeholders; facilitate alignment and transparency on program goals, progress, risks, and dependencies.
* Communicate Effectively: Provide concise, data\-driven updates to stakeholders and leadership, adapting communication for technical and non\-technical audiences.
* Measure progress: Define, track, and analyze key performance indicators (KPIs), success criteria, and feedback mechanisms to evaluate program effectiveness and continuous improvement.
* Manage Change: Manage change initiatives to ensure smooth adoption of new processes or technologies, minimizing resistance and maximizing strategic value.
 What You'll Bring
* 8\+ years of experience in program or project management within technical or engineering environments.
* Technical acumen with experience working closely with software development, or technical operations teams.
* Exceptional stakeholder management skills with the ability to influence, challenge, and build consensus across organizational levels.
* Demonstrated leadership in managing multiple priorities, navigating ambiguity, and driving results independently.
* Expertise in change management, with the ability to facilitate organizational and technological transitions smoothly.
* Excellent communication skills, capable of translating technical details for diverse audiences.
* Self\-motivated, proactive, and resourceful, with a collaborative mindset and a passion for delivering impactful results.
 We want to connect you with job opportunities that align with your interests, skills, and expertise. When you create an EA Careers Account and are logged into the portal, you can click “Get Recommendations” to view a curated list of job openings. These recommendations are enhanced by automated processing, including artificial intelligence, and take into account your skills and experience. However, all employment decisions are made by our hiring teams, not by automated systems.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\*$130,800 \- $183,000 CAD
 Pay is just one part of the overall compensation at EA.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86">
      <c r="A86" t="inlineStr">
        <is>
          <t>li-4330360085</t>
        </is>
      </c>
      <c r="B86" t="inlineStr">
        <is>
          <t>Technical Program Manager, NPI</t>
        </is>
      </c>
      <c r="C86" t="inlineStr">
        <is>
          <t>Fluidstack</t>
        </is>
      </c>
      <c r="D86" t="inlineStr">
        <is>
          <t>linkedin</t>
        </is>
      </c>
      <c r="E86" t="inlineStr"/>
      <c r="F86" t="inlineStr"/>
      <c r="G86" t="inlineStr">
        <is>
          <t>Austin, TX</t>
        </is>
      </c>
      <c r="H86" t="inlineStr"/>
      <c r="I86" t="inlineStr">
        <is>
          <t>**About Fluidstack**
 At Fluidstack, we’re building the infrastructure for abundant intelligence. We partner with top AI labs, governments, and enterprises \- including Mistral, Poolside, Black Forest Labs, Meta, and more \- to unlock compute at the speed of light.
 We’re working with urgency to make AGI a reality. As such, our team is highly motivated and committed to delivering world\-class infrastructure. We treat our customers’ outcomes as our own, taking pride in the systems we build and the trust we earn. If you’re motivated by purpose, obsessed with excellence, and ready to work very hard to accelerate the future of intelligence, join us in building what's next.
**About The Role**
 As a Technical Program Manager, NPI you will own the end to end technical program management for next\-generation Artificial Intelligence (AI) Hardware Systems within Fluidstack’s infrastructure, operating in a matrix organization spanning multiple domains, including Hardware, Data Center, Network, Software, and Capacity Management.
**Responsibilities**
* Manage the end\-to\-end development of the AI hardware product, includes servers, network gears, racks, CDUs, and other systems, spanning both internal and external development efforts, ensuring successful integration into Fluidstack infrastructure and support for production workloads at scale
* Manage EVT, DVT, and PVT phases, track validation milestones, test results, and issue resolution across engineering teams
* Establish testing standards, methodologies, and tooling requirements, define acceptance criteria for each NPI phase
* Lead pilot deployment planning and execution, coordinate manufacturing readiness activities and scale\-up to volume production
* Support volume operations and deployment, and drive root cause analysis and corrective actions for quality issues
* Build and maintain relationships with Chip manufacturers/ODMs/OEMs, negotiate schedules, resolve technical issues, and ensure delivery commitments
**Minimum Qualifications**
* Bachelor's degree in Computer Science, Electrical Engineering, or related technical field
* 5\+ years of experience in technical program management
* 5\+ years of experience in Hardware New Product Introduction (NPI) and the hardware development life cycle, from concept through design, testing, and deployment
* Proven track record of successful cross\-functional collaboration
* Strong communication skills with ability to influence without authority
**Preferred Qualifications**
* Experience in AI cluster development, including expertise across compute, storage, networking, and other critical infrastructure components
* Experience collaborating with OEM or ODM partners to drive product development, ensure quality standards, and manage supply chain relationships effectively
* Background in computer architecture, system performance optimization, generative AI, and large distributed systems
**Salary \&amp; Benefits**
* Competitive total compensation package (salary \+ equity).
* Retirement or pension plan, in line with local norms.
* Health, dental, and vision insurance.
* Generous PTO policy, in line with local norms.
 The salary range for this position is $150,000 \- $250,000 per year, depending on experience, skills, qualifications, and location. This range represents our good faith estimate of the compensation for this role at the time of posting. Total compensation may also include equity in the form of stock options.
 We are committed to pay equity and transparency.
 Fluidstack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Fluidstack will consider for employment qualified applicants with arrest and conviction records pursuant to applicable law.
*You will receive a confirmation email once your application has successfully been accepted. If there is an error with your submission and you
 **did not** 
 receive a confirmation email, please email careers@fluidstack.io with your resume/CV, the role you've applied for, and the date you submitted your application\-\- someone from our recruiting team will be in touch.*
 Compensation Range: $200K \- $275K</t>
        </is>
      </c>
    </row>
    <row r="87">
      <c r="A87" t="inlineStr">
        <is>
          <t>li-4373952966</t>
        </is>
      </c>
      <c r="B87" t="inlineStr">
        <is>
          <t>Principal Customer Experience Program Manager</t>
        </is>
      </c>
      <c r="C87" t="inlineStr">
        <is>
          <t>Lensa</t>
        </is>
      </c>
      <c r="D87" t="inlineStr">
        <is>
          <t>linkedin</t>
        </is>
      </c>
      <c r="E87" t="inlineStr"/>
      <c r="F87" t="inlineStr"/>
      <c r="G87" t="inlineStr">
        <is>
          <t>Redmond, WA</t>
        </is>
      </c>
      <c r="H87" t="inlineStr"/>
      <c r="I8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Microsoft Corporation. Clicking "Apply Now" or "Read more" on Lensa redirects you to the job board/employer site. Any information collected there is subject to their terms and privacy notice.
**Overview**
 Are you a customer\-obsessed, AI\-curious problem\-solver who thrives in an inclusive, collaborative global team? Join Engineering Operations (EngOps) – the organization driving operational excellence across the Microsoft Cloud to strengthen quality, reliability, security, and customer trust. As part of EngOps, you’ll design solutions that prevent issues before they happen, embed AI\-powered automation, and turn signals into actions that deliver measurable customer impact. Our culture of empowerment, inclusion, and growth mindset defines how we work.
 You will have ample opportunities to participate in all stages of our engineering lifecycle \- from initial research and discovery, quick iteration on promising concepts, solution prototyping, and development, all the way through successful service rollout and Live Site support.
 Every day, customers stake their business and reputation on our cloud. You can help EngOps keep them secure, resilient, and ready.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Develop and execute Supportability strategic and roadmap to make Azure the most stable, reliable, and performant cloud.
* Influence product investment in Supportability and provide technical leadership for engineers across multiple teams.
* Define what success looks like, how we measure it, and how we get there.
* Drive continuous improvement to customer and engineer experience via empowerment and accountability leading executive reviews.
* Apply systems thinking and standards approach to solve problems at scale, and through automation.
* Foster a healthy and inclusive team environment.
* Embody our Culture and Values.
**Qualifications**
**Required Qualifications:**
* Bachelor's Degree in Computer Science, Engineering, Data Science, Math, Business, or related field AND 6\+ years experience in engineering, product/technical program management, data analysis, or product development
* OR equivalent experience.
* 1\+ years of experience reading or writing code (e.g., sample applications, learning projects, product demonstrations, documentation).
* 3\+ years experience managing cross\-functional and/or cross\-team projects
**Other Qualifications**
 Ability to meet Microsoft, customer and / 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 / transfer and every two years thereafter.
**Preferred Qualifications**
* Familiarity with Large Language Models (LLMs), agent development, model evaluation techniques, or human‑in‑the‑loop workflows.
* Experience designing and delivering solutions using modern software engineering practices and cloud technologies in ways that support accessibility, scalability, and customer needs.
* Effective communication and inclusive leadership skills, enabling clear partnership with diverse teams, stakeholders, and customers.
* Commitment to continuous learning, including exploring emerging technologies and applying them to address business and customer challenges.
* Familiarity with program‑management practices across different software development services, methodologies, and delivery models.
* Understanding of engineering best practices used in cloud‑based services.
* Experience applying structured problem‑solving approaches, including pilots, prototypes, experimentation frameworks, or iterative testing.
* Experience implementing Supportability‑by‑Design principles to enhance customer experience and support service reliability.
 Customer Experience Program Mgmt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(https://careers.microsoft.com/v2/global/en/accessibility.html)
 If you have questions about this posting, please contact support@lensa.com</t>
        </is>
      </c>
    </row>
    <row r="88">
      <c r="A88" t="inlineStr">
        <is>
          <t>li-4366193070</t>
        </is>
      </c>
      <c r="B88" t="inlineStr">
        <is>
          <t>Senior Product Manager, Enterprise Model Platform (EMP) Training</t>
        </is>
      </c>
      <c r="C88" t="inlineStr">
        <is>
          <t>Capital One</t>
        </is>
      </c>
      <c r="D88" t="inlineStr">
        <is>
          <t>linkedin</t>
        </is>
      </c>
      <c r="E88" t="inlineStr"/>
      <c r="F88" t="inlineStr"/>
      <c r="G88" t="inlineStr">
        <is>
          <t>Chicago, IL</t>
        </is>
      </c>
      <c r="H88" t="inlineStr"/>
      <c r="I88"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At Capital One, we don’t think like a bank. We’re on a mission to change banking for good by using technology to bring ingenuity, simplicity, and humanity to banking. Machine learning is at the heart of our approach. As part of Capital One’s Enterprise AI and Machine Learning Product organization, you will contribute directly to shaping the platforms and tools that thousands of engineers, data scientists and analysts across the business apply to making decisions, managing risk, detecting fraud, and delivering intelligent and personalized customer experiences.
 We are seeking a Senior Product Manager to join the Enterprise Model Platform (EMP) team to drive the strategy for EMP Pipelines. Supporting hundreds of developers, EMP Pipelines enables users to orchestrate scalable, portable pipelines that can build and train AI models. By building the tools that unlock the power of AI, our team plays a central role in creating individualized, real\-time experiences that improve the financial lives of millions of customers.
**About the Role:**
 The Senior Product Manager will be accountable for the orchestration engine of EMP Training. Hundreds of users rely on EMP Pipelines, powered by Kubeflow Pipelines, to train and tune ML models. These models power some of Capital One’s most critical businesses from fraud detection to credit risk to financial loss forecasting. This product leader will be the primary advocate for these users, transforming user feedback and market opportunities into a clear product roadmap that drives efficiency and innovation. The role of Pipelines is growing rapidly, extending to support model development with highly sensitive human data and internally developed large language models. This role requires a dynamic leader who can navigate the complexities of enterprise platforms and demanding customers to carve out a roadmap that drives Capital One’s business through cutting\-edge AI capabilities.
**Key responsibilities include, but are not limited to:**
* Championing the User: Serve as the voice of the user to turn pain points into meaningful UX improvements. Manage a user communication strategy derived from ongoing surveys and feedback gathering. Fully own the user journey from onboarding to progression.
* Driving Platform Excellence: Enhance platform efficiency and performance by creating robust user analytics dashboards, managing intake requests, and partnering with tech teams on compliance and modernization efforts.
* Strategic Execution: Work across the platform with product and tech leadership to shape a roadmap that centers the user experience, promotes a well\-governed platform, integrates with the converging ecosystem of products, all while pushing the envelope on new AI\-driven capabilities.
**The Ideal Candidate:**
 You are passionate about technology and have a genuine understanding of the challenges faced by engineers, data scientists, and analysts. You enjoy finding ways to make complex processes simpler and are not afraid to dive into the technical details of how our systems connect and deploy. As a strong communicator, you can effectively lead discussions with everyone from our technical teams to senior leadership. You stay current with the latest tools and trends in data, machine learning, and AI, and you are a vocal supporter of high\-quality work. Your knowledge and drive will be key to pushing our technology forward and creating better, data\-driven experiences at Capital One.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leading product management for enterprise platforms, MLOps, data science, or internal developer tools
* Familiarity with cloud computing environments (e.g., AWS, GCP, Azure) and containerization technologies (e.g., Kubernetes).
* Industry recognized professional certifications (CISSP, GIAC, CISM, CCSP, CISA, CRISC, SAFe Product Management, AWS Security, AWS Advanced Networking Specialty, AWS Solutions Architect)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$200,700 \- $229,100 for Sr. Mgr, Product Management
 Chicago, IL: $182,500 \- $208,300 for Sr. Mgr, Product Management
 McLean, VA: $200,700 \- $229,100 for Sr. Mgr, Product Management
 New York, NY: $219,000 \- $249,900 for Sr. Mgr, Product Management
 Richmond, VA: $182,500 \- $208,300 for Sr. Mgr, Product Management
 San Francisco, CA: $219,000 \- $249,900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9">
      <c r="A89" t="inlineStr">
        <is>
          <t>li-4362278271</t>
        </is>
      </c>
      <c r="B89" t="inlineStr">
        <is>
          <t>Technical Lead and Product Owner – Snowflake Platform</t>
        </is>
      </c>
      <c r="C89" t="inlineStr">
        <is>
          <t>The Hartford</t>
        </is>
      </c>
      <c r="D89" t="inlineStr">
        <is>
          <t>linkedin</t>
        </is>
      </c>
      <c r="E89" t="inlineStr"/>
      <c r="F89" t="inlineStr"/>
      <c r="G89" t="inlineStr">
        <is>
          <t>Hartford, CT</t>
        </is>
      </c>
      <c r="H89" t="inlineStr"/>
      <c r="I89" t="inlineStr">
        <is>
          <t>Sr Cloud Engineer \- IE07NE
 We’re determined to make a difference and are proud to be an insurance company that goes well beyond coverages and policies. Working here means having every opportunity to achieve your goals – and to help others accomplish theirs, too. Join our team as we help shape the future.
 The Snowflake Technical Lead and Product Owner is a hands\-on engineering and product lead role that provides technical leadership and mentoring for other engineers, and partners closely on solutions with Architecture, Principal Data Engineers (PDEs), Reliability Engineering (RE), Cloud Engineering, Security, and vendor teams to enable broader Snowflake capabilities, including supporting AI workloads and data products and ensuring platform capabilities continually improve and align with enterprise data strategies.
 This role designs and automates the platform’s day\-to\-day operations, environments, CI/CD, observability, access, networking, and data movement so data engineering teams can ship governed, performant data products with confidence.
 This role is accountable for defining and delivering the vision, roadmap, and value of The Hartford’s enterprise Snowflake data platform, combining strong technical expertise with modern product ownership to ensure the Snowflake environment is scalable, secure, reliable, cost efficient and easy to use for data engineers, analysts, and business stakeholders.
 This is a technical product role for an engineer with strong product instincts. The role does not formally manage people and is not accountable for performance reviews.
 This role can have a Hybrid or Remote work arrangement.  Candidates who live near one of our office locations will have the expectation of working in an office 3 days a week (Tuesday through Thursday). Candidates who do not live near an office will have a remote work arrangement, with the expectation of coming into an office as business needs arise.
**Responsibilities**
**Platform Execution \&amp; Lifecycle Management**
* Provide mentoring, technical leadership and oversight for the Snowflake admin team (11 members), creating a collaborative environment and ensuring high‑quality delivery and alignment to the platform roadmap.
* Lead platform rollout and adoption.
* Evaluate new Snowflake features and enhancements.
* Coordinate cross‑platform integrations, proofs of concept (PoCs), migration, and modernization initiatives (e.g. Cortex, hybrid tables, etc.).
* Oversee Snowflake object administration activities (warehouses, databases, schemas, stages, roles) across the enterprise.
* Partner with enterprise technology teams, including security, governance, audit, infrastructure, ensuring secure, governed access to the platform.
* Set standards and guidelines related to engineering patterns, conventions and governance.
* Support software as a service (SaaS) upgrade preparation and ensure clear communication to users.
* Provide platform subject matter expertise (SME) guidance to engineering and RE teams.
* Partner with enterprise AI teams to enable Cortex feature engineering at scale.
**Reliability Engineering**
 Perform and/or partner with RE teams on the following activities:
* Operational Stability: Incident, problem, availability management, disaster recovery (DR), cyber, patching, technical currency.
* Automation and Delivery: Infrastructure as code (IaC), Continuous integration and delivery (CI/CD), automation, Terraform/GitHub actions (GHA) pipelines, observability dashboards, alerts, logging.
* Compliance and Security: Vulnerability management, secrets, certificates, governance.
**Product Ownership \&amp; Roadmap**
* Develop and maintain the Snowflake platform roadmap aligned to enterprise priorities.
* Prioritize features, enhancements and technical requirements based on business value.
* Manage platform intake, backlog grooming, and iteration planning.
**User Enablement \&amp; Experience**
* Own user onboarding, documentation, training, and platform communications.
* Lead the Snowflake user Community of Practice and drive platform best practices.
* Partner with users to resolve usage challenges and support platform self‑service.
* Manage the ServiceNow (MTE) service catalog for Snowflake offerings.
**Vendor \&amp; Partner Management**
* Function as primary contact for Snowflake account and support teams.
* Collaborate on contracts, licensing, quarterly business reviews (QBRs), and roadmap alignment.
* Submit and track platform enhancement requests.
**FinOps \&amp; Reporting**
* Deliver Snowflake platform usage, spend, and optimization reporting.
* Recommend warehouse utilization and idle time changes to reduce cost without impairing performance SLAs.
* Partner with vendor and internal teams to implement recommendations that optimize platform cost and performance.
**Qualifications**
**Required**
* Candidates must be authorized to work in the US without company sponsorship. The company will not support the STEM OPT I\-983 Training Plan endorsement for this position.
* 5–7 years of engineering experience with modern data platforms.
* 3\+ years of experience with day\-to\-day operation of a large\-scale Snowflake implementation supporting development teams.
* Strong understanding of Snowflake architecture, performance concepts, role\-based access control (RBAC), and data pipelines.
* Strong understanding of security, resiliency, DevOps, complex/large\-scale data pipelines, observability, and related automation.
* AI experience, specifically Snowflake Cortex and overall understanding of how Snowflake supports AI, agentic solutions.
* Demonstrated ability to manage a roadmap, prioritize work, and collaborate with engineering teams.
* Experience supporting user communities, documentation, training, and enablement.
* Ability to communicate and influence technology across technical and business teams.
* Strategic thinking and ability to simplify complex topics.
**Preferred**
* SnowPro Core or SnowPro Advanced certification.
* Experience with cloud platforms (AWS, Google, Azure) and DevOps tooling (Terraform, GitHub).
* Exposure to regulated industry environments (insurance, financial services).
**Success Measures**
* Clear, actionable Snowflake platform roadmap established.
* Consistent and scalable user onboarding, documentation, and support model.
* Improved platform usability, performance, and cost efficiency.
* Strong operating model between Product Management and Reliability Engineering.
* Delivering high‑impact platform capabilities aligned with enterprise data strategy.
* Positive user satisfaction feedback across engineering and business communities.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$137,200 \- $205,800
 Equal Opportunity Employer/Sex/Race/Color/Veterans/Disability/Sexual Orientation/Gender Identity or Expression/Religion/Age</t>
        </is>
      </c>
    </row>
    <row r="90">
      <c r="A90" t="inlineStr">
        <is>
          <t>li-4365912648</t>
        </is>
      </c>
      <c r="B90" t="inlineStr">
        <is>
          <t>Staff Technical Program Manager, Vehicle Programs</t>
        </is>
      </c>
      <c r="C90" t="inlineStr">
        <is>
          <t>Aurora</t>
        </is>
      </c>
      <c r="D90" t="inlineStr">
        <is>
          <t>linkedin</t>
        </is>
      </c>
      <c r="E90" t="inlineStr"/>
      <c r="F90" t="inlineStr"/>
      <c r="G90" t="inlineStr">
        <is>
          <t>Mountain View, CA</t>
        </is>
      </c>
      <c r="H90" t="inlineStr"/>
      <c r="I90" t="inlineStr">
        <is>
          <t>**Who We Are**
 Aurora’s mission is to deliver the benefits of self\-driving technology safely, quickly, and broadly.
 The Aurora Driver will create a new era in mobility and logistics, one that will bring a safer, more efficient, and more accessible future to everyone.
 At Aurora, you will tackle massively complex problems alongside other passionate, intelligent individuals, growing as an expert while expanding your knowledge. For the latest news from Aurora, visit aurora.tech or follow us on LinkedIn.
 Aurora hires talented people with diverse backgrounds who are ready to help build a transportation ecosystem that will make our roads safer, get crucial goods where they need to go, and make mobility more efficient and accessible for all. This candidate will manage cross\-functional programs to integrate the new generations of the Aurora Driver with a number of vehicle platforms at various stages of maturity. In doing so, s/he will be responsible for setting milestones with a high level of cross\-department dependencies, tracking progress and maintaining accountability against those milestones, and identifying and mitigating risks from early requirements definition phases to integrated vehicle deployment.
 They will report to the Director of Vehicle Programs and will work closely with Product, Hardware Engineering, Software Engineering, Systems Engineering and Operations teams within Aurora.
**In this role, you will**
* Manage and be accountable for complex hardware and vehicle programs through full product lifecycle at a large scale.
* Consolidate input from a wide variety of functional teams and cross\-functional initiatives, including hardware and software engineering, manufacturing and production planning, legal and regulatory compliance, safety and security, business and commercial development, finance, supply chain, and operations.
* Solicit, aggregate and track product and technical requirements for integrated vehicles to ensure alignment with high level company roadmap and satisfaction of the end customer.
* Define, communicate, and track key performance indicators for integration programs at various stages of maturity across multiple functions and departments.
* Identify, catalog, and report on risks to integration programs across multiple teams. Manage burndown of these risks through the program lifecycle.
* Understand technical implementation at the architectural level and propose alternatives when necessary, ask questions that clarify priorities and push the team to be effective.
* Proactively remove obstacles to drive momentum and progress, identify gaps in communication or schedule, provide support to teams balancing competing priorities and drive results.
* Create weekly reports and run programmatic meetings with appropriate level of detail for the respective audience. Proactively schedule meetings or discussions with cross\-functional partners to address roadblocks.
* Suggest and implement process improvements to integration programs.
**Required Qualifications**
* Based near an Aurora office, preferably Mountain View, CA or Pittsburgh, PA. Ability to travel.
* Experience in program management and operations of highly technical initiatives.
* Ability to break complex projects down to manageable milestones and deliver them in a successful and timely manner.
* Strong ability to communicate (verbal and written) succinctly and effectively to various global audiences at all levels, from line engineers to partners to C\-level executives.
* Master collaborator \-\- unflappable with impeccable attention to detail and organization, ability to influence, motivate, and generate goodwill with teammates while juggling multiple projects at once and not letting the ball drop.
* Experience building project plans and roadmaps with clear dependency management.
* Demonstrated direct impact through the design, development, and launch of exceptional products and programs.
* Solid technical aptitude and an ability to understand technical designs, challenges and risks; ability to work closely with engineers.
 The base salary range for this position is $181K\-$262K per year. Aurora’s pay ranges are determined by role, level, and location. Within the range, the successful candidate’s starting base pay will be determined based on factors including job\-related skills, experience, qualifications, relevant education or training, and market conditions. These ranges may be modified in the future. The successful candidate will also be eligible for an annual bonus, equity compensation, and benefits.
 \#Mid\-Senior
**Working at Aurora**
 At Aurora, we bring together extraordinarily talented and experienced people united by the strength of our values. We operate with integrity, set outrageous goals, and build a culture where we win together — all without any jerks.
 We believe in\-person work increases collaboration, empathy and our ability to lead effectively. As a result, we operate in a hybrid work environment where Aurorans are in office at least 3 days per week.
 Our Careers page provides insight into what it is like to work at Aurora, and you can find all the latest updates in our Newsroom.
**Our commitment to safety**
 At the core of everything we do is our commitment to safety. Building best\-in\-class self\-driving technology will take time, and we believe that each employee at Aurora has a role in contributing to safety, every step of the way. Aurora expects commitment to our safety policies from every employee, and seeks candidates who take an active responsibility, can contribute to building an atmosphere of trust, and invest in the organization’s long\-term success by prioritizing working safely, no matter what.
**Our commitment to inclusion**
 Aurora considers candidates without regard to their race, color, religion, national origin, age, sex, gender, gender identity, gender expression, sexual orientation, marital status, pregnancy status, parent or caregiver status, ancestry, political affiliation, veteran and/or military status, physical or mental disability, or any other status protected by federal or state law. Aurora considers qualified applicants with criminal histories, consistent with applicable federal, state, and local law. We are also committed to providing reasonable accommodations for qualified individuals with disabilities and disabled veterans in our job application procedures. If you need assistance or an accommodation due to a disability, you may contact us at careersiteaccommodations@aurora.tech.
*For California applicants, information collected and processed as part of your application and any job applications you choose to submit is subject to Aurora’s California Employment Privacy Policy.*</t>
        </is>
      </c>
    </row>
    <row r="91">
      <c r="A91" t="inlineStr">
        <is>
          <t>li-4365911670</t>
        </is>
      </c>
      <c r="B91" t="inlineStr">
        <is>
          <t>Staff Technical Program Manager, Vehicle Programs</t>
        </is>
      </c>
      <c r="C91" t="inlineStr">
        <is>
          <t>Aurora</t>
        </is>
      </c>
      <c r="D91" t="inlineStr">
        <is>
          <t>linkedin</t>
        </is>
      </c>
      <c r="E91" t="inlineStr"/>
      <c r="F91" t="inlineStr"/>
      <c r="G91" t="inlineStr">
        <is>
          <t>Pittsburgh, PA</t>
        </is>
      </c>
      <c r="H91" t="inlineStr"/>
      <c r="I91" t="inlineStr">
        <is>
          <t>**Who We Are**
 Aurora’s mission is to deliver the benefits of self\-driving technology safely, quickly, and broadly.
 The Aurora Driver will create a new era in mobility and logistics, one that will bring a safer, more efficient, and more accessible future to everyone.
 At Aurora, you will tackle massively complex problems alongside other passionate, intelligent individuals, growing as an expert while expanding your knowledge. For the latest news from Aurora, visit aurora.tech or follow us on LinkedIn.
 Aurora hires talented people with diverse backgrounds who are ready to help build a transportation ecosystem that will make our roads safer, get crucial goods where they need to go, and make mobility more efficient and accessible for all. This candidate will manage cross\-functional programs to integrate the new generations of the Aurora Driver with a number of vehicle platforms at various stages of maturity. In doing so, s/he will be responsible for setting milestones with a high level of cross\-department dependencies, tracking progress and maintaining accountability against those milestones, and identifying and mitigating risks from early requirements definition phases to integrated vehicle deployment.
 They will report to the Director of Vehicle Programs and will work closely with Product, Hardware Engineering, Software Engineering, Systems Engineering and Operations teams within Aurora.
**In this role, you will**
* Manage and be accountable for complex hardware and vehicle programs through full product lifecycle at a large scale.
* Consolidate input from a wide variety of functional teams and cross\-functional initiatives, including hardware and software engineering, manufacturing and production planning, legal and regulatory compliance, safety and security, business and commercial development, finance, supply chain, and operations.
* Solicit, aggregate and track product and technical requirements for integrated vehicles to ensure alignment with high level company roadmap and satisfaction of the end customer.
* Define, communicate, and track key performance indicators for integration programs at various stages of maturity across multiple functions and departments.
* Identify, catalog, and report on risks to integration programs across multiple teams. Manage burndown of these risks through the program lifecycle.
* Understand technical implementation at the architectural level and propose alternatives when necessary, ask questions that clarify priorities and push the team to be effective.
* Proactively remove obstacles to drive momentum and progress, identify gaps in communication or schedule, provide support to teams balancing competing priorities and drive results.
* Create weekly reports and run programmatic meetings with appropriate level of detail for the respective audience. Proactively schedule meetings or discussions with cross\-functional partners to address roadblocks.
* Suggest and implement process improvements to integration programs.
**Required Qualifications**
* Based near an Aurora office, preferably Mountain View, CA or Pittsburgh, PA. Ability to travel.
* Experience in program management and operations of highly technical initiatives.
* Ability to break complex projects down to manageable milestones and deliver them in a successful and timely manner.
* Strong ability to communicate (verbal and written) succinctly and effectively to various global audiences at all levels, from line engineers to partners to C\-level executives.
* Master collaborator \-\- unflappable with impeccable attention to detail and organization, ability to influence, motivate, and generate goodwill with teammates while juggling multiple projects at once and not letting the ball drop.
* Experience building project plans and roadmaps with clear dependency management.
* Demonstrated direct impact through the design, development, and launch of exceptional products and programs.
* Solid technical aptitude and an ability to understand technical designs, challenges and risks; ability to work closely with engineers.
 The base salary range for this position is $163K\-$236K per year. Aurora’s pay ranges are determined by role, level, and location. Within the range, the successful candidate’s starting base pay will be determined based on factors including job\-related skills, experience, qualifications, relevant education or training, and market conditions. These ranges may be modified in the future. The successful candidate will also be eligible for an annual bonus, equity compensation, and benefits.
 \#Mid\-Senior
**Working at Aurora**
 At Aurora, we bring together extraordinarily talented and experienced people united by the strength of our values. We operate with integrity, set outrageous goals, and build a culture where we win together — all without any jerks.
 We believe in\-person work increases collaboration, empathy and our ability to lead effectively. As a result, we operate in a hybrid work environment where Aurorans are in office at least 3 days per week.
 Our Careers page provides insight into what it is like to work at Aurora, and you can find all the latest updates in our Newsroom.
**Our commitment to safety**
 At the core of everything we do is our commitment to safety. Building best\-in\-class self\-driving technology will take time, and we believe that each employee at Aurora has a role in contributing to safety, every step of the way. Aurora expects commitment to our safety policies from every employee, and seeks candidates who take an active responsibility, can contribute to building an atmosphere of trust, and invest in the organization’s long\-term success by prioritizing working safely, no matter what.
**Our commitment to inclusion**
 Aurora considers candidates without regard to their race, color, religion, national origin, age, sex, gender, gender identity, gender expression, sexual orientation, marital status, pregnancy status, parent or caregiver status, ancestry, political affiliation, veteran and/or military status, physical or mental disability, or any other status protected by federal or state law. Aurora considers qualified applicants with criminal histories, consistent with applicable federal, state, and local law. We are also committed to providing reasonable accommodations for qualified individuals with disabilities and disabled veterans in our job application procedures. If you need assistance or an accommodation due to a disability, you may contact us at careersiteaccommodations@aurora.tech.
*For California applicants, information collected and processed as part of your application and any job applications you choose to submit is subject to Aurora’s California Employment Privacy Policy.*</t>
        </is>
      </c>
    </row>
    <row r="92">
      <c r="A92" t="inlineStr">
        <is>
          <t>li-4365974101</t>
        </is>
      </c>
      <c r="B92" t="inlineStr">
        <is>
          <t>Senior Program Manager, Flight Sciences</t>
        </is>
      </c>
      <c r="C92" t="inlineStr">
        <is>
          <t>Archer</t>
        </is>
      </c>
      <c r="D92" t="inlineStr">
        <is>
          <t>linkedin</t>
        </is>
      </c>
      <c r="E92" t="inlineStr"/>
      <c r="F92" t="inlineStr"/>
      <c r="G92" t="inlineStr">
        <is>
          <t>San Jose, CA</t>
        </is>
      </c>
      <c r="H92" t="inlineStr"/>
      <c r="I92" t="inlineStr">
        <is>
          <t>Archer is an aerospace company based in San Jose, California building an all\-electric vertical takeoff and landing aircraft with a mission to advance the benefits of sustainable air mobility. We are designing, manufacturing, and operating an all\-electric aircraft that can carry four passengers while producing minimal noise.
 Our sights are set high and our problems are hard, and we believe that diversity in the workplace is what makes us smarter, drives better insights, and will ultimately lift us all to success. We are dedicated to cultivating an equitable and inclusive environment that embraces our differences, and supports and celebrates all of our team members.
 As a
 **Senior Flight Sciences Program Manager** 
 , you will be responsible for planning, coordinating, and executing efforts across Archer’s Flight Sciences organization, including
 **Aerodynamics, Acoustics, Vehicle Performance and Flight Simulation, and Thermal Management** 
 , in close partnership with Engineering, Aircraft Integration, Flight Test, Program Management, and Supply Chain. This is a highly cross\-functional role that ensures technical, schedule, and cost alignment for analysis, simulation, and test activities that directly enable vehicle performance, flight readiness, and certification.
 This role requires strong technical intuition, disciplined program execution, and the ability to operate effectively in a fast\-paced, ambiguous development environment.
**What You’ll Do**
* Build and maintain strong relationships across Archer teams, including Flight Sciences, Aircraft Integration, Engineering, Flight Test, Program Management, and Supply Chain.
* Act as the primary interface between Flight Sciences and cross\-functional stakeholders on deliverables, priorities, issues, and resolution.
* Own execution for assigned Flight Sciences scope; aligning to program requirements and major milestones.
* Partner closely with Flight Sciences leadership and technical leads to plan and execute analysis, simulation, and test campaigns that support vehicle development, integration, and certification.
* Develop and maintain detailed, task\-based schedules supporting simulation development, aero/acoustic analyses, wind tunnel testing, and flight test correlation activities.
* Lead program kickoffs, execution reviews, and milestone/gate reviews; track and report progress against the program management plan.
* Drive supplier performance within the flight sciences domain, ensuring all contractual milestones are met through strategic planning and proactive execution.
* Identify, manage, and drive closure of program Risks, Issues, and Opportunities, with particular focus on performance, correlation, and schedule risk.
* Prepare and present executive\-level summaries, performance metrics, and readiness assessments to senior leadership.
**What You Need**
* Minimum of 5 years of experience in program management, technical program management, or engineering roles.
* Experience in flight sciences disciplines, including aerodynamics, flight simulation, thermal management and/or acoustics, and how they support aircraft design, integration, and flight test.
* Bachelor’s degree in Aerospace Engineering, Mechanical Engineering, or equivalent degree.
* Experience successfully managing and driving complex, technically driven development programs and distilling large volumes of information into clear, executive\-level communication.
* Proven experience managing cross\-functional dependencies and technically complex schedules.
* Expertise in identifying schedule drivers and critical paths to optimize simulation and test workflows. .
* Experience with Microsoft Project, Smartsheet, or similar scheduling tools.
* Experience with Jira and Confluence for task tracking and collaborative documentation.
* Ability to navigate ambiguity and re\-prioritize deliverables in a fast\-paced, evolving technical environment.
* Strong written and verbal communication skills.
* Exceptional organizational skills and attention to detail.
**Bonus Qualifications**
* Experience in aerospace vehicle development, advanced air mobility, or test programs.
* Familiarity with flight test planning, simulation validation, and model\-to\-flight correlation.
* Experience supporting certification programs and performance compliance efforts.
 At Archer, we aim to attract, retain, and motivate talent with the skills and leadership needed to grow our business. We drive a pay\-for\-performance culture and reward performance that supports the Company’s strategy. For this position, we are targeting a base pay range of $144,000 \- $198,000\. Actual compensation offered will be determined by job\-related knowledge, skills, and experience.
 Archer is committed to working with and providing reasonable accommodations to job applicants with physical or mental disabilities, and those with sincerely held religious beliefs. Applicants who may require reasonable accommodation for any part of the application or hiring process should provide their name and contact information to Archer’s People Team at people@archer.com. Reasonable accommodations will be determined on a case\-by\-case basis.
 Information collected and processed as part of any job applications you choose to submit is subject to Archer's Candidate Privacy Policy.
 Archer is unable to provide work visa sponsorship for this position at the present time.
 Archer is proud to be an Equal Opportunity employer committed to diversity and inclusivity in the workplace. All aspects of employment are decided on the basis of merit, qualifications, and business needs. We do not discriminate based upon race, color, religion, sex, sexual orientation, age, national origin, disability status, protected veteran status, gender identity or any other characteristic protected by federal, state or local laws.
 Archer Aviation does not engage with external recruiting agencies/individual recruiters with whom it does not have a prior written agreement. Archer reserves the right to make use of any unsolicited resumes that it receives and bears no responsibility for payment of any fees asserted from the use of unsolicited resumes. If you are a recruiting agency or individual recruiter wishing to do business with Archer, please reach out to People@archer.com. All employment processes are managed by the Archer People Team.</t>
        </is>
      </c>
    </row>
    <row r="93">
      <c r="A93" t="inlineStr">
        <is>
          <t>li-4356113486</t>
        </is>
      </c>
      <c r="B93" t="inlineStr">
        <is>
          <t>Sr. Principal Program Manager (Quoting Transformation)</t>
        </is>
      </c>
      <c r="C93" t="inlineStr">
        <is>
          <t>Palo Alto Networks</t>
        </is>
      </c>
      <c r="D93" t="inlineStr">
        <is>
          <t>linkedin</t>
        </is>
      </c>
      <c r="E93" t="inlineStr"/>
      <c r="F93" t="inlineStr"/>
      <c r="G93" t="inlineStr">
        <is>
          <t>Santa Clara, CA</t>
        </is>
      </c>
      <c r="H93" t="inlineStr"/>
      <c r="I93" t="inlineStr">
        <is>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****The Team****
 Information Technology \- The Information Technology (IT) team is a global organization that manages the tools, infrastructure, and systems that power our business. We are trusted partners, providing innovative solutions and support to enable our employees to do their best work. Our focus is on scalability, security, and efficiency, ensuring the company has a stable and modern technology foundation to support its rapid growth.
****Job Summary****
 The Sr. Principal Program Manager for Quoting Transformation will lead large\-scale, enterprise initiatives to modernize and scale the company’s global quoting ecosystem. This senior, hands\-on role sits at the intersection of Sales, Finance, Product, and IT, and is accountable for driving end\-to\-end transformation across CPQ, pricing, and deal desk operations. You will orchestrate complex, multi\-year programs that directly impact revenue velocity, margin, and customer experience.
****Key Responsibilities****
* Serve as the program owner for enterprise quoting transformation, including CPQ platforms, pricing workflows, and deal desk operations.
* Lead multi\-workstream transformation programs spanning process redesign, platform modernization, data enablement, and change management.
* Own end\-to\-end program execution, managing scope, roadmaps, milestones, risks, and dependencies to ensure disciplined delivery.
* Proactively collaborate and align with stakeholders across Sales, Finance, Product, and IT to drive decisions and ensure shared objectives.
* Lead executive forums to report on progress, drive decisions on priorities and scope, and align leaders on the transformation roadmap.
* Drive measurable improvements in the quoting ecosystem, such as reduced cycle time, improved deal velocity, and increased pricing consistency.
* Act as a thought partner to business leaders, providing expertise to simplify commercial constructs and reduce friction in deal flows.
****Qualifications****
****Required Qualifications****
* Bachelor's degree with 15 years of experience, Master's degree with 12 years of experience, or PhD with 8 years of experience in a related field.
* Extensive experience leading large\-scale, cross\-functional business transformation programs, specifically in the quote\-to\-cash (QTC) or CPQ domain.
* Deep domain expertise in commercial operations, including pricing, discounting, deal desk, and approval workflows.
* Proven ability to manage complex projects, from strategy and roadmap development to hands\-on execution and delivery.
* Exceptional stakeholder management and communication skills, with experience presenting to and influencing executive leadership.
******Preferred Qualifications******
* Experience with major CPQ platforms (e.g., Salesforce CPQ, Oracle CPQ).
* PMP, PgMP, or other relevant program management certification.
* Experience in a high\-growth SaaS or cybersecurity company.
* Demonstrated ability to simplify complex processes and systems to drive efficiency and user adoption.
**Must be local to SF Bay area.**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$193,000\.00 \- $263,500\.00/yr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is>
      </c>
    </row>
    <row r="94">
      <c r="A94" t="inlineStr">
        <is>
          <t>li-4373952956</t>
        </is>
      </c>
      <c r="B94" t="inlineStr">
        <is>
          <t>Sr. Technical Program Manager, ASIC</t>
        </is>
      </c>
      <c r="C94" t="inlineStr">
        <is>
          <t>Lensa</t>
        </is>
      </c>
      <c r="D94" t="inlineStr">
        <is>
          <t>linkedin</t>
        </is>
      </c>
      <c r="E94" t="inlineStr"/>
      <c r="F94" t="inlineStr"/>
      <c r="G94" t="inlineStr">
        <is>
          <t>San Diego, CA</t>
        </is>
      </c>
      <c r="H94" t="inlineStr"/>
      <c r="I9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Amazon. Clicking "Apply Now" or "Read more" on Lensa redirects you to the job board/employer site. Any information collected there is subject to their terms and privacy notice.
**Description**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The Amazon LEO team is looking for a Sr. Technical Program Manager with experience in complex ASIC/SOC development of managing various phases of pre\-silicon such as architecture, front end design, pre\-silicon verification, FPGA prototyping, Emulation, Physical design, BROM, FW, substrate and package design, Tapeout; and post\-silicon phases such as silicon manufacturing with foundry and OSAT, silicon bring\-up, functional and system validation, embedded FW/SW, ATE, Reliability, Qual, and NPI. The role will interface with cross\-functional engineering and program/product management teams to develop ASIC/SOCs solutions that will go into Satellites and Ground equipment/terminals. Join us and make a difference in the lives of people around the world.
 Key job responsibilities
 Key job responsibilities
**In This Role You Will**
* Collaborate with engineering leaders (ASIC/SOC leads) to create project execution plans for ASIC/SOC development considering all criteria to design products the meet the power/performance and functional specs for all use conditions.
* Work with ASIC, communication system, EE, and software teams to define ASIC bring\-up readiness and test plans.
* Work with product/program management lead to ensure that ASIC/SOC development meets schedule, cost, and quality requirements.
* Drive engineering project execution, make technical trade\-off recommendations, understand the technical challenges, enable solutions, track and report on status, and resolve blocking issues.
* Collaborate with Architecture, hardware, software, firmware, packaging and PCB teams on ensuring cross\-functional deliverables are identified and tracked.
* Work with external IP, Fabs, OSAT silicon services and partners to complete the execution of projects in time.
**Export Control Requirement**
 Due to applicable export control laws and regulations, candidates must be a U.S. citizen or national, U.S. permanent resident (i.e., current Green Card holder), or lawfully admitted into the U.S. as a refugee or granted asylum.
 A day in the life
 You must be fully competent in a variety of project management tools, SOC/IP design methodologies and techniques for all phases of the project life\-cycle and exhibit demonstrated proficiency in core project management disciplines including scope, schedule, budget, resources, quality and risk management, reporting and metric development/tracking. In addition, the candidate needs to drive ASIC bring\-up readiness (HW/SW) and ASIC bring\-up plan. Lastly, the candidate should have the experience of working through the various design phases of Silicon development from architecture definition, RTL design, Verification, IP design, Physical design, silicon bring up, test, characterization, quality, reliability and post silicon management.
**About The Team**
 Basic Qualifications
* 5\+ years of technical product or program management experience
* 7\+ years of working directly with engineering teams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 This position will remain posted until filled. Applicants should apply via our internal or external career site.
 If you have questions about this posting, please contact support@lensa.com</t>
        </is>
      </c>
    </row>
    <row r="95">
      <c r="A95" t="inlineStr">
        <is>
          <t>li-4372881834</t>
        </is>
      </c>
      <c r="B95" t="inlineStr">
        <is>
          <t>Program Manager, Connected Care Program</t>
        </is>
      </c>
      <c r="C95" t="inlineStr">
        <is>
          <t>Evergreen Nephrology</t>
        </is>
      </c>
      <c r="D95" t="inlineStr">
        <is>
          <t>linkedin</t>
        </is>
      </c>
      <c r="E95" t="inlineStr"/>
      <c r="F95" t="inlineStr"/>
      <c r="G95" t="inlineStr"/>
      <c r="H95" t="inlineStr"/>
      <c r="I95" t="inlineStr">
        <is>
          <t>**Who We Are**
 Evergreen Nephrology partners with nephrologists to transform kidney care through a value\-based, person\-centered, holistic, and comprehensive approach to kidney care. We believe patients living with kidney disease deserve the best care. We are committed to improving patient outcomes and improving quality of life by delaying disease progression, shifting care to the home, and accelerating kidney transplants.
 We help nephrologists focus on the right patients at the right time across the full care spectrum. We do this by providing them with the best\-in\-class interdisciplinary clinical resources, analytical insight and tools, and services to patients. We listen to the needs of our patients, our employees, and our client partners, continually working to push beyond the status quo in which the care system manages patients today.
**Who You Are**
 You are devoted, compassionate, and enjoy being on the front lines of healthcare, changing the lives of patients by supporting them and the team by focusing on customers. You’re excited about being part of a team that is building a healthcare delivery model that ensures the highest possible quality of life and best outcomes for those in our care. You believe people living with kidney disease deserve the best person\-centered, holistic, comprehensive care and want to influence the healthcare system to drive towards that. You thrive in innovative and evolving environments with high rates of change.
**Your Role**
 As a
 **Program Manager, Connected Care Program (CCP)** 
 with Evergreen Nephrology, you are responsible for Evergreen’s CCP operations on Fee For Service Chronic Care Management across multiple service provider accounts, overseeing a clinical team of 25–35 LVNs/LPNs and Care Managers. This role is responsible for delivering a scalable, high\-performance CCP program to complex patient populations.
 The PM owns:
* Staffing \&amp; span\-of\-control for large care teams
* KPI performance across multiple accounts
* Clinical workflow adherence
* Data hygiene
* Documentation quality
* Escalation oversight
* Client and provider partnership management
* Continuous improvement and operational scaling
 This is a high\-accountability, metrics\-driven, enterprise leadership role requiring exceptional operational discipline, clinical workflow insight, and the ability to create order and predictability across large, distributed care teams.
**Role Responsibilities**
 This role's primary duties include the following:
* Program Leadership \&amp; Multi\-Account Oversight
* Lead Evergreen’s CCP operations across multiple service provider groups, practices, or geographic regions.
* Manage a clinical workforce of 25–35 Care Managers and LVNs/LPNs, plus supporting CMA or administrative staff if applicable.
* Maintain clear performance expectations, role definitions, and accountability structures across all teams.
* Serve as Evergreen’s operational point of ownership for practice partners, vendor and internal leadership.
* KPI Performance, Analytics \&amp; Outcome Delivery – Owns performance across all CCP accounts, including:
* ≥80% monthly engagement
* ≥90% billable conversion
* Escalation timeliness (same\-day)
* Documentation compliance and QA standards
* Care plan reinforcement accuracy
* Reduction in avoidable ED visits/hospitalizations where applicable
* Responsibilities include:
* Daily, weekly, and monthly monitoring of performance dashboards
* Implementing corrective action plans
* Running weekly performance huddles with Leads and CMs
* Ensuring consistent documentation quality across all accounts
* Turning underperforming teams into stable, predictable, high\-output clinical units.
* Other duties consistent with this role, as assigned.
* Staffing, Capacity Planning \&amp; Team Development
* Build and maintain staffing ratios based on patient panel growth and acuity.
* Hire, onboard, and train large cohorts of CMs/LVNs as Evergreen scales.
* Implement Train\-the\-Trainer, QA calibration, and ongoing education programs.
* Develop Leads and high performers into supervisory roles to support team growth.
* Maintain clear span\-of\-control models for Leads vs. frontline CMs.
* Ensure reliable daily/weekly scheduling, queue coverage, and patient continuity.
* Clinical Workflow Governance
* Ensure all CMs follow Evergreen’s two\-screen model (EHR \+ vendor).
* Enforce documentation standards, scripting, and clinical escalation protocols.
* Partner with CMs to ensure symptom assessment, triage, and oncology/nephrology issues are handled safely.
* Monitor accuracy of EHR messages and routing.
* Ensure all care plans are reinforced using correct clinical workflows.
* This PM must be deeply comfortable in complex\-chronic workflows, including:
* CKD stages 3–5
* Dialysis transitions
* Nephrology symptom management
* Diabetes, CHF, COPD, mental health, hypertension
* Client, Provider \&amp; Partner Management
* Serve as Evergreen’s clinical owner for service provider account relationships.
* Present data, trends, risks, and mitigation plans to providers and practice leadership.
* Manage expectations around CCM outcomes, staffing, documentation, and clinical communication.
* Ensure providers view Evergreen’s CCM team as a clinical extension, not a call center.
* Quality Assurance, Compliance \&amp; Risk Management
* Run QA audits (documentation, call reviews, escalation reviews).
* Ensure compliance with clinical SOPs, CMS requirements, and partner expectations.
* Identify and mitigate operational, clinical, or compliance risks early.
* Maintain a strong engagement \+ billable \+ quality balance without sacrificing patient satisfaction.
**Required Qualifications**
* Registered Nurse (RN) required; candidates must have significant clinical experience working directly with high\-acuity or complex\-chronic populations
* Experience managing large clinical teams (25–35 staff), ideally in care management or population health.
* Strong operational leadership background in fee for services Chronic Care Management (CCM) and Transition of Care (TCM), case management, or remote care programs.
* Demonstrated ability to run KPI\-driven operations with clear targets and accountability.
* Strong understanding of multi\-chronic populations
* Experience working with EHR systems and care management platforms.
* High reliability mindset with strong documentation, workflow, and process rigor.
* Exceptional communication and stakeholder management skills (providers and lead clinical staff)
* Intermediate skills with MS Office Suite of products including Outlook and Teams
* Able to work effectively in a primarily remote environment:
* Home internet must support a minimum download speed of 25 Mbps and upload speed of 10 Mbps. Cable, Fiber, or DSL connections hardwired to the internet device are recommended
* Evergreen will provide remote employees with telephony applications and equipment to meet the business requirements for their role
* Employees must work from a dedicated space lacking ongoing interruptions to protect member PHI / HIPAA information
**Preferred Qualifications**
* Deep understanding of nephrology, CKD progression, dialysis workflows, and chronic disease management.
* Experience in value\-based care, risk\-bearing models, or population health strategy.
**Success Profile**
* A successful Evergreen Program Manager:
* Champions a patient\-first culture that prioritizes patient satisfaction, empathy, and a supportive care experience, ensuring every interaction improves patient trust and overall perception of Evergreen’s program.
* Runs a high\-output clinical operation across multiple accounts.
* Drives consistent improvements in patient satisfaction scores through coaching, workflow quality, and reliable follow\-up
* Builds strong, trusting relationships with providers and practice executives.
* Keeps teams consistently above KPI thresholds (engagement, billable, QA, escalations).
* Maintains reliable staffing, training, and operational hygiene.
* Brings order, structure, and predictability to complex clinical programs.
* Identifies risks early and proactively mitigates them.
* Demonstrates Evergreen is a credible, enterprise\-grade service provider
**Compensation**
 The pay range for this role is
 **$120,000 to $130,000** 
 annually. Exact pay is determined based on experience, education, demand for the role, and other role\-specific factors.
 This role is also eligible for an
 **annual** 
 bonus.
**Benefits**
 Evergreen Nephrology’s total rewards program is designed to support you in and outside of work. You can expect:
* Paid time off starting at 4 weeks for full\-time employees
* 12 paid holidays per year
* Medical, dental, vision and life insurance, including an HSA with employer match
* Reimbursement for continuing medical education for eligible roles
* A 401(k) program where Evergreen matches up to 4% of contributions
* Paid parental leave
* A robust training and development program that starts with onboarding and continues throughout your career with Evergreen Nephrology
 Evergreen Nephrology is an equal opportunity employer. Applicants will not be discriminated against because of race, color, creed, sex, sexual orientation, gender identity or expression, age, religion, national origin, citizenship status, disability, ancestry, marital status, veteran status, medical condition or any other protected category under local, state or federal laws.
 If you are an applicant with a disability who requires reasonable accommodation for any part of the hiring process, please contact us for assistance at talent@egneph.com.</t>
        </is>
      </c>
    </row>
    <row r="96">
      <c r="A96" t="inlineStr">
        <is>
          <t>li-4355818619</t>
        </is>
      </c>
      <c r="B96" t="inlineStr">
        <is>
          <t>Senior Technical Program Manager, M&amp;A Systems</t>
        </is>
      </c>
      <c r="C96" t="inlineStr">
        <is>
          <t>CoreWeave</t>
        </is>
      </c>
      <c r="D96" t="inlineStr">
        <is>
          <t>linkedin</t>
        </is>
      </c>
      <c r="E96" t="inlineStr"/>
      <c r="F96" t="inlineStr"/>
      <c r="G96" t="inlineStr">
        <is>
          <t>Sunnyvale, CA</t>
        </is>
      </c>
      <c r="H96" t="inlineStr"/>
      <c r="I96"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**Description of the Team**
 This role sits within the
 **CIO Strategy \&amp; Transformation** 
 organization, which partners closely with IT, Corporate Development, Security, Legal, Finance, People Technology, and business leaders to scale CoreWeave through disciplined, repeatable transformation initiatives. The team focuses on building operating models, systems, and technology foundations that support hyper\-growth, including mergers and acquisitions.
**About The Role**
 We are seeking a
 **Technical Program Manager, M\&amp;A Systems Integration** 
 to own the end\-to\-end planning and execution of IT and systems integration for mergers and acquisitions at CoreWeave. In this role, you will design and operate a repeatable M\&amp;A integration playbook and serve as the technical program owner for individual deals from diligence through full post\-close integration. You will drive Day 0, Day 1, and post–Day 1 execution across enterprise systems, infrastructure, and data while managing dependencies, risks, and executive\-level reporting. The role partners deeply with cross\-functional IT and business teams to ensure continuity, security, and a scalable end\-state architecture.
**Who You Are**
**What You’ll Bring**
* 7\+ years of experience in Technical Program Management, IT Program Management, or a closely related role delivering large, cross\-functional technology initiatives
* Hands\-on experience leading IT and systems integration for M\&amp;A or post\-merger integration programs
* Proven experience operating across multiple enterprise IT domains, including identity and access management, endpoint/device management, collaboration platforms, ERP/finance systems, data platforms, or infrastructure
* Ability to analyze and document technical architectures across identity, applications, integrations, networking, and data, and convert them into executable integration plans
* Demonstrated experience building integrated program plans, managing schedules and dependencies, tracking risks and issues, and driving change management
* Experience partnering with engineers and architects on integration platforms, APIs, automation, and event\-driven workflows
* Strong capability using metrics, dashboards, and KPIs to measure integration readiness, execution progress, and outcomes
* Experience operating in fast\-paced, time\-bound M\&amp;A environments while balancing execution speed with risk management and compliance requirements
**Preferred**
* Prior experience integrating IT systems in cloud infrastructure, data center, or high\-growth SaaS environments
* Familiarity with SOX, SOC 2, or similar compliance frameworks and their impact on M\&amp;A system integrations
* Exposure to GenAI\-enabled automation, AI agents, or workflow tooling applied to system migrations, data mapping, or IT support during M\&amp;A
 Wondering if you’re a good fit?
 We Believe In Investing In Our People And Value Candidates Who Bring Diverse Experiences—even If You’re Not a 100% Match. You Might Be a Great Fit If
* You love designing repeatable systems and playbooks that scale across multiple deals
* You’re curious about how technology, automation, and AI can accelerate complex integrations
* You’re an expert at turning ambiguity into structured, executable plans
 Why CoreWeave?
**About**
 At CoreWeave, we work hard, have fun, and move fast. We’re in an exciting stage of hyper\-growth that you won’t want to miss. We’re not afraid of a little chaos, and we’re constantly learning. Our team cares deeply about how we build our platform and how we work together, which is reflected in our core values:
* Be Curious at Your Core
* Act Like an Owner
* Empower Employees
* Deliver Best\-in\-Class Client Experiences
* Achieve More Together
 The base salary range for this role is $143,000 to $210,000\.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97">
      <c r="A97" t="inlineStr">
        <is>
          <t>li-4365849317</t>
        </is>
      </c>
      <c r="B97" t="inlineStr">
        <is>
          <t>Global Downstream Product Manager - Lead Management (San Diego, CA, Colorado Springs, CO or Plymouth, MN)</t>
        </is>
      </c>
      <c r="C97" t="inlineStr">
        <is>
          <t>Philips</t>
        </is>
      </c>
      <c r="D97" t="inlineStr">
        <is>
          <t>linkedin</t>
        </is>
      </c>
      <c r="E97" t="inlineStr"/>
      <c r="F97" t="inlineStr"/>
      <c r="G97" t="inlineStr">
        <is>
          <t>San Diego, CA</t>
        </is>
      </c>
      <c r="H97" t="inlineStr"/>
      <c r="I97" t="inlineStr">
        <is>
          <t>Job Title
 Global Downstream Product Manager \- Lead Management (San Diego, CA, Colorado Springs, CO or Plymouth, MN)
**Job Description**
**Global Downstream Product Manager \- Lead Management (San Diego, CA, Colorado Springs, CO or Plymouth, MN)**
 In this role you will own global product launches and champion growth for all current and new products within Philips’ Cardiac Solutions, IGTD category, with a specific focus on the Lead Management business. Through this role, you will be able to influence patient care pathways to ultimately improve patient lives around the globe.
**Your Role**
* Participate in the development and execution of global marketing strategies, including business plans, positioning, promotions, pricing, and trade shows, ensuring alignment with regional stakeholders.
* Integrate OUS (Outside US) market insights and stakeholder input into global portfolio and marketing strategy.
* Monitor and interpret competitive landscape and market trends to identify opportunities, anticipate gaps, and drive strategic actions.
* Track and report on product and market performance using data\-driven KPIs to ensure commercial success and adoption.
* Foster global collaboration by sharing product updates, competitive intel, and best practices across regional teams.
**You're The Right Fit If**
* You have a Bachelor’s degree in a related field.
* You’ve acquired 5\+ years of experience in product management. Downstream/GTM experience in medical device is required.
* Your skills include go\-to\-market / downstream, leading market development initiatives to drive adoption of new technology, and leading tradeshows, conferences, focus groups and/or sales meetings, ability to lead via influence, rally a team, establish and curate physician relationships, and create cross\-functional followers in pursuit of a shared mission, etc.
* You must be able to successfully perform the following minimum Physical, Cognitive and Environmental job requirements with or without accommodation for this position.
* You’re a self\-starter who can operate effectively, efficiently, and has strong communication skills.
**How We Work Together**
 We believe that we are better together than we are apart. For our office\-based teams, this means working in\-person at least 3 days per week. Onsite roles require full\-time presence in the company’s facilities. Field roles are most effectively done outside of the company’s main facilities, generally at the customers’ or suppliers’ locations.
 This is an office role.
**About Philips**
 We are a health technology company. We built our entire company around the belief that every human matters, and we won't stop until everybody everywhere has access to the quality healthcare that we all deserve. Do the work of your life to help improve the lives of others.
* Learn more about our business.
* Discover our rich and exciting history.
* Learn more about our purpose.
* Learn more about our culture.
**Philips Transparency Details**
 The pay range for this position in San Diego, CA is $105,840 to $169,344\.
 The pay range for this position in Plymouth, MN is $99,225 to $158,760\.
 The pay range for this position in Colorado Springs, CO is 94,000 \- $151,000\.
 The actual base pay offered may vary within the posted ranges depending on multiple factors including job\-related knowledge/skills, experience, business needs, geographical location, and internal equity.
 In addition, other compensation, such as an annual incentive bonus, sales commission or long\-term incentives may be offered. Employees are eligible to participate in our comprehensive Philips Total Rewards benefits program, which includes a generous PTO, 401k (up to 7% match), HSA (with company contribution), stock purchase plan, education reimbursement and much more. Details about our benefits can be found here.
 At Philips, it is not typical for an individual to be hired at or near the top end of the range for their role and compensation decisions are dependent upon the facts and circumstances of each case.
**Additional Information**
* US work authorization is a precondition of employment. The company will not consider candidates who require sponsorship for a work\-authorized visa, now or in the future.
* Company relocation benefits will not be provided for this position. For this position, you must reside in or within commuting distance to Plymouth, MN or San Diego, CA.
**\#ImageGuidedTherapy**
 This requisition is expected to stay active for 45 days but may close earlier if a successful candidate is selected or business necessity dictates. Interested candidates are encouraged to apply as soon as possible to ensure consideration.
*Philips is an Equal Employment and Opportunity Employer including Disability/Vets and maintains a drug\-free workplace.*</t>
        </is>
      </c>
    </row>
    <row r="98">
      <c r="A98" t="inlineStr">
        <is>
          <t>li-4373955911</t>
        </is>
      </c>
      <c r="B98" t="inlineStr">
        <is>
          <t>Senior Technology Project &amp; Program Manager</t>
        </is>
      </c>
      <c r="C98" t="inlineStr">
        <is>
          <t>Lensa</t>
        </is>
      </c>
      <c r="D98" t="inlineStr">
        <is>
          <t>linkedin</t>
        </is>
      </c>
      <c r="E98" t="inlineStr"/>
      <c r="F98" t="inlineStr"/>
      <c r="G98" t="inlineStr">
        <is>
          <t>Coppell, TX</t>
        </is>
      </c>
      <c r="H98" t="inlineStr"/>
      <c r="I9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Wolters Kluwer. Clicking "Apply Now" or "Read more" on Lensa redirects you to the job board/employer site. Any information collected there is subject to their terms and privacy notice.
**Enterprise Legal Management (ELM) Solutions** 
 , a line of business in the Legal \&amp; Regulatory division, provides a comprehensive suite of tools that address the growing needs of corporate legal operations departments to increase operational efficiency and reduce costs.
**The** 
**Senior Technology Project and Program Manager** 
 is responsible for managing the full lifecycle of global software development projects across multiple product lines using Agile methodologies, including Scrum and SAFe. This position ensures program success by coordinating cross\-team activities, tracking project details, identifying risks, and providing visibility to executives and stakeholders.
**Key Responsibilities**
**Manage projects to deliver on time according to scope and stakeholder expectations.**
**Communicate business needs clearly to assist with decision\-making and prioritization.**
**Track staff allocations for internal and third\-party teams.**
**Manage third\-party development partner relationships.**
**Escalate blocking issues and delays promptly.**
**Collaborate with globally distributed software development teams.**
**Facilitate deliverable reviews at regular intervals.**
**Apply and enforce project management and Agile development standards.**
**Act as Agile coach and mentor to teams.**
**Continuously improve project management and Agile processes.**
**Manage metrics, reporting, and time management system data.**
**Raise and escalate issues, risks, and concerns as appropriate.**
**Direct and prioritize work of implementation teams and oversee contractors/vendors.**
**Qualifications**
**Bachelor’s degree in Computer Information Systems or related field.**
**Minimum 5 years managing Agile enterprise software development projects globally.**
**Agile and SAFe certification required; PMP a plus.**
**Experience With SDLC And Full Program Lifecycle.**
**Strong organizational, communication, and interpersonal skills.**
**Ability to collaborate across geographically and functionally diverse teams.**
**Experience In Matrixed Organizations a Plus.**
**Strategic thinker with a passion for innovation.**
**Ability to travel domestically and internationally (up to 15%).**
**Our Interview Practices**
*To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
*Applicants may be required to appear onsite at a Wolters Kluwer office as part of the recruitment process.*
**Compensation**
 $94,200\.00 \- $164,450\.00 USD
 This role is eligible for Bonus.
*Compensation range listed is based on primary location of the position. Actual base salary offer is influenced by a wide array of factors including but not limited to skills, experience and actual hiring location. Your recruiter can share more information about the specific offer for the job location during the hiring process.*
**Additional Information**
 Wolters Kluwer offers a wide variety of competitive benefits and programs to help meet your needs and balance your work and personal life, including but not limited to: Medical, Dental, \&amp; Vision Plans, 401(k), FSA/HSA, Commuter Benefits, Tuition Assistance Plan, Vacation and Sick Time, and Paid Parental Leave. Full details of our benefits are available upon request.
 EQUAL EMPLOYMENT OPPORTUNITY Wolters Kluwer U. S. Corporation and all of its subsidiaries, divisions and customer/business units is an Equal Opportunity / Affirmative Action employer. All qualified applicants will receive consideration for employment without regard to race, color, religion, sex, sexual orientation, gender identity, national origin, disability, or protected veteran status.
 If you have questions about this posting, please contact support@lensa.com</t>
        </is>
      </c>
    </row>
    <row r="99">
      <c r="A99" t="inlineStr">
        <is>
          <t>li-4330510608</t>
        </is>
      </c>
      <c r="B99" t="inlineStr">
        <is>
          <t>CPU Development Technical Program Manager</t>
        </is>
      </c>
      <c r="C99" t="inlineStr">
        <is>
          <t>Qualcomm</t>
        </is>
      </c>
      <c r="D99" t="inlineStr">
        <is>
          <t>linkedin</t>
        </is>
      </c>
      <c r="E99" t="inlineStr"/>
      <c r="F99" t="inlineStr"/>
      <c r="G99" t="inlineStr">
        <is>
          <t>Santa Clara, CA</t>
        </is>
      </c>
      <c r="H99" t="inlineStr"/>
      <c r="I99" t="inlineStr">
        <is>
          <t>**Company**
 Qualcomm Technologies, Inc.
**Job Area**
 Engineering Services Group, Engineering Services Group \&gt; Program Management
**General Summary**
 The successful candidate will own technical program management for the Oryon CPU Engineering team’s development and delivery to key Qualcomm SoCs. This is the team behind the Snapdragon X Series and Snapdragon 8 Elite / Gen 5\. Work alongside the smartest minds in the industry to deliver best\-in\-class, efficient, high\-performance CPUs.
**Responsibilities**
* Plan, drive, and deliver CPU IP development and integration into silicon products across Qualcomm’s roadmap.
* Lead the creation and maintenance of credible and data\-driven schedules and project milestones.
* Organize and lead interdepartmental meetings to set project milestones/schedules, plans of records, define project tasks, establish program policies and processes.
* Responsible for IP\-SoC relationship \&amp; partnership program management.
* Troubleshoot program issues and help to develop alternative program tasks, schedules, milestones, resource plans, processes etc. to resolve program issues and conflicts.
* Determine risks, develop mitigation strategies, and communicate information to internal and external key stakeholders. Must be able to proactively drive and solve problems to solutions.
* Roll up and report regularly to senior management\-executives on key development milestones, budget, metrics, risks, and mitigation plans.
* Develop processes to increase the productivity and efficiency of the team.
* Manage teams through design, development, validation, test, manufacturing, deployment, and sustaining activities for hardware products.
* Be an advocate for the program in cross\-functional and stakeholder meetings.
**Preferred Qualifications**
* MS or PhD degree in Engineering
* Experience as an engineer in chip development and integration into hardware or software systems. Experience with silicon development methodologies, leading tape\-outs and silicon validation.
* A successful candidate requires a strong IP core (preferably CPU) design \&amp; debug background including Project Management of IP team working on multiple programs.
* Technical domain expertise in all aspects of VLSI development cycle and IP delivery process.
* You will help coordinate and support methodology deployment and play a key role in planning future IP validation and development initiatives.
* Ability to drive teams towards long\-term challenging goals and intermediate milestones, as well as navigating teams through short\-term, highly visible priorities.
* Track record of successful planning and execution within resource and schedule constraints.
* Knowledgeable on program management tools and processes to increase productivity across engineering teams.
* Proven skills: communication, negotiation, motivation, dealing and resolving difficult and complex situations, thinking on the fly, and drive to meet the business need.
**Physical Requirements**
* Frequently transports between offices, buildings, and campuses up to ½ mile.
* Frequently transports and installs equipment up to 5 lbs.
* Performs required tasks at various heights (e.g., standing or sitting).
* Monitors and utilizes computers and test equipment for more than 6 hours a day.
* Continuous communication which includes the comprehension of information with colleagues, customers, and vendors both in person and remotely.
**Minimum Qualifications**
* Bachelor's degree in Engineering, Computer Science, or related field.
* 5\+ years of Program Management or related work experience.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$197,000\.00 \- $295,400\.00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100">
      <c r="A100" t="inlineStr">
        <is>
          <t>li-4305230834</t>
        </is>
      </c>
      <c r="B100" t="inlineStr">
        <is>
          <t>Program Manager</t>
        </is>
      </c>
      <c r="C100" t="inlineStr">
        <is>
          <t>Resonant Sciences LLC</t>
        </is>
      </c>
      <c r="D100" t="inlineStr">
        <is>
          <t>linkedin</t>
        </is>
      </c>
      <c r="E100" t="inlineStr"/>
      <c r="F100" t="inlineStr"/>
      <c r="G100" t="inlineStr">
        <is>
          <t>Dayton, OH</t>
        </is>
      </c>
      <c r="H100" t="inlineStr"/>
      <c r="I100" t="inlineStr">
        <is>
          <t>Resonant Sciences LLC has an immediate opening for a Program Manager to join our Beavercreek, OH team. The position provides an opportunity to join an elite team and enhance the performance and profitability of an organization whose primary mission is to support our Nation's War Fighters. The candidate for this position shall be a self\-starter who can work independently, with little guidance, operating within their supervisor’s intent. They should be a leader capable of managing teams of all sizes and working with multiple interdependent groups working towards a common goal. To effectively interact and correspond with our customers, the candidate must be a quick learner and capable of understanding Resonant Sciences’ unique technologies and processes. They should also have an appropriate level of program management and financial acumen required to effectively manage risk, schedules, and profit and loss of their programs.
**Duties And Responsibilities**
* Leads cross\-functional teams on a diverse array of programs/projects while understanding customer requirements.
* Uses proposal plans and strategies to define, develop, and implement cohesive and integrated program/product schedules, business plans, subcontractor and material management to achieve overall current and long\-term objectives.
* Ensures work is accomplished to baseline plans to ensure the rate of work completion is sufficient to meet program/product schedules.
* Balances program risks and opportunities with executable strategies to meet technical requirements and budgets.
* Conducts reviews on products/programs to anticipate and identify issues, develop corrective actions, and communicate issues, impacts, and corrective actions to program teams.
* Responsible for maximizing profit and cash flow of products/programs.
* Identifies scope changes and develops product/program positions for equitable cost and schedule adjustment.
* Develops and executes strategies, proposal plans, cost analysis, resources management, and risk mitigation.
* Develops customer relationships, identifies new opportunities, and develops new business within the market/program.
* Performs other duties, as assigned.
**Qualifications**
* Bachelor's degree or equivalent is required plus a minimum of 6 years of relevant experience; or master’s degree plus a minimum of 4 years of relevant experience to meet managerial expectations.
* Majority of experience in a DoD\-related contracting environment.
* Thorough working knowledge of Microsoft desktop software (Word, Excel, PowerPoint, Project) is required.
* Strong knowledge of products and technologies including current and potential applications.
* Strong knowledge of target customer markets.
* Skilled in the development and implementation of product/program strategy and tactics.
* Ability to generate comprehensive program plans.
* Ability to establish and assure adherence to budgets, schedules, work plans, and performance requirements.
* Ability to understand and analyze program financial data.
* Ability to lead others in team building, conflict resolution, motivation, leadership, and risk management.
* Ability to develop and execute proposal plans and strategies.
* Ability to lead program in customer negotiations and negotiate win\-win solutions.
* Travel may be required.
**Preferred Skills \&amp; Abilities**
* Preferably have experience in one or more of the following areas: radome and antenna design and fabrication, custom electronic solutions, RF measurements of materials and subsystems, and Electro\-Optical / Infrared modeling and measurements.
* 3\-5 years minimum in a program management role preferred.
* Knowledge of Earned Value Management System (EVMS).
* Ability to develop and implement a product\-oriented WBS and WBS Dictionary.
* Strong knowledge of government contracting practices and regulations regarding acquisition.
**Citizenship/Security Clearance**
* U.S. Citizenship required. Secret security clearance is required at the time of hire. Candidates selected will be subject to a U.S. Government security investigation and must meet eligibility requirements for access to classified information.
**WHAT’S IN IT FOR YOU?**
* Become part of a high\-tech work environment that is highly impactful, exciting, and collaborative.
* Flexible working environment that enables our employees to balance work and personal life.
* A comprehensive benefits package that includes medical, dental, vision and prescription benefits with extremely low employee cost share for you and your eligible dependents.
* A well\-funded Health Spending Account with standard account fees paid by Resonant Sciences.
* 10 Federal Holidays (6 Standard, 4 Floating).
* A flexible Paid Time Off plan for employees.
* A generous retirement plan, subject to plan, IRS and ERISA rules.
**WHO ARE WE?**
 Resonant Sciences is a research and development firm with locations all over the United States, focused on developing and transitioning innovative technologies and solutions to developmental and operational platforms. Our areas of expertise include radome and antenna design and fabrication, custom electronic solutions, and RF measurements of materials, antennas, radomes, and subsystems. Our extensive capabilities include design and analysis, production, and ground and flight testing.
 A career at Resonant Sciences means that you will be involved in the complete development life cycle, seeing your design evolve from development prototype to incorporating mission requirements to technical specifications into a finished product for field testing.
 We are an equal opportunity employer. All qualified applicants will receive consideration for employment without regard to race, color, religion, sex, sexual orientation, gender identity, national origin, disability, or veteran status.</t>
        </is>
      </c>
    </row>
    <row r="101">
      <c r="A101" t="inlineStr">
        <is>
          <t>li-4327633170</t>
        </is>
      </c>
      <c r="B101" t="inlineStr">
        <is>
          <t>Youth Behavioral Health Program Manager I</t>
        </is>
      </c>
      <c r="C101" t="inlineStr">
        <is>
          <t>Aspiranet</t>
        </is>
      </c>
      <c r="D101" t="inlineStr">
        <is>
          <t>linkedin</t>
        </is>
      </c>
      <c r="E101" t="inlineStr"/>
      <c r="F101" t="inlineStr"/>
      <c r="G101" t="inlineStr">
        <is>
          <t>Salinas, CA</t>
        </is>
      </c>
      <c r="H101" t="inlineStr"/>
      <c r="I101" t="inlineStr">
        <is>
          <t>**Core Program Manager I**
**Salinas, CA**
 📍
 **Location:** 
 Salinas, California
 📅
 **Schedule:** 
 Full\-Time \| Exempt \|
 💼
 **Department:** 
 Behavioral Health
 📈
 **Reports To:** 
 Core Program Director
 💰
 **Pay Range:** 
 $79,200\-$82,500 per year
 🎁
 **Bonus:** 
 $750 Sign\-On Bonus \&amp; $750 Retention Bonus
**✨** 
**Make a** 
**Meaningful Impact**
 Aspiranet, one of California’s leading nonprofit organizations supporting children, youth, and families, is seeking a compassionate and skilled Core Program Manager to join our team in Salinas.
 If you’re passionate about supporting the emotional well\-being of young people and thrive in a collaborative, mission\-driven environment, we invite you to join our team and make a lasting impact.
 ❤️
 **About Aspiranet**
 Founded in 1975, Aspiranet is a mission\-driven organization dedicated to helping families thrive. We provide a continuum of care across California through six service divisions: Foster and Adoption, Transitional Aged Youth, Residential, Intensive Home\-Based Services, Behavioral Health, and Family and Community. Every role at Aspiranet contributes to something greater: building a future where every child is loved, every family supported, and every individual equipped to succeed.
 📝️ Position Summary
 The Core Program Manager (CPM I) maintains operational, fiscal and programmatic oversight of one or more identified core programs. The Core Program Manager (CPMI) works with staff, community agencies, and other entities to provide quality services.
**🔍** 
**Key Responsibilities**
 🗂️
 **Administrative Support**
* You help shape the program’s direction by drafting budgets and strategic plans with guidance from the CPD III.
* You keep things running smoothly by managing financial reports and staying within budget.
* Administrative tasks like time\-sheets, mileage, and expense submissions are handled with care, and you support your team in doing the same.
 🔧
 **Program Operations \&amp; Coordination**
* You ensure the program meets high standards—operationally, contractually, and in terms of safety—while aligning with Joint Commission and agency policies.
* You guide service delivery and act as a thoughtful liaison between clients, staff, funders, and community partners.
* When needed, you step in to provide direct support or on\-call coverage, and you help lead trainings that build confidence and clarity.
 📋
 **Compliance \&amp; Documentation**
* You support quality and accountability by implementing best practices and tracking outcomes.
* You help your team stay informed and compliant with agency and funder requirements, and you make sure incidents and concerns are documented properly.
* Confidentiality is a priority, and you ensure all service documentation is submitted accurately and on time.
 🤝
 **Team Collaboration**
* You recruit, hire, orient, supervise, and evaluate program staff under the direction of the CPD III.
* You conduct regular individual supervision sessions, provide support and intervention when needed, and complete performance management actions—including terminations—in consultation with the CPD III.
* You prepare and conduct timely employee evaluations and, in programs with a volunteer focus, assist with the recruitment, on\-boarding, training, matching, and supervision of volunteers.
**✅ Qualifications**
**Minimum Requirements:**
**Education And Work Experience** 
* Master’s Degree in Psychology, Social Work or a related field
* A minimum of one year prior management experience.
* A minimum of two years experience working in a related field/ setting (community based, social services, behavioral health, school based or residential setting).
* Meets all state\-required employment conditions, including:
+ DOJ fingerprint and Child Abuse Index clearance
+ TB/Health physical
+ Valid CA Driver’s License, acceptable driving record, and proof of insurance
**Knowledge, Skills, And Abilities**
* Proficiency in English (reading, writing, speaking, and comprehension).
* Ability to work independently while seeking guidance when necessary.
* Strong writing and documentation skills.
* Proficiency with Microsoft Word and standard office software.
* Excellent time management, multitasking, and organizational abilities.
* Ability to establish and maintain professional boundaries with clients and staff.
 💻
 **Work Environment \&amp; Schedule**
* On\-site role in Salinas, CA.
* Occasional flexibility required to meet program and client needs.
* Schedule: Full\-time, Day shift
* May require occasional travel for training or collaboration with partner agencies.
 ❤️
 **Why Aspiranet?**
* Competitive compensation, comprehensive benefits package, and a 403(b) retirement plan with employer matching.
* Access to the free Aspiranet Employee Perks Program. Enjoy exclusive discounts on entertainment, travel, wellness, pet care, gym memberships, theme parks, and more
* Flexible paid time off including 11 paid holidays, 10 vacation days, 10 sick leave days, two diversity days, and paid birthday time off.
* Access to our employee assistance program including 24/7 crisis line; up to 6 counseling sessions per issue.
* Training opportunities are available to support your ongoing development and career aspirations.
* Collaborate in a supportive, inclusive, and mission\-aligned culture.
* Opportunity to lead meaningful initiatives that support employee wellbeing.
 🏋️
 **Physical Demands**
 The physical demands and work environment characteristics described here are representative of those an employee encounters while performing the essential functions of this job. In accordance with the Americans with Disabilities Act (ADA), reasonable accommodations may be made to enable qualified individuals with disabilities to perform these essential functions.
 This position typically operates in a standard office environment. The noise level is generally quiet and remains within OSHA’s established safety levels at all times.
 ⚖️
 **Equal Employment Opportunity**
 Aspiranet is an equal opportunity employer that recognizes the value of diversity. We believe a diverse workforce within a culture of Inclusion, Diversity, Equity, and Access (IDEA) increases creativity, innovation, problem\-solving, and teamwork for the youth and families that we serve and the organization as a whole. Aspiranet strives to provide our employees with a workplace that is welcoming, inclusive of differing world views, cultures, and lived experiences.
 📝
 **How to Apply**
 Join us in building brighter futures.
**Apply Today Through Our Career Portal**
 ✨
 **Click here to apply:** 
**www.aspiranet.org/careers**
 ✨ Pro Tip: Once you’re in the portal, be sure to create an account to get started on your application! It’s quick, easy, and the first step to making a difference.</t>
        </is>
      </c>
    </row>
    <row r="102">
      <c r="A102" t="inlineStr">
        <is>
          <t>li-4366241662</t>
        </is>
      </c>
      <c r="B102" t="inlineStr">
        <is>
          <t>Principal BTM Construction Program Manager</t>
        </is>
      </c>
      <c r="C102" t="inlineStr">
        <is>
          <t>Fleet Data Centers</t>
        </is>
      </c>
      <c r="D102" t="inlineStr">
        <is>
          <t>linkedin</t>
        </is>
      </c>
      <c r="E102" t="inlineStr"/>
      <c r="F102" t="inlineStr"/>
      <c r="G102" t="inlineStr">
        <is>
          <t>Denver, CO</t>
        </is>
      </c>
      <c r="H102" t="inlineStr"/>
      <c r="I102" t="inlineStr">
        <is>
          <t>Fleet Data Centers designs, builds and operates mega\-scale data center campuses. Fleet provides its customers flexibility and predictability to meet their upside demand forecasts, addressing a key need in the market as traditional leased models are struggling to keep pace with the demand for new Cloud and AI infrastructure. Fleet is led by a team of industry veterans that have already made a lasting imprint on the evolution of global digital infrastructure and are committed and uniquely capable of upleveling data center development scale and operations in the face of rising demand. Fleet is well positioned to bring in\-house design, engineering and operational capabilities to collaborate with customers on tailored solutions for campuses of 500MW\+. This unique model enables Fleet to provide the world’s largest and most sophisticated customers a seamless extension of their own data center fleets with constant access to design innovation. Fleet is headquartered in Denver, Colorado, with satellite offices in Seattle, WA and Arlington, VA.
 The job location for this role is open to our corporate offices in Denver, CO, Seattle, WA, Alexandria, VA, and Austin, TX, as well as on the construction site in Sparks, NV.
**Position Overview**
 The Principal Data Center BTM Construction Program Manager provides strategic leadership and management for all behind\-the\-meter (BTM) construction projects across Fleet’s portfolio. Reporting to the VP of Construction, this role is responsible for program\-level planning, execution, and performance management of BTM projects, ensuring alignment with Fleet’s mission\-critical operational standards and corporate objectives.
 This position will manage multiple BTM Construction Managers and project teams across multiple regions ensuring consistent delivery, quality, and cost control across all BTM projects.
**Key Responsibilities**
****Program Leadership \&amp; Strategic Oversight****
* Lead and manage the BTM construction program across multiple hyperscale data center projects, ensuring alignment with corporate strategy and operational objectives.
* This role oversees all aspects of BTM installation, commissioning, turnover, and demobilization, ensuring compliance with Fleet's standards, client requirements, and regulatory obligations.
* Lead all on\-site activities for major project deployments, including civil, mechanical, and electrical works
* Manage vendors, subcontractors, and internal teams to ensure alignment with project scope, schedule, and budget
* Develop and maintain site logistics plans, work schedules, and resource allocation
* Coordinate with engineering, logistics, and project management teams to ensure seamless execution
* Maintain accurate site records, including daily reports, progress tracking, and change documentation
* Monitor progress against project milestones and proactively address delays or disruptions
* Serve as the primary site contact for clients, inspectors, and stakeholders
* Support commissioning and handover processes, ensuring operational readiness and client satisfaction
* Identify and mitigate risks, escalating issues as needed to project leadership
* Establish program\-level goals, KPIs, and metrics for schedule, budget, quality, and safety performance.
* Provide leadership and mentorship to Construction Managers and project teams, promoting best practices and continuous improvement.
* Ensure standardization of processes, procedures, and documentation for BTM projects globally.
****Project \&amp; Portfolio Management****
* Oversee the planning, sequencing, and execution of multiple BTM projects, including medium\-voltage switchgear, transformers, UPS, generators, feeders, and supporting civil/structural work.
* Monitor portfolio\-level budgets, schedules, and performance, proactively identifying and mitigating risks.
* Coordinate cross\-project dependencies and resource allocation to optimize delivery and minimize conflicts.
* Review and approve project scopes, plans, and change management strategies to ensure consistency across the program.
****Stakeholder Collaboration****
* Serve as the senior point of contact for all BTM program initiatives across internal teams, contractors, vendors, and utilities.
* Provide executive\-level reporting on program performance, risks, and opportunities to senior leadership.
* Partner with operations, commissioning, and design teams to ensure BTM systems meet reliability, redundancy, and operational standards.
* Foster a culture of accountability, safety, and excellence across all projects within the BTM program.
****Risk Management \&amp; Continuous Improvement****
* Identify systemic risks and implement strategies to mitigate program\-level challenges.
* Drive continuous improvement initiatives across all BTM construction projects.
* Lead lessons\-learned sessions, benchmarking, and best practice adoption across the program.
* Ensure adherence to all environmental, health, and safety standards, including medium\-voltage and UPS protocols.
****Tools \&amp; Systems****
* Maintain program oversight using Procore, Primavera P6, or equivalent project and portfolio management tools.
* Ensure accurate, consistent reporting and documentation across all BTM projects.
**Basic Qualifications**
* Bachelor’s degree in Construction Management, Electrical Engineering, or related field or equivalent experience
* 7\+ years of progressive experience in construction management, with at least 5 years managing mission\-critical BTM or power infrastructure projects.
* 7\+ years of experience leading multi\-project programs in a large\-scale construction environment.
* 7\+ years of experience with medium\-voltage switchgear, transformers, UPS, generators, feeders, and associated civil/structural work.
* 7\+ years of experience with Procore, Primavera P6, MS Project, or other project and portfolio management tools.
**Preferred Qualifications**
* Experience in related BTM projects, ideally supporting Data Centers or mission\-critical deployments.
* Demonstrated ability to manage multiple Senior CMs and project teams across complex, multi\-site programs.
* Knowledge of commissioning, energization, and operational readiness for BTM systems.
* Ability to influence senior leadership and cross\-functional teams across global projects.
* Self\-starter capable of managing high\-profile, high\-impact programs in a fast\-paced environment.
* Strong leadership, communication, and strategic planning skills.
* Proven track record managing multi\-disciplinary teams on complex, high\-value projects
* Strong knowledge of construction safety standards, QA/QC practices, and project controls
* Excellent communication, leadership, and problem\-solving skills
****Expected Salary Range:****
 $150,000 – $200,000 base \+ an annual bonus
 T
 ****ravel:****
 This role includes up to 75% travel
 Fleet Data Centers Employment
 Fleet Data Centers employees enjoy competitive compensation and comprehensive benefits, including 100% employer\-covered medical, dental, and vision insurance, a 401K program, standard paid holidays, and unlimited PTO.
**NOTE: This job description is not intended to be all\-inclusive. Employees may perform other related duties to meet the organization's ongoing needs.**
**Fleet Data Centers is proud to be an Equal Opportunity Employer. Qualified applicants are considered for employment regardless of age, race, color, religion, sex, national origin, sexual orientation, gender identity, disability, or veteran status. If you need assistance applying for any of our open positions, please contact us at**
 info@fleetdatacenters.com
 **.**</t>
        </is>
      </c>
    </row>
    <row r="103">
      <c r="A103" t="inlineStr">
        <is>
          <t>li-4366273678</t>
        </is>
      </c>
      <c r="B103" t="inlineStr">
        <is>
          <t>Infrastructure Technical Program Manager, Global Connectivity Infrastructure Development</t>
        </is>
      </c>
      <c r="C103" t="inlineStr">
        <is>
          <t>Amazon Web Services (AWS)</t>
        </is>
      </c>
      <c r="D103" t="inlineStr">
        <is>
          <t>linkedin</t>
        </is>
      </c>
      <c r="E103" t="inlineStr"/>
      <c r="F103" t="inlineStr"/>
      <c r="G103" t="inlineStr">
        <is>
          <t>Herndon, VA</t>
        </is>
      </c>
      <c r="H103" t="inlineStr"/>
      <c r="I103" t="inlineStr">
        <is>
          <t>**Description**
 Application deadline: Feb 20, 2026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is looking for an Infrastructure Technical Program Manager to support and deploy one of the world’s largest and most complex telecommunication networks. The role is responsible for the execution of a strategic plan to improve the business processes and deployment of hyper\-scaled cloud infrastructure, creation of a quality control system for North and South America (NASA), pre/post\-inspections for design validation, and piloting stakeholder communication for delivery schedules. This opportunity is within the Global Connectivity Infrastructure Delivery \- Fiber Deployment organization, which is responsible for project management, quality and delivery of fiber capacity for the physical network solutions that drive Amazon’s internal infrastructure and connect our services to the world.
 Key job responsibilities
 Reports to the GCID\-FD Deployment Manager, and updates regularly with Global Senior management.
* Serve as a key member of the GCID\-FD team helping to drive overall Network Infrastructure strategy.
* Vendor management to deploy on time, measure progress, and rate through quality Key performance Indicators.
* Develop a focused quality management program that tracks defects, mitigates risks, standardizes root cause analysis, and implements key performance measures to rate vendor success.
* Create and standardize reporting mechanisms for the GCID\-FD group and provide regular progress updates on program deployment to management and stakeholders.
* Periodically report on the overall network development program status across the assigned region.
* Manage and track deployment of approved network plans with internal customers and stakeholders such as technical business developers or construction vendors until the infrastructure is in service.
* Manage multiple competing cross\-functional projects/programs simultaneously, some on a global scale.
* Interact with engineers, technicians, vendors and senior management on a daily basis
* Physically audit completed construction work, review fiber test results, and hand\-off completed delivery to internal customers
* Run meetings, create and maintain timelines, and keep large, diverse groups informed of progress and obstacles.
* Anticipate bottlenecks, manage risk and escalations, and balance the business needs versus technical constraints.
* Coordinate access and approvals to security\-regulated sites
 25\-40%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3\+ years of technical infrastructure management experience
* Knowledge of best practices and emerging technologies, related to infrastructure (i.e. network, data center, hardware, software)
* Experience with varying scenarios of infrastructure builds
**Preferred Qualifications**
* Experience with reporting and Data Visualization tools such as Quick Sight / Tableau / Power BI or other BI packages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\- 127,100\.00 \- 171,900\.00 USD annually
 USA, GA, Atlanta \- 127,100\.00 \- 171,900\.00 USD annually
 USA, VA, Herndon \- 127,100\.00 \- 171,900\.00 USD annually
**Company** 
 \- Amazon Data Services, Inc.
 Job ID: A3166599</t>
        </is>
      </c>
    </row>
    <row r="104">
      <c r="A104" t="inlineStr">
        <is>
          <t>li-4373003073</t>
        </is>
      </c>
      <c r="B104" t="inlineStr">
        <is>
          <t>Senior Product Manager</t>
        </is>
      </c>
      <c r="C104" t="inlineStr">
        <is>
          <t>Zeta Global</t>
        </is>
      </c>
      <c r="D104" t="inlineStr">
        <is>
          <t>linkedin</t>
        </is>
      </c>
      <c r="E104" t="inlineStr"/>
      <c r="F104" t="inlineStr"/>
      <c r="G104" t="inlineStr">
        <is>
          <t>New York, NY</t>
        </is>
      </c>
      <c r="H104" t="inlineStr"/>
      <c r="I104" t="inlineStr">
        <is>
          <t>**WHO WE ARE** 
 Zeta Global (NYSE: ZETA) is the AI\-Powered Marketing Cloud that leverages advanced artificial intelligence (AI) and trillions of consumer signals to make it easier for marketers to acquire, grow, and retain customers more efficiently. Through the Zeta Marketing Platform (ZMP), our vision is to make sophisticated marketing simple by unifying identity, intelligence, and omnichannel activation into a single platform – powered by one of the industry’s largest proprietary databases and AI. Our enterprise customers across multiple verticals are empowered to personalize experiences with consumers at an individual level across every channel, delivering better results for marketing programs. Zeta was founded in 2007 by David A. Steinberg and John Sculley and is headquartered in New York City with offices around the world. To learn more, go to www.zetaglobal.com.
**THE ROLE** 
 We are seeking a Senior Product Manager to join our Product team focused on building a cutting\-edge MarTech product. You will own one of the product areas as an individual contributor while actively shaping the overall roadmap and delivering impactful customer experiences.
**RESPONSIBILITIES** 
* Drive day\-to\-day product execution, ensuring timely delivery of features.
* Collaborate with engineering, design, and cross\-functional teams to build high\-quality solutions.
* Engage with customers to understand pain points, gather feedback, and translate insights into actionable improvements.
* Contribute to product strategy and roadmap planning, aligning with business objectives.
* Define clear requirements, user stories, and success metrics for new features.
* Use data and KPIs to measure product performance and inform prioritization.
* Align product initiatives with business goals through stakeholder collaboration.
* Identify and mitigate risks in product delivery.
* Support go\-to\-market activities with marketing and sales teams.
* Drive post\-launch evaluations and iterate based on feedback and performance metrics.
* Provide mentorship to junior product managers or associates when needed.
**REQUIREMENTS** 
* 5–7 years of experience as a Product Manager, preferably in SaaS or MarTech.
* Strong technical background, ideally with a degree in Computer Science or related field.
* Proven ability to work independently while thriving in a collaborative team environment.
* Excellent communication skills and ability to influence stakeholders.
* Strong problem\-solving mindset and customer\-centric approach.
**PREFERRED SKILLS** 
* Experience in MarTech or B2B SaaS products.
* Familiarity with agile methodologies and product development best practices.
**BENEFITS \&amp; PERKS** 
* Unlimited PTO
* Excellent medical, dental, and vision coverage
* Employee Equity
* Employee Discounts, Virtual Wellness Classes, and Pet Insurance And more!!
**SALARY RANGE** 
 The salary range for this role is
**$160,000 \- $180,000** 
 . 
**PEOPLE \&amp; CULTURE AT ZETA** 
 Zeta considers applicants for employment without regard to, and does not discriminate on the basis of an individual’s sex, race, color, religion, age, disability, status as a veteran, or national or ethnic origin; nor does Zeta discriminate on the basis of sexual orientation, gender identity or expression.  
 We’re committed to building a workplace culture of trust and belonging, so everyone feels invited to bring their whole selves to work. We provide a forum for employees to celebrate, support and advocate for one another. Learn more about our commitment to diversity, equity and inclusion here:  https://zetaglobal.com/blog/a\-look\-into\-zetas\-ergs/ 
**ZETA IN THE NEWS!** 
 https://zetaglobal.com/press/?cat\=press\-releases</t>
        </is>
      </c>
    </row>
    <row r="105">
      <c r="A105" t="inlineStr">
        <is>
          <t>li-4372885590</t>
        </is>
      </c>
      <c r="B105" t="inlineStr">
        <is>
          <t>Product Manager</t>
        </is>
      </c>
      <c r="C105" t="inlineStr">
        <is>
          <t>Dufry</t>
        </is>
      </c>
      <c r="D105" t="inlineStr">
        <is>
          <t>linkedin</t>
        </is>
      </c>
      <c r="E105" t="inlineStr"/>
      <c r="F105" t="inlineStr"/>
      <c r="G105" t="inlineStr">
        <is>
          <t>Queens, NY</t>
        </is>
      </c>
      <c r="H105" t="inlineStr"/>
      <c r="I105" t="inlineStr">
        <is>
          <t>Join
 **Dufry by Avolta** 
 , a global leader in Duty\-Free travel retail, as a
 **Product Manager** 
 at
 **John F. Kennedy International Airport – Terminal 6** 
 . In this role, you will lead the planning, monitoring, and optimization of retail operations across beauty, liquor, tobacco, food, and luxury categories, ensuring product availability, visual merchandising excellence, and exceptional customer experiences for travelers.
**Your Team is counting on you as an Operations Product Manager to:** 
* Provide flexibility to work any shift, any day of the week, including weekends \&amp; holidays
* Work a full\-time schedule
**Operations Product Manager Job Responsibilities:** 
* Analyze Category and Brand Performance, on weekly and monthly basis
* Confirm the correct implementation of pricing, policies, and advertising spaces
* Coordinate the implementation of the promotional plan. For those periods without a central promotion, proposes and coordinates with category managers/ procurement the negotiation with local, promotional and submit them to the General Manager for approval.
* Follow up on promotions, implementation (stock availability, marketing, material, and tastings).
* Ensure the correct execution of marketing strategies and visual merchandising guidelines.
* Responsible for reporting item/ assortment management issues that linked to central Master Date
* Establish \&amp; develop an effective relationship with our Brand partners in\-store to maximize category performance and potential business opportunities. Including working with brands to secure additional funding and optimization of cover. In conjunction with space planning ensure defined planograms are adhered to ensuring effective application and review of all H\&amp;S, risk and compliance policies relevant for location.
**We're looking for a product manager to oversee the following categories:** 
**Beauty (Perfumery \&amp; Cosmetics)** 
* Work collaboratively with a curated selection of beauty brands such as Chanel, Dolce \&amp; Gabbana, Christian Dior \&amp; Tom Ford.
* Implement a program of bespoke, interactive beauty services designed for travelers.
* Support product launches and campaigns through entertainment and engaging activity.
* Propose sales forecasts and negotiate funding for team incentives.
* Utilize and develop digital elements of the beauty category (e.g. Fragrance Finder).
**Liquor, Tobacco \&amp; Food** 
* Work with world leading brands across an extensive range of whiskies, spirits, champagne \&amp; fine wines.
* Liaise with local and international confectionery and tobacco brands such as Godiva, Mondelez and Marlboro.
* Develop a program of sampling and tastings to enhance the customer experience.
* Create training opportunities alongside specialist brand partners.
* Utilize and develop digital elements of the liquor category (e.g. Whisky Finder).
**Luxury (Watches, Jewelry, Textiles, Leather)** 
* Work with luxury sunglasses, watches and bags brand partners including Rayban, Breitling and Mont Blanc.
* Support commercial initiatives including the introduction of new products.
* Generate seasonal incentive opportunities linked to the customer agenda.
* Create opportunities for extensive brand training and product knowledge development.
* Ensure exceptional visual merchandising standards.
**Required Qualifications:** 
* 3 years of retail experience with at least 1 year in a similar commercial role.
* Abilities to work with systems, spreadsheets and analyze stock predictions to ensure sufficient stock levels.
* Leadership qualities and demonstrated organizational skills.
* Demonstrated ability to build effective teams.
* Excellent time\-management skills and problem\-solving abilities.
* Strong interpersonal skills with an ability to interact with diverse personalities.
* Ability to multi\-task.
**What we will offer you:** 
* Competitive Salary of:
 **$68,354 \- $80,417 annually \+ quarterly bonus**
* Daily Pay\- Get your money as you earn it
* 20% Dufry, Hudson \&amp; HMSHost products
* PTO
* Personal and Parental Leave Programs
* Medical, Dental \&amp; Vision Insurance
* Company Paid Life Insurance
* Employee Recognition Programs
* Advancement and Growth Opportunities
* On\-going Training \&amp; Development
*Avolta, including Dufry, HMSHost Corporation, Hudson, and affiliates (“the Company”), is an equal opportunity employer. It is the Company’s policy to ensure equal employment opportunity in all aspects of employment and to comply with anti\-discrimination laws and regulations. The Company prohibits discrimination and harassment of any type and provides equal opportunities to applicants and team members without regard to actual or perceived race, color, creed, age, religion, sex or gender (including pregnancy, childbirth, related medical conditions and lactation), gender identity or gender expression (including transgender status), sexual orientation, national origin, disability, military service and veteran status, ancestry, citizenship status, marital status, protected medical condition as defined by applicable state or local law, genetic information, or any other basis protected by applicable federal, state or local laws and ordinances (referred to as “protected characteristics”)*</t>
        </is>
      </c>
    </row>
    <row r="106">
      <c r="A106" t="inlineStr">
        <is>
          <t>li-4374109024</t>
        </is>
      </c>
      <c r="B106" t="inlineStr">
        <is>
          <t>Associate Product Manager</t>
        </is>
      </c>
      <c r="C106" t="inlineStr">
        <is>
          <t>Judi Health</t>
        </is>
      </c>
      <c r="D106" t="inlineStr">
        <is>
          <t>linkedin</t>
        </is>
      </c>
      <c r="E106" t="inlineStr"/>
      <c r="F106" t="inlineStr"/>
      <c r="G106" t="inlineStr">
        <is>
          <t>New York, NY</t>
        </is>
      </c>
      <c r="H106" t="inlineStr"/>
      <c r="I106" t="inlineStr">
        <is>
          <t>**About Judi Health**
 Judi Health is an enterprise health technology company providing a comprehensive suite of solutions for employers and health plans, including:
* Capital Rx, a public benefit corporation delivering full\-service pharmacy benefit management (PBM) solutions to self\-insured employers,
* Judi Health™, which offers full\-service health benefit management solutions to employers, TPAs, and health plans, and
* Judi®, the industry’s leading proprietary Enterprise Health Platform (EHP), which consolidates all claim administration\-related workflows in one scalable, secure platform.
 Together with our clients, we’re rebuilding trust in healthcare in the U.S. and deploying the infrastructure we need for the care we deserve. To learn more, visit www.judi.health.
**Position Summary**
 We’re seeking a driven and collaborative Associate Product Manager to help shape the future of Judi Health’s data products.
 The ideal candidate is intellectually curious, thrives in a fast‑paced, highly collaborative environment, and is passionate about using data to build scalable analytics capabilities and models that power meaningful, data‑driven solutions.
**Position Responsibilities**
* Collaborate with other PMs, engineers, UX designers, and other stakeholders to ensure on\-time delivery of product features.
* Effectively manage and meet stakeholders’ priorities and expectations while assuming the role of a subject matter expert through deep intellectual curiosity and drive to learn.
* Partner with go\-to\-market and client\-facing teams to identify key value\-add opportunities.
* Drive the development of standardized and scalable data models.
* Analyze product data to derive insights to assist in the prioritization and post release optimization of the products.
* Translate business, analytics, and operational needs into a prioritized roadmap for the Enterprise Data Warehouse.
* Work with design team to conduct user experience testing and research.
* Collect and act on feedback from internal stakeholders and external clients to ideate and anticipate new products.
* Create and maintain team specific 15 month rolling product roadmap.
* Develop business requirements and specification documents.
* Perform backlog refinement, epic planning, and other scrum events.
* Conduct user testing prior to and post release of functionality to the customer.
* Publish value driven release notes and user guides.
* Present roadmap updates and product delivery risks to senior leadership.
* Manage and execute day\-to\-day project management functions with regards to the specific products under development.
* Support general business needs, as required.
* Responsible for adherence to the Capital Rx Code of Conduct including reporting of noncompliance.
**Minimum Qualifications**
* Bachelor’s degree or equivalent related experience.
* 2\+ years of experience in a Product Management role, Software Engineering role or related work experience.
* Experience with pharmacy benefit management, health plans or other health care companies.
* Ability to conceptualize and translate complex problems into viable solutions.
* Ability to manage conflicting priorities in a deadline driven environment.
* Highly analytical; demonstratable knowledge of SQL, Excel, or other data visualization tools.
* Excellent communication and collaboration skills with ability to translate between technical and not technical audiences both verbally and in writing.
* Strong attention to detail and project management skills.
* Intellectual and professional curiosity.
* Comfort or experience in a fast\-paced, growth\-oriented environment.
* Experience with agile framework; certified Scrum Product Owner preferred.
* Experience with Github or similar source code repositories preferred.
* Demonstratable knowledge of the Python programming language preferred.
 Salary Range: $80,000 USD \- $110,000 USD
*All employees are responsible for adherence to the Capital Rx Code of Conduct including the reporting of non\-compliance. This position description is designed to be flexible, allowing management the opportunity to assign or reassign duties and responsibilities as needed to best meet organizational goals.*
*Judi Health values a diverse workplace and celebrates the diversity that each employee brings to the table. We are proud to provide equal employment opportunities to all employees and applicants for employment and prohibit discrimination and harassment of any type without regard to race, color, religion, age, sex, national origin, disability status, medical condition, genetic information, protected veteran status, sexual orientation, gender identity or expression, or any other characteristic protected by federal, state or local laws.*
 By submitting an application, you agree to the retention of your personal data for consideration for a future position at Judi Health. More details about Judi Health's privacy practices can be found at https://www.judi.health/legal/privacy\-policy.</t>
        </is>
      </c>
    </row>
    <row r="107">
      <c r="A107" t="inlineStr">
        <is>
          <t>li-4373971420</t>
        </is>
      </c>
      <c r="B107" t="inlineStr">
        <is>
          <t>Product Owner (Remote Position)</t>
        </is>
      </c>
      <c r="C107" t="inlineStr">
        <is>
          <t>Lensa</t>
        </is>
      </c>
      <c r="D107" t="inlineStr">
        <is>
          <t>linkedin</t>
        </is>
      </c>
      <c r="E107" t="inlineStr"/>
      <c r="F107" t="inlineStr"/>
      <c r="G107" t="inlineStr">
        <is>
          <t>St Louis, MO</t>
        </is>
      </c>
      <c r="H107" t="inlineStr"/>
      <c r="I10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Omnigo Software. Clicking "Apply Now" or "Read more" on Lensa redirects you to the job board/employer site. Any information collected there is subject to their terms and privacy notice.
**Job Summary**
 We’re expanding our product portfolio across Healthcare, Higher Education, K\-12, and Corporate security operations. As a Product Owner, you will be the voice of the customer and the owner of the backlog for one or more products/modules, turning market and customer needs into clear, prioritized work for the engineering teams. You’ll partner tightly with Product Managers to drive release goals, and collaborate daily with Engineering, QA, Product Operations, Go\-to\-Market, Customer Success, and Support to deliver outcomes that customers adopt and love.
 What You’ll Deliver
* Vertical impact: Features that measurably improve workflows for hospital security (HIPAA\-aware), campus police \&amp; public safety (Clery, FERPA\-aware), district/ K\-12 operations (student safety/FERPA), and corporate security teams.
* Adoption \&amp; value: Tangible increases in adoption/usage of new capabilities and reduction in time\-to\-value for target segments.
* Release reliability: Sprint goals met, predictable release cadence, and crisp acceptance criteria that reduce rework.
* Backlog health: Customer\-validated, outcomes\-based backlog with clear prioritization, dependencies, and capacity signals.
 Key Responsibilities Backlog \&amp; Delivery
* Own and continuously refine the product backlog; write user stories and acceptance criteria; manage sprint planning, reviews, and backlog grooming.
* Define release goals with the Product Manager; collaborate with Engineering and QA to ensure sprint commitments are achieved.
* Perform functional validation/UAT and sign off on increments; track defects and drive fast resolution.
 Customer \&amp; Market
* Translate voice\-of\-customer and market input into features that work across multiple vertical markets (Healthcare, Higher Ed, K\-12\).
* Partner with Customer Success/Support to mine feedback and usage signals; ensure product decisions reflect real\-world workflows for campus, hospital, and corporate security teams.
 Go\-to\-Market \&amp; Launch
* Coordinate with Product Operations and cross\-functional stakeholders (Sales Enablement, Marketing, Professional Services, Support) to ensure launch readiness (pricing, positioning, FAQs, training, rollout plans).
* Provide field\-ready artifacts (release notes, demos/scripts) and support early adopters.
 Platform \&amp; Portfolio Context (nice to have)
* Work with adjacent modules/products to ensure seamless hand\-offs across the incident lifecycle; understand how capabilities integrate across Web Dispatch, iTrak, ICMS, Command \&amp; Planning, and TraQ7 where applicable.
* Collaborate with internal and external engineering partners (including dedicated offshore teams) using our standard SDLC processes.
**Qualifications**
* 5–8\+ years in Product Owner/Business Analyst/Product roles for B2B SaaS or enterprise software; proven delivery in agile environments.
* Domain familiarity with security operations in Healthcare, Higher Education, K\-12, or Corporate; understanding of data privacy/compliance considerations (e.g., HIPAA, FERPA, Clery).
* Expert at writing high\-quality user stories and acceptance criteria; comfortable with Jira/Azure DevOps and product analytics.
* Strong stakeholder communication—able to balance customer outcomes, technical constraints, and commercial goals.
* Experience coordinating cross\-functional launches and enablement with Product Ops/Marketing/Sales/Services/Support.
* Bonus: Exposure to our portfolio (e.g., REX/Web Dispatch, ICMS, Rhodium, QueTel/TraQ7\), or similar safety/security products.
 Success Metrics
* Sprint goal achievement rate; cycle time/throughput; escaped defect rate.
* Feature adoption within target verticals; customer satisfaction on new releases; time\-to\-value.
* Backlog health indicators (clarity, prioritization, stakeholder alignment) and launch readiness scorecards.
 How We Work
 Product Owners partner with Product Managers at the release level to translate strategy into executable sprint goals and work closely with Engineering/QA to hit those goals—bringing customer context into daily decisions. We leverage fully\-embedded engineering partners (onshore/offshore) within our SDLC to scale delivery while maintaining quality.
 EOE/M/F/Disabled/Vet
 This company is an equal opportunity employer and makes employment decisions without regard to race, color, religion, sex, national origin, age, disability or protected veteran status. All qualified applicants will receive consideration for employment.
 If you have questions about this posting, please contact support@lensa.com</t>
        </is>
      </c>
    </row>
    <row r="108">
      <c r="A108" t="inlineStr">
        <is>
          <t>li-4373002054</t>
        </is>
      </c>
      <c r="B108" t="inlineStr">
        <is>
          <t>Product Manager</t>
        </is>
      </c>
      <c r="C108" t="inlineStr">
        <is>
          <t>Skai</t>
        </is>
      </c>
      <c r="D108" t="inlineStr">
        <is>
          <t>linkedin</t>
        </is>
      </c>
      <c r="E108" t="inlineStr"/>
      <c r="F108" t="inlineStr"/>
      <c r="G108" t="inlineStr">
        <is>
          <t>New York, NY</t>
        </is>
      </c>
      <c r="H108" t="inlineStr"/>
      <c r="I108" t="inlineStr">
        <is>
          <t>**Description**
**Ready to take your career to the next level?**
 ﻿Skai is looking for the best and the brightest to join our rapidly growing team. We're proud of our industry\-leading digital marketing software but we're even prouder of the people behind it. That's where you come in!
 ﻿Our work environment is very fast\-paced and entrepreneurial. We work hard, we play hard, and we always do whatever it takes to delight our customers
 What will you do?
* Drive product strategies by leveraging insights from paid search marketing campaigns
* Collaborate with cross\-functional teams to design and enhance product features tailored to advertisers’ needs
* Act as the voice of the customer by collecting and analyzing market feedback
* Present ideas, product updates, and insights to clients and internal stakeholders with confidence and clarity
* Stay updated on trends in Paid Search and translate them into innovative product solutions
**Requirements**
* 3\-5 years of hands\-on campaign management experience in Google Ads with specific knowledge in Perfomance Max campaigns
* Planning, executing, and optimizing campaigns to achieve performance goals (e.g., ROAS, CPA, CTR)
* Proficient in building campaign structures, setting up ad groups, and keywords tailored to platform best practices
* Strong excel skills
* Strong understanding of the paid search marketing landscape, including campaign strategies and optimization.
* Strong presentation and communication skills, with fluency in English
* BA in Industrial Engineering, Business Management, Communication or similar
* Creativity, curiosity, and a passion for building innovative marketing technology solutions
**Nice To Have**
* Experience in product management or related fields
* Technical acumen and the ability to bridge the gap between business and technical teams
* A creative mindset with a knack for thinking outside the box
* Knowledge in commerce media marketing
 We are hybrid for the long term \- with a great home/ office work mix (three days in office per week), passionate and diverse team members, and a vibrant company culture.
 The salary range for this position is $140,000 to $150,000 plus bonuses. The actual salary amount will vary depending on the applicants experience, skills and abilities as well as internal equity and market data.
**Join us! We've been looking for you**
**Equal Opportunity Employer**
**Skai, Inc. is an Equal Opportunity Employer. At Skai, we believe ensuring a diverse, equitable, and inclusive workplace is not just an ideal to strive for; it is right, necessary, and our responsibility as humans. Our full** 
 DE\&amp;I commitment and global framework can be viewed on our company website and are aligned to our core values . We strongly encourage and seek applications from women, people of color, and bilingual and bicultural individuals, as well as members of the lesbian, gay, bisexual, and transgender communities. Applicants shall not be discriminated against because of race, religion, sex, national origin, ethnicity, age, disability, political affiliation, sexual orientation, gender identity, color, marital status, medical condition including acquired immune deficiency syndrome (AIDS) and AIDS\-related conditions, or any other protected status. Also pursuant to the San Francisco Fair Chance Ordinance, we encourage and will consider for employment qualified applicants with arrest and conviction records.
**Applicants With Disabilities**
**﻿**
**Reasonable accommodation will be made so that qualified disabled applicants may participate in the application process. Please advise in writing of special needs at the time of application.**
**Skai is an E\-Verify employer**
**﻿**</t>
        </is>
      </c>
    </row>
    <row r="109">
      <c r="A109" t="inlineStr">
        <is>
          <t>li-4372881928</t>
        </is>
      </c>
      <c r="B109" t="inlineStr">
        <is>
          <t>Product Manager</t>
        </is>
      </c>
      <c r="C109" t="inlineStr">
        <is>
          <t>Lawrence Harvey</t>
        </is>
      </c>
      <c r="D109" t="inlineStr">
        <is>
          <t>linkedin</t>
        </is>
      </c>
      <c r="E109" t="inlineStr"/>
      <c r="F109" t="inlineStr"/>
      <c r="G109" t="inlineStr"/>
      <c r="H109" t="inlineStr"/>
      <c r="I109" t="inlineStr">
        <is>
          <t>Lawrence Harvey has been engaged by a technology company developing AI\-driven software for large\-scale industrial construction projects in a position that is critical to commercializing a portfolio of intelligent workflow tools embedded directly into real\-world operations.
 They are looking for a
 **Product Manager** 
 who will own the end\-to\-end lifecycle of multiple AI agents, from discovery and rapid prototyping through pilot validation and scaled deployment. This individual will work closely with engineering and field stakeholders to map real workflows, define product direction, and merge a portfolio of agents into a cohesive commercial offering.
 The successful candidate will be joining a highly technical, fast\-paced, and collaborative team operating in a hands\-on discovery environment and will play a key role in shaping how AI is applied to complex construction programs.
 This is an opportunity to join a technology\-driven organization in a role that offers true ownership, measurable impact, and direct exposure to executive leadership while building products that improve how large industrial projects are planned and executed.
 The Ideal Candidate has:
 • 4\+ years of Product Management experience delivering B2B software from discovery through launch and iteration
 • Experience building workflow\-driven software tools, ideally within construction, EPC, infrastructure, or industrial environments
 • Strong ability to translate operational processes into clear product artifacts, roadmaps, and measurable success metrics
 • Exposure to AI, automation, enterprise integrations, or systems\-of\-record environments is a plus
 If this aligns well with your experience, please feel free to APPLY NOW</t>
        </is>
      </c>
    </row>
    <row r="110">
      <c r="A110" t="inlineStr">
        <is>
          <t>li-4330361294</t>
        </is>
      </c>
      <c r="B110" t="inlineStr">
        <is>
          <t>Staff Product Manager - US (Remote)</t>
        </is>
      </c>
      <c r="C110" t="inlineStr">
        <is>
          <t>Luxury Presence</t>
        </is>
      </c>
      <c r="D110" t="inlineStr">
        <is>
          <t>linkedin</t>
        </is>
      </c>
      <c r="E110" t="inlineStr"/>
      <c r="F110" t="inlineStr"/>
      <c r="G110" t="inlineStr"/>
      <c r="H110" t="inlineStr"/>
      <c r="I110" t="inlineStr">
        <is>
          <t>**Luxury Presence** 
 is building the AI growth platform for real estate. Backed by Bessemer Venture Partners and other top investors, we're a Series C company on track to hit $100M in annual recurring revenue in the next six months. More than 87,000 real estate professionals, including over 30% of the WSJ Real Trends top 100 agents in the United States, use us to run and grow their business.
 Why this role
 This role will lead product for a new team inside our Flagship Group to accelerate Luxury Presence’s shift to an AI\-powered platform for real estate growth. Flagship owns the technology at the core of our business: stunning real estate websites and the foundational elements of Presence, our platform that enables clients and internal teams to create websites, integrate with CRMs, create beautiful presentations for home buyers and sellers, and much more.
 As a Staff Product Manager, you’ll own strategy, roadmap, execution, and rollout high\-impact, high\-complexity projects, including new offerings and strengthening our existing solutions. Working in a fast\-paced environment with a skilled designer and team of fully AI\-equipped engineers, you’ll shape the core product that our customers and internal teams rely on every day — and see your work unlock momentum across the company.
 If you want to build high\-value, intuitive, beautiful products at an AI\-forward start\-up — this is your role.
**What You’ll Do**
* Own a roadmap that increases customer value, raises quality, and removes friction across Presence
* Turn ambiguous problems into a sharp plans with clear value, scope, milestones, and metrics
* Run discovery with customers and internal teams. Validate problems, test solutions, and de\-risk early
* Write crisp PRDs, roadmaps, and decision docs that drive clarity and align stakeholders
* Sequence work for iterative delivery and fast learning
* Collaborate with Design and Engineering to ship reliable, intuitive, and delightful experiences
* Define and analyze success metrics to understand if your bets are paying off and guide future work
**What We’re Looking For**
* 5\+ years in product management, including 2–3 years leading large, complex 0→1 or major revamp initiatives
* Startup mindset — you thrive in ambiguity, are a master at finding the MVP, and balance speed with quality
* Exceptional communicator \&amp; collaborator — you drive clarity and gain trust and buy\-in within your team and across the business
* Technical product track record — you’re experienced building technical products such as integrations and APIs
* Passion for quality — you care deeply about building exceptional user experiences and nailing the details
* Fluent in AI tools — you’re an expert at leveraging AI tools to multiply your impact
**Nice to Haves**
* Experience building AI\-powered products – agentic workflows, LLM selection, prompt creation, and evaluation suites
* Familiarity with the real estate industry
**Why You’ll Love It Here**
* 🚀 Join a product\-led, design\- and AI\-forward company with real traction and a clear growth strategy
* 🎯 Drive innovation on core functionality and greenfield bets
* 💡 Work with a talented, humble, and highly collaborative team
* 🌍 Thrive in a remote\-first, async\-friendly environment
* 🌱 Grow into leadership as we expand the platform and team
**Join us in shaping the future of real estate**
 The real estate industry is in the midst of a seismic shift, and the future belongs to those who break new ground. As one of the fastest\-growing companies in the proptech and marketing sectors, Luxury Presence challenges the status quo of what technology can do for real estate agents, leaders, and brokerages.
 We're a team of agile and tenacious innovators working collaboratively to drive the industry forward. Together, we build game\-changing products that empower modern real estate entrepreneurs to dominate their markets. From award\-winning web design to agile SEO solutions to cutting\-edge AI tools, we deliver tech that anticipates market shifts and keeps our clients ahead of their competition.
 Founded in 2016 by Stanford Business School alum Malte Kramer, Luxury Presence has grown to a global team ranked on the Inc. 5000 fastest\-growing companies list three years in a row. We're backed by world\-class investors, including Bessemer Venture Partners, NextEquity Partners, Toba Capital, and Switch Ventures, and have raised $89 million to date.
 More than 18,000 real estate businesses rely on our platform, including 30% of the Wall Street Journal RealTrends top agents and teams. Additionally, many of the industry's most powerful brokerages rely on Luxury Presence as a trusted business partner.
 Every year since 2020, Luxury Presence has ranked on BuiltIn's Best Place to Work lists. HousingWire named our founder and CEO a 2024 Tech Trendsetter, we've received several Tech100 Awards, and we just scored an Inman Innovation Award for Best AI\-Powered Platform.
**Luxury Presence is an Equal Opportunity Employer.** 
 All qualified applicants will receive consideration for employment without regard to race, color, religion, sex, sexual orientation, gender identity, or national origin.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1">
      <c r="A111" t="inlineStr">
        <is>
          <t>li-4372862076</t>
        </is>
      </c>
      <c r="B111" t="inlineStr">
        <is>
          <t>Product Manager</t>
        </is>
      </c>
      <c r="C111" t="inlineStr">
        <is>
          <t>Broadcom</t>
        </is>
      </c>
      <c r="D111" t="inlineStr">
        <is>
          <t>linkedin</t>
        </is>
      </c>
      <c r="E111" t="inlineStr"/>
      <c r="F111" t="inlineStr"/>
      <c r="G111" t="inlineStr">
        <is>
          <t>Plano, TX</t>
        </is>
      </c>
      <c r="H111" t="inlineStr"/>
      <c r="I111" t="inlineStr">
        <is>
          <t>**Job Description:**
 Job Description: \#Broadcomsoftware
 We are seeking a highly motivated, self\-driven, experienced Product Manager to lead multiple products in the Foundational and Open Solutions value stream of Broadcom's mainframe software division. These products ( Easytrieve, AION, Telon, Panvalet, Librarian, etc..) deliver operational, financial, and regulatory reporting needs for several key customers. Many of the world's largest banks, retailers and financial institutions depend on these products and services for the success of their business.
**About The Job**
 The Product Manager is directly responsible for the success of Easytrieve, Panvalet, Librarian, AION, Telon products by a strong collaboration and partnership with Engineering, UX, Marketing, and Sales, to deliver relevant industry leading features in alignment with our MSD business strategy. Success in this job requires identifying market driven use cases for product development, maintaining excellent customer relationships, leading to customer adoption and retention. This role requires good understanding of Enterprise reporting solutions on mainframes and skills to develop healthy relationships with key enterprise customers and partners.
 Key Responsibilities:
* a vital role in assisting the development of the vision, strategy, roadmap and releases of new features or migration plans for this product set.
* as intermediary between market/business requirements and R\&amp;D to advocate for the product internally.
* Prioritize product features by analyzing customer needs and breaking them down into functional stories working closely with the Product Owner roles.
* (and remove) roadblocks across teams to meet quality standards, project deadlines, and business objectives.
* Partner with Architecture teams solutioning new features and capabilities, including but not limited to exploring applicability of Artificial Intelligence, Machine Learning technologies
* lead sales initiatives (necessary) for customer adoption of new product features in the existing market
* measure customer adoption and retention based on the GTM plan and tactics deployed
**Required Education, Experience, And Skills**
* Bachelor's Degree AND 8\+ years experience in product/service/project/program management or software development
* Expertise in managing complex cross\-functional, cross\-business, cross\-disciplinary projects
* Working with business stakeholders in partnership to achieve goals and objectives
* Basic understanding of software licensing and product delivery in a B2B business model
* Excellent written and verbal communication skills
* Strong stakeholder management and effective communication skills
* Experience working with product and engineering teams in a collaborative software development environment and defining Go\-To\-Market plan.
* Understanding of managing and triaging customer requests
* Leadership, organization, and time management skills.
* Knowledge of mainframe software industry, transformation trends, and insights preferred
* Must have legal authorization to work in the US.
**Additional Job Description:**
**Compensation And Benefits**
 The annual base salary range for this position is $104,100 \- $166,500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R024637</t>
        </is>
      </c>
    </row>
    <row r="112">
      <c r="A112" t="inlineStr">
        <is>
          <t>li-4373976780</t>
        </is>
      </c>
      <c r="B112" t="inlineStr">
        <is>
          <t>Payments Product Manager - fintech</t>
        </is>
      </c>
      <c r="C112" t="inlineStr">
        <is>
          <t>Vika Talent Solutions</t>
        </is>
      </c>
      <c r="D112" t="inlineStr">
        <is>
          <t>linkedin</t>
        </is>
      </c>
      <c r="E112" t="inlineStr"/>
      <c r="F112" t="inlineStr"/>
      <c r="G112" t="inlineStr"/>
      <c r="H112" t="inlineStr"/>
      <c r="I112" t="inlineStr">
        <is>
          <t>We’re looking for a high agency, domain\-strong Product Manager (or aspiring PM) to help us build a brand\-new product in the fast\-evolving world of payments and bank data infrastructure. If you're someone who’s
 **sharp, scrappy, and energized by messy, 0→1 environments** 
 , this could be your ideal next move.
 This isn’t just about building features this is an opportunity to define the foundation of a product that safeguards financial transactions across employee payroll, vendor payouts, and customer payments. You’ll play a key role in shaping a product that prevents fraud, validates account ownership, and adds trust to every transfer.
 If you’ve worked at a company like
 **Stripe** 
 ,
 **Plaid** 
 , or within
 **payment network ecosystems** 
 , and are looking for your next big product challenge, we’d love to hear from youeven if you’ve never held a formal Product Manager title before.
**What You’ll Do** 
* Lead product discovery and collaborate with cross\-functional teams to validate problem statements around payment fraud prevention and bank account verification.
* Build and own core modules that touch areas like payment rails, account ownership validation, and transaction risk detection.
* Work closely with engineering, design, and data teams to translate domain expertise into scalable product features.
* Continuously evolve the product strategy based on customer feedback and emerging trends in payment security and infrastructure.
**What We’re Looking For** 
* Strong domain experience in the
 **payments ecosystem** 
 whether via banking, fintech, or infrastructure platforms like Plaid, Stripe, or B2B payment networks.
* Understanding of
 **payment rails** 
 ,
 **fraud detection** 
 , and
 **banking infrastructure** 
 .
* Exposure to products used for
 **vendor payments** 
 ,
 **payroll** 
 , or
 **customer transactions** 
 .
* You don’t need to be a senior product leaderbut you should be high\-agency problem solver, hands\-on, and deeply curious about building in this space.
* Excellent problem\-solving skills and the ability to distill complex financial workflows into clear, scalable solutions.
**Bonus Points For** 
* Prior experience working in early\-stage product development or 0\-to\-1 environments.
* Experience building internal tools or enterprise SaaS in finance, compliance, or data infrastructure.
* Technical fluency in banking APIs, security protocols, or payment risk modelling.
* A former background in engineering or technical consulting before moving into product roles.</t>
        </is>
      </c>
    </row>
    <row r="113">
      <c r="A113" t="inlineStr">
        <is>
          <t>li-4348454690</t>
        </is>
      </c>
      <c r="B113" t="inlineStr">
        <is>
          <t>Associate Product Manager</t>
        </is>
      </c>
      <c r="C113" t="inlineStr">
        <is>
          <t>AVIDA</t>
        </is>
      </c>
      <c r="D113" t="inlineStr">
        <is>
          <t>linkedin</t>
        </is>
      </c>
      <c r="E113" t="inlineStr"/>
      <c r="F113" t="inlineStr"/>
      <c r="G113" t="inlineStr">
        <is>
          <t>San Francisco, CA</t>
        </is>
      </c>
      <c r="H113" t="inlineStr"/>
      <c r="I113" t="inlineStr">
        <is>
          <t>Avida helps fitness coaches build thriving online businesses — and we’re hiring a Product Manager to strengthen our product execution, documentation, and cross\-team alignment.
 You’ll support our engineering, design, and operations teams by driving clear prioritization, writing crisp product specs, and ensuring we maintain a high bar for product quality. This is a role for someone who is smart, organized, analytical, and excited to help ship product at a fast\-moving Series A startup.
**What You’ll Do**
**Product Execution \&amp; Documentation**
* Create clear, structured PRDs, feature specs, user stories, and acceptance criteria.
* Maintain accurate product documentation across Notion, Linear, and internal workflows.
* Translate business needs into well\-defined requirements with rationale and tradeoffs.
**Prioritization \&amp; Roadmapping**
* Help maintain the product roadmap by sequencing work based on impact, complexity, and dependencies.
* Partner with senior PMs and leadership to run lightweight prioritization processes.
* Manage sprint planning inputs and ensure teams have what they need to execute.
**Quality \&amp; Delivery**
* Hold engineering to a high standard of product quality — functional, visual, and experiential.
* Review builds before release; validate functionality against requirements.
* Coordinate QA efforts, run checklists, and ensure defects are addressed quickly.
**Analytics \&amp; Insight Gathering**
* Use SQL queries and our BI tooling to ask questions to understand performance and user behavior.
* Track success metrics for features (adoption, usage, retention, quality).
* Synthesize insights from data, user feedback, and coach conversations.
**Cross\-Team Collaboration**
* Work closely with engineering, design, operations, and coach\-facing teams.
* Drive alignment through clear communication, structured updates, and fast follow\-ups.
* Support discovery work through research, light user interviews, and competitive scans.
**What You Bring**
* 1–3 years of product management or product\-adjacent experience (product ops, business operations, data/analytics, associate PM, etc.).
* Ability to produce crisp documentation and structure ambiguous problems.
* Strong organizational skills with attention to detail and follow\-through.
* Comfort digging into data — SQL basics, dashboards, pulling reports.
* Experience working with engineering teams and understanding basic technical concepts.
* Clear communication skills and the ability to build trust across functions.
* A high personal bar for product quality, polish, and user experience.
**Bonus Skills**
* Previous experience in consumer apps, wellness, fitness, or creator products.
* Experience in a startup environment with rapid iteration cycles.
* Light design literacy (Figma) or technical literacy (APIs, architecture basics).
**Location:** 
 Remote (US, Canada or Western Europe\-based, must be open to signficiant overlap with US\-PT hours)
**Compensation**
 The salary range for this role is
 **$80\-120k USD** 
 plus equity. Actual compensation may vary by location and experience.
**Why Avida**
 At Avida, we help fitness creators build meaningful, scalable businesses — and we’re building AI\-powered tools that make world\-class coaching accessible to anyone. Joining Avida means working with a fast\-moving, deeply collaborative remote team where product quality, velocity, and impact matter.
 If you enjoy bringing clarity to complexity, building strong documentation, and helping a team ship excellent product, this role is for you.
**Apply now to help build the future of online fitness coaching.**
 Compensation Range: $80K \- $120K</t>
        </is>
      </c>
    </row>
    <row r="114">
      <c r="A114" t="inlineStr">
        <is>
          <t>li-4373990624</t>
        </is>
      </c>
      <c r="B114" t="inlineStr">
        <is>
          <t>Product Manager – Capital Markets</t>
        </is>
      </c>
      <c r="C114" t="inlineStr">
        <is>
          <t>Luma Financial Technologies</t>
        </is>
      </c>
      <c r="D114" t="inlineStr">
        <is>
          <t>linkedin</t>
        </is>
      </c>
      <c r="E114" t="inlineStr"/>
      <c r="F114" t="inlineStr"/>
      <c r="G114" t="inlineStr">
        <is>
          <t>Cincinnati, OH</t>
        </is>
      </c>
      <c r="H114" t="inlineStr"/>
      <c r="I114" t="inlineStr">
        <is>
          <t>**About Luma Financial Technologies** 
 Founded in 2018, Luma Financial Technologies (“Luma”) has pioneered a cutting\-edge fintech software platform that has been adopted by broker/dealer firms, RIA offices, and private banks around the world. By using Luma, institutional and retail investors have a fully customizable, independent, buy\-side technology platform that helps financial teams more efficiently learn about, research, purchase, and manage alternative investments as well as annuities. Luma gives these users the ability to oversee the full, end\-to\-end process lifecycle by offering a suite of solutions. These include education resources and training materials; creation and pricing of custom structured products; electronic order entry; and post\-trade management. By prioritizing transparency and ease of use, Luma is a multi\-issuer, multi\-wholesaler, and multi\-product option that advisors can utilize to best meet their clients’ specific portfolio needs. Headquartered in Cincinnati, OH, Luma also has offices in New York, NY, Miami, FL, Zurich, Switzerland and Lisbon, Portugal. For more information, please visit Luma’s website.
**About the role** 
 Luma Financial Technologies is seeking an experienced Product Manager who excels at executing the Product Development Lifecycle (PDLC), managing multiple high\-impact initiatives simultaneously, and partnering closely with business stakeholders across a dynamic capital\-markets environment. This role requires strong organizational discipline, the ability to quickly reprioritize as situations evolve, and the judgment to balance near\-term execution with longer\-term objectives.
 The ideal candidate brings 7\+ years of experience in structured products or alternative investments and understands the workflows of Financial Advisors, Bankers, Brokers, Wholesalers, Asset Managers, and Investment Banks. Experience working at a fintech platform, investment bank, asset manager, or similar capital\-markets institution is essential.
**What you'll do** 
**PDLC Execution \&amp; Delivery** 
* Own end\-to\-end execution of the PDLC across discovery, design, development, QA, release, and post\-launch evaluation.
* Translate complex financial workflows into clear, detailed requirements, user stories, and acceptance criteria.
* Manage multiple high\-priority initiatives at once, ensuring each remains on track through structured planning and active communication.
* Demonstrate strong flexibility and real\-time reprioritization as new information, constraints, or business needs emerge.
* Collaborate closely with Engineering to guide sprint planning, backlog refinement, and milestone management.
* Business Stakeholder Partnership
* Act as the central liaison between business teams and engineering, ensuring alignment of priorities and clarity of requirements.
* Partner with Sales, Trading, Operations, Issuers, Legal/Compliance, and Client Success to refine workflows and validate solutions.
* Communicate evolving priorities clearly and adjust plans as market conditions or stakeholder needs shift.
* Provide consistent updates on progress, risks, dependencies, and changes in scope.
* Leveraging AI \&amp; Modern Product Tools
* Use Figma’s AI design tools, Jira’s AI\-enabled backlog and ticket\-generation features, and other emerging technologies to accelerate discovery, documentation, and execution.
* Employ AI to generate wireframes, user flows, test cases, release notes, and dependency analysis.
* Identify additional tools that improve efficiency, reduce manual steps, and support scalable product operations.
**Capital Markets \&amp; Structured\-Product Expertise** 
* Apply deep subject\-matter expertise to ensure the platform mirrors real\-world structured\-product workflows and market practices.
* Understand the lifecycle of structured products from issuance to lifecycle events and secondary\-market considerations.
* Represent the workflow perspectives of advisors, issuers, bankers, distributors, and operations teams.
* User Experience \&amp; Platform Quality
* Partner with UX/design teams to ensure features support clean, intuitive, and compliant workflows.
* Conduct UAT, support QA feedback loops, and validate feature readiness for deployment.
* Improve dashboarding, reporting, and workflow efficiencies across advisor and issuer interfaces.
* Operational \&amp; Support Alignment
* Collaborate with Client Success to prioritize and resolve support issues with clear SLAs.
* Develop product documentation, process materials, and release communications.
* Ensure that new releases are smoothly adopted through clear training and stakeholder enablement.
* Cross\-Platform Coordination
* Work across product lines to ensure unified standards, shared components, and scalable system design.
* Identify upstream and downstream dependencies, proactively communicating their impact to teams and stakeholders.
**Qualifications** 
* 7\+ years of experience in structured products, alternative investments, or related capital markets domains.
* Experience at a fintech platform, investment bank, asset manager, or similar institution.
* Demonstrated ability to manage multiple simultaneous initiatives while maintaining strong execution discipline.
* Strong agility and adaptability with the ability to reprioritize quickly as situations evolve.
* Skilled in PDLC execution with a proven track record of delivering complex software capabilities.
* Strong command of Agile/Scrum methodologies and backlog management.
* Excellent communication, organization, and cross\-functional leadership skills.
* Experience with Jira, Figma, and openness to adopting new AI\-enabled productivity tools.
* Experience working with issuers, advisors, or product\-distribution partners.
* Understanding of structured\-product issuance systems, lifecycle processes, and compliance.
* Background working in modular or multi\-team product environments.
* Familiarity with data analytics and reporting tools.</t>
        </is>
      </c>
    </row>
    <row r="115">
      <c r="A115" t="inlineStr">
        <is>
          <t>li-4123837115</t>
        </is>
      </c>
      <c r="B115" t="inlineStr">
        <is>
          <t>Senior Product Manager</t>
        </is>
      </c>
      <c r="C115" t="inlineStr">
        <is>
          <t>Bestow</t>
        </is>
      </c>
      <c r="D115" t="inlineStr">
        <is>
          <t>linkedin</t>
        </is>
      </c>
      <c r="E115" t="inlineStr"/>
      <c r="F115" t="inlineStr"/>
      <c r="G115" t="inlineStr">
        <is>
          <t>Dallas, TX</t>
        </is>
      </c>
      <c r="H115" t="inlineStr"/>
      <c r="I115" t="inlineStr">
        <is>
          <t>**About Bestow**
 Life insurance is one of the world's most important products. It's also one of the hardest to build, distribute, and modernize. Bestow exists to change that.
 Bestow is a leading vertical technology platform serving some of the largest and most innovative life insurers. Our platform unifies the fragmented, legacy value chain, enabling carriers to launch products in weeks instead of years. Carriers choose us to scale and operate at unprecedented speed, powered by AI and automation.
 Bestow isn't selling policies. We're building the infrastructure that helps an entire industry move faster, reach more people, and deliver on its promise.
 Backed by leading investors (Goldman Sachs, Hedosophia, NEA, Valar, 8VC) and trusted by major carriers, Bestow is powered by a team that moves with precision, purpose, and heart. If you want to help reimagine a centuries\-old industry with lasting impact, join us.
 Bestow offers flexible remote/hybrid work, meaningful benefits, equity, and substantial growth opportunities.
*Bestow participates in the* 
*E\-Verify Program* 
*.*
**About The Team**
 The Bestow Product organization is responsible for defining, designing, and delivering exceptional digital experiences that solve real problems. Our team collaborates across Engineering, Revenue and Ops teams to transform ideas into intuitive, valuable solutions that delight our users. We believe in evidence\-based decision making and maintaining a relentless focus on customer outcomes to drive product excellence.
 The role is remote or can be a hybrid role from our Dallas headquarters.
**What You'll Do**
 Bestow is looking for an exceptional Senior Product Manager who thrives on transforming complex challenges into elegant solutions. We're seeking a pioneer who can see beyond the immediate horizon – someone who combines strategic vision with tactical excellence to drive meaningful impact across their product area.
 This role is perfect for a product leader who understands that the most meaningful innovations often arise from the most perplexing problems. You'll be the driving force behind multiple high\-impact initiatives, translating business objectives and customer needs into products that truly make a difference. Your ability to navigate ambiguity, inspire cross\-functional teams, and deliver measurable results will be instrumental in advancing our mission to increase financial stability for everyone.
**As a Senior Product Manager At Bestow, You Will**
* Lead complex product initiatives across your area
* Collaborate with cross\-functional teams to translate customer needs and business objectives into compelling product features and experiences
* Develop and maintain product roadmaps that align with company strategy, balancing short\-term wins with long\-term vision
* Define success metrics and build data\-driven feedback loops to measure product performance and inform future decisions
* Identify opportunities for product improvements through customer research, market analysis, and competitive intelligence
* Partner with Engineering, Design, Marketing, and Operations to ensure successful product delivery and adoption
* Influence stakeholders across the organization by effectively communicating product vision, strategy, and outcomes
* Coach and mentor junior product managers while modeling Bestow's operating principles
**Who You Are**
* Bachelor's degree or equivalent experience
* 5\+ years of product management experience in B2B SaaS
* Demonstrated ability to lead multiple projects simultaneously across an entire product area
* Proven track record of delivering successful products with measurable business impact
* Experience with user research, usability testing, and UI/UX design principles for complex systems
* Strong analytical skills with experience using product analytics tools and BI solutions to drive decision making
* Excellent communication and stakeholder management abilities, with demonstrated success influencing cross\-functional teams
* Comfortable operating with ambiguity and making decisions with incomplete information
**TOTAL REWARDS**
 At Bestow, we’re proud to be awarded for our team members, innovative products, and culture. Our standard benefits include:
* Competitive salary and equity based on role
* Policies and managers that support work/life balance, like our flexible paid time off and parental leave programs
* 100% paid\-premium option for medical, dental, and vision insurance
* Lifestyle stipend to support your physical, emotional, and financial wellbeing
* Flexible work\-from\-home policy and open to remote
* Remote and WFH options, as well as a beautiful, state\-of\-the\-art office in Dallas’ Deep Ellum, for those who prefer an office setting
* Employee\-led diversity, equity, and inclusion initiatives
**Recent Employer Awards Include**
* Best Place for Working Parents 2023 \+ 2024 \+ 2025
* Great Place to Work Certified, 2022 \+ 2023 \+ 2024 \+ 2025
* Built In Best Places to Work, 2022 \+ 2023 \+ 2025
* Fortune’s Best Workplaces in Texas 2022 \+ 2023
* Fortune’s Best Workplaces in Financial Services and Insurance 2022 \+ 2023 \+ 2024
 We value diversity at Bestow. The company will hire, recruit, and promote regardless of race, color, religion, sex, sexual orientation, gender identity or expression, national origin, pregnancy or maternity, veteran status, or any other status protected by applicable law. We understand the importance of creating a safe and comfortable work environment and encourage individualism and authenticity in every team member.
 Thanks for considering a job at Bestow!</t>
        </is>
      </c>
    </row>
    <row r="116">
      <c r="A116" t="inlineStr">
        <is>
          <t>li-4372868820</t>
        </is>
      </c>
      <c r="B116" t="inlineStr">
        <is>
          <t>Sr. Product Manager, AI Voice &amp; Messaging Agents</t>
        </is>
      </c>
      <c r="C116" t="inlineStr">
        <is>
          <t>Bandwidth Inc.</t>
        </is>
      </c>
      <c r="D116" t="inlineStr">
        <is>
          <t>linkedin</t>
        </is>
      </c>
      <c r="E116" t="inlineStr"/>
      <c r="F116" t="inlineStr"/>
      <c r="G116" t="inlineStr">
        <is>
          <t>Raleigh, NC</t>
        </is>
      </c>
      <c r="H116" t="inlineStr"/>
      <c r="I116" t="inlineStr">
        <is>
          <t>**Who We Are:** 
**Bandwidth** 
 , a prior “Best of EC” award winner, is a global software company that helps enterprises deliver exceptional experiences through voice, messaging, and emergency services. Reaching 65\+ countries and over 90 percent of the global economy, we're the only provider offering an owned communications cloud that delivers advanced automation, AI integrations, global reach, and premium human support. Bandwidth is trusted for mission\-critical communications by the Global 2000, hyperscalers, and SaaS builders!
 At Bandwidth, your music matters when you are part of the BAND.  We celebrate differences and encourage BANDmates to be their authentic selves.  \#jointheband
**What We Are Looking For:** 
 Nine months ago, we launched the
 **Bandwidth Innovation Studio** 
 —a high\-velocity "startup\-within\-a\-giant" designed to move with the speed of a venture team while leveraging our global scale. We are seeking a 
 **Senior Product Manager** 
 to lead our flagship platform initiative:
 **AI Voice Agents for SMBs** 
 .
 This is a
 **Founding Product Manager** 
 role. You will be deeply integrated with a high\-caliber, T\-shaped engineering team that already has a strong product mindset. Your differentiator isn't just managing a backlog—it’s your
 **Product Taste** 
 . You have the intuition to advocate for superior UX and the design sense to turn complex AI workflows into a turnkey, white\-label product that any reseller can deploy with ease.
**What You'll Do:** 
* **Design the Frictionless Journey:** 
 Own the end\-to\-end experience from demo to launch. While engineering handles the AI "weeds," you obsess over the path to the "aha!" moment.
* **Close the Feedback Loop:** 
 Rapidly gather and synthesize feedback from partners and SMBs. You’ll turn qualitative insights and market performance data into high\-tempo product refinements.
* **Lead High\-Impact Product Strategy:** 
 Partner closely with senior engineers on technical trade\-offs while maintaining a relentless focus on "magical" product experiences.
* **Architect a B2B2B Platform:** 
 Build a wholesale engine that empowers thousands of resellers to offer AI\-as\-a\-Service to their customers.
* **Master Zero\-Touch Onboarding:** 
 Solve the configuration puzzle, enabling non\-technical partners to launch a custom AI agent in under 10 minutes.
* **Arbitrate Quality:** 
 Set the standard for voice interactions and setup flows, ensuring every touchpoint is professional and intuitive.
* **Key Objectives:** 
	+ **Scale:** 
	 Support tens of thousands of active agents with enterprise\-grade reliability.
	+ **Speed:** 
	 Achieve 10\-minute "Zero\-Touch" onboarding for partners.
	+ **Consistency:** 
	 Maintain a 90%\+ Task Completion Rate (TCR) for scheduling.
	+ **Market Validation: Translate initial "Anchor" partner feedback into a scalable product roadmap that drives measurable ARR growth.**
**What You Need:** 
* **5\-8 Years of PM Experience:** 
 Proven track record in high\-growth SaaS or platform environments.
* **0\-to\-1 Success:** 
 Experience leading a product from initial concept to scaled market launch.
* **AI/ML Fluency:** 
 Direct experience launching AI\-native features; familiar with LLMs and conversational AI, and have designed, shipped agentic LLM products.
* **Design \&amp; UX Obsession:** 
 A portfolio demonstrating "frictionless" design and simple onboarding flows.
* **B2B/Platform Background:** 
 Experience with white\-label solutions or partner\-facing APIs is highly preferred.
* **The Mindset:** 
	+ **Exceptional Intuition:** 
	 You instinctively identify friction and know how to fix it.
	+ **Market Curiosity:** 
	 You are obsessed with understanding how the product is performing in the wild. You don't just ship; you validate success through data and user impact.
	+ **Technical Fluency:** 
	 You can "hang" with senior engineers on technical constraints like latency and RAG.
	+ **Entrepreneurial Spirit: You thrive in ambiguity and prefer shipping and iterating on a weekly cycle.**
**The Whole Person Promise:** 
 At Bandwidth, we’re pretty proud of our corporate culture, which is rooted in our “Whole Person Promise.” We promise all employees that they can have meaningful work AND a full life, and we provide a work environment geared toward enriching your body, mind, and spirit. How do we do that? Well…
* 100% company\-paid Medical, Vision, \&amp; Dental coverage for you and your family with low deductibles and low out\-of\-pocket expenses.
* All new hires receive four weeks of PTO.
* PTO Embargo. When you take time off (of any kind!) you’re embargoed from working. Bandmates and managers are not allowed to interrupt your PTO – not even with email.
* Additional PTO can be earned throughout the year through volunteer hours and Bandwidth challenges.
* “Mahalo moments” program grants additional time off for life’s most important moments like graduations, buying a first home, getting married, wedding anniversaries (every five years), and the birth of a grandchild.
* 90\-Minute Workout Lunches and unlimited meetings with our very own nutritionist.
 Are you excited about the position and its responsibilities, but not sure if you’re 100% qualified? Do you feel you can work to help us crush the mission? If you answered ‘yes’ to both of these questions, we encourage you to apply! You won’t want to miss the opportunity to be a part of the BAND.
 Applicant Privacy Notice</t>
        </is>
      </c>
    </row>
    <row r="117">
      <c r="A117" t="inlineStr">
        <is>
          <t>li-4351295886</t>
        </is>
      </c>
      <c r="B117" t="inlineStr">
        <is>
          <t>Principal Product Manager - Platform (Relocate to the UK)</t>
        </is>
      </c>
      <c r="C117" t="inlineStr">
        <is>
          <t>Samsara</t>
        </is>
      </c>
      <c r="D117" t="inlineStr">
        <is>
          <t>linkedin</t>
        </is>
      </c>
      <c r="E117" t="inlineStr"/>
      <c r="F117" t="inlineStr"/>
      <c r="G117" t="inlineStr">
        <is>
          <t>New York, United States</t>
        </is>
      </c>
      <c r="H117" t="inlineStr"/>
      <c r="I117"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This is a defining opportunity for a
 **Principal Product Manager** 
 to serve as the
 **Strategic Owner** 
 for Samsara's
 **Reporting Platform** 
 —the unified analytics layer that transforms our massive, multi\-product data streams into customer value.
 The Platform Group is the foundation of our Connected Operations Cloud. Within it, the Data \&amp; Extensibility team is responsible for the
 **quality, integrity, and massive\-scale processing of all data** 
 collected from Samsara's 1\.4M\+ connected devices.
 You will be the product leader responsible for defining the future of how our global customers analyze their operations across all Samsara product lines (Safety, Telematics, Equipment Monitoring, etc.). The Reporting Platform is highly strategic: your work will directly impact
 **Samsara’s revenue growth** 
 by enabling customers to realize the value of their data through native, custom, and AI\-enhanced reports and visualizations. This role requires solving complex challenges at the intersection of
 **data governance, platform scalability, and intuitive user experience** 
 .
 This role is based in the UK.
 **We will provide relocation and sponsorship assistance for you to move to the region.**
**In this role, you will:**
* Pioneer the 3\-5 year strategic roadmap and architecture for the Reporting Platform, positioning it as a core differentiator and multi\-hundred\-million dollar platform for the business.
* Define the strategy for incorporating AI/ML tools into data exploration and visualization, transforming raw data into prescriptive, actionable insights for customers.
* Influence executive leadership and cross\-product teams on critical investment areas, long\-term technical debt reduction, and data governance standards.
* Own the vision for cross\-product data analysis, ensuring seamless and high\-performance reporting across Telematics, Safety, Equipment Monitoring, and all future product lines.
* Partner with customer\-facing teams to close strategic enterprise accounts and build executive\-level relationships with top customers, serving as the platform's product evangelist.
* Drive the definition of the most important customer problems to solve, leveraging data and market needs to build the long\-term strategy and work backwards from winning.
* Champion, role model, and embed Samsara’s cultural values as we scale globally.
**Minimum requirements for the role:**
* 10\+ years of progressive experience, including 7\+ years in product management, with a proven track record of operating and delivering complex, multi\-year initiatives.
* Deep expertise in large\-scale data platforms, business intelligence (BI) tools, or customer\-facing reporting/analytics products.
* Excellent technical understanding with an ability to grasp and lead strategic discussions on data warehousing, data quality, data integrity, and API design.
* Exceptional strategic mindset and analytical skills, capable of synthesizing disparate customer insights and market data into a cohesive, high\-impact product strategy.
* Proven track record of delivering outstanding results for customers and the business, managing significant complexity and ambiguity independently.
* Superior executive communication skills, comfortable and effective presenting and defending complex strategy to customers, executives, and broad internal audiences.
**An ideal candidate also has:**
* Experience driving complex technical initiatives involving multiple internal Platform and Product stakeholders.
* Prior experience working on products involving both external (customer\-facing) and internal stakeholders for roadmap planning and development.
* A prior technical background (e.g., software engineering, data science) or a deep technical education (Bachelors or Masters in a technical field).
* History of working on highly successful B2B enterprise products.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t>
        </is>
      </c>
    </row>
    <row r="118">
      <c r="A118" t="inlineStr">
        <is>
          <t>li-4374108251</t>
        </is>
      </c>
      <c r="B118" t="inlineStr">
        <is>
          <t>Technical Product Owner/Manager – (Payment processing or PayFac)</t>
        </is>
      </c>
      <c r="C118" t="inlineStr">
        <is>
          <t>ActiveSoft, Inc</t>
        </is>
      </c>
      <c r="D118" t="inlineStr">
        <is>
          <t>linkedin</t>
        </is>
      </c>
      <c r="E118" t="inlineStr"/>
      <c r="F118" t="inlineStr"/>
      <c r="G118" t="inlineStr">
        <is>
          <t>Brookhaven, GA</t>
        </is>
      </c>
      <c r="H118" t="inlineStr"/>
      <c r="I118" t="inlineStr">
        <is>
          <t>**Technical Product Owner/Manager – (Payment processing or PayFac)** 
**Location:** 
 Brookhaven (Atlanta), GA \- Hybrid (2 to 3 days in office in a week)
**Duration:** 
 Full\-time / Direct Hire
 Must have Startup client/Small clients experience along with strong API \&amp; SQL
**Job Description:** 
 hiring a
 **Technical Product Owner – Payment Experiences Team** 
 to create exceptional user and developer experiences for its payment platform. You’ll work closely with the Payment Experiences engineering team to enhance API and embedded web component integrations for SaaS clients. This is a technical, high\-ownership role where you’ll shape how thousands of users interact with Rainforest’s payment systems.
**Required Skills \&amp; Experience:** 
* 5\+ years as a Product Owner or Technical PM, preferably in
 **payment processing or PayFac**
* **Strong experience with API \&amp; SQL**
* Strong understanding of
 **payment lifecycles, ACH, interchange, and merchant onboarding**
* Technical fluency with
 **modern SaaS applications, APIs, and integration patterns**
* Proficiency in UI/UX prototyping
* Strong documentation, communication, and stakeholder management skills
* Bachelor’s degree in computer science, Information Systems, or related field</t>
        </is>
      </c>
    </row>
    <row r="119">
      <c r="A119" t="inlineStr">
        <is>
          <t>li-4374103315</t>
        </is>
      </c>
      <c r="B119" t="inlineStr">
        <is>
          <t>Senior Product Manager, Data Onboarding &amp; Integration</t>
        </is>
      </c>
      <c r="C119" t="inlineStr">
        <is>
          <t>Roku</t>
        </is>
      </c>
      <c r="D119" t="inlineStr">
        <is>
          <t>linkedin</t>
        </is>
      </c>
      <c r="E119" t="inlineStr"/>
      <c r="F119" t="inlineStr"/>
      <c r="G119" t="inlineStr">
        <is>
          <t>Santa Monica, CA</t>
        </is>
      </c>
      <c r="H119" t="inlineStr"/>
      <c r="I119"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role** 
 The Ads Product team is responsible for monetizing Roku's platform through innovative advertising solutions across the Roku TV experience, including its premiere streaming service, The Roku Channel, on both Roku devices and off\-platform environments. Collectively, these products reach millions of users daily, creating valuable advertising inventory and engagement opportunities throughout the entire Roku ecosystem. 
 We're looking for a Senior Product Manager to own the end\-to\-end onboarding and integration layer for advertiser and partner data that powers targeting, measurement, optimization, reporting, and reconciliation. You'll drive the strategy and execution for bringing audience, conversion, and delivery signals into Roku Ads through scalable onboarding patterns, strong data contracts, and operational tooling. 
 This role sits at the intersection of product, engineering, partnerships, and privacy. The goal is to expand signal coverage and reliability while reducing one\-off integrations and ongoing support burden. 
 For California Only \- The estimated annual salary for this position is between $176,500 \- $297,500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**What you'll be doing** 
* **Onboarding platform ownership:** 
 Own the end\-to\-end onboarding experience for advertiser and partner data—setting the roadmap, standards, and operating model to scale adoption with minimal support
* **Events Manager evolution:** 
 Own and expand Roku's Events Manager to support broader event types, partner integrations, improved configuration UX, and self\-serve diagnostics
* **Conversion signal onboarding:** 
 Deliver advertiser\-facing onboarding for conversion signals, including pixel\-based, server\-to\-server integrations (CAPI), and offline conversion inputs—improving time\-to\-integrate and signal quality
* **Partner integration patterns:** 
 Define scalable partner integration patterns for ecosystem partners (e.g., CDPs, tagging platforms, data platforms, shopping platforms), including repeatable connector frameworks and certification approaches
* **Delivery and billing integration:** 
 Integrate delivery and billing inputs from third parties (ad servers, SSPs, DSPs, measurement partners) so downstream systems can reliably reconcile "what ran" with "what was billed/paid."
* **Data contracts and quality:** 
 Set and enforce data contracts and quality standards (schemas, identity/metadata requirements, monitoring, alerting) to ensure signals are consistent, usable, and trusted
* **Privacy and governance:** 
 Partner with privacy/legal/policy to embed data governance and usage controls before data enters the platform
* **Value framework:** 
 Create a repeatable value framework to evaluate external signal sources—measuring impact versus cost to inform licensing and investment decisions
**We're excited if you have** 
* 5\+ years of product management experience, ideally in ad tech, ad data platforms, or ad measurement
* Proven track record building and scaling onboarding platforms and partner\-dependent products (APIs and/or UIs), with measurable improvements in adoption and reliability
* Strong technical fluency with event schemas, data contracts, APIs, and integration architecture, plus comfort partnering closely with engineering on design and tradeoffs
* Experience working with advertising ecosystem partners such as DSPs, SSPs, ad servers, measurement partners, and platforms in the marketing data stack
* Familiarity with data quality and operational tooling (validation, monitoring, diagnostics, support workflows) and a bias toward reducing manual operations
* Effective cross\-functional leader able to align engineering, data, privacy/legal, partnerships, sales, and operations teams on priorities and drive clarity in ambiguity
* Platform thinking mindset: standardize patterns, avoid bespoke solutions, and design for extensibility as the business scales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120">
      <c r="A120" t="inlineStr">
        <is>
          <t>li-4372843739</t>
        </is>
      </c>
      <c r="B120" t="inlineStr">
        <is>
          <t>Senior Product Manager</t>
        </is>
      </c>
      <c r="C120" t="inlineStr">
        <is>
          <t>Broadcom</t>
        </is>
      </c>
      <c r="D120" t="inlineStr">
        <is>
          <t>linkedin</t>
        </is>
      </c>
      <c r="E120" t="inlineStr"/>
      <c r="F120" t="inlineStr"/>
      <c r="G120" t="inlineStr">
        <is>
          <t>Palo Alto, CA</t>
        </is>
      </c>
      <c r="H120" t="inlineStr"/>
      <c r="I120" t="inlineStr">
        <is>
          <t>**Job Description:**
 vDefend Firewall is a critical pillar of VMware Cloud Foundation (VCF) security story, specifically focusing on micro\-segmentation and zero trust to secure private cloud. As a
 **Senior** 
**vDefend Firewall Product Manager** 
 is responsible for the strategic direction, feature prioritization, and market success of the vDefend security suite.
 As a Senior Product Manager, you own the lifecycle of vDefend Firewall capabilities, from ideation and competitive analysis to launch and customer adoption. You will act as the bridge between engineering, sales, and enterprise customers to ensure the (distributed \&amp; gateway) firewall remains the industry standard for east\-west traffic security.
**Core Responsibilities**
* Product Strategy \&amp; Roadmap: Define and maintain a 12–18 month roadmap for vDefend Firewall. Identify market shifts toward Zero Trust, Centralized Policy Management \&amp; Security\-as\-Code to ensure vDefend maintains market leadership.
* Feature Definition: Author detailed PRDs (Product Requirement Documents) for key features.
* Go\-to\-Market (GTM) Leadership: Collaborate with Marketing to develop messaging, technical white papers, and sales enablement tools.
* Customer Advocacy: Lead "Design Partner" programs with enterprise customers to gather feedback on beta features, specifically around existing deployments and core new firewall features to be added.
* Cross\-Functional Collaboration: Partner with the VCF teams to ensure seamless integration of vDefend Firewall story and logging across the VCF stack.
* Pricing \&amp; Packaging: Work with business operations to refine SKU structures and ROI modeling for vDefend add\-on.
**Qualifications \&amp; Skills**
**Experience/Education:** 
 BS in Engineering/Computer Science and 8 years in Product Management, with a focus on Network Security or Data Center Infrastructure or a Masters in Engineering/Computer Science and 8 years in Product Management, with a focus on Network Security or Data Center Infrastructure
**Domain Expertise:** 
 Deep understanding of L2–L7 stateful firewalls, micro\-segmentation, and zero trust technology
**Technical Depth:** 
 Ability to discuss details of firewall data plane and API\-first architectures and automation (Terraform/Ansible) with engineering teams.
**Leadership:** 
 High\-level influence skills (P4 level requires the ability to lead without direct authority across global teams).
 As a Senior Product Manager, you are expected to operate with high autonomy:
* Think Horizontally: How does the firewall impact the private cloud operations and deployment along with VCF?
* Scale the Business: You are measured not just on "shipping code," but on the adoption rate of the vDefend product line.
**Additional Job Description:**
**Compensation And Benefits**
 The annual base salary range for this position is $120,000 \- $192,000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R024994</t>
        </is>
      </c>
    </row>
    <row r="121">
      <c r="A121" t="inlineStr">
        <is>
          <t>li-4371966688</t>
        </is>
      </c>
      <c r="B121" t="inlineStr">
        <is>
          <t>Product Owner</t>
        </is>
      </c>
      <c r="C121" t="inlineStr">
        <is>
          <t>Mastercam</t>
        </is>
      </c>
      <c r="D121" t="inlineStr">
        <is>
          <t>linkedin</t>
        </is>
      </c>
      <c r="E121" t="inlineStr"/>
      <c r="F121" t="inlineStr"/>
      <c r="G121" t="inlineStr"/>
      <c r="H121" t="inlineStr"/>
      <c r="I121" t="inlineStr">
        <is>
          <t>**Your Role at a Glance** 
**Product Owner, Cloud \&amp; AI** 
 Mastercam is redefining the future of manufacturing software by evolving from a world\-class desktop CAD/CAM system into an intelligent, connected, and cloud\-powered platform. We are seeking a Product Owner, Cloud \&amp; AI to help drive this transformation, enabling the migration from traditional desktop software to a modern, service\-based cloud architecture that integrates AI\-powered workflows, automation, and data\-driven insights. This role is critical to executing the cloud and AI transformation strategy. You will translate strategic goals into actionable product requirements and user stories, working closely with cross\-functional teams to deliver cloud\-native capabilities and embed AI assistance into every workflow.
**How You’ll Drive Success** 
***Cloud Platform Ownership***
* Own and manage the product backlog for Mastercam’s cloud platform and connected services, including APIs, telemetry, and synchronization features.
* Define user stories and acceptance criteria for cloud\-native capabilities such as collaboration, data sync, and connected toolpath computation.
* Partner with software architects and engineering managers to ensure scalability, performance, and security of new cloud modules.
* Ensure backlog priorities reflect the transformation roadmap set by the Product Manager.
***AI Product Enablement***
* Define and prioritize AI\-powered use cases, including intelligent assistants, copilots, predictive machining, and automation insights.
* Collaborate with engineering to operationalize LLMs and generative AI features on secure, scalable cloud platforms.
* Ensure model feedback, telemetry, and user interaction data are leveraged for continuous improvement.
* Work with UX teams to design intuitive, context\-aware AI interactions that elevate user experience.
***Cross\-Functional Collaboration***
* Translate strategic goals from leadership and stakeholders into clear, actionable roadmaps for development teams.
* Act as the bridge between product development and design, ensuring clarity, alignment, and delivery against timelines.
* Collaborate with QA and DevOps teams to ensure cloud/AI release readiness.
* Participate in sprint planning, backlog grooming, and release reviews to ensure feature readiness and quality.
* Collaborate with Product Marketing and UX to ensure cohesive customer experiences as desktop and cloud modules converge.
***Measurement \&amp; Impact***
* Define and track KPIs for backlog velocity, cloud adoption, and AI feature engagement.
* Gather feedback from internal teams, customers, and beta users to refine requirements and improve outcomes.
* Maintain a strong focus on business value delivery, ensuring every cloud or AI feature contributes to user productivity and long\-term scalability.
**The Talents We’re Seeking** 
***Education and Experience***
* Bachelor’s degree in Computer Science, Engineering, related technical field, or equivalent professional experience required.
* Master’s degree preferred.
***Required Skills***
* 5\+ years of experience as a Product Owner or Product Manager in software or platform development.
* Generalunderstanding of cloud architectures (Azure/AWS), APIs, and modern SaaS principles.
* Familiarity with AI/ML concepts, particularly LLM integration and AI service deployment.
* Demonstrated success translating high\-level strategy into detailed product requirements and technical deliverables.
* Excellent communication and stakeholder management skills.
* Experience working in Agile/Scrum environments with distributed engineering teams.
***Preferred Skills***
* Certified Scrum Product Owner.
* Background in manufacturing software, CAD/CAM, or industrial automation.
* Understanding of telemetry, analytics pipelines, and cloud\-to\-desktop synchronization.
* Familiarity with PLM systems and hybrid deployment models for consistency with transformation objectives.
**Who We Are** 
 At Mastercam, we do not just keep pace with manufacturing—we set the pace. For over 40 years, we have been the name behind the breakthroughs, the partner for those who refuse to settle. When the industry says “too complex,” we say, “challenge accepted.”
 We are more than software. We are a movement of makers, innovators, and problem\-solvers driving transformation across the globe.
 Backed by a network of 400 Channel Partners and a thriving developer community, Mastercam delivers the tools and expertise to turn ambitious ideas into flawless reality. From aerospace to automotive, medical to education, we empower manufacturers to push boundaries and redefine what is possible.
 As part of Intelligent Manufacturing and the Sandvik Group, we are leading the charge in digital transformation. Our team of 350\+ professionals is united by a single mission: to help achieve precision, productivity, and performance without compromise.
**Our Core Values? They are not just words. They are how we win:** 
* **Winning Together:** 
 Collaboration is not optional—it is the engine that drives us.
* **Curiosity:** 
 We question, we explore, we innovate. Every day.
* **Responsibility:** 
 Safety, integrity, and sustainability aren’t boxes to check—they are the foundation of trust.
* **Customer\-Focused:** 
 We listen. We adapt. We deliver. Always.
 Innovation. Collaboration. Growth. That is the Mastercam way. Explore more at www.mastercam.com, connect on LinkedIn, and join the conversation with
 **\#mastercam** 
 .
 The next big challenge is waiting—are you ready to accept?
**It is the policy of the company to provide equal employment opportunities to all employees and employment applicants without regard to race, color, religion, sex, or national origin or any other classification protected by applicable local or state laws.** 
**EOE/M/F/Vet/Disabled are encouraged to apply.** 
**We are an E\-Verify Employer.**</t>
        </is>
      </c>
    </row>
    <row r="122">
      <c r="A122" t="inlineStr">
        <is>
          <t>li-4366304581</t>
        </is>
      </c>
      <c r="B122" t="inlineStr">
        <is>
          <t>Senior Product Manager, Operator Experience - Handshake AI</t>
        </is>
      </c>
      <c r="C122" t="inlineStr">
        <is>
          <t>Handshake</t>
        </is>
      </c>
      <c r="D122" t="inlineStr">
        <is>
          <t>linkedin</t>
        </is>
      </c>
      <c r="E122" t="inlineStr"/>
      <c r="F122" t="inlineStr"/>
      <c r="G122" t="inlineStr">
        <is>
          <t>San Francisco, CA</t>
        </is>
      </c>
      <c r="H122" t="inlineStr"/>
      <c r="I122" t="inlineStr">
        <is>
          <t>**About Handshake**
 Handshake is the career network for the AI economy. 20 million knowledge workers, 1,600 educational institutions, 1 million employers (including 100% of the Fortune 50\), and every foundational AI lab trust Handshake to power career discovery, hiring, and upskilling, from freelance AI training gigs to first internships to full\-time careers and beyond. This unique value is leading to unparalleled growth; in 2025, we tripled our ARR at scale.
**Why Join Handshake Now**
* Shape how every career evolves in the AI economy, at global scale, with impact your friends, family and peers can see and feel
* Work hand\-in\-hand with world\-class AI labs, Fortune 500 partners and the world’s top educational institutions
* Join a team with leadership from Scale AI, Meta, xAI, Notion, Coinbase, and Palantir, among others
* Build a massive, fast\-growing business with billions in revenue
**About The Role**
 Handshake AI powers expert\-labeled data collection at scale, matching domain experts with leading AI companies to train frontier models. We're hiring a Senior Product Manager, Operator Experience to build the platform that lets our Operations team take on any project, not just the ones engineering has already built tooling for.
 Every AI customer brings different data types, annotation schemas, quality requirements, and workflows. Operators manage thousands of fellows, spin up new projects, maintain quality, and keep customers happy. Today, too much of that work requires custom tooling or EPD involvement for each new project type. You'll change that by building systems flexible enough that operators can configure new project types, define quality criteria, and adapt workflows on the fly, then scale them to 100k tasks/day once they're dialed in.
 You'll be part of a tight cross\-functional team embedded with Operations, working alongside engineers and designers to ship tools that make our operators world\-class. Your work will directly impact HAI's ability to scale revenue while maintaining the quality bar that differentiates us.
**What You'll Own**
**Product Strategy.** 
 Develop a cohesive product vision for operator independence that ladders up to HAI's broader goals. They need to be configurable platforms that operators can adapt without engineering. Define what "self\-serve" means in this context and build the roadmap to get there.
**Product Development.** 
 Lead a high\-performing cross\-functional squad with engineering and design partners, from research and roadmap planning through delivery.
**Voice of the Operator.** 
 Live in the details of how operators work. Shadow their workflows, understand their pain points, and translate their needs into prioritized product investments. Operators handle an enormous variety of projects, so your tools need to handle that variety too.
**Goals, Metrics, and Tracking.** 
 Define success metrics that measure flexibility, not just speed: % of new project types launched without R\&amp;D support, operator time from project brief to first task live, quality audit coverage, and the ratio of operator\-configured vs. engineer\-built workflows.
**Launch and Adoption.** 
 Partner with operations leaders to bring new tools to life. Run pilots to maximize learning, get close to users, and iterate quickly.
**Cross\-HAI Partnership.** 
 Collaborate with Model Enablement and Fellow Experience squads—your work enables theirs. Operator independence requires mature platforms across the board.
**Desired Capabilities**
* 5\+ years as a product manager partnering with engineering teams to ship code. Ideally in a many\-stakeholder environment with dependencies and collaboration.
* Strong operational intuition. You've built tools for internal users, operations teams, or power users—not just consumer\-facing features. You understand workflows, edge cases, and the difference between "works in demo" and "works at scale."
* Platform over pipeline mindset. You've built tools where the unit of work varies, where each case, project, or customer looks different from the last. You know the difference between automating a fixed workflow and building a configurable system that handles workflows nobody anticipated
* Systems thinker. You can connect the dots across complex workflows, spot challenges and edge cases, and integrate multiple considerations into coherent product decisions.
* Data\-informed but action\-oriented. You use data to prioritize and measure, but you also trust user feedback and move quickly when the signal is clear.
* User\-focused. You dive headfirst into understanding the needs of operators and build products grounded in observation and research.
**Bonus Points**
* Experience building internal tools at companies where operator work is highly variable: logistics, marketplaces, or data operations.
* Background in configurable workflow systems, task management platforms, or low\-code/no\-code tools for internal users
* Experience at a human data company or in annotation/labeling operations
* Familiarity with AI/ML data pipelines, quality assurance systems, or inter\-rater reliability frameworks
**We Offer**
 Handshake delivers benefits that help you feel supported and thrive at work and in life.
*The below benefits are for full\-time US employees.*
 🎯 Ownership: Equity in a fast\-growing company
 💰 Financial Wellness: 401(k) match, competitive compensation, financial coaching
 🍼 Family Support: Paid parental leave, fertility benefits, parental coaching
 💝 Wellbeing: Medical, dental, and vision, mental health support, $500 wellness stipend
 📚 Growth: $2,000 learning stipend, ongoing development
 💻 Remote \&amp; Office: Internet, commuting, and free lunch/gym in our SF office
 🏝 Time Off: Flexible PTO, 15 holidays \+ 2 flex days
 🤝 Connection: Team outings \&amp; referral bonuses
 Explore our mission, values, and comprehensive US benefits at joinhandshake.com/careers.
 Compensation Range: $180K \- $220K</t>
        </is>
      </c>
    </row>
    <row r="123">
      <c r="A123" t="inlineStr">
        <is>
          <t>li-4358338234</t>
        </is>
      </c>
      <c r="B123" t="inlineStr">
        <is>
          <t>Product Manager, Data Platforms (Boston/hybrid0</t>
        </is>
      </c>
      <c r="C123" t="inlineStr">
        <is>
          <t>Daley And Associates, LLC</t>
        </is>
      </c>
      <c r="D123" t="inlineStr">
        <is>
          <t>linkedin</t>
        </is>
      </c>
      <c r="E123" t="inlineStr"/>
      <c r="F123" t="inlineStr"/>
      <c r="G123" t="inlineStr">
        <is>
          <t>Boston, MA</t>
        </is>
      </c>
      <c r="H123" t="inlineStr"/>
      <c r="I123" t="inlineStr">
        <is>
          <t>**Product Owner – Data Platforms\-Boston/Hybrid (3 days in office)**
 NO C2C candidates! Candidates must be currently in the Boston area 
 We’re hiring a Product Owner to drive delivery across internal
 **data and analytics platforms** 
 in a financial services environment. This role owns requirements, partners with stakeholders, prioritizes work, and ensures solutions are delivered, tested, and adopted.
**What you’ll do** 
* Own and prioritize the
 **product backlog** 
 for data/finance platforms
* Gather and translate business requirements into clear user stories and specs
* Partner with engineering and stakeholders to deliver solutions end\-to\-end
* Lead
 **UAT** 
 , training, and documentation
* Balance new delivery with
 **production support** 
 and enhancements
**What you bring** 
* 5\+ years in Product Owner, Business Analyst, or similar role
* Strong experience with
 **SQL** 
 and
 **Tableau or Power BI**
* Experience with
 **enterprise data platforms** 
 (Snowflake/dbt a plus)
* Comfortable in
 **Agile** 
 environments
* Financial services experience strongly preferred
 salary $150\-175K range \+ bonus
 If you are interested in learning more please send your resume to Angela Fagin at afagin@daleyaa.com NO C2C candidates! Candidates must be currently in the Boston area</t>
        </is>
      </c>
    </row>
    <row r="124">
      <c r="A124" t="inlineStr">
        <is>
          <t>li-4364788710</t>
        </is>
      </c>
      <c r="B124" t="inlineStr">
        <is>
          <t>Senior Product Owner - 4949</t>
        </is>
      </c>
      <c r="C124" t="inlineStr">
        <is>
          <t>Tier4 Group</t>
        </is>
      </c>
      <c r="D124" t="inlineStr">
        <is>
          <t>linkedin</t>
        </is>
      </c>
      <c r="E124" t="inlineStr"/>
      <c r="F124" t="inlineStr"/>
      <c r="G124" t="inlineStr"/>
      <c r="H124" t="inlineStr"/>
      <c r="I124" t="inlineStr">
        <is>
          <t>**Senior Product Owner / Project Manager — Healthcare Analytics Programs** 
**Hybrid Onsite in Atlanta, GA (2\-3 days per week)** 
 We are seeking a Senior Product Owner / Project Manager (50/50 mix) to drive execution of high\-impact initiatives across data, analytics, and research programs focused on healthcare risk and performance.
 This role serves as a hybrid delivery leader, translating strategic priorities into actionable workstreams and ensuring cross\-functional teams deliver measurable business value.
 What You’ll Do
* Serve as Product Owner for research, analytics, and content teams
* Manage and prioritize team backlogs aligned to strategic objectives
* Translate initiatives into user stories, features, and acceptance criteria
* Coordinate complex cross\-functional projects across multiple teams
* Participate in PI Planning and manage dependencies across programs
* Represent business and customer perspectives throughout delivery
* Track progress, risks, and KPIs; communicate status to leadership
* Ensure on\-time, on\-budget execution of strategic initiatives
* Manage vendor deliverables and external partners
 What You Bring
* 5–10 years of experience in product or project management
* Experience in healthcare, insurance, or regulated environments preferred
* Proven success in Agile or SAFe environments
* Experience as Product Owner, Agile PM, or similar role
* Strong backlog management and prioritization skills
* Excellent communication and stakeholder management abilities
* Experience with Agile tools such as Jira, Azure DevOps, or Confluence
 What Sets You Apart
* SAFe PO/PM, PMP, or CSPO certification
* Experience delivering data or analytics initiatives
* Ability to navigate complex organizations and competing priorities
* Strong problem\-solving mindset and results orientation
* Experience coordinating across multiple Agile teams
 Why This Role Matters
 You will play a central role in ensuring strategic initiatives move from concept to execution, enabling meaningful improvements in healthcare risk mitigation, analytics capabilities, and organizational effectiveness.
 Excellent benefits and wellness program, industry\-leading 401(k) match, and generous, flexible PTO plan and schedule.</t>
        </is>
      </c>
    </row>
    <row r="125">
      <c r="A125" t="inlineStr">
        <is>
          <t>li-4372893280</t>
        </is>
      </c>
      <c r="B125" t="inlineStr">
        <is>
          <t>Product Manager Drug Device</t>
        </is>
      </c>
      <c r="C125" t="inlineStr">
        <is>
          <t>SciPro</t>
        </is>
      </c>
      <c r="D125" t="inlineStr">
        <is>
          <t>linkedin</t>
        </is>
      </c>
      <c r="E125" t="inlineStr"/>
      <c r="F125" t="inlineStr"/>
      <c r="G125" t="inlineStr">
        <is>
          <t>Parsippany, NJ</t>
        </is>
      </c>
      <c r="H125" t="inlineStr"/>
      <c r="I125" t="inlineStr">
        <is>
          <t>**Position Summary** 
 We are seeking a Combination Product Manager, R\&amp;D to support the development of drug\-device combination products. This role is responsible for managing product design, risk management, and regulatory documentation. The position will work closely with internal teams and external partners to ensure products are safe, effective, and compliant.
**Reporting Structure** 
 This role reports to the Executive Director, External R\&amp;D and works with Quality, Regulatory, Clinical, Supply Chain, and external design firms, manufacturers, and suppliers.
 Key Responsibilities
* Support the design and development of drug\-device combination products using design control processes
* Prepare, review, and maintain Design History Files (DHF) and risk management documentation
* Work with external partners to review product designs and development progress
* Provide technical support for combination products such as injectors, inhalers, transdermal systems, and infusion devices
* Ensure documentation meets regulatory and quality requirements
* Support product risk assessments, complaint investigations, and product improvements
* Partner with Quality and other teams to maintain compliant product files
* Stay current with regulatory requirements and industry standards
 Qualifications
* BS or MS in Mechanical Engineering, Chemical Engineering, or related field
* 5–7 years of experience developing drug\-device combination products
* Experience with design controls and risk management
* Experience with Design History Files (DHF) preferred
* Strong communication and technical writing skills
* Ability to work independently and work with cross\-functional teams</t>
        </is>
      </c>
    </row>
    <row r="126">
      <c r="A126" t="inlineStr">
        <is>
          <t>li-4340256307</t>
        </is>
      </c>
      <c r="B126" t="inlineStr">
        <is>
          <t>Product Manager - End User Computing</t>
        </is>
      </c>
      <c r="C126" t="inlineStr">
        <is>
          <t>Bloomberg</t>
        </is>
      </c>
      <c r="D126" t="inlineStr">
        <is>
          <t>linkedin</t>
        </is>
      </c>
      <c r="E126" t="inlineStr"/>
      <c r="F126" t="inlineStr"/>
      <c r="G126" t="inlineStr">
        <is>
          <t>New York, NY</t>
        </is>
      </c>
      <c r="H126" t="inlineStr"/>
      <c r="I126" t="inlineStr">
        <is>
          <t>Location
 New York
 Business Area
 Engineering and CTO
 Ref \#
 10046225
**Description \&amp; Requirements**
**About Employee Experience at Bloomberg**
 A great employee experience is foundational to our ability to build great products and services for our clients. From HR systems to collaboration tools, from workplace security to facilities technology, our employee experience stack supports every individual at Bloomberg in doing their best work.
 Our mission is to ensure that employees have seamless, intuitive, and secure tools that enable productivity, drive engagement, and reinforce a culture of excellence—whether they're working from one of our global offices or remotely.
 End User Computing (EUC) plays a critical role in that mission—providing the physical and virtual computing environment that employees rely on every day. From OS\-level software to endpoint performance, from privileged access control to secure remote connectivity, we strive to deliver modern, secure, and responsive employee devices and workspaces.
**What’s the Role?**
 As a Product Manager for End User Computing, you will define, evolve, and execute the product vision for the Bloomberg employee device ecosystem, including Windows and macOS platforms. You’ll work at the intersection of technology, security, and user experience to ensure our computing environment is modern, scalable, employee\-centric and secure.
 You’ll collaborate with Engineering, CTO, IT operations, security and compliance teams to create consistent, high\-performing experiences across physical and virtual endpoints. Your work will directly impact how thousands of employees securely interact with their tools, access internal systems, and stay productive from any location.
**We’ll Trust You To**
* Define the EUC product strategy and roadmap, aligned to broader employee experience, IT and security goals
* Own and evolve the product roadmap for end user hardware and accessories/peripherals by incorporating key stakeholder requirements and end user needs
* Translate business, technical, and security requirements into a cohesive and intuitive end\-user computing experience
* Identify and prioritize key initiatives across Windows/macOS platforms, patching, device management, and telemetry
* Drive execution across the EUC stack by collaborating multiple teams.
* Lead backlog grooming and roadmap planning across core components including OS imaging, policy management (MDM, GPO), software deployment, and endpoint configuration.
* Drive continuous improvement through end\-user feedback, performance monitoring, incident analysis, and change impact assessment
* Partner closely with InfoSec and Risk to define and enforce EUC security requirements, including endpoint protection and patch hygiene.
* Develop user\-facing training, comms, and documentation for major EUC rollouts and upgrades.
* Serve as a primary voice in communicating platform changes, support paths, and new capabilities to internal stakeholders and employees.
**You’ll Need To Have**
* 6\+ years of product management or technical program management experience, with 2\+ years focused on end\-user computing or infrastructure platforms in large\-scale enterprise environments
* Excellent communication, leadership, and stakeholder management skills
* Ability to define a vision and roadmap across multiple stakeholders
* Demonstrated experience delivering secure, scalable Windows and macOS endpoint environments
* Experience managing vendor relationships and driving work across global teams
* Deep understanding of device and OS policy management (e.g., SCCM, Intune, Jamf), enterprise patching, and MDM
* Experience with modern PC build processes
* Strong knowledge of endpoint telemetry, performance tuning, and support tooling
* Familiarity with security tooling (DLP, EDR, EMP), access control mechanisms, and incident response protocols
* Bachelor's degree in Computer Science, Engineering, Information Systems or equivalent
**We’d Love To See**
* Experience deploying modern endpoint delivery and configuration pipelines
* Familiarity with user experience design
* Success driving product decisions with data from telemetry, feedback, and user feedback loops
 Salary Range \= 140000 \- 295000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127">
      <c r="A127" t="inlineStr">
        <is>
          <t>li-4358150986</t>
        </is>
      </c>
      <c r="B127" t="inlineStr">
        <is>
          <t>Product Manager II</t>
        </is>
      </c>
      <c r="C127" t="inlineStr">
        <is>
          <t>NBME</t>
        </is>
      </c>
      <c r="D127" t="inlineStr">
        <is>
          <t>linkedin</t>
        </is>
      </c>
      <c r="E127" t="inlineStr"/>
      <c r="F127" t="inlineStr"/>
      <c r="G127" t="inlineStr">
        <is>
          <t>Philadelphia, PA</t>
        </is>
      </c>
      <c r="H127" t="inlineStr"/>
      <c r="I127" t="inlineStr">
        <is>
          <t>**POSITION OVERVIEW** 
**NBME is seeking to hire a level II Product Manager for our organization. This person will be responsible for driving the success of one or more products and leading cross\-functional teams responsible for developing, improving, and delivering the product(s). The ideal candidate will have direct accountability for identifying market opportunities and customer needs, developing the product(s) roadmap, and planning and executing the operational planning, production, and projects that directly contribute to the success of the product(s).** 
 This role has been designated as primarily remote, meaning it requires little to no onsite attendance. While this role can be designated as remote, you are offered the flexibility to select if you prefer to work primarily remotely, hybrid, or onsite. We're open to considering candidates in PA, NJ, DE, MD, but will prioritize qualified candidates living within 50 miles of our office location in Philadelphia, PA.
 At NBME, we continue to innovate and improve how we fulfill the evolving needs of the healthcare community. This commitment starts and ends with the people at NBME. By recruiting and empowering talented individuals from various disciplines and backgrounds, which includes professionals with diverse life experiences, abilities, and perspectives, NBME can take a well\-informed, robust approach to advancing medical education and assessment for years to come.
**RESPONSIBILITIES** 
* Control the vision, strategy, and roadmap for one or more products in an effort to deliver value to the customer and align with broader NBME strategy.
* Manage and execute product life cycle/strategy, technical, and marketing aspects of the product(s), which includes: discovery and validation of market problems; bringing the voice of the customer into product strategy; exploration of new market opportunities; definition and sizing of market segments; business plan creation; pricing; product positioning; go\-to\-market planning; win/loss analysis; distribution strategy; product profitability and sales analysis.
* Continually monitor financial, reputational, and user\-satisfaction "health" of product(s), reports findings, and develop recommendations to make appropriate strategic and tactical adjustments based on evidence.
* Lead the development and management of product\-level budgets, including forecasting revenue, tracking expenses, and analyzing financial performance. Collaborate with cross\-functional teams to align investment decisions with strategic goals, ensuring profitability and long\-term value creation. Monitor key financial metrics and adjust plans proactively to meet business targets.
* Identify and implement process improvements that enhance team productivity, reduce waste, and accelerate time\-to\-market. Collaborate cross\-functionally to streamline workflows, optimize resource utilization, and ensure consistent execution of product strategies aligned with business goals.
* Define market requirements, package features into product plans, and identifies risks/benefits/mitigation strategies.
* Develops recommendations for product(s) based on data analysis, competitive climate, understanding of NBME strategy, and informed business needs.
* Interacts with agile teams, cross\-functional teams, development leads, product architects, and key customers
* Gather requirements from existing and potential customers, write market requirements documents or product backlogs, and monitor the implementation of each product project, maintaining the product roadmap and status dashboard.
* Analyzes the competitive landscape; works cross\-functionally to monitor and incorporate industry innovations.
* Serves as the main liaison on the assigned product(s) between internal and external stakeholders. Coordinates efforts of cross\-functional teams to align and deliver operational planning and production that meet customer and product roadmap requirements.
* Develops, interprets, and communicates policies and practices to external stakeholders; addresses/resolves routine issues, problems, and concerns.
* Represents assigned product(s) internally and externally to product\-associated groups and organizations. Develops and delivers presentations, Webinars, and reports to NBME governance, the Executive Team, and external groups about products and activities.
* Participates in the creation of market collateral to support outreach, converting technical positioning into key market messages.
* Launches product(s) onto the market: Assist with defining buyer personas and determining market messages; participates in the creation of marketing plans; collaboratively evaluate the effectiveness of product marketing programs; maintains product launch plans.
* Delivers thought\-leader content via events and other outlets; creates standard presentations and demo scripts; aligns sales and outreach tools.
* Provide account support and manage client accounts as needed.
* Develop RFPs and contracts and execute them with guidance from other Product Management staff.
* Contribute to the creation and revision of policies, practices, and quality control measures. Participates in research initiatives and special projects.
**QUALIFICATIONS** 
**Skills and Abilities** 
* 5 or more years of relevant experience in program/product management required.
* Demonstrated ability to analyze data and synthesize market trends to inform product strategy and decision\-making.
* Skilled in translating quantitative and qualitative insights into actionable recommendations that drive product innovation, customer value, and business growth.
* Demonstrated ability to utilize OpenAI\-powered tools and generative AI technologies to streamline workflows, accelerate decision\-making, and improve communication. Skilled in applying AI for tasks such as data summarization and market analysis to drive efficiency and deliver high\-impact product outcomes.
* Proven ability to manage product\-level profit and loss, including budget planning, revenue forecasting, and expense tracking. Skilled in analyzing financial performance to guide strategic decisions, optimize resource allocation, and ensure alignment with business objectives and profitability targets.
* Skilled in identifying inefficiencies and implementing process improvements across the product lifecycle. Adept at streamlining workflows, enhancing cross\-functional collaboration, and optimizing resource allocation to accelerate delivery and maximize impact.
* Proven track record of launching product(s) or product releases; leading and organizing market research/pilot/testing efforts; coordinating Agile experiences.
* Strategic and technical Product Management experience, preferably in healthcare, medical education and/or assessment.
* Strong team orientation, project management and analytical skills.
* Demonstrated ability to operate within diverse cross\-functional groups and diverse external stakeholder groups.
* Strong critical thinking, problem\-solving, and conflict management skills; commitment to DEI. Excellent communication and analytical skills (written and verbal).
* Ability to maintain confidential information and secure materials appropriately.
* Ability to succeed in role with some supervisory guidance.
* Broad knowledge base in several aspects of testing.
* Demonstrated ability to bring projects to the implementation stage.
**Experience** 
* 5 or more years
**Education** 
* Bachelor's Degree; required
* Pragmatic Marketing Certification or similar; preferred
**About NBME**
 NBME is a not\-for\-profit organization that specializes in the creation of assessments and learning tools for physicians and health professionals. Our mission is to advance assessment of these professionals to achieve optimal care for all, supporting the development of a highly effective, diverse and compassionate health care workforce.
 Founded in 1915, NBME develops and manages the
 United States Medical Licensing Examination
 ®
 with the Federation of State Medical Boards. We offer a comprehensive portfolio of
 assessment products
 for every stage of the medical school journey and provide assessment services to various health profession organizations.
 We are dedicated to advancing innovative assessment approaches through research,
 collaboration and contributions
 to the medical education and assessment communities. In 2024, we expanded our assessment capabilities to include simulation through the acquisition of
 MedVR Education
 .
 Learn more on
 NBME's website
 .
**NBME's Community Collaborations and Contributions**
 NBME believes that a key path to meeting our mission is collaborating with and supporting our communities. Our
 Community Collaborations and Contributions programs
 provide resources and recognition to medical educators and researchers advancing the field of assessment throughout their careers. In addition, we invest in fee assistance, scholarships and pathway programs to aid learners and help support increased representation in health care. Headquartered in Philadelphia, NBME also gives to local organizations that advance health equity and access and positively impact social determinants of health.
 Compensation we are offering for this position is at $96,991\-$121,239 year. Please note that the offered rate for this position typically aligns with the minimum to midrange of this grade, but it can vary based on the successful candidate's qualifications and experience, department budget, and an internal equity review.
**The NBME offers competitive salaries, excellent benefits, and a rewarding work environment.**
 Excellent Benefits include: Healthcare, Dental, Prescription, and Vision plans; 401(k) w/match, Tuition Reimbursement Plan, Commuter Benefit: Public Transit or Parking options. Remote Friendly Workplace.
**NBME is an Equal Opportunity Employer. We will consider all qualified applicants for employment without regard to race; color; sex; gender identity; sexual orientation; religious practices and observances; national origin; pregnancy, childbirth, or related medical conditions; status as a protected veteran or spouse/family member of a protected veteran; or disability.**</t>
        </is>
      </c>
    </row>
    <row r="128">
      <c r="A128" t="inlineStr">
        <is>
          <t>li-4373998502</t>
        </is>
      </c>
      <c r="B128" t="inlineStr">
        <is>
          <t>Technical Product Manager, Analytics Lead</t>
        </is>
      </c>
      <c r="C128" t="inlineStr">
        <is>
          <t>FAMU National Alumni Association</t>
        </is>
      </c>
      <c r="D128" t="inlineStr">
        <is>
          <t>linkedin</t>
        </is>
      </c>
      <c r="E128" t="inlineStr"/>
      <c r="F128" t="inlineStr"/>
      <c r="G128" t="inlineStr">
        <is>
          <t>New York, United States</t>
        </is>
      </c>
      <c r="H128" t="inlineStr"/>
      <c r="I128" t="inlineStr">
        <is>
          <t>The insights provided are generated by AI and may contain inaccuracies. Please independently verify any critical information before relying on it.
 Technical Product Manager, Analytics Lead
 The insights provided are generated by AI and may contain inaccuracies. Please independently verify any critical information before relying on it.
**Description**
 We are seeking a business\-savvy and technically proficient Analytics Lead (TPM) to drive our data\-driven initiatives within the CIS BIA organization. This role requires a blend of strategic vision and executional excellence, with a focus on leading high\-impact projects, collaborating across departments, and shaping scalable analytics frameworks aligned with business priorities. Stakeholder management is a core aspect of this role, requiring the ability to influence and align with senior leaders and cross\-functional teams to deliver measurable business outcomes.
**Technical Product Manager, Analytics Lead**
**We Will Count On You To**
* Lead the development and deployment of analytics solutions, including dashboards, predictive models, and advanced analytics applications.
* Partner with cross\-functional teams to identify opportunities and deliver measurable results through data insights.
* Guide and mentor analysts and data scientists to ensure high\-quality deliverables and professional growth.
* Execute at least two end\-to\-end advanced analytics or machine learning projects, operationalizing these solutions within business workflows.
* Build and scale modern data architecture using Azure Data Lakehouse, Synapse, and other Azure services.
* Drive adoption of GenAI frameworks and contribute to innovative data\-centric GenAI use cases.
* Act as the primary liaison between business units and analytics teams, facilitating stakeholder alignment and expectation management.
* Foster a culture of collaboration, innovation, and continuous learning across the organization.
**What You Need To Have**
* Bachelor's or Master's degree in Data Science, Statistics, Computer Science, Engineering, or a related field.
* 7\+ years of analytics experience, including 3\+ years in a leadership or senior role.
* Proven hands\-on expertise in Python or R for advanced analytics and machine learning.
* Experience leading at least two end\-to\-end analytics or ML projects.
* Strong knowledge of building and scaling data warehousing and lakehouse environments.
* Proficiency with Azure Data Services (Data Factory, Synapse, Data Lake, Azure ML).
* Excellent data visualization skills using Power BI, Tableau, or similar tools.
* Exceptional stakeholder management skills, with the ability to influence and collaborate effectively across technical and business teams.
* Strategic mindset with the ability to design scalable data frameworks aligned with enterprise goals.
**What Makes You Stand Out**
* Experience in financial services or related industries.
* Knowledge of GenAI technologies and involvement in GenAI\-enabled data use cases.
* Familiarity with MLOps, model governance, and deployment best practices.
* An agile, collaborative work style with a proven track record of cross\-functional impact and driving innovation.
**Why Join Our Team**
* We help you be your best through professional development opportunities, interesting work and supportive leaders.
* We foster a vibrant and inclusive culture where you can work with talented colleagues to create new solutions and have impact for colleagues, clients and communities.
* Our scale enables us to provide a range of career opportunities, as well as benefits and rewards to enhance your well\-being.
 Marsh (NYSE: MRSH) is a global leader in risk, reinsurance and capital, people and investments, and management consulting, advising clients in 130 countries. With annual revenue of over $24 billion and more than 90,000 colleagues, Marsh helps build the confidence to thrive through the power of perspective. For more information, visit corporate.marsh.com, or follow us on LinkedIn and X.
 Marsh is committed to embracing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veteran status (including protected veterans), or any other characteristic protected by applicable law. If you have a need that requires accommodation, please let us know by contacting reasonableaccommodations@mmc.com.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The applicable base salary range for this role is $115,900 to $231,800\.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t>
        </is>
      </c>
    </row>
    <row r="129">
      <c r="A129" t="inlineStr">
        <is>
          <t>li-4354636983</t>
        </is>
      </c>
      <c r="B129" t="inlineStr">
        <is>
          <t>Sr Product Manager</t>
        </is>
      </c>
      <c r="C129" t="inlineStr">
        <is>
          <t>Grainger</t>
        </is>
      </c>
      <c r="D129" t="inlineStr">
        <is>
          <t>linkedin</t>
        </is>
      </c>
      <c r="E129" t="inlineStr"/>
      <c r="F129" t="inlineStr"/>
      <c r="G129" t="inlineStr">
        <is>
          <t>Lake Forest, IL</t>
        </is>
      </c>
      <c r="H129" t="inlineStr"/>
      <c r="I129" t="inlineStr">
        <is>
          <t>**Work Location Type:** 
********Remote********
 Req Number 326628
****About Grainger****
 W.W. Grainger, Inc., is a leading broad line distributor with operations primarily in North America, Japan and the United Kingdom. At Grainger, We Keep the World Working® by serving more than 4\.5 million customers worldwide with products and solutions delivered through innovative technology and deep customer relationships. Known for its commitment to service and award\-winning culture, the Company had 2024 revenue of $17\.2 billion across its two business models. In the High\-Touch Solutions segment, Grainger offers approximately 2 million maintenance, repair and operating (MRO) products and services, including technical support and inventory management. In the Endless Assortment segment, Zoro.com offers customers access to more than 14 million products, and MonotaRO.com offers more than 24 million products. For more information, visit www.grainger.com.
****Compensation****
 The anticipated base pay compensation range for this position is $121,500\.00 to $202,500\.00\.
****Rewards And Benefits****
 With benefits starting on day one, our programs provide choice and flexibility to meet team members' individual needs, including:
* Medical, dental, vision, and life insurance plans with coverage starting on day one of employment and 6 free sessions each year with a licensed therapist to support your emotional wellbeing.
* 18 paid time off (PTO) days annually for full\-time employees (accrual prorated based on employment start date) and 6 company holidays per year.
* 6% company contribution to a 401(k) Retirement Savings Plan each pay period, no employee contribution required.
* Employee discounts, tuition reimbursement, student loan refinancing and free access to financial counseling, education, and tools.
* Maternity support programs, nursing benefits, and up to 14 weeks paid leave for birth parents and up to 4 weeks paid leave for non\-birth parents.
 For additional information and details regarding Grainger’s benefits, please click on the link below:
 https://experience100\.ehr.com/grainger/Home/Tools\-Resources/Key\-Resources/New\-Hire
 The pay range provided above is not a guarantee of compensation. The range reflects the potential base pay for this role at the time of this posting based on the job grade for this position. Individual base pay compensation will depend, in part, on factors such as geographic work location and relevant experience and skills.
 The anticipated compensation range described above is subject to change and the compensation ultimately paid may be higher or lower than the range described above.
 Grainger reserves the right to amend, modify, or terminate its compensation and benefit programs in its sole discretion at any time, consistent with applicable law.
****About Grainger:****
 W.W. Grainger, Inc., is a leading broad line distributor with operations primarily in North America, Japan and the United Kingdom. At Grainger, We Keep the World Working® by serving more than 4\.5 million customers worldwide with products and solutions delivered through innovative technology and deep customer relationships. Known for its commitment to service and award\-winning culture, the Company had 2024 revenue of $17\.2 billion across its two business models. In the High\-Touch Solutions segment, Grainger offers approximately 2 million maintenance, repair and operating (MRO) products and services, including technical support and inventory management. In the Endless Assortment segment, Zoro.com offers customers access to more than 14 million products, and MonotaRO.com offers more than 24 million products. For more information, visit www.grainger.com.
****Position Details:****
 As the Senior Product Manager for Search Experiences, you will own Grainger.com’s end\-to\-end, customer\-facing search experience: from how the search bar and typeahead behave, to how search results are displayed, to how information is visually organized to help customers make decisions.
 You will lead the transformation of our search UX by improving how customers start searches, interpret results, and navigate product sets — ensuring experiences feel intuitive, fast, and confidence building.
 This role requires a product leader who blends strong UX instincts, customer empathy, analytical rigor, and operational excellence. You will work across engineering, design, analytics, merchandising, and other search domain teams to deliver fast, scalable, and intuitive search experiences.
 This role is a hybrid role based in Chicago, IL.
****Your Responsibilities:****
* Own the end\-to\-end customer\-facing search experience—including how the search bar behaves, how results are displayed, and how information is organized visually—to deliver an intuitive, fast, and engaging experience that helps customers quickly find the products they need.
* Define and execute a roadmap for high\-impact UX improvements, including typeahead, spellcheck, query reformulation guidance, filters, faceting, broad query experiences, visual SERP templates, and category\-browser displays.
* Drive modernization of search result pages to improve ease of finding key information, navigation efficiency, and relevance perception across desktop and responsive experiences.
* Lead experimentation strategy for Search Experiences, partnering with Analytics and Engineering to create a learning agenda, increase A/B test velocity, and design strong measurement plans.
* Establish clear OKRs and guardrail metrics tied to search success, customer engagement, friction reduction, and conversion impact.
* Bring clarity and structure to complex problems, translating customer needs and technical constraints into clear product requirements and actionable work.
* Partner deeply with UX / Design to run user tests, develop prototypes, and rapidly iterate on new interaction patterns or layouts.
* Work closely with Engineering to ensure scalable implementations, strong performance, and high\-quality delivery.
* Collaborate with Merchandising, the primary stakeholder, to ensure search experiences reflect customer intent and business goals.
* Coordinate with Search Intelligence and Platforms teams on cross\-team initiatives such as query understanding, intent routing, indexing, and experimentation platform integration.
* Communicate effectively with senior leadership—sharing tradeoffs, progress, blockers, and strategy in clear narrative form.
* Stay informed on trends in search UX, navigation patterns, information retrieval, and AI\-augmented discovery experiences.
****You Have:****
* 7\+ years of experience as a product manager or in a related technology role, including owning complex customer\-facing UX surfaces.
* Strong UX background: experienced in partnering with designers, running user tests, evaluating UX quality, and guiding interaction/design decisions.
* Demonstrated success driving experimentation, including defining hypotheses, designing tests, running A/B experiments, and interpreting results.
* Strong analytical and quantitative skills, with the ability to use metrics and data to guide decisions, build business cases, and measure impact.
* Ability to create structure in ambiguous environments and turn strategy into clear execution plans.
* Strong communicator with the ability to write compelling narratives, present to leadership, and align cross\-functional partners.
* Excellent stakeholder management, especially working with Merchandising, UX, Analytics, and Engineering teams in a matrixed organization.
* Comfortable with hands\-on exploration — able to create mockups, draft flows, or use AI\-assisted tools to communicate product ideas.
* Nice to have: familiarity with Search and experience working with ML teams
*We are committed to equal employment opportunity regardless of race, color, ancestry, religion, sex (including pregnancy), national origin, sexual orientation, age, citizenship, marital status, disability, gender identity or expression, protected veteran status or any other protected characteristic under federal, state, or local law. We are proud to be an equal opportunity workplace.*
*We are committed to fostering an inclusive, accessible work environment that includes both providing reasonable accommodations to individuals with disabilities during the application and hiring process as well as throughout the course of one’s employment, should you need a reasonable accommodation during the application and selection process, including, but not limited to use of our website, any part of the application, interview or hiring process, please advise us so that we can provide appropriate assistance.*</t>
        </is>
      </c>
    </row>
    <row r="130">
      <c r="A130" t="inlineStr">
        <is>
          <t>li-4327726163</t>
        </is>
      </c>
      <c r="B130" t="inlineStr">
        <is>
          <t>Technical Product Manager</t>
        </is>
      </c>
      <c r="C130" t="inlineStr">
        <is>
          <t>Relevate Health</t>
        </is>
      </c>
      <c r="D130" t="inlineStr">
        <is>
          <t>linkedin</t>
        </is>
      </c>
      <c r="E130" t="inlineStr"/>
      <c r="F130" t="inlineStr"/>
      <c r="G130" t="inlineStr"/>
      <c r="H130" t="inlineStr"/>
      <c r="I130" t="inlineStr">
        <is>
          <t>**Technical Product Manager Overview**
 Relevate Health is a company made up of exceptional professionals with the business purpose of creating life\-changing healthcare engagement, through our vision that every HCP communication is relevant. We are proud to be healthcare marketing experts who push ourselves, every single day, to the highest possible levels to further our purpose and exceed our goals. Our business successes have led to growth, and our extraordinary culture is the cornerstone for an engaged and productive workforce.
**Role Overview**
 We are seeking a Technical Product Manager to own and evolve our journey\-based marketing platform. This role sits at the intersection of product, data, engineering, and vendor teams—ensuring the platform delivers high\-performing, compliant, and scalable multi\-channel journeys. This PM will serve as a translator between business needs and technical implementation, with comfort in reviewing supporting systems and technical documentation (API behavior, data flows, integration rules), and help identify technology platforms to help support our continued growth.
**Key Responsibilities:** 
**Product Ownership \&amp; Roadmap:**
* Own the product roadmap, backlog prioritization, and release planning for the journey\-based marketing platform.
* Align platform capabilities with business strategy, client needs, and emerging MarTech/AdTech best practices.
* Translate business goals into clear product requirements, user stories, acceptance criteria, and technical documentation.
**Cross\-Functional Leadership:**
* Collaborate closely with engineering, data, QA, and design teams to deliver high\-quality features.
* Partner with Program Management and Operations to ensure smooth implementation and adoption of platform enhancements.
* Support Sales, Client Services, and Strategy teams with platform insights and capability guidance.
**Platform \&amp; Systems Expertise:**
* Understand how supporting systems (data pipelines, identity frameworks, targeting logic, delivery services) work together to power journey\-based experiences.
* Review integration documentation, data specifications, and configuration details to ensure accuracy and consistency.
* Oversee dependencies across internal systems and external vendors without requiring deep engineering responsibilities.
**Vendor \&amp; Partner Management:**
* Participate in vendor discussions to evaluate capabilities, integrations, SLAs, and roadmap alignment.
* Coordinate with AdTech and MarTech partners to ensure successful activation and troubleshooting.
**Data\-Driven Product Thinking:**
* Leverage data and performance analytics to inform roadmap decisions and feature refinement.
* Partner with analytics teams to improve measurement frameworks and enhance reporting for journey performance.
**Qualifications**
* 3–5 years of experience as a Product Manager in a technology\-driven environment.
* Experience with marketing technology, ad\-serving systems, campaign orchestration, or journey automation platforms.
* Strong requirements\-writing and documentation skills (functional specs, user stories, process flows).
* Ability to understand technical concepts (APIs, data models, system interactions) and translate them into business\-friendly language.
* Demonstrated ability to work cross\-functionally and manage competing priorities.
* Familiarity with healthcare, regulated environments, or privacy\-sensitive data is preferred but not required.
* Excellent communication, problem\-solving, and organization skills.
**What Success Looks Like**
* A clear, prioritized roadmap that aligns with company goals.
* Improved delivery velocity and predictable release cycles.
* Strong cross\-team alignment and transparent communication.
* A more scalable, reliable journey\-based marketing platform that elevates client outcomes.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talk, frequently required to stand, walk; use hands and fingers, tools, or controls; and reach with hands and arms. If you require accommodation during the application process, please contact HR@relevatehealth.com
**FLSA Status: Exempt** 
**Job Type: Full Time**</t>
        </is>
      </c>
    </row>
    <row r="131">
      <c r="A131" t="inlineStr">
        <is>
          <t>li-4365921152</t>
        </is>
      </c>
      <c r="B131" t="inlineStr">
        <is>
          <t>Product Manager, Carrier Customers</t>
        </is>
      </c>
      <c r="C131" t="inlineStr">
        <is>
          <t>EverQuote</t>
        </is>
      </c>
      <c r="D131" t="inlineStr">
        <is>
          <t>linkedin</t>
        </is>
      </c>
      <c r="E131" t="inlineStr"/>
      <c r="F131" t="inlineStr"/>
      <c r="G131" t="inlineStr">
        <is>
          <t>Cambridge, MA</t>
        </is>
      </c>
      <c r="H131" t="inlineStr"/>
      <c r="I131" t="inlineStr">
        <is>
          <t>As a Product Manager on the Carrier Customers team, you will play a key role in defining the strategy and roadmap for features and products in service of EverQuote’s carrier customers.
 EverQuote’s carrier business is a $X00 million a year business that is consistently growing year after year.
 This role will envision, design, plan and deliver product innovations that help make EverQuote a leading growth partner for insurance providers. These innovations range from sophisticated AI\-driven bidding models, a new platform that carriers can use to manage their customer acquisition through EverQuote, and entirely new funnels for platforms to grow their business through EverQuote.
 This is a high impact and high visibility opportunity. This role will partner with stakeholders throughout the organization in business development, analytics and other product and engineering teams to deliver solutions that our carrier customers can leverage for their own growth.
 This is a hybrid role requiring being in office several days a week.
 The base salary range for this full\-time hybrid position is $125,000\-152,000\. Starting salaries will generally be in the lower part of the salary range provided. Employees, depending on their specific role, level and responsibilities, may be eligible to participate in company variable compensation or equity programs.
****What You’ll Do:****
* Partner with business development and interact directly with carrier customers to identify needs and requirements of new growth products and features that will benefit them
* Oversee design, implementation and delivery of features/product roadmaps for carrier customers, collaborating across the company to do so
* Influence the overall product strategy and product roadmap for EverQuote’s carrier customers
* Set and manage product health KPIs for EverQuote’s product offerings for carrier customers
* Oversee the product development lifecycle and delivery of products to market in partnership with your agile team
* Partner with teams across the company to troubleshoot problems for carrier customers
****Who you are:****
* A curious self\-starter with a passion for delivering business outcomes through deep partnership with both, internal stakeholders and customers
* Data\-driven and lead discussions and inform business decisions with data
* Comfortable with ambiguity and have an ownership\-mentality
* Clarity\-driven and forward\-thinking in all correspondence, ensuring teammates and stakeholders are always aligned and informed
* Hungry to learn more about your customers think and what they value
**About EverQuote**
 EverQuote operates a leading online marketplace for insurance shopping, connecting consumers with insurance provider customers, which includes both carriers and agents. Our vision is to be the leading growth partner for property and casualty, or P\&amp;C, insurance providers. Our results\-driven marketplace, powered by our proprietary data and technology platform, is improving the way insurance providers attract and connect with consumers shopping for insurance.
 For more information, visit https://investors.everquote.com and follow on LinkedIn .</t>
        </is>
      </c>
    </row>
    <row r="132">
      <c r="A132" t="inlineStr">
        <is>
          <t>li-4343718196</t>
        </is>
      </c>
      <c r="B132" t="inlineStr">
        <is>
          <t>Product Manager - Dissolved Air Flotation (DAF)</t>
        </is>
      </c>
      <c r="C132" t="inlineStr">
        <is>
          <t>Ovivo</t>
        </is>
      </c>
      <c r="D132" t="inlineStr">
        <is>
          <t>linkedin</t>
        </is>
      </c>
      <c r="E132" t="inlineStr"/>
      <c r="F132" t="inlineStr"/>
      <c r="G132" t="inlineStr">
        <is>
          <t>Salt Lake City, UT</t>
        </is>
      </c>
      <c r="H132" t="inlineStr"/>
      <c r="I132" t="inlineStr">
        <is>
          <t>**What is the Opportunity?** 
**At Ovivo, we offer you the opportunity to expand your skills and professional experience while collaborating with worldwide experts in water treatment. As a Product Manager with the Ovivo\|Alar Flotation (DAF) team, you will provide leadership, sales assistance and training for all Industrial and Municipal Flotation products.** 
*The role is based in our
 **Salt Lake City or Mokena, IL** 
 office and will enjoy our hybrid working model.* 
*Expected domestic travel is 10\-30%.* 
**What is the role?** 
 As Product Manager, you will serve as the primary point of contact for your product line, working within a cross‑functional team environment that includes Engineering, Project Management, and Marketing. Your responsibilities will include the following:
* Support sales efforts through specification and plan reviews, customer presentations, product application and sizing, process start‑up, technical training, and troubleshooting.
* Ability to use innovative thinking to solve client challenges with the support of the operations team.
* Define product improvements, standardizations, and recommend new product development.
* Review customer purchase orders to ensure alignment with proposals and OVIVO acceptable terms.
* Collaborate with the Contracts team during Terms and Conditions review/negotiations.
* Provide detailed equipment information to operations group and reviewing submittals to confirm scope accuracy.
* Partner with Engineering and Project Management to resolve warranty or production issues.
* Provide training and training materials for the internal team and external clients.
* Establish systems and controls to improve margins and prevent margin erosion.
* Preserve and document the technical capabilities and know‑how of the group
 **.**
**Does this sound like you?** 
* **A minimum of 5 years of experience.**
* **BS. degree in one of the engineering disciplines is preferred.**
* Overall experience in the water/wastewater industry; Experience with flotation and DAF in industrial market is a plus
* Strong interpersonal skills to build long\-term relationships with clients, local sales reps and team members.
* Basic mechanical aptitude is required and ability to read and understand technical documents.
* Ability to apply basic mathematical equations and to create solid solutions.
* Strong problem\-solving or innovative mindset and ability to work independently
* Ability to translate complex technical concepts into clear, customer\-friendly language
**WHAT WE OFFER AS AN EMPLOYER** 
 At Ovivo, teamwork is at the heart of everything we do. We value work\-life balance and strive to provide an engaging work environment along with excellent benefits and career progression opportunities. We offer:
 Hybrid work environment \- while most of your time will be spent in the office, you'll be equipped to work between the office and remotely.
 Benefits \- all full\-time employees are eligible for Ovivo's generous benefits package that includes:
* Medical, Dental and Vision benefits
* 401k Match of 4%
* Parental Leave
* Company paid life insurance along with company paid short and long\-term disability
* 11 paid holidays
* Three weeks of PTO per year (prorated based on start date)
* Roll over of 64 PTO hours to the following year
* Sixteen personal hours hire date determines number of personal hours for the first year
* Days off between Christmas Eve and New Year's Day \- paid by the company with no impact to PTO balance.
* Profit sharing
 At Ovivo we are committed to providing working environments where everyone is included and treated fairly and with respect.
**Dive in \- Apply Today! Let's change the future of water together.** 
**About Ovivo** 
 Ovivo is a global provider of equipment, technology, and systems producing among the purest water and treating some of the most challenging wastewater in the industry. Ovivo is a powerful global brand with renowned trademarks, possessing more than 150 years of expertise and references in water treatment, supported by its proprietary products, advanced technologies, and extensive system integration knowhow. Ovivo delivers conventional to highly technological water treatment solutions for the industrial and municipal markets and leverages its large installed base of equipment around the world to offer parts and services to its customers. Ovivo is dedicated to innovation in an industry that is in constant evolution and offers water treatment solutions that are cost\-effective, energy\-efficient, and environmentally sustainable.
 Visit our website to learn more about Ovivo : https://careers.ovivowater.com/</t>
        </is>
      </c>
    </row>
    <row r="133">
      <c r="A133" t="inlineStr">
        <is>
          <t>li-4365865601</t>
        </is>
      </c>
      <c r="B133" t="inlineStr">
        <is>
          <t>Senior Lead Product Manager, Enterprise</t>
        </is>
      </c>
      <c r="C133" t="inlineStr">
        <is>
          <t>Klaviyo</t>
        </is>
      </c>
      <c r="D133" t="inlineStr">
        <is>
          <t>linkedin</t>
        </is>
      </c>
      <c r="E133" t="inlineStr"/>
      <c r="F133" t="inlineStr"/>
      <c r="G133" t="inlineStr">
        <is>
          <t>Boston, MA</t>
        </is>
      </c>
      <c r="H133" t="inlineStr"/>
      <c r="I133" t="inlineStr">
        <is>
          <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klaviyo.com/careers to see how we empower creators to own their own destiny.*
 Klaviyo helps businesses own their growth by making it easy to turn customer data into powerful personalized experiences. More than 183,000 brands worldwide use Klaviyo to deliver smarter marketing, build stronger relationships, and accelerate revenue all powered by data, automation, and intelligence. As we expand further into the enterprise market, we’re scaling our platform to meet the needs of the world’s largest and fastest\-growing consumer brands by building for performance, security, extensibility, and trust without sacrificing the usability and speed that make Klaviyo special.
**About The Role**
 Klaviyo is seeking a Senior Lead Product Manager to drive our Enterprise product strategy and lead the evolution of our platform for the world’s most sophisticated, data\-driven brands. This role sits at the center of one of Klaviyo’s most important growth opportunities: becoming the trusted B2C CRM for Enterprise customers.
 You will own multiple product areas critical to our Enterprise initiatives—including unifying customer data, powering AI\-driven automation, and expanding our ecosystem integrations—while partnering closely with Product, Engineering, Design, Go\-to\-Market and Partner teams. This is a highly visible role that balances long\-term platform strategy with near\-term delivery, ensuring we meet enterprise customer expectations without compromising scalability or reliability.
**What You’ll Do**
* Set and evangelize a 2–3 year vision for Klaviyo’s Enterprise platform that delivers scalability, flexibility, and enterprise\-grade governance while preserving ease of use.
* Translate company goals into clear OKRs and roadmaps that accelerate Enterprise adoption, retention, and ARR growth.
* Represent the voice of large, global customers in strategic product discussions.
* B2C CRM for Enterprise: Deliver capabilities that unify customer data across channels, enable real\-time personalization, and support global data governance and compliance.
* Collaborate deeply with Engineering, Design, Sales, Solutions, Customer Success, Security, and Legal to deliver cohesive enterprise experiences.
* Lead roadmap reviews, facilitate strategic tradeoffs, and ensure alignment across teams.
* Act as a central point of coordination for enterprise commitments from RFP support and security reviews through onboarding and long\-term success.
* Transform workflows by putting AI at the center, building smarter systems and ways of working from the ground up.
**What You Bring**
* 12\+ years of experience in Product Management with significant exposure to Enterprise SaaS products.
* Proven success leading enterprise\-grade or platform products such as CRM, marketing automation, customer data platforms, analytics, data infrastructure, or AI\-driven systems.
* Direct experience supporting large enterprise customers (e.g., Fortune 1000\), not just SMB or self\-serve products.
* Strong intuition for what drives enterprise purchasing decisions: trust, compliance, scalability, configurability, integrations, and roadmap credibility.
* Hands\-on experience partnering with Sales, Solutions Engineering, and Customer Success on enterprise deals.
* Comfortable discussing system architecture, data models, APIs, integrations, data flows, and security standards with engineering teams.
* Experience working on products with complex data infrastructure, distributed systems, or significant integration dependencies.
* Proven ability to influence and lead across Product, Engineering, GTM, Security, and Legal without direct authority.
* Track record of translating enterprise customer needs into clear product requirements, thoughtful tradeoffs, and scalable platform solutions.
* Strong communication and storytelling skills, with the ability to align diverse teams around shared priorities.
* You’ve already experimented with AI in work or personal projects, and you’re excited to dive in and learn fast. You’re hungry to responsibly explore new AI tools and workflows, finding ways to make your work smarter and more efficient.
 We use Covey as part of our hiring and / or promotional process. For jobs or candidates in NYC, certain features may qualify it as an AEDT. As part of the evaluation process we provide Covey with job requirements and candidate submitted applications. We began using Covey Scout for Inbound on April 3, 2025\.
 Please see the independent bias audit report covering our use of Covey here
**Massachusetts Applicants**
 It is unlawful in Massachusetts to require or administer a lie detector test as a condition of employment or continued employment. An employer who violates this law shall be subject to criminal penalties and civil liability.
 Our salary range reflects the cost of labor across various U.S. geographic markets. The range displayed below reflects the minimum and maximum target salaries for the position across all our US locations. The base salary offered for this position is determined by several factors, including the applicant’s job\-related skills, relevant experience, education or training, and work location.
 In addition to base salary, our total compensation package may include participation in the company’s annual cash bonus plan, variable compensation (OTE) for sales and customer success roles, equity, sign\-on payments, and a comprehensive range of health, welfare, and wellbeing benefits based on eligibility.
 Your recruiter can provide more details about the specific salary/OTE range for your preferred location during the hiring process.
 Base Pay Range For US Locations:
 $196,000—$294,000 USD
**Get to Know Klaviyo**
 We’re Klaviyo (pronounced clay\-vee\-oh). We empower creators to own their destiny by making first\-party data accessible and actionable like never before. We see limitless potential for the technology we’re developing to nurture personalized experiences in ecommerce and beyond. To reach our goals, we need our own crew of remarkable creators—ambitious and collaborative teammates who stay focused on our north star: delighting our customers. If you’re ready to do the best work of your career, where you’ll be welcomed as your whole self from day one and supported with generous benefits, we hope you’ll join us.
*AI fluency at Klaviyo includes responsible use of AI (including privacy, security, bias awareness, and human\-in\-the\-loop). We provide accommodations as needed.*
*By participating in Klaviyo’s interview process, you acknowledge that you have read, understood, and will adhere to our Guidelines for using AI in the Klaviyo interview Process. For more information about how we process your personal data, see our Job Applicant Privacy Notice.*
*Klaviyo is committed to a policy of equal opportunity and non\-discrimination. We do not discriminate on the basis of race, ethnicity, citizenship, national origin, color, religion or religious creed, age, sex (including pregnancy), gender identity, sexual orientation, physical or mental disability, veteran or active military status, marital status, criminal record, genetics, retaliation, sexual harassment or any other characteristic protected by applicable law.*
*IMPORTANT NOTICE: Our company takes the security and privacy of job applicants very seriously. We will never ask for payment, bank details, or personal financial information as part of the application process. All our legitimate job postings can be found on our official career site. Please be cautious of job offers that come from non\-company email addresses (@klaviyo.com), instant messaging platforms, or unsolicited calls.*
**By clicking "Submit Application" you consent to Klaviyo processing your Personal Data in accordance with our Job Applicant Privacy Notice. If you do not wish for Klaviyo to process your Personal Data, please do not submit an application.** 
*You can find our Job Applicant Privacy Notice* 
*here* 
*and here (FR).*</t>
        </is>
      </c>
    </row>
    <row r="134">
      <c r="A134" t="inlineStr">
        <is>
          <t>li-4373953731</t>
        </is>
      </c>
      <c r="B134" t="inlineStr">
        <is>
          <t>Product Owner/  Manager III</t>
        </is>
      </c>
      <c r="C134" t="inlineStr">
        <is>
          <t>Labcorp</t>
        </is>
      </c>
      <c r="D134" t="inlineStr">
        <is>
          <t>linkedin</t>
        </is>
      </c>
      <c r="E134" t="inlineStr"/>
      <c r="F134" t="inlineStr"/>
      <c r="G134" t="inlineStr">
        <is>
          <t>Burlington, NC</t>
        </is>
      </c>
      <c r="H134" t="inlineStr"/>
      <c r="I134" t="inlineStr">
        <is>
          <t>Location:
 **Burlington, NC** 
 or
 **Durham, NC**
 This hybrid position offers a balanced schedule of a minimum of three in\-office days at an assigned location to be either
 ***Burlington or Durham, NC***
 , supporting both collaboration and flexibility.
 We’re virtualizing our contact centers into one modern, customer‑centric Clinical Contact Center (CCC). As the owner of our enterprise case management platform, you will set the product vision and roadmap, standardize and optimize end‑to‑end processes, and drive adoption of technology, automation, and AI to improve customer and employee experiences, operational resilience, and enterprise efficiency.
**Key Responsibilities**
* Own the CCC enterprise case management product strategy, roadmap, standards, and governance.
* Lead end‑to‑end process design (intake, routing, triage, escalation, resolution, knowledge) and enterprise case management system SOPs.
* Define and optimize workflows, automations, routing rules, and case taxonomy; partner with IT/admins to deliver enhancements.
* Translate business needs into technical requirements and oversee integrations (CRM, telephony, WFO/COE, QA, knowledge, WFM).
* Enable AI‑driven capabilities (e.g., auto‑triage/classification, summarization, agent assist) aligned to governance/ethics.
* Establish KPIs and dashboards; analyze trends to improve productivity, quality, and customer experience.
* Lead change management and cross‑functional alignment with operations, divisional leaders, IT, analytics, vendors, and compliance.
* Maintain platform documentation, decision frameworks, and knowledge assets; drive feature adoption and best practices.
**Required Qualifications**
* 7\+ years in product management, business process ownership, contact center operations, or enterprise support systems.
* Hands‑on leadership of case management/CRM platforms (e.g., ServiceNow, Salesforce Service Cloud, Zendesk, Freshservice).
* Demonstrated success standardizing processes and improving operations across multi‑site/divisional environments.
* Strong workflow/automation design skills; familiarity with integrations (APIs, webhooks).
* Data‑driven; able to define KPIs and turn insights into measurable improvements.
* Excellent communication and stakeholder influence; effective in matrixed, change‑heavy settings.
**Preferred**
* Experience in large‑scale contact center transformation, shared services, or healthcare/regulated environments.
* Exposure to AI‑enabled service, automation, and digital experience tools.
* Certifications: Lean/Six Sigma, Agile/Scrum, PMP (or equivalent).
* Vendor/outsourcing management experience.
**Success Indicators**
* Higher FCR, lower AHT, fewer escalations/rework; improved CSAT/NPS and routing accuracy.
* Consistent, standardized workflows and strong adoption of automations across divisions.
* Roadmap milestones delivered on time with clear business impact.
* Effective AI/automation integration and actionable performance insights for leaders.
**Benefits:** 
 Employees regularly scheduled to work 20 or more hours per week are eligible for comprehensive benefits including: Medical, Dental, Vision, Life, STD/LTD, 401(k), Paid Time Off (PTO) or Flexible Time Off (FTO), Tuition Reimbursement and Employee Stock Purchase Plan. Casual, PRN \&amp; Part Time employees regularly scheduled to work less than 20 hours are eligible to participate in the 401(k) Plan only. Employees who are regularly scheduled to work a 7 on/7 off schedule are eligible to receive all the foregoing benefits except PTO or FTO. For more detailed information, please click here.
**Labcorp Is Proud To Be An Equal Opportunity Employer**
 Labcorp strives for inclusion and belonging in the workforce and does not tolerate harassment or discrimination of any kind. We make employment decisions based on the needs of our business and the qualifications and merit of the individual. Qualified applicants will receive consideration for employment without regard to race, religion, color, national origin, sex (including pregnancy, childbirth, or related medical conditions), family or parental status, marital, civil union or domestic partnership status, sexual orientation, gender identity, gender expression, personal appearance, age, veteran status, disability, genetic information, or any other legally protected characteristic. Additionally, all qualified applicants with arrest or conviction records will be considered for employment in accordance with applicable law.
**We encourage all to apply**
 If you are an individual with a disability who needs assistance using our online tools to search and apply for jobs, or needs an accommodation, please visit our accessibility site or contact us at Labcorp Accessibility. For more information about how we collect and store your personal data, please see our Privacy Statement.</t>
        </is>
      </c>
    </row>
    <row r="135">
      <c r="A135" t="inlineStr">
        <is>
          <t>li-4373971400</t>
        </is>
      </c>
      <c r="B135" t="inlineStr">
        <is>
          <t>Staff, Product Manager Driver Earning, Tax &amp; Reconciliation (Last Mile Delivery)</t>
        </is>
      </c>
      <c r="C135" t="inlineStr">
        <is>
          <t>Lensa</t>
        </is>
      </c>
      <c r="D135" t="inlineStr">
        <is>
          <t>linkedin</t>
        </is>
      </c>
      <c r="E135" t="inlineStr"/>
      <c r="F135" t="inlineStr"/>
      <c r="G135" t="inlineStr">
        <is>
          <t>Sunnyvale, CA</t>
        </is>
      </c>
      <c r="H135" t="inlineStr"/>
      <c r="I13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Walmart. Clicking "Apply Now" or "Read more" on Lensa redirects you to the job board/employer site. Any information collected there is subject to their terms and privacy notice.
**Position Summary...**
 The Last Mile Delivery team builds and scales products that make every aspect of delivery faster, simpler, and more transparent—for both customers and the independent drivers who power our network. Our mission is to deliver an accurate, compliant, and effortless earnings ecosystem for thousands of gig drivers who rely on our platform every day.
 As a Staff Product Manager on the Trust \&amp; Safety, Driver Earnings team, you will focus on Accounting, Tax \&amp; Reconciliation, . You will own the financial integrity of the driver earnings lifecycle—spanning tax calculation, 1099 reporting, daily accounting accuracy, invoicing, reconciliation, and regulatory compliance. You’ll ensure that the data, systems, and UI surfaces that support driver earnings and accounting are precise, compliant, and transparent.
 This role is deeply cross functional across Tax, Accounting, Finance Systems, Compliance, Disbursements, and Legal. You’ll steward products that move millions of dollars daily to gig drivers, uphold reporting obligations, prevent financial discrepancies, and strengthen trust through flawless execution.
**What You'll Do...**
**Own Tax, Reporting \&amp; Compliance**
* Lead product strategy forgig economytax operations, including 1099 creation, filing, corrections, and distribution.
* Ensure earnings data is compliant with federal, state, and local tax rules;anticipateregulatory changes and translate them into scalable product solutions.
* Partner with Tax and Compliance to implement new reporting requirements,andaudit readydocumentation.
**Drive Accounting Accuracy \&amp; Reconciliation**
* Supportsystems that reconcilemillions of transactionswith a high degree of financial precision.
* Partner with Accounting and Financeteamsto ensureaccurateGLmapping,and settlement.
* Ensure disbursements to drivers flow through our partnerbanking solutions with zero defects.
* Identifyand resolve discrepancies proactively, designing automated guardrails that prevent recurrence.
**Product Leadership \&amp; Execution**
* Own product strategy, roadmap, PRDs, and KPI frameworks foraccounting,taxand reconciliation workflows.
* Ship resilient, scalable systems that support rapid growth while reducing operational overhead.
**You’ll** 
**Sweep Us Off Our Feet If…**
* You are energized by tax, accounting, reconciliation, and compliance challenges within large scale marketplaces.
* You can translate complex financial rules into simple, trustworthy user experiences.
* You’reexceptionallydetail orientedand know how to safeguard financial accuracy at scale.
* You build strong partnerships across Finance, Tax, Compliance, and Engineering.
* You make decisions with data, structure ambiguous domains, and communicate clearly.
**Preferred Qualifications**
* Experience withgig economyplatforms,disbursements, or contractor tax reporting.
* Background in financial systems, accounting, or enterprise reconciliation workflows.
* Familiarity with1099,contractor earnings, andregulatorytax requirements.
* Skilled in discovery, requirements gathering, and partnering withlegal and compliance teams.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(https://one.walmart.com/) .
 Sunnyvale, California US\-11789: The annual salary range for this position is $143,000\.00 \- $286,000\.00
 Bentonville, Arkansas US\-09413: The annual salary range for this position is $110,000\.00 \- $220,000\.00 Additional compensation includes annual or quarterly performance bonuses. Additional compensation for certain positions may also include :
* Stock
 \&amp;\#12644;
 \&amp;\#12644;
 \&amp;\#12644;
 \&amp;\#12644;
 ‎
**Minimum Qualifications...**
*Outlined below are the required minimum qualifications for this position. If none are listed, there are no minimum qualifications.*
 Option 1: Bachelor’s degree in computer science, engineering, or related area and 7 years’ experience in product management. Option 2: 9 years’ experience in product management or related area.
**Preferred Qualifications...**
*Outlined below are the optional preferred qualifications for this position. If none are listed, there are no preferred qualifications.*
 Master’s degree in Computer Science, Engineering, Business Administration, or related area and 6 years’ experience as a product manager, ideally working on consumer\-facing, large\-scale, highly complex B2B/C products,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809 11th Ave, Sunnyvale, CA 94089\-4731,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
 Walmart, Inc. is an Equal Opportunity Employer\- By Choice. We believe we are best equipped to help our associates, customers, and the communities we serve live better when we really know them. That means understanding, respecting, and valuing diversity\- unique styles, experiences, identities, abilities, ideas and opinions\- while being inclusive of all people.
 If you have questions about this posting, please contact support@lensa.com</t>
        </is>
      </c>
    </row>
    <row r="136">
      <c r="A136" t="inlineStr">
        <is>
          <t>li-4351266876</t>
        </is>
      </c>
      <c r="B136" t="inlineStr">
        <is>
          <t>Senior Product Owner - Policy Administration &amp; Guidewire</t>
        </is>
      </c>
      <c r="C136" t="inlineStr">
        <is>
          <t>CNA Insurance</t>
        </is>
      </c>
      <c r="D136" t="inlineStr">
        <is>
          <t>linkedin</t>
        </is>
      </c>
      <c r="E136" t="inlineStr"/>
      <c r="F136" t="inlineStr"/>
      <c r="G136" t="inlineStr">
        <is>
          <t>Chicago, IL</t>
        </is>
      </c>
      <c r="H136" t="inlineStr"/>
      <c r="I136" t="inlineStr">
        <is>
          <t>You have a clear vision of where your career can go. And we have the leadership to help you get there. At CNA, we strive to create a culture in which people know they matter and are part of something important, ensuring the abilities of all employees are used to their fullest potential.
 An individual contributor that serves as the customer proxy to the Agile team within the agile process and is the final authority for decisions regarding priority, business value, and functionality for all the work done by the Agile development team. The Senior Product Owner has the ability to analyze complex cross functional business processes and define integrated user stories using industry standard techniques and is able to apply modified approaches and techniques to meet different circumstances. In partnership with their Scrum Master, the Senior Product Owner will monitor metrics and suggest new ways of increasing quality and verify the business value delivered by the team. The Senior Product Owner will directly work with one to two Agile teams dependent upon initiative complexity. The Senior Product Owner may be working on a Scaled Agile Release Train as part of the Product Management team, or they may work on independent Agile teams and have Feature as well as story ownership.
**JOB DESCRIPTION:**
**Essential Duties \&amp; Responsibilities**
*Performs a combination of duties in accordance with departmental guidelines:*
* Supports one to two Agile Scrum teams on initiatives of medium to large complexity
* Owns, defines, and prioritizes the team backlog, establishes story acceptance criteria, drives content via prioritized user stories, obtains customer validation and accept stories, ensuring that the solution effectively addresses overall program priorities.
* A thought leader in Scrum ceremonies (such as daily standups, sprint review meetings, retrospective meetings, cross\-team coordination, and etc.), alongside the Scrum Master, ensuring that Scrum Teams adhere to the Scrum values of courage, focus, commitment, respect and openness in delivering high quality solutions. Fosters an environment of continuous improvement / learning.
* Leading by example, facilitates Product Backlog Refinement including reviewing and updating backlog item definition and developing acceptance criteria and value statements, providing information to the team so they can establish technical feasibility and scope estimates, analyzing ways to split backlog items into smaller chunks of incremental value, helping to inform the enablers required to support new features and capabilities, and establishing their capacity allocation.
* Builds customer and user insights into all stages of the Scrum planning and execution process, ensuring the continuous validation of stories with Customers and business users.
* Proactively analyzes metrics, and recommends changes to the product based on data from feedback loops
* Inspire and motivate a team where the members constructively challenge each other, have a sense of ownership, and advocate for the right long\-term decision making. Builds a trusting and safe environment within the team, customers, and other stakeholders.
* May collaborate with Product Managers and other Senior Product Owners and other Product Owners, to ensure Stories align to value, goals and objectives of overall program priorities.
*May perform additional duties as assigned.*
**Reporting Relationship**
 Typically Director or above
**Skills, Knowledge \&amp; Abilities**
* Strong executor, proven across complex initiatives
* Champion for the adoption of new Agile technologies and methodologies
* Ability to build and maintain collaborative relationships with stakeholders
* Highly collaborative with good conflict resolutions skills
* Proven ability to enact change quickly
* Willingness to develop Agile team members by inspiring, encouraging and providing constructive feedback
* Solid leadership skill
* Proven ability to work directly with Product Management, business stakeholders and technical/product teams
* Domain knowledge of solutions being developed
**Education \&amp; Experience**
* Bachelor’s degree or equivalent work experience
* Typically, a minimum of five years as a Product Owner or equivalent role
* Experience with Mid to Large Size Commercial Insurance Preferably General Liability
* Successful track record with Agile methodologies
* Applicable certifications preferred (e.g. SAFe PO/PM, CSPO or PSPO)
*In certain jurisdictions, CNA is legally required to include a reasonable estimate of the compensation for this role. In District of Columbia, California, Colorado, Connecticut,* 
*Illinois* 
 ,
 *Maryland,* 
*Massachusetts* 
 ,
 *New York and Washington,* 
*the national base pay range for this job level is $72,000 to $141,000 annually. Salary determinations are based on various factors, including but not limited to, relevant work experience, skills, certifications and location. CNA offers a comprehensive and competitive benefits package to help our employees – and their family members – achieve their physical, financial, emotional and social wellbeing goals. For a detailed look at CNA’s benefits, please visit cnabenefits.com.*
 CNA is committed to providing reasonable accommodations to qualified individuals with disabilities in the recruitment process. To request an accommodation, please contact leaveadministration@cna.com.</t>
        </is>
      </c>
    </row>
    <row r="137">
      <c r="A137" t="inlineStr">
        <is>
          <t>li-4371970624</t>
        </is>
      </c>
      <c r="B137" t="inlineStr">
        <is>
          <t>Product Manager - HR Technology</t>
        </is>
      </c>
      <c r="C137" t="inlineStr">
        <is>
          <t>Ladders</t>
        </is>
      </c>
      <c r="D137" t="inlineStr">
        <is>
          <t>linkedin</t>
        </is>
      </c>
      <c r="E137" t="inlineStr"/>
      <c r="F137" t="inlineStr"/>
      <c r="G137" t="inlineStr"/>
      <c r="H137" t="inlineStr"/>
      <c r="I137" t="inlineStr">
        <is>
          <t>For our client, we are seeking a Product Manager \- HR Technology to join the team of a leader in the Hospitality \&amp; Recreation space. You’ll play a key role delivering outcomes for customers and stakeholders in the Hospitality \&amp; Recreation space. You’ll collaborate cross\-functionally and take ownership of priorities. This role offers visibility, growth, and impact.
 Location: Remote \- US based candidates only, no visa sponsorship available
 Compensation: $310,000 – $545,000 annually.
**Responsibilities**
* Develop and manage product strategy and roadmap for talent management systems
* Understand HR stakeholder needs through research and analytics
* Translate complex business challenges into user\-focused product designs
* Prioritize stakeholder demands using strategic frameworks
* Collaborate with engineering and design for timely, quality product delivery
* Monitor product performance, adoption, and customer satisfaction for continuous improvements
* Stay updated on HR tech trends to innovate product strategies
**Qualifications**
* Bachelor's Degree required
* 6\+ years of experience in product management or data architecture, ideally in enterprise applications or HR technology
* Deep understanding of talent data systems and analytical systems development
* Experience with GenAI and collaboration with engineering teams
* Familiarity with talent ecosystem technologies like learning management systems
* Exceptional communication skills for diverse audiences
* Self\-directed and adaptable in a fast\-paced environment
**Benefits**
* Health Plans and Mental Health support
* 401(k) Retirement Plan with employer match
* Stock Option Program and Disability Programs
* Flexible Spending Accounts and Family\-forming benefits
* Generous paid leave policies and paid time off
 Our client is an equal opportunity employer. We encourage you to apply even if you don’t meet every qualification—your background could be exactly what this team needs.</t>
        </is>
      </c>
    </row>
    <row r="138">
      <c r="A138" t="inlineStr">
        <is>
          <t>li-4366227222</t>
        </is>
      </c>
      <c r="B138" t="inlineStr">
        <is>
          <t>Principal Product Manager, Tax Platform</t>
        </is>
      </c>
      <c r="C138" t="inlineStr">
        <is>
          <t>Gusto</t>
        </is>
      </c>
      <c r="D138" t="inlineStr">
        <is>
          <t>linkedin</t>
        </is>
      </c>
      <c r="E138" t="inlineStr"/>
      <c r="F138" t="inlineStr"/>
      <c r="G138" t="inlineStr"/>
      <c r="H138" t="inlineStr"/>
      <c r="I138"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**By The Numbers**
* Named \#1 best software for small business of 2024 by G2
* 2,700\+ employees in the United States, Canada, Mexico, and Turkiye and growing
* Over $500M in annual revenue
* The SMB market is large (and growing!) with huge opportunities for Gusto to make an incredible impact for SMBs
+ There are 6\.2M employers in the US, 98% have fewer than 100 employees (1\)
+ 550,000 new businesses are created each year in the US (1\)
**What Product Management Is Like At Gusto**
* We’re looking for high\-autonomy, entrepreneurial Product Managers to come build high\-impact solutions for small businesses and their employees. We believe in high\-ownership Product Managers who operate like business owners \- owning an entire roadmap end to end, and shaping the product from strategy setting through the nitty gritty execution details.
* Our Product team is lean, which means you’ll have a high degree of impact and ownership.
* We’re here to serve small and medium businesses. Gusto has a strong mission\-driven culture, and we care deeply about lifting up these business owners.
**About The Team**
 Tax is a critical pillar of Gusto’s platform. The Tax Platform team owns the core systems that determine how tax liabilities are calculated, tracked, paid, reconciled, and filed for more than 400,000 small businesses.
 These systems sit at the intersection of money movement, regulatory compliance, and customer trust. The Tax Platform provides shared capabilities used across Tax, Compliance, and R\&amp;D, shaping how tax data flows through the company and how other teams build safely on top of Gusto’s tax foundation.
 This is high\-leverage, system\-level work. The team is actively modernizing tightly coupled legacy systems, improving correctness and traceability, and creating durable platform capabilities that reduce risk and unlock faster product development across the company. We partner closely with Engineering, Compliance, Legal, CX, Data Science, and Operations to ensure Gusto’s tax platform remains accurate, scalable, and resilient as the business grows.
**Here’s What You’ll Do Day\-to\-day**
* Ownership: Own the strategy, roadmap, and execution for foundational Tax Platform systems, with responsibility for shaping platform direction across multiple quarters and years.
* North Star: Define and evolve a clear Tax Platform strategy that ladders into Gusto’s broader Tax strategy, bringing clarity to ambiguous problem spaces and guiding day\-to\-day decisions around prioritization, sequencing, and tradeoffs.
* Collaborate \&amp; Evangelize: Partner closely with Engineering, Compliance, Legal, CX, Data Science, and Product teams to align priorities, unblock dependencies, and drive adoption of shared platform capabilities. Translate between platform work and customer and business outcomes to help engineering teams understand impact and help stakeholders understand the value and tradeoffs of platform investments.
* Customer Impact: Tie platform initiatives to customer outcomes by using data, domain expertise, and partner input to prioritize work that improves accuracy, timeliness, trust, and operational reliability.
* Execution Excellence: Advocate for durable, correct, and scalable solutions while maintaining momentum through incremental delivery, thoughtful sequencing, and clear success metrics.
**Here’s What We're Looking For**
* 8\+ years of product management experience, including meaningful ownership of platform teams, strategy and multi\-year initiatives that created leverage across multiple teams or product areas.
* Demonstrated success operating in complex, multi\-product environments with cross\-team dependencies and internal platform customers.
* Strong system\-level thinking and product judgment, with the ability to navigate ambiguity, make hard tradeoffs, and drive clarity without relying on consensus.
* Experience evolving or modernizing critical systems over time, balancing short\-term delivery with long\-term platform health and risk reduction.
* Comfort working in regulated or compliance\-sensitive domains such as payroll tax, fintech, HR, or legal tech, with a deep appreciation for accuracy, auditability, and customer trust.
* Proven ability to partner closely with engineering teams and translate between platform decisions, customer impact, and business outcomes.
* A strong POV on building products in the age of AI; experience building AI\-driven features is a big bonus
*If you don't think you meet all of the criteria above but still are interested in the job, please apply. Nobody checks every box, and we're looking for someone excited to join the team.*
 Our cash compensation amount for this role is targeted at $180,000 to $224,000/yr in Denver \&amp; most major metro locations, and $210,000 to $263,000/yr for San Francisco, New York, \&amp; Seattle. Final offer amounts are determined by multiple factors including candidate location, experience and expertise and may vary from the amounts listed above
**Where do PMs at Gusto work?**
 We have offices in Denver, San Francisco, and New York and have remote team members across the US and Canada. We are actively hiring for the following Hubs: Toronto, Canada and Seattle, WA. Our open roles will specify on the careers page and in the job description where the position is eligible for work.
* Business Applications with Planned Wages (www.census.gov)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139">
      <c r="A139" t="inlineStr">
        <is>
          <t>li-4355729668</t>
        </is>
      </c>
      <c r="B139" t="inlineStr">
        <is>
          <t>Senior Product Manager (Embolization)</t>
        </is>
      </c>
      <c r="C139" t="inlineStr">
        <is>
          <t>Merit Medical Systems, Inc.</t>
        </is>
      </c>
      <c r="D139" t="inlineStr">
        <is>
          <t>linkedin</t>
        </is>
      </c>
      <c r="E139" t="inlineStr"/>
      <c r="F139" t="inlineStr"/>
      <c r="G139" t="inlineStr">
        <is>
          <t>South Jordan, UT</t>
        </is>
      </c>
      <c r="H139" t="inlineStr"/>
      <c r="I139" t="inlineStr">
        <is>
          <t>**Why Merit?**
 At Merit Medical, our mission is to create innovative medical devices that improve lives. Our goal is to hire and develop people who want to build something special through hard work, team effort, and commitment. Together, we are making a difference in the lives of patients around the world.
**WORK SHIFT**
 DAY (United States of America)
**Summary Of Duties**
 Responsible for providing intensive and diversified product marketing and analysis support, and special project management. May lead the work of other Product Managers.
**Essential Functions Performed**
* Works with product users to increase the ability of Merit to improve products to meet specific customer needs by:
* Identifying problems not met by existing products.
* Discussing possible changes in product specifications based upon the unique needs of an individual customer.
* Coordinating with Sales staff to identify customers with possible customized needs.
* Working with manufacturing staff to confirm pricing parameters for products.
* Works with customers in coordinating Market Research Trials by:
* Identifying opportunities for adding accessories or improving product operation.
* Gathering information about product performance by observation of procedures, questionnaires, interviews and face\-to\-face discussions.
* Explaining product improvement needs to Engineering and Manufacturing staff.
* Evaluating overall product effectiveness and market potential.
* Evaluates new product potential by:
* Researching and analyzing the existing market and the products being manufactured by competing companies.
* Forecasting sales of products within existing and potential markets.
* Assessing the ability of products to meet current and potential needs.
* Trains sales staff in anatomy and physiology related to the clinical application and use of products, the various unique features of new and existing products, and the advantages and weaknesses of Merit products when compared to other competing products.
* Prepares and writes brochures and sales materials.
* Acts as a team leader on product management, marketing, or interdepartmental teams and may supervise other product managers in this effort.
* Prepares a variety of sales and marketing forecasts.
* Exercises judgment in project management for high priority projects and assignments.
* Serves as marketing liaison to other departments in the absence of the Marketing Director.
* May lead the work of other Product Managers.
* Performs other related product management and marketing tasks, as needed.
**Essential Physical/Environmental Demands**
* Lifting \-\- Not to exceed 50 lbs. \-\- local practice may apply.
* Writing
* Sitting
* Standing
* Bending
* Visual acuity
* Color perception
* Depth perception
* Reading
* Field of vision/peripheral
**Summary Of Minimum Qualifications**
* Education and/or experience equivalent to a Bachelor’s Degree in Marketing or related field.
* Work related experience equivalent to eight years of product management and/or sales experience in the medical device field.
* Previous experience in medical device product management, with a strong focus on embolotherapy.
* International exposure and global market experience highly desirable.
* Excellent analytical and problem solving skills.
* Ability to manage large and high priority projects efficiently and effectively and to meet deadlines in a timely manner.
* Good organizational skills and the ability to conduct and/or supervise the clinical trial process as a representative of Marketing in an organized and methodical manner.
* Strong interpersonal and communication skills and the ability to act as a team leader while supervising Marketing's efforts as related to high priority projects.
* Demonstrated computer skills preferably spreadsheets, word processing, database and other applicable software programs.
* Excellent presentation skills and the ability to prepare professional written and oral presentations and market analysis.
* Excellent market research skills and the ability to report research findings with high degrees of validity and reliability.
 COMPETENCIES
* Product effectiveness/market potential evaluation
* Market research/analyzing
* Sales forecasting
* Product assessment
* Training
* Brochure/sales material preparation and writing
* Problem solving
 COMMENTS
**Infectious Control Risk Category II**
 The risk category explains whether or not employees are likely to come into contact with blood or body fluids while performing their jobs. Risk category II states employment and procedures that may require exposure.
**As an eligible Merit employee, you can expect the following:**
* Multiple Shifts and Hours to choose from: Days, Swing (Eve), and Nights
* Medical/Dental \&amp; Other Insurances (eligible the first of month after 30 days)
* Low Cost Onsite Medical Clinic
* Two (2\) Onsite Cafeterias
* Employee Garden \| Gardening Classes
* 3 Weeks' Vacation \| 1 Week Sick\-Time \| Paid Holidays
* 401K \| Health Savings Account
 To see more on our culture, go to www.merit.com/careers.
 Military Veterans are encouraged to Apply.
**Merit is a proud Utah Patriot Partner committed to hiring our Veterans.**</t>
        </is>
      </c>
    </row>
    <row r="140">
      <c r="A140" t="inlineStr">
        <is>
          <t>li-4372844971</t>
        </is>
      </c>
      <c r="B140" t="inlineStr">
        <is>
          <t>Senior Program Manager</t>
        </is>
      </c>
      <c r="C140" t="inlineStr">
        <is>
          <t>GlueIQ</t>
        </is>
      </c>
      <c r="D140" t="inlineStr">
        <is>
          <t>linkedin</t>
        </is>
      </c>
      <c r="E140" t="inlineStr"/>
      <c r="F140" t="inlineStr"/>
      <c r="G140" t="inlineStr">
        <is>
          <t>Miami, FL</t>
        </is>
      </c>
      <c r="H140" t="inlineStr"/>
      <c r="I140" t="inlineStr">
        <is>
          <t>**Department:** 
 Program Management
**Direct Report:** 
 Portfolio Lead
**Title:** 
 Sr
 **.** 
 Project Manager
**Level:** 
 Sr.
 Manager
**Location:** 
 Hybrid Role in Coral Gables Office (4 Days a week in\-person)
 GlueIQ is seeking a
 **Senior Project Manager with a technical background** 
 to lead complex, cross\-functional initiatives across digital platforms, integrated campaigns, and technology\-driven marketing programs.
 This role requires a strategic thinker who understands both creative workflows and technical execution — someone who can bridge conversations between engineering, creative, media, strategy, and client stakeholders while keeping projects on time, on budget, and on brief.
 The ideal candidate has experience managing web builds, marketing technology integrations, data\-driven campaigns, and multi\-channel advertising programs within an agency environment.
**RESPONSIBILITIES** 
 Project \&amp; Program Leadership
 * Lead end\-to\-end project delivery for integrated marketing and digital initiatives
* Define scope, timelines, budgets, and resource allocations
* Build and maintain detailed project plans, schedules, and documentation
* Proactively manage risks, dependencies, and change requests
* Ensure alignment across internal teams and client stakeholders
 Technical Oversight
 * Manage website builds, CMS implementations, marketing automation integrations, analytics setups, and digital product launches
* Translate technical requirements into actionable plans for creative and development teams
* Partner with developers, UX/UI designers, and data teams to ensure feasibility and performance
* Oversee QA processes, UAT cycles, and deployment schedules
* Ensure technical solutions align with campaign objectives and measurement strategies
 Cross\-Functional Collaboration
 * Serve as the operational hub between Creative, Strategy, Media, Production, and Engineering
* Facilitate kickoff meetings, sprint planning, status updates, and stakeholder reviews
* Align deliverables with media timelines and campaign launch milestones
* Foster accountability and clarity across distributed teams
 Financial \&amp; Resource Management
 * Develop and manage project budgets and forecasts
* Track burn rates, margins, and resource utilization
* Identify scope creep and proactively manage change orders
* Optimize team capacity planning and workflow efficiency
 Client Partnership
 * Act as a trusted advisor to clients on delivery strategy and execution
* Communicate timelines, risks, and progress clearly and confidently
* Present project updates and manage expectations
* Ensure a seamless client experience from kickoff through launch
**KEY REQUIREMENTS** 
* 7\+ years of project management experience in a digital agency or integrated marketing environment
* Strong technical fluency (web development, CMS platforms, APIs, martech stacks, analytics, hosting environments)
* Proven experience managing complex digital builds and multi\-channel campaigns
* Deep understanding of Agile, Scrum, and/or hybrid project management methodologies
* Experience with project management tools (e.g., Asana, Jira, Monday, Smartsheet, Workfront)
* Strong financial acumen and budget management experience
* Excellent written and verbal communication skills
* Ability to lead without authority and influence cross\-functional teams
* Commitment to working 5 days a week (in person) in Coral Gables office
**ABOUT GLUEIQ** 
 GlueIQ is the brainchild of our collective obsession with Creativity, Culture, and Tech. We understand that complex problems are best solved collaboratively, and it was time for a creative consultancy model that could foster those critical connections between people, process, and tools that drive meaningful growth for our clients
**BENEFITS:** 
 · Glue\-IQ pays 100% of Health plan premium (health, dental, vision)
 · Hybrid position
 · 401k Profit\-Sharing Plan
 · Client\-specific benefits and perks
 · Office is the heart of Coral Gables
**EQUAL OPPORTUNITY EMPLOYER** 
 GlueIQ is strongly committed to hiring a diverse staff, and believes all experiences and
 perspectives bring value to our clients. GlueIQ does not discriminate on the
 basis of race, color, gender, disability, age, religion, sexual orientation,
 national origin, ethnic origin, or any other characteristic protected by state or
 federal law.
*The above statements are intended to describe the general nature and level of work being performed. They are not to be construed as an exhaustive list of all responsibilities, duties, and skills required. All employees may be required to perform duties outside of their normal responsibilities from time to time, as needed.*</t>
        </is>
      </c>
    </row>
    <row r="141">
      <c r="A141" t="inlineStr">
        <is>
          <t>li-4281934492</t>
        </is>
      </c>
      <c r="B141" t="inlineStr">
        <is>
          <t>Senior Product Manager (Technical), AWS Game Tech</t>
        </is>
      </c>
      <c r="C141" t="inlineStr">
        <is>
          <t>Amazon Web Services (AWS)</t>
        </is>
      </c>
      <c r="D141" t="inlineStr">
        <is>
          <t>linkedin</t>
        </is>
      </c>
      <c r="E141" t="inlineStr"/>
      <c r="F141" t="inlineStr"/>
      <c r="G141" t="inlineStr">
        <is>
          <t>Seattle, WA</t>
        </is>
      </c>
      <c r="H141" t="inlineStr"/>
      <c r="I141" t="inlineStr">
        <is>
          <t>**Description**
 GameLift Servers is an AWS service that helps the world’s largest game developers deploy and scale game servers for millions of players around the world. Game developers complete against all other forms of entertainment for attention from players, and have increasingly migrated toward building “always on, live” multiplayer games since they retain and monetize players better versus single\-player experiences. A foundational component of most multiplayer games are backend game severs which bring multiple players together (either on PC, console or mobile) into the same simulated world.
 We are looking for a Sr PMT\-ES who is passionate about solving challenges in game server hosting. In this role, you will help solve the hardest challenges customers face when engaging players on a global scale: server deployment to dozens of edge locations around the world, scaling performance to 100K\+ game servers and millions of concurrent players in just minutes, leveraging their existing on\-prem capacity to form hybrid compute topologies, low player latency so that gameplay is imperceptible from local play, cost reduction levers such as Linux, Spot or Graviton, and sufficient observability to understand if end\-players are getting the desired experience at the right cost.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5\+ years of technical product management with internet business experience
* 5\+ years of working as a Technical Product Manager experience
* 3\+ years of technical (software development, network development, IT, other related) experience
* Experience in taking a product from conception \&amp; definition phase through engineering design and taking it to market
* Experience delivering large\-scale SaaS, PaaS or LaaS products where you are responsible for the full product lifecycle, from concept through GTM (go to market)
**Preferred Qualifications**
* Experience working in the gaming space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\- 152,200\.00 \- 205,900\.00 USD annually
**Company** 
 \- Amazon.com Services LLC
 Job ID: A3053594</t>
        </is>
      </c>
    </row>
    <row r="142">
      <c r="A142" t="inlineStr">
        <is>
          <t>li-4366291156</t>
        </is>
      </c>
      <c r="B142" t="inlineStr">
        <is>
          <t>Senior Staff Product Manager, QuickBooks CRM</t>
        </is>
      </c>
      <c r="C142" t="inlineStr">
        <is>
          <t>Intuit</t>
        </is>
      </c>
      <c r="D142" t="inlineStr">
        <is>
          <t>linkedin</t>
        </is>
      </c>
      <c r="E142" t="inlineStr"/>
      <c r="F142" t="inlineStr"/>
      <c r="G142" t="inlineStr">
        <is>
          <t>Atlanta, GA</t>
        </is>
      </c>
      <c r="H142" t="inlineStr"/>
      <c r="I142" t="inlineStr">
        <is>
          <t>**Overview**
 QuickBooks has built its reputation as the market\-leading financial management platform for small and mid\-market businesses (SMBs). Now, we are on a journey to transform QuickBooks from a system of record for financials into an all\-in\-one business management platform. A critical part of this strategy enabling a “lead to cash” workflow directly within QuickBooks, enabling customers to save time, save money and get a quicker path to payment. A key part of that workflow is the QuickBooks Customer Hub, our native CRM solution. The Quickbooks Customer Hub (CRM) team delivers on the core customer benefit of helping customers grow their revenue by helping them get more leads/opportunities, manage those leads and opportunities, win the work and manage long\-term customer relationships within the platform.
 As Senior Staff Product Manager, you’ll drive our domain model, help steer the team’s strategy, and lead the way for other teams in the ecosystem for solve sales and customer lifecycle\-related customer problem. You’ll solve for multiple personas within this role and drive high impact even with changes with the surfaces you’ll own. You will also help drive growth for the overarching Customer Hub product.
 You’re the perfect fit for this role if you like to find ways of delivering massive customer benefits that add business value while surprising and delighting new users. Come join our tight knit family of 6 sharp product managers, 6 brilliantly creative designers, and 30\+ kick\-ass engineers and deliver the most impactful work of your career!
 What’s special about this role?
 Do you live for making a huge impact on people’s lives? Over half of small business fail within their first year and we’re on a mission to help the little guy get ahead. Come join the Quickbooks CRM team and help us drive 2X revenue growth for Small Businesses around the world.
 As Senior Staff PM, you’ll be responsible for critical core features of the new CRM Offering:
* Help Small Businesses manage their sales and customers workflows through Customer Hub, a new 0 to 1 CRM capability within QuickBooks
* Drive and evolve our CRM Domain model include different objects required to execute on a successful lead to cash offering
* Integrate with other Intuit capability teams to bring to life a holistic e2e “Lead to Cash” offering for SMBs
* Work with an amazing team of builder\-focused engineers to rapidly iterate on the core product experience to get to product market fit
* Dry test your experiences and concepts on a base of millions of users eager for more customer management capabilities
**Responsibilities**
* Build a local strategy that helps leverages Intuit capabilities to differentiate, drives excitement across the organization and rallies partner teams around your mission. (Think data driven product management and masterful storytelling \&amp; communication)
* Design and bring to market revenue generating, customer\-driven software products
* Identify market opportunities through customer research and insights
* Prioritize customer needs and develop product roadmaps to deliver on meeting customer expectations
* Lead, create and launch market\-leading product offerings in partnership with sales, marketing, engineering, user experience and support
* Working closely design partners to conduct customer research and craft experiments to test leap of faith assumptions before investing in full builds.
* Leveraging user data to streamline their workflows through AI lead scoring and relationship/sales insights. (Think ML/AI and personalization capabilities)
* Work with customers to create an innovative solution to the core workflow management problem that service\-based SMBs face. (Think design thinking, user research, and product scale)
* Work with a full stack engineering team driving technical advancement and run the business tracks of work.
* Own the product lifecycle from requirements gathering through production and release
* Build products that deliver great customer experiences
* Focus on growth hacking, achieving product\-market fit, and building growth loops for QuickBooks Online
**Qualifications**
* 8\+ years designing and delivering world\-class software products in a Product Management role
* Demonstrated experience managing the end\-to\-end product lifecycle for consumer or enterprise offerings
* Ability to develop and execute a successful product roadmap
* Experience with Agile development and methodologies
* Proven expertise leading cross\-functional teams that together launch on\-time and on\-budget desktop, web or mobile software product offerings
* Strong project management skills, including the ability to think and lead complex projects simultaneously
* Successful history of delivering customer\-driven products designed to create a great customer experience
* Strong A/B Testing and Data\-Driven product management skills
* BS or BA Degree preferred or equivalent work experience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California:$196,500\-266,000
 New York City, New York: $195,000\-264,000</t>
        </is>
      </c>
    </row>
    <row r="143">
      <c r="A143" t="inlineStr">
        <is>
          <t>li-4373966757</t>
        </is>
      </c>
      <c r="B143" t="inlineStr">
        <is>
          <t>Sr. Technical Program Manager</t>
        </is>
      </c>
      <c r="C143" t="inlineStr">
        <is>
          <t>Lensa</t>
        </is>
      </c>
      <c r="D143" t="inlineStr">
        <is>
          <t>linkedin</t>
        </is>
      </c>
      <c r="E143" t="inlineStr"/>
      <c r="F143" t="inlineStr"/>
      <c r="G143" t="inlineStr">
        <is>
          <t>Los Angeles, CA</t>
        </is>
      </c>
      <c r="H143" t="inlineStr"/>
      <c r="I14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What You’ll Do
* Own the end to end delivery of multiple concurrent technical programs, ensuring initiatives are well planned, funded, and delivered on schedule
* Develop and maintain integrated program roadmaps aligned to business and technology objectives
* Lead cross functional planning and execution across engineering, product, infrastructure, and business teams
* Coordinate milestones, dependencies, risks, and resource needs across multiple teams and workstreams
* Establish operating rhythms including status reporting, executive readouts, risk reviews, and stakeholder communications
* Own program budgets, forecasts, and financial reporting with a focus on transparency and accountability
* Provide clear, timely communication to senior leadership to support informed decision making and issue escalation
* Partner with senior leaders to align teams around shared goals and measurable outcomes
* Continuously identify and implement improvements to delivery processes, planning practices, and cross team collaboration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HR@insightglobal.com.To learn more about how we collect, keep, and process your private information, please review Insight Global's Workforce Privacy Policy: https://insightglobal.com/workforce\-privacy\-policy/.
**Skills And Requirements**
 What We’re Looking For
* 7 or more years of experience in Technical Program Management or Program Management within a technology environment
* Proven experience leading large, complex, cross\-team programs with multiple dependencies
* Strong planning and execution discipline with the ability to bring structure to ambiguous environments
* High level of technical fluency and the ability to work effectively with engineering, architecture, and platform teams
* Experience presenting program status, risks, and recommendations to senior leadership and executive stakeholders
* Demonstrated experience managing program budgets, forecasting, and financial tracking
* Highly organized, results oriented, and detail focused
* Clear, proactive communicator capable of translating complex technical concepts for diverse audiences
* Familiarity with Agile delivery methodologies such as Scrum or Kanban and experience working in iterative development environments
* Familiarity with tools such as Jira, Confluence, Azure DevOps, or similar program and delivery platforms Nice to Have
* Background in custom software development with familiarity across the full software development lifecycle
* Experience supporting engineering, platform, or digital product organizations
* Experience working in large scale enterprise environments such as travel, hospitality, ecommerce, or entertainment
 If you have questions about this posting, please contact support@lensa.com</t>
        </is>
      </c>
    </row>
    <row r="144">
      <c r="A144" t="inlineStr">
        <is>
          <t>li-4373972254</t>
        </is>
      </c>
      <c r="B144" t="inlineStr">
        <is>
          <t>IC6 Product Manager - Core DB Security</t>
        </is>
      </c>
      <c r="C144" t="inlineStr">
        <is>
          <t>Lensa</t>
        </is>
      </c>
      <c r="D144" t="inlineStr">
        <is>
          <t>linkedin</t>
        </is>
      </c>
      <c r="E144" t="inlineStr"/>
      <c r="F144" t="inlineStr"/>
      <c r="G144" t="inlineStr">
        <is>
          <t>Oklahoma City, OK</t>
        </is>
      </c>
      <c r="H144" t="inlineStr"/>
      <c r="I14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**Job Description**
 We are seeking an experienced Product Manager to own the strategy, roadmap, and execution for
 **core database security capabilities** 
 across enterprise and cloud environments. In this role, you will drive product direction for secure connectivity, authentication integrations, and cryptography\-related requirements that are foundational to protecting customer data at scale.
 This is a highly technical PM role suited for someone with a
 **strong database administration background** 
 who can translate deep security and infrastructure concepts into clear product requirements and customer value. You will work closely with engineering, security, architecture, and field teams to deliver secure, compliant, and scalable database security solutions.
**Must\-Have Background \&amp; Skills**
* Database administration experience:
* 3\+ years of hands\-on experience as a working DBA
* Strong understanding of database fundamentals, operations, and real\-world customer environments
* Cryptography fundamentals:
* Working knowledge of TLS/SSL, common cryptographic algorithms, and FIPS concepts/compliance
* Authentication fundamentals:
* Solid understanding of enterprise authentication and authorization concepts, including Kerberos, PKI/certificates, and RADIUS
* Ability to communicate complex technical concepts clearly to both technical and non\-technical audiences
* Strong product thinking with the ability to prioritize and execute in a complex, highly technical space
**Nice\-to\-Have Experience**
* Familiarity with modern cloud identity and authentication patterns , such as OAuth 2\.0 and OpenID Connect (OIDC)
* Experience integrating with enterprise identity providers (e.g., Microsoft Entra ID or similar)
* Background working with security, compliance, or infrastructure\-focused products
* Experience supporting both on\-prem and cloud\-based enterprise customers
**Why This Role**
* Own foundational security capabilities that protect customer data at enterprise scale
* Work on technically deep, high\-impact problems at the intersection of databases, security, and cloud
* Partner with experienced engineering and security teams in a highly visible product area
* Opportunity to shape long\-term database security strategy across cloud and enterprise environments
**Responsibilities**
**What You’ll Do**
* Own the product vision, roadmap, and execution for database security capabilities, including secure connectivity, authentication, and cryptographic features
* Partner closely with engineering to define requirements, prioritize backlogs, and deliver high\-quality, secure features
* Translate customer, regulatory, and operational security needs into clear product requirements
* Drive alignment across stakeholders including security, cloud infrastructure, compliance, and customer\-facing teams
* Ensure products meet enterprise security expectations and compliance requirements (e.g., FIPS\-related considerations)
* Act as the subject matter expert for database security topics, supporting internal teams and strategic customer discussions
* Balance usability, performance, and security in product decisions across on\-prem and cloud deployments
**Disclaimer**
**Certain US customer or client\-facing roles may be required to comply with applicable requirements, such as immunization and occupational health mandates.**
 Oracle uses Artificial Intelligence in our recruiting process. Read more about it in our Recruiting Privacy Policy (https://www.oracle.com/legal/privacy/recruiting\-privacy\-policy/) .
**Range and benefit information provided in this posting are specific to the stated locations only**
 CA: Hiring Range in CAD from: $136,900 to $224,900 per annum.
 US: Hiring Range in USD from: $139,400 to $291,800 per annum.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IC6
 Vacancy Type \- New Position
 This role will be working on a regular basis with colleagues around the world. To support this collaboration, knowledge of English is required for this role. Proficiency in French is required for candidates residing in Quebec, otherwise it is considered an asset.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145">
      <c r="A145" t="inlineStr">
        <is>
          <t>li-4373991091</t>
        </is>
      </c>
      <c r="B145" t="inlineStr">
        <is>
          <t>Senior Program Manager - REMOTE</t>
        </is>
      </c>
      <c r="C145" t="inlineStr">
        <is>
          <t>Jobgether</t>
        </is>
      </c>
      <c r="D145" t="inlineStr">
        <is>
          <t>linkedin</t>
        </is>
      </c>
      <c r="E145" t="inlineStr"/>
      <c r="F145" t="inlineStr"/>
      <c r="G145" t="inlineStr">
        <is>
          <t>Illinois, United States</t>
        </is>
      </c>
      <c r="H145" t="inlineStr"/>
      <c r="I145" t="inlineStr">
        <is>
          <t>This position is posted by Jobgether on behalf of a partner company. We are currently looking for a Principal Technical Program Manager. In this role, you will shape the future of project initiatives at our partner's organization, bringing clarity to complex challenges while collaborating with diverse teams. Your leadership will guide engineering and product teams to drive innovation and operational maturity, directly influencing the strategic direction of advanced technologies. As you work on high\-impact programs, your contributions will enhance workflows and integrate AI capabilities, fostering a culture of excellence and creativity within the framework of ongoing transformations. Your presence in this role is vital for cultivating strong partnerships and ensuring program success across the board.
**Accountabilities**
* Define and drive strategic initiatives and technical investments across multiple engineering teams.
* Collaborate with leaders and cross\-functional partners to translate business objectives into clear technical programs.
* Serve as the connective tissue across engineering, product, design, operations, and customer support.
* Partner with engineering and technical leaders to influence architectural direction and identify risks.
* Lead program execution from concept through delivery while anticipating risks and enabling teams.
* Drive process improvements that enhance visibility and strengthen platform reliability.
* Champion AI adoption by identifying opportunities to incorporate AI into products and workflows.
* Mentor TPMs and other program leaders, sharing best practices to scale program leadership.
**Requirements**
* 8\+ years of Technical Program Management experience in complex, multi\-team engineering initiatives.
* Strong technical fluency across modern engineering practices and software development lifecycle.
* Demonstrated ability to partner with engineering leaders to influence technical strategy.
* Proven track record of driving clarity and alignment in high\-ambiguity environments.
* Skilled at translating ambiguous requirements into structured, measurable programs.
* Exceptional communication skills to engage senior leaders confidently and concisely.
* Experience using AI tools to accelerate productivity and decision\-making processes.
**Benefits**
* Competitive base salary and eligibility for equity awards.
* Flexible work environment with remote work options.
* Opportunities for professional growth and mentorship.
* Inclusive company culture that values diverse experiences and perspectives.
* Access to the latest tools and technologies to enhance work efficiency.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6">
      <c r="A146" t="inlineStr">
        <is>
          <t>li-4373982317</t>
        </is>
      </c>
      <c r="B146" t="inlineStr">
        <is>
          <t>Sr. Technical Program Manager (Remote)</t>
        </is>
      </c>
      <c r="C146" t="inlineStr">
        <is>
          <t>Jobgether</t>
        </is>
      </c>
      <c r="D146" t="inlineStr">
        <is>
          <t>linkedin</t>
        </is>
      </c>
      <c r="E146" t="inlineStr"/>
      <c r="F146" t="inlineStr"/>
      <c r="G146" t="inlineStr">
        <is>
          <t>Michigan, United States</t>
        </is>
      </c>
      <c r="H146" t="inlineStr"/>
      <c r="I146" t="inlineStr">
        <is>
          <t>This position is posted by Jobgether on behalf of a partner company. We are currently looking for a Principal Technical Program Manager. In this role, you will shape the future of project initiatives at our partner's organization, bringing clarity to complex challenges while collaborating with diverse teams. Your leadership will guide engineering and product teams to drive innovation and operational maturity, directly influencing the strategic direction of advanced technologies. As you work on high\-impact programs, your contributions will enhance workflows and integrate AI capabilities, fostering a culture of excellence and creativity within the framework of ongoing transformations. Your presence in this role is vital for cultivating strong partnerships and ensuring program success across the board.
**Accountabilities**
* Define and drive strategic initiatives and technical investments across multiple engineering teams.
* Collaborate with leaders and cross\-functional partners to translate business objectives into clear technical programs.
* Serve as the connective tissue across engineering, product, design, operations, and customer support.
* Partner with engineering and technical leaders to influence architectural direction and identify risks.
* Lead program execution from concept through delivery while anticipating risks and enabling teams.
* Drive process improvements that enhance visibility and strengthen platform reliability.
* Champion AI adoption by identifying opportunities to incorporate AI into products and workflows.
* Mentor TPMs and other program leaders, sharing best practices to scale program leadership.
**Requirements**
* 8\+ years of Technical Program Management experience in complex, multi\-team engineering initiatives.
* Strong technical fluency across modern engineering practices and software development lifecycle.
* Demonstrated ability to partner with engineering leaders to influence technical strategy.
* Proven track record of driving clarity and alignment in high\-ambiguity environments.
* Skilled at translating ambiguous requirements into structured, measurable programs.
* Exceptional communication skills to engage senior leaders confidently and concisely.
* Experience using AI tools to accelerate productivity and decision\-making processes.
**Benefits**
* Competitive base salary and eligibility for equity awards.
* Flexible work environment with remote work options.
* Opportunities for professional growth and mentorship.
* Inclusive company culture that values diverse experiences and perspectives.
* Access to the latest tools and technologies to enhance work efficiency.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7">
      <c r="A147" t="inlineStr">
        <is>
          <t>li-4373980326</t>
        </is>
      </c>
      <c r="B147" t="inlineStr">
        <is>
          <t>Sr. Technical Program Manager - REMOTE</t>
        </is>
      </c>
      <c r="C147" t="inlineStr">
        <is>
          <t>Jobgether</t>
        </is>
      </c>
      <c r="D147" t="inlineStr">
        <is>
          <t>linkedin</t>
        </is>
      </c>
      <c r="E147" t="inlineStr"/>
      <c r="F147" t="inlineStr"/>
      <c r="G147" t="inlineStr">
        <is>
          <t>California, United States</t>
        </is>
      </c>
      <c r="H147" t="inlineStr"/>
      <c r="I147" t="inlineStr">
        <is>
          <t>This position is posted by Jobgether on behalf of a partner company. We are currently looking for a Principal Technical Program Manager. In this role, you will shape the future of project initiatives at our partner's organization, bringing clarity to complex challenges while collaborating with diverse teams. Your leadership will guide engineering and product teams to drive innovation and operational maturity, directly influencing the strategic direction of advanced technologies. As you work on high\-impact programs, your contributions will enhance workflows and integrate AI capabilities, fostering a culture of excellence and creativity within the framework of ongoing transformations. Your presence in this role is vital for cultivating strong partnerships and ensuring program success across the board.
**Accountabilities**
* Define and drive strategic initiatives and technical investments across multiple engineering teams.
* Collaborate with leaders and cross\-functional partners to translate business objectives into clear technical programs.
* Serve as the connective tissue across engineering, product, design, operations, and customer support.
* Partner with engineering and technical leaders to influence architectural direction and identify risks.
* Lead program execution from concept through delivery while anticipating risks and enabling teams.
* Drive process improvements that enhance visibility and strengthen platform reliability.
* Champion AI adoption by identifying opportunities to incorporate AI into products and workflows.
* Mentor TPMs and other program leaders, sharing best practices to scale program leadership.
**Requirements**
* 8\+ years of Technical Program Management experience in complex, multi\-team engineering initiatives.
* Strong technical fluency across modern engineering practices and software development lifecycle.
* Demonstrated ability to partner with engineering leaders to influence technical strategy.
* Proven track record of driving clarity and alignment in high\-ambiguity environments.
* Skilled at translating ambiguous requirements into structured, measurable programs.
* Exceptional communication skills to engage senior leaders confidently and concisely.
* Experience using AI tools to accelerate productivity and decision\-making processes.
**Benefits**
* Competitive base salary and eligibility for equity awards.
* Flexible work environment with remote work options.
* Opportunities for professional growth and mentorship.
* Inclusive company culture that values diverse experiences and perspectives.
* Access to the latest tools and technologies to enhance work efficiency.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8">
      <c r="A148" t="inlineStr">
        <is>
          <t>li-4371035968</t>
        </is>
      </c>
      <c r="B148" t="inlineStr">
        <is>
          <t>Program Manager</t>
        </is>
      </c>
      <c r="C148" t="inlineStr">
        <is>
          <t>Tyto Athene, LLC</t>
        </is>
      </c>
      <c r="D148" t="inlineStr">
        <is>
          <t>linkedin</t>
        </is>
      </c>
      <c r="E148" t="inlineStr"/>
      <c r="F148" t="inlineStr"/>
      <c r="G148" t="inlineStr">
        <is>
          <t>Ashburn, VA</t>
        </is>
      </c>
      <c r="H148" t="inlineStr"/>
      <c r="I148" t="inlineStr">
        <is>
          <t>Tyto Athene is searching is seeking a
 **Program Manager** 
 to support a law enforcement customer in Ashburn, VA.
**Responsibilities:** 
* Manage scope, schedule, cost, technical, and staffing performance and activities on major, complex contracts to ensure timely and quality delivery of services to the client; contracts may include task areas that require 24x7x365 support.
* Manage subcontractors to ensure their strict adherence to Tyto and client standards of quality and performance; provide a “one team” view to the client
* Formulate and enforce work standards, assign staff work schedules, and review and resolve work discrepancies
* Ensure timely, complete, high\-quality contract deliverables; ensure SLAs are met or exceeded 100% of the time
* Select and provide metrics and dashboards to make program status and performance visible to the client and other stakeholders
* Interface with client’s senior management personnel, including briefings up to CIO/CISO level
* Optimize processes to maximize efficiencies within the team and program, including process automation and functional integration across task areas and teams
* Be a positive change agent, both within and outside the organization; propagate our corporate culture throughout the program
* Lead risk management activities, including identification and recommended mitigations; track and manage risks and issues through closure
* Build, grow, and develop high\-performing teams aligned with the customer’s mission and strategy
* Manage program personnel to include interviewing, hiring, performance evaluations, compensation, and training and development
* Guide and mentor lower\-level managers, team leads, and staff
* Occasional travel to various program sites to ensure sound program execution may be necessary
* Must have the ability to work in a dynamic environment and flexibly adapt to changing conditions
* Possess a high degree of originality, creativity, and initiative requiring minimal supervision
**Required:** 
* Minimum of seven (7\) years of direct project and program management experience delivering information systems or computer network support services.
* Bachelor’s degree in Computer Science, Engineering, Information Technology, Cybersecurity, or related field.
* Active Project Management Professional (PMP) certification.
* Active ISC2 Certified Information Systems Security Professional (CISSP) certification.
* Demonstrated expertise in analyzing complex cybersecurity issues and leading technical and programmatic teams to resolution.
* Strong leadership, communication, and stakeholder\-engagement skills; ability to serve as the contractor’s primary interface with CBP.
**Desired:** 
* Master's Degree
* Agile experience and certifications are a plus
* CISSP and/or other relevant IT certifications are a plus
**Clearance:** 
* TS/SCI Clearance required
**Location:** 
* Ashburn, VA</t>
        </is>
      </c>
    </row>
    <row r="149">
      <c r="A149" t="inlineStr">
        <is>
          <t>li-4330533061</t>
        </is>
      </c>
      <c r="B149" t="inlineStr">
        <is>
          <t>Staff Product Manager, Agentic Systems</t>
        </is>
      </c>
      <c r="C149" t="inlineStr">
        <is>
          <t>Recursion</t>
        </is>
      </c>
      <c r="D149" t="inlineStr">
        <is>
          <t>linkedin</t>
        </is>
      </c>
      <c r="E149" t="inlineStr"/>
      <c r="F149" t="inlineStr"/>
      <c r="G149" t="inlineStr">
        <is>
          <t>Salt Lake City, UT</t>
        </is>
      </c>
      <c r="H149" t="inlineStr"/>
      <c r="I149" t="inlineStr">
        <is>
          <t>Your work will change lives. Including your own.
**The Impact You’ll Make**
 Recursion is leading an era of
 **autonomous science** 
 – an adaptable system where AI agents navigate the complexity of biology and chemistry to discover medicines faster and better.
 As the Staff Product Manager for Agentic Systems, you will define the technical and scientific capabilities required for our next suite of capabilities. You will sit at the intersection of our massive proprietary data generation engine and our cutting\-edge AI models, building the "nervous system" that allows agents to reason, plan, and execute experiments in our automated labs.
 This role is not about maintaining a static roadmap; it is about navigating the frontier of a rapidly evolving field. You will partner with engineering leadership to solve a critical challenge: How do we prioritize the next autonomous science capabilities with the most impact on our drug discovery pipeline, while the definition of "best practices" for AI agents changes monthly? You will balance the need for durable, scalable orchestration infrastructure with the critical need for cycles of experimentation, ensuring we learn fast, validate agent architectures, and avoid cementing solutions before we understand the problem space.
**In This Role, You Will**
* Define the Architecture for Autonomy: Partner with engineering leadership to scope and build the systems that connect our in silico models (the "brain") with our physical automated labs (the "body"), enabling closed\-loop, autonomous discovery.
* Drive Hypothesis\-Driven Product Development: Lead cycles of experimentation to test different agentic frameworks. You will embrace ambiguity, helping the team decide when to build durable shared services and when to build rapid, throw\-away prototypes to learn what works.
* Operate as a Translator: Bridge the gap between "wet lab" realities and "dry lab" possibilities. You will translate the needs of drug discovery programs into technical requirements for agent reasoning, ensuring our systems optimize for information gain rather than just volume.
* Evangelize the "Human\-in\-the\-loop" Evolution: Work with scientific stakeholders to define interfaces where humans review, validate, and shape agent reasoning, ensuring our scientists evolve from "operators" to "architects" of discovery.
**The Team You’ll Join**
 You will join a cross\-functional team of software engineers, data scientists, and AI/ML scientists who build the technical bedrock that enables autonomous science, including agent orchestration, guardrails, and the connectivity between our digital and physical assets. You will collaborate closely with the Discovery teams (the users of these agents), the AI Research teams (who build cutting\-edge models), and our automated biology and chemistry lab teams (who generate the data that feeds into the models).
**The Experience You’ll Need**
* Navigating Ambiguity in Technical Products: 5\+ years of product management experience, with a focus on platform, infrastructure, or AI/ML products where the technical solution was not immediately obvious.
* Experimentation\-First Mindset: A proven track record of managing products through rapid prototyping cycles. You understand the difference between "building to last" and "building to learn," and you know when to apply each strategy.
* Technical Fluency in Modern AI: While you don't need to be an engineer, you must be fluent in the concepts of LLMs, agentic workflows, APIs, and modern data infrastructure. You can hold your own in a debate about orchestration architectures.
* Systems Thinking: The ability to visualize complex ecosystems. You can see how a change in a lab protocol impacts an agent's decision\-making ability three steps downstream.
* Communication \&amp; Influence: Strong written and oral skills to align diverse stakeholders (PhDs in Biology, Robotics Engineers, AI Researchers) around a unified technical vision.
**Working Location \&amp; Compensation:**
 This is an office\-based, hybrid position at one of our offices in either
 **Salt Lake City, Utah or New York City, New York** 
 . Employees are expected to work in the office at least 50% of the time.
 At Recursion, we believe that every employee should be compensated fairly. Based on the skill and level of experience required for this role, the estimated current annual base range for this role is
 **$141,400 \- $204,800\.** 
 You will also be eligible for an annual bonus and equity compensation, as well as a comprehensive benefits package.
**The Values We Hope You Share**
* We act boldly with integrity. We are unconstrained in our thinking, take calculated risks, and push boundaries, but never at the expense of ethics, science, or trust.
* We care deeply and engage directly. Caring means holding a deep sense of responsibility and respect \- showing up, speaking honestly, and taking action.
* We learn actively and adapt rapidly. Progress comes from doing. We experiment, test, and refine, embracing iteration over perfection.
* We move with urgency because patients are waiting. Speed isn’t about rushing but about moving the needle every day.
* We take ownership and accountability. Through ownership and accountability, we enable trust and autonomy—leaders take accountability for decisive action, and teams own outcomes together.
* We are One Recursion. True cross\-functional collaboration is about trust, clarity, humility, and impact. Through sharing, we can be greater than the sum of our individual capabilities.
 Our values underpin the employee experience at Recursion. They are the character and personality of the company demonstrated through how we communicate, support one another, spend our time, make decisions, and celebrate collectively.
**More About Recursion**
 Recursion (NASDAQ: RXRX) is a clinical stage TechBio company leading the space by decoding biology to radically improve lives. Enabling its mission is the Recursion OS, a platform built across diverse technologies that continuously generate one of the world’s largest proprietary biological and chemical datasets. Recursion leverages sophisticated machine\-learning algorithms to distill from its dataset a collection of trillions of searchable relationships across biology and chemistry unconstrained by human bias. By commanding massive experimental scale — up to millions of wet lab experiments weekly — and massive computational scale — owning and operating one of the most powerful supercomputers in the world, Recursion is uniting technology, biology and chemistry to advance the future of medicine.
 Recursion is headquartered in Salt Lake City, where it is a founding member of BioHive, the Utah life sciences industry collective. Recursion also has offices in Toronto, Montréal, New York, London, Oxford area, and the San Francisco Bay area. Learn more at www.Recursion.com, or connect on X (formerly Twitter) and LinkedIn.
 Recursion is an Equal Opportunity Employer. All qualified applicants will receive consideration for employment without regard to race, color, religion, sex, sexual orientation, gender identity, national origin, age, disability, veteran status, or any other characteristic protected under applicable federal, state, local, or provincial human rights legislation.
 Accommodations are available on request for candidates taking part in all aspects of the selection process.
 Recruitment \&amp; Staffing Agencies: Recursion Pharmaceuticals and its affiliate companies do not accept resumes from any source other than candidates. The submission of resumes by recruitment or staffing agencies to Recursion or its employees is strictly prohibited unless contacted directly by Recursion’s internal Talent Acquisition team. Any resume submitted by an agency in the absence of a signed agreement will automatically become the property of Recursion, and Recursion will not owe any referral or other fees. Our team will communicate directly with candidates who are not represented by an agent or intermediary unless otherwise agreed to prior to interviewing for the job.</t>
        </is>
      </c>
    </row>
    <row r="150">
      <c r="A150" t="inlineStr">
        <is>
          <t>li-4372869280</t>
        </is>
      </c>
      <c r="B150" t="inlineStr">
        <is>
          <t>Vendor Services Program Manager</t>
        </is>
      </c>
      <c r="C150" t="inlineStr">
        <is>
          <t>RemoteHunter</t>
        </is>
      </c>
      <c r="D150" t="inlineStr">
        <is>
          <t>linkedin</t>
        </is>
      </c>
      <c r="E150" t="inlineStr"/>
      <c r="F150" t="inlineStr"/>
      <c r="G150" t="inlineStr"/>
      <c r="H150" t="inlineStr"/>
      <c r="I150" t="inlineStr">
        <is>
          <t>About the Opportunity:
 The organization is a safety technology platform connecting cities, law enforcement, businesses, schools, and neighborhoods through a public\-private safety network. The Vendor Services Program Manager will drive efficiency, cost, and quality improvements across a rapidly growing vendor network while addressing complex operational challenges. This role requires leadership with strong ownership and a bias for action, managing detailed operations and strategic improvements across multiple stakeholders.
 Responsibilities:
 • Identify opportunities to improve operational workflows for better customer outcomes and cost reduction.
 • Maintain high standards for vendors to deliver efficient, quality results.
 • Collaborate with internal and external stakeholders to address complex product delivery issues.
 • Analyze data and develop reports to drive cost improvements across third\-party vendors.
 Requirements:
 • 5\+ years of experience in high\-growth, ambiguous, yet operationally rigorous environments.
 • Proven leadership and communication skills to collaborate across teams, influence stakeholders, and build consensus.
 • Strong operational insight to identify process deficiencies and implement scalable improvements.
 • High ownership mentality with willingness to address any problem and own outcomes.
 • Bias for action with ability to launch, test, and iterate solutions quickly.
 • Data\-driven with skills to analyze data and derive actionable insights.
 Compensation:
 • Salary range $110,000\-150,000 plus stock options.
 • Starting compensation typically around the midpoint of the salary range based on demonstrated competencies and relevant experience.
 • Upper half of compensation bands generally reserved for internal growth.
 • Exact starting salary clarified during the first interview with a recruiter.
 Benefits \&amp; Perks:
 • Flexible non\-accrual PTO plus 11 company holidays.
 • Fully\-paid health benefits including Medical, Dental, Vision, and HSA match.
 • 12 weeks of 100% paid parental leave; additional 6\-8 weeks physical recovery for birthing parents.
 • Fertility and family benefits through partnership with a digital provider.
 Location:
 • Preference for candidates in key hubs: Atlanta, Austin, Boston, Chicago, Denver, Los Angeles, New York City, San Francisco.
 • Remote work is embraced, welcoming exceptional talent nationwide.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51">
      <c r="A151" t="inlineStr">
        <is>
          <t>li-4367007510</t>
        </is>
      </c>
      <c r="B151" t="inlineStr">
        <is>
          <t>Program Manager - Aerospace and Defense</t>
        </is>
      </c>
      <c r="C151" t="inlineStr">
        <is>
          <t>Frontgrade Technologies</t>
        </is>
      </c>
      <c r="D151" t="inlineStr">
        <is>
          <t>linkedin</t>
        </is>
      </c>
      <c r="E151" t="inlineStr"/>
      <c r="F151" t="inlineStr"/>
      <c r="G151" t="inlineStr">
        <is>
          <t>Exeter, NH</t>
        </is>
      </c>
      <c r="H151" t="inlineStr"/>
      <c r="I151" t="inlineStr">
        <is>
          <t>For more than six decades, the skilled thinkers, makers, and doers at Frontgrade have embraced our mission to solve complex technology challenges across the U.S. and around the globe.
 We’re the leading provider of high reliability and radiation assured solutions for defense, space, intelligence, commercial, and civil applications, and our products are designed to perform in the harshest of environments. From human spaceflight and space exploration to missile defense, electronic warfare, and healthcare tech advancements, our talented team stays in lockstep with our customers to ensure the success of their missions.
 Do you want to help shape the future? In an environment where innovation and ideas go hand\-in\-hand? Then come join the Frontgrade Team!
**Why Work For Us**
 We take care of our people and provide competitive health, wealth and wellbeing benefits – from day one. You’ll also discover learning and development opportunities so you can take your career to the next level – and beyond.
**Other benefits include:**
* Competitive Benefits: Medical (FSA \+ HSA), Dental, and Vision
* Immediate 401K Vesting/Matching
* Career Opportunity and Growth
* Tuition Reimbursement
* Student Loan Repayment
* Generous PTO and 11 paid Holidays per year (8 regular and 3 floating)
* 8 weeks of 100% Paid Family Leave
* Profit Sharing Plan applies to all non\-Annual Incentive Plan and non\-Sales Incentive Plan employees.
**Overview**
 The Program Manager III manages the overall execution of the project and coordination of the project team by communicating with stakeholders, managing project reporting on deliverables, supporting project delivery and aligning with the company’s overall goals.
**Responsibilities**
**KEY RESPONSIBILITIES**
* Defines the objectives and strategies of the program or projects, to include strategic and company objectives consistent with customer and contractual requirements.
* Develops and implements effective customer communications plans to provide timely communications, represent the voice of customer, build customer relationships, define customer objectives, and manage customer satisfaction.
* Controls the timely start and completion of program tasks to assure fulfillment of program cost and schedule objectives.
* Ensure that all project deliverables and timing are met
* Administer the project risk management process and prepare risk management plans
* Review project schedules with functional project managers and project coordinators allocated to projects
* Coordinate and support program delivery and processes
* Manage project reporting on project accomplishments, deliverables, and milestones against project drivers
* Coordinate each project within the program to ensure that objectives are achieved
* Communicate project status to project participants and stakeholders accurately and on time
* Communicate with the customers and the project team, and conduct project meetings
**Qualifications**
**QUALIFICATIONS \&amp; EXPERIENCE**
* Minimum five (5\) years of experience in a specialized functional discipline. OR (9\) years of experience may be considered in lieu of a Bachelors Degree. OR (3\) years of experience may be considered w/ a Masters Degree.
* Business / Commerce (Bachelor's degree) or Engineering (Bachelor's degree) or Related Field of Study (Bachelor's degree)
* Applicable experience in lieu of a Degree may be considered.
**Additional Information**
* This position requires access to technology, materials, software or hardware that is controlled by either ITAR or EAR U.S. export laws. As a condition to this job offer, in order to be employed in this position, you must be able to obtain an U.S. Government export license(s), as required by law.
* Pay Range: $101,200 \- $126,500 annually. Applicable pay within the posted range may vary based on factors including, but not limited to, geographical location, job function of the position, education, and experience of the successful candidate.
**WE ARE AN EQUAL OPPORTUNITY EMPLOYER**
 We welcome differences and celebrate new ideas. We believe the diversity of our people inspires our creativity and drives our innovation. Everyone is welcome here, regardless of race, color, religion, sex, sexual orientation, gender identity, national origin, age, disability, protected veteran status, or genetic information.
 We are committed to working with and providing reasonable accommodations to individuals with disabilities. If you need a reasonable accommodation due to a disability for any part of the employment process, please email Careers@Frontgrade.com.
 If you have relevant skills that are not reflected in your resume, we welcome your application and encourage you to share more in an optional cover letter or to join our Talent Community Connect Portal \- Connect (icims.com).</t>
        </is>
      </c>
    </row>
    <row r="152">
      <c r="A152" t="inlineStr">
        <is>
          <t>li-4366296841</t>
        </is>
      </c>
      <c r="B152" t="inlineStr">
        <is>
          <t>Technical Program Manager, Vehicle System Integration</t>
        </is>
      </c>
      <c r="C152" t="inlineStr">
        <is>
          <t>ALTEN Technology USA</t>
        </is>
      </c>
      <c r="D152" t="inlineStr">
        <is>
          <t>linkedin</t>
        </is>
      </c>
      <c r="E152" t="inlineStr"/>
      <c r="F152" t="inlineStr"/>
      <c r="G152" t="inlineStr">
        <is>
          <t>Foster City, CA</t>
        </is>
      </c>
      <c r="H152" t="inlineStr"/>
      <c r="I152" t="inlineStr">
        <is>
          <t>We’re ALTEN Technology USA, an engineering company helping clients bring groundbreaking ideas to life—from advancing space exploration and life\-saving medical devices to building autonomous electric vehicles. With 3,000\+ experts across North America, we partner with leading companies in aerospace, medical devices, robotics, automotive, commercial vehicles, EVs, rail, and more.
 As part of the global ALTEN Group—57,000\+ engineers in 30 countries—we deliver across the entire product development cycle, from consulting to full project outsourcing.
 When you join ALTEN Technology USA, you’ll collaborate on some of the world’s toughest engineering challenges, supported by mentorship, career growth opportunities, and comprehensive benefits. We take pride in fostering a culture where employees feel valued, supported, and inspired to grow.
 The Vehicle System Integration team delivers the system design and electrical architectures required to achieve a high level of system reliability for our autonomous vehicles.
 As the Technical Program Manager (TPM) for Vehicle System Integration, you will develop actionable E/E system design roadmaps using our configuration management tools. You will identify execution workloads, align timelines with cross\-functional stakeholders, and proactively unblock technical teams by identifying roadblocks related to timing, resources, or missing inputs. You will drive issue reconciliation and support task owners through the execution phase, providing consistent visibility via weekly program management forums. This is a highly cross\-functional role requiring seamless communication between Firmware, Hardware, Product, and Mission Planning teams to ensure integrated systems are delivered on time and to specification. A key objective of this role is to propagate lessons learned across these teams to drive efficiency in subsequent development phases.
 Responsibilities:
* Lead the Vehicle System Integration and Electrical Architecture timing plan and delivery ensuring alignment across hardware requirements, software/firmware stakeholder needs, and system validation milestones.
* Translate top\-down corporate milestones into detailed E/E product roadmaps, technical timelines, and actionable deliverables.
* Work closely with technical leads, component owners, and other program managers to ensure the E/E system design aligns with component development plans and supports V\&amp;V (Verification and Validation) activities.
* Maintain critical electrical system design documents, plans and asset controls; drive communication channels that ensure every team member understands their specific delivery requirements.
* Proactively identify, raise awareness of, and escalate risks to delivery. Partner with the PMO, Safety, and Manufacturing teams to drive accountability and ensure goals are met.
* Facilitate technical and non\-technical discussions to align team perspectives; support the development of options matrices to help the cross\-functional team make informed, data\-driven decisions.
* Provide concise, high\-impact communications to key stakeholders regarding program status, risks, and accomplishments via written reports and presentations.
* Establish a disciplined business and meeting cadence, ensuring focused agendas for critical topics and driving the continuous improvement of development processes and "Lessons Learned" propagation.
 Qualifications
* BS or MS degree in Electrical Engineering, Systems Engineering, or equivalent experience.
* At least 10 years of experience, with 5\+ years specifically in Technical Program Management within a hardware/software environment.
* Proven track record in vehicle E/E system design, electrical integration, or managing complex HW/SW interfaces.
* Proficiency in project management tools (e.g., JIRA, Smartsheet) and experience with Configuration Management.
* Strong track record of driving complex, cross\-functional projects from requirements through validation.
* Ability to thrive in rapid design cycles; remains flexible and maintains a high level of organization in the face of uncertainty.
* Exceptional ability to facilitate both technical and non\-technical discussions, aligning diverse perspectives toward a common design goal.
* Self\-motivated and proactive; able to identify risks before they become blockers.
 Bonus Qualifications
* Prior experience developing Automotive Electrical Architectures or specialized Automotive Electrical Systems (e.g., ADAS, Powertrain, or Body Control).
* Strong references highlighting your ability to build trust with senior engineering leadership and individual contributors alike.
* Demonstrated leadership in scaling Agile across complex technical programs.
 Salary:
* $145,000\-155,000
* The actual salary offered is dependent on various factors including, but not limited to, location, the candidate’s combination of job\-related knowledge, qualifications, skills, education, training, and experience
 ALTEN Technology is an Equal Opportunity Employer. Our Policy is to extend opportunities to qualified applicants and employees on an equal basis regardless of an individual’s age, race, color, sex, religion, national origin, disability, sexual orientation, gender identity/expression or veteran status.
***Please beware of job seeker scams and see this important notice on our careers page for more information about our recruiting process.***
**Compliance Notice:** 
 Alten USA is a federal contractor subject to the requirements of the Vietnam Era Veterans’ Readjustment Assistance Act (VEVRAA) and Executive Order 11246\. We are an Equal Opportunity Employer and consider all qualified applicants without regard to race, color, religion, sex, sexual orientation, gender identity, national origin, disability, or veteran status.
**Drug Screening Requirement:** 
 As a federal contractor, Alten USA maintains a drug\-free workplace. All candidates selected for employment will be required to successfully complete a pre\-employment drug screening as a condition of hire.</t>
        </is>
      </c>
    </row>
    <row r="153">
      <c r="A153" t="inlineStr">
        <is>
          <t>li-4330520294</t>
        </is>
      </c>
      <c r="B153" t="inlineStr">
        <is>
          <t>Partner Program Manager, Commercial Line of Business</t>
        </is>
      </c>
      <c r="C153" t="inlineStr">
        <is>
          <t>Pure Storage</t>
        </is>
      </c>
      <c r="D153" t="inlineStr">
        <is>
          <t>linkedin</t>
        </is>
      </c>
      <c r="E153" t="inlineStr"/>
      <c r="F153" t="inlineStr"/>
      <c r="G153" t="inlineStr">
        <is>
          <t>Santa Clara, CA</t>
        </is>
      </c>
      <c r="H153" t="inlineStr"/>
      <c r="I153" t="inlineStr">
        <is>
          <t>We’re in an unbelievably exciting area of tech and are fundamentally reshaping the data storage industry. Here, you lead with innovative thinking, grow along with us, and join the smartest team in the industry.
 This type of work—work that changes the world—is what the tech industry was founded on. So, if you're ready to seize the endless opportunities and leave your mark, come join us.
**THE ROLE**
 We are seeking a highly organized, detail\-oriented, and execution\-focused Partner Program Manager to own the end\-to\-end operationalization and execution of Pure’s global partner program. In this role, you will translate high\-level partner requirements and benefits into a fully implemented, scalable, and easy\-to\-operate program.
 You will work across Channel Operations, Partner Experience, Partner Enablement, Partner Marketing, Partner Services, and the Global Partner Organization (GPO) to ensure every new or updated program element is delivered on time, fully validated, and operationally sound. You will build and drive detailed project plans, coordinate cross\-functional execution, identify and escalate risks early, and deliver concise executive\-level updates.
 This role is ideal for someone who thrives in a structured, fast\-paced environment, takes complete ownership, challenges the status quo, and is passionate about creating an exceptional partner experience through operational excellence.
**What You'll Do**
* Build, manage, and maintain detailed project plans, timelines, and milestones for global program launches.
* Lead recurring cross\-functional meetings, track task ownership, and ensure alignment and on\-time delivery.
* Create clear, executive\-ready summaries, dashboards, and status reports highlighting progress, risks, and required decisions.
* Develop as\-is and to\-be process maps and drive alignment across all involved functions.
* Ensure consistent and auditable understanding of program requirements, including eligibility rules, tracking logic, and payout mechanisms.
* Coordinate readiness across systems, partner\-facing tools, documentation, enablement content, and communications.
* Validate all program updates—tiers, benefits, incentives, requirements, designations, certifications, and operational processes—prior to launch.
* Maintain version control and ownership mapping for all program documentation.
* Serve as the single source of truth for program implementation status, decisions, owners, and deliverables.
* We are primarily an in\-office environment and therefore, you will be expected to work from the Santa Clara office in compliance with Pure’s policies, unless you are on PTO, or work travel, or other approved leave.
**What You Bring**
* Bachelor’s degree or equivalent experience.
* 8\+ years of program management experience in channel programs, channel operations, or a similar function within a technology company.
* Proven success managing complex, cross\-functional programs with multiple workstreams and stakeholders.
* Ability to independently create, manage, and maintain detailed project plans, Gantt charts, and executive\-ready summaries.
* Strong understanding of partner program components such as incentives, tiering, requirements, competencies, lifecycle management, and operational readiness.
* High proficiency in Asana, Google Workspace, and other project management tools.
* Exceptional attention to detail and organizational skills.
* Strong written and verbal communication and stakeholder management skills.
* A proactive, hands\-on approach with a strong sense of ownership and accountability.
* Ability to manage multiple, fast\-moving priorities in a dynamic environment.
* Passion for delivering an outstanding partner program.
*Salary ranges are determined based on role, level and location. For positions open to candidates in multiple geographical locations, the base salary range is reflective of the labor market across the applicable locations.*
*This role may be eligible for incentive pay and/or equity.*
*There is no application deadline and we accept applications on an ongoing basis until the job is filled.*
**The Annual Base Salary Range Is**
 $149,000—$224,000 USD
**What You Can Expect From Us**
* Pure Innovation: We celebrate those who think critically, like a challenge and aspire to be trailblazers.
* Pure Growth: We give you the space and support to grow along with us and to contribute to something meaningful. We have been Named Fortune's Best Large Workplaces in the Bay Area™, Fortune's Best Workplaces for Millennials™ and certified as a Great Place to Work®!
* Pure Team: We build each other up and set aside ego for the greater good.
 And because we understand the value of bringing your full and best self to work, we offer a variety of perks to manage a healthy balance, including flexible time off, wellness resources and company\-sponsored team events. Check out purebenefits.com for more information.
**Accommodations And Accessibility**
 Candidates with disabilities may request accommodations for all aspects of our hiring process. For more on this, contact us at TA\-Ops@purestorage.com if you’re invited to an interview.
**Our Commitment To a Strong And Inclusive Team**
 We’re forging a future where everyone finds their rightful place and where every voice matters. Where uniqueness isn’t just accepted but embraced. That’s why we are committed to fostering the growth and development of every person, cultivating a sense of community through our Employee Resource Groups and advocating for inclusive leadership.
 Pure is proud to be an equal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any other characteristic legally protected by the laws of the jurisdiction in which you are being considered for hire.
**JOIN US AND BRING YOUR BEST.**
**BRING YOUR BOLD.**
**BRING YOUR FLASH.**</t>
        </is>
      </c>
    </row>
    <row r="154">
      <c r="A154" t="inlineStr">
        <is>
          <t>li-4373960855</t>
        </is>
      </c>
      <c r="B154" t="inlineStr">
        <is>
          <t>Contact Center Operations Program Manager</t>
        </is>
      </c>
      <c r="C154" t="inlineStr">
        <is>
          <t>Lensa</t>
        </is>
      </c>
      <c r="D154" t="inlineStr">
        <is>
          <t>linkedin</t>
        </is>
      </c>
      <c r="E154" t="inlineStr"/>
      <c r="F154" t="inlineStr"/>
      <c r="G154" t="inlineStr">
        <is>
          <t>Sunnyvale, CA</t>
        </is>
      </c>
      <c r="H154" t="inlineStr"/>
      <c r="I15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US Tech Solutions. Clicking "Apply Now" or "Read more" on Lensa redirects you to the job board/employer site. Any information collected there is subject to their terms and privacy notice.
**Job Description**
* The Contact Center Operations Program Manager is responsible for overseeing the strategy, execution, and continuous improvement of contact center operations. This role requires a blend of project management, analytical skills, and leadership capabilities to ensure optimal performance and customer satisfaction.
**Responsibilities**
* Internal project management support related 1:1 support operation\- Owning and driving key initiatives related to intake and execution of requests impacting 1:1 support operations team. (weekly evaluation, summary of intake, Trend analysis \&amp; recommendations).
* Coordinate across project leads and conduct monthly project reviews.
* Reporting \&amp; analysis on Key performance indicators and trends.
* Process Improvements \- Prepare and review operations data, identify process improvement opportunities and drive efficiencies.
**Experience**
* Project management expertise and experience.
* Excellent problem\-solving, critical thinking and analytical skills and experience in applying project management tools.
* Strong communication skills and ability to influence people to contribute to continuous improvement of operations.
* Prior Experience in 1:1 contact center operations.
* Proven ability to manage projects. PMP certification/ training would be an added bonus.
* Reporting, SQL, dashboarding experience.
**About US Tech Solutions**
 US Tech Solutions is a global staff augmentation firm providing a wide range of talent on\-demand and total workforce solutions. To know more about US Tech Solutions, please visit www.ustechsolutions.com (http://www.ustechsolutionsinc.com) .
 US Tech Solutions is an Equal Opportunity Employer. All qualified applicants will receive consideration for employment without regard to race, colour, religion, sex, sexual orientation, gender identity, national origin, disability, or status as a protected veteran.
 If you have questions about this posting, please contact support@lensa.com</t>
        </is>
      </c>
    </row>
    <row r="155">
      <c r="A155" t="inlineStr">
        <is>
          <t>li-4371974781</t>
        </is>
      </c>
      <c r="B155" t="inlineStr">
        <is>
          <t>Program Manager - Experiential Education, OAC</t>
        </is>
      </c>
      <c r="C155" t="inlineStr">
        <is>
          <t>Woodbury School of Business</t>
        </is>
      </c>
      <c r="D155" t="inlineStr">
        <is>
          <t>linkedin</t>
        </is>
      </c>
      <c r="E155" t="inlineStr"/>
      <c r="F155" t="inlineStr"/>
      <c r="G155" t="inlineStr">
        <is>
          <t>Orem, UT</t>
        </is>
      </c>
      <c r="H155" t="inlineStr"/>
      <c r="I155" t="inlineStr">
        <is>
          <t>Position Announcement
 Utah Valley University’s Outdoor Adventure Center offers a unique opportunity to shape meaningful, high\-impact learning experiences beyond the classroom. As the Experiential Education Program Manager, you will play a central role in preparing and mentoring Adventure Trip Leaders while designing and delivering transformative day and multi\-day outdoor programs for the UVU community. This position blends leadership development, experiential education, and risk management—allowing you to foster student growth through hands\-on learning, thoughtful decision\-making, and dynamic group experiences in outdoor settings.
**Summary Of Responsibilities**
* Supervise and mentor trip leaders in the field. Monitor and document leadership, safe practices, group dynamics, and outdoor skills. Lead by example and offer feedback, enforce and adhere to all University and Outdoor Adventure Center policies and procedures. Assist in development and updating policies and procedures in risk management. Facilitate students in program planning and development. Attend pre\-trip meetings. Manage post\-trip evaluations and budgets. Provide leadership and direction for wilderness medicine when needed, create a calm environment, recognize and respond to incidents and emergencies as appropriate, document, and stay up to date on Wilderness First Responder certification and protocols. Organize evacuations when applicable.
* Develop, coordinate, and attend monthly leadership training sessions for all Adventure Trip Leaders. Training will include; group dynamics, expedition behavior, judgement and decision making, competence in outdoor skills, communication, time management, risk and equipment management. Assist in planning Fall and Spring overnight trainings. Manage certifications for all trip leaders and develop training sessions for specific certifications in Wilderness Medicine, Climbing and Canyoneering, Swift Water Rescue, Avalanche Safety, Leave No Trace, and Mountain Bike Maintenance.
* Supervise students in the trip planning process; quality programming, safe driving, outdoor skills, equipment management, group facilitation, budgeting, competence and overall leadership. Reserve and maintain group equipment, track inventory of trip equipment, ensure equipment is in proper working condition prior to departing on an excursion. Communicate with trip leaders and trip participants on waiver forms, pre\-trip meetings, and checklists to ensure preparedness and offer quality customer service. Oversee Adventure Trip Leaders progress and evaluate leadership after excursion is completed. Direct pre and post trip debriefing meetings with trip leaders and Program Director.
* Gather and submit photos from trips and activities to promote and enhance the Outdoor Adventure Center program. Organize weekly posts on Instagram and Facebook. Coordinate recruitment for new trip leaders and scholarship trip leaders. Update OAC website. Administer and promote online registration through University Tickets. Arrange advertising and scheduling in Live and on the UVU calendar. Oversee online trip registrations and work directly with trip leaders to fill excursions.
**Qualifications / Licenses / Certifications**
* Graduation from an accredited Institution in Recreation or a related field of study.
* At least three years of experience leading groups in an outdoor setting.
* At least two years of experience supervising others.
* One year of experience writing budgets and operating procedures.
* Wilderness First Responder.
* Basic First Aid, CPR, and AED.
**Preferred Qualifications/** 
**Certifications:**
* Wilderness EMT.
* AMGA Certified.
* Swift Water Rescue Certified.
* AIARE Avalanche Level 1 \&amp; 2\.
**Knowledge / Skills / Abilities**
**Knowledge**
* Knowledge of various outdoor activities; climbing, canyoneering, mountain biking, skiing, snowboarding, white water rafting and kayaking, backpacking, and camping.
* Technical knowledge with outdoor equipment use, maintenance, repair and care.
* Experience with Expedition Behavior, Group Development, Outdoor Leadership and Leave No Trace.
* Experience teaching and leading in an outdoor setting.
**Skills**
* Effective verbal and written skills.
* Decision\-making skills.
* Skilled in facilitating academic and non\-academic, experiential group experiences in the outdoors.
* Strong leadership and organizational skills.
* Supervisory skills.
**Abilities**
* Ability to mentor students.
* Ability to manage budgets.
* Ability to lift heavy equipment.
* Ability to work evenings, weekends, and holidays.
* Ability to work independently and creatively with minimal supervision.
* Ability to work in a fast\-paced, chaotic environment.
* Ability to work with students, staff and faculty and communicate clearly.
* Ability to maintain a professional manner and be an example to trip leaders and participants.</t>
        </is>
      </c>
    </row>
    <row r="156">
      <c r="A156" t="inlineStr">
        <is>
          <t>li-4358231064</t>
        </is>
      </c>
      <c r="B156" t="inlineStr">
        <is>
          <t>Sr. Technical Program Manager, HWEng Accelerator Systems</t>
        </is>
      </c>
      <c r="C156" t="inlineStr">
        <is>
          <t>Amazon Web Services (AWS)</t>
        </is>
      </c>
      <c r="D156" t="inlineStr">
        <is>
          <t>linkedin</t>
        </is>
      </c>
      <c r="E156" t="inlineStr"/>
      <c r="F156" t="inlineStr"/>
      <c r="G156" t="inlineStr">
        <is>
          <t>Cupertino, CA</t>
        </is>
      </c>
      <c r="H156" t="inlineStr"/>
      <c r="I156" t="inlineStr">
        <is>
          <t>**Description**
 AWS Hardware Engineering seeks a Senior Technical Program Manager to own end\-to\-end NPI delivery for storage server systems and/or accelerators while ensuring optimal fleet health and server availability for AWS customers. In this critical role, you will monitor fleet performance, proactively identify and mitigate risks before they impact customers, and coordinate cross\-functional initiatives to improve compute capacity. You will design technical deployment methodologies with robust safety measures, drive continuous improvement in availability metrics, and communicate strategic recommendations to senior leadership. This position directly impacts customer satisfaction by delivering innovative hardware solutions and maintaining the reliability standards that keep the cloud running.
 Key job responsibilities
* Own end\-to\-end delivery of NPIs for storage server systems or accelerators from concept to production deployment
* Drive ODM/vendors to deliver complex technology on a timely basis
* Track and report on overall fleet health across server systems, identifying trends and potential risks
* Develop and implement solutions for short, medium, and long\-term fleet health improvements
* Coordinate across various teams to drive progress toward availability and reliability goals
* Lead cross\-functional initiatives to prevent customer\-impacting incidents through proactive fleet management
* Drive continuous improvement in server availability metrics and customer experience
* Manage complex technical programs with multiple stakeholders and competing priorities
* Communicate program status, risks, and recommendations to senior leadership and technical teams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**Basic Qualifications**
* 5\+ years of working directly with engineering teams experience
* Experience managing programs across cross functional teams, building processes and coordinating release schedules
* Experience in identifying security issues and risks, and developing mitigation plans
* Proven track record delivering complex technical programs from inception to production
* Experience with fleet management, reliability engineering, and availability metrics
* Excellent written and verbal communication skills with ability to influence across organizations
* Ability to develop both tactical solutions and long\-term strategic improvements
**Preferred Qualifications**
* 7\+ years of project management disciplines including scope, schedule, budget, quality, along with risk and critical path management experience
* Experience defining KPI's/SLA's used to drive multi\-million dollar businesses and reporting to senior leadership
* 7\+ years of including new product introduction (NPI) experience
* Strong understanding of server architecture, storage, compute, and/or accelerator systems and data center operations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Data Services, Inc. \- A19
 Job ID: A3152755</t>
        </is>
      </c>
    </row>
    <row r="157">
      <c r="A157" t="inlineStr">
        <is>
          <t>li-4374110450</t>
        </is>
      </c>
      <c r="B157" t="inlineStr">
        <is>
          <t>Product Manager 2, Workpapers</t>
        </is>
      </c>
      <c r="C157" t="inlineStr">
        <is>
          <t>Bloomberg Industry Group</t>
        </is>
      </c>
      <c r="D157" t="inlineStr">
        <is>
          <t>linkedin</t>
        </is>
      </c>
      <c r="E157" t="inlineStr"/>
      <c r="F157" t="inlineStr"/>
      <c r="G157" t="inlineStr">
        <is>
          <t>Arlington, VA</t>
        </is>
      </c>
      <c r="H157" t="inlineStr"/>
      <c r="I157" t="inlineStr">
        <is>
          <t>As a PM 2, you’ll lead cross\-functional teams to solve customer and business problems with solutions that are valuable, viable, usable, and feasible. You’ll own product outcomes, contribute to strategy, and use data to guide decisions. You’ll collaborate closely with designers, engineers, and stakeholders, bringing a strong understanding of customer needs, business constraints, and market dynamics. You’ll influence through logic and insight and take responsibility for delivering impactful results.
 What you will do:
* Defines product vision, strategy, and roadmap for assigned products. Aligns product goals with company objectives and ensures stakeholder buy\-in through clear communication.
* Works closely with engineering, design, marketing, and sales teams to deliver high\-quality products on time. Facilitates agile ceremonies and ensures cross\-functional alignment throughout the development lifecycle.
* Prioritizes features based on business goals, customer needs, and technical feasibility. Uses frameworks like RICE or MoSCoW to make transparent, data\-informed prioritization decisions.
* Conducts market research to understand competitive landscape and identify opportunities for differentiation. Synthesizes findings into actionable insights that shape product positioning and feature development.
* Develops detailed product requirements documents (PRDs). Ensures PRDs include user stories, acceptance criteria, and edge cases to guide development and QA. Oversee the creation of content and thought leadership in your area of subject matter expertise that assists tax and legal practitioners, both in terms of substance and workflows, to undertake their work more efficiently and to learn new areas more quickly.
 You need to have:
* 5\-7 years building and shipping successful technology\-powered products as either a product manager, product designer, product delivery manager, engineer, data analyst, data scientist, or user researcher OR as a subject matter expert with product or technical proficiency.
* Solid understanding of product discovery and delivery techniques, with hands\-on experience applying them.
* Proven ability to contribute to product vision, define roadmaps, and align product goals with business outcomes.
* Experience using data and experimentation to drive product decisions.
* Skilled at creating and presenting demos or prototypes to communicate product direction.
* Strong problem\-solving skills, with the ability to navigate ambiguity and make sound trade\-offs.
* Excellent communication and collaboration skills across disciplines.
* Willingness to travel as needed.
 Equal Opportunity
 Bloomberg Industry Group maintains a continuing policy of non\-discrimination in employment. It is Bloomberg Industry Group’s policy to provide equal opportunity and access for all persons, and the Company is committed to attracting, retaining, developing, and promoting the most qualified individuals without regard to age, ancestry, color, gender identity or expression, genetic predisposition or carrier status, marital status, national or ethnic origin, race, religion or belief, sex, sexual orientation, sexual and other reproductive health decisions, parental or caring status, physical or mental disability, pregnancy or maternity/parental leave, protected veteran status, status as a victim of domestic violence, or any other classification protected by applicable law (“Protected Characteristic”). Bloomberg prohibits treating applicants or employees less favorably in connection with the terms and conditions of employment, in all phases of the employment process, because of one or more Protected Characteristics (“Discrimination”).</t>
        </is>
      </c>
    </row>
    <row r="158">
      <c r="A158" t="inlineStr">
        <is>
          <t>li-4374106957</t>
        </is>
      </c>
      <c r="B158" t="inlineStr">
        <is>
          <t>Product Manager — AI</t>
        </is>
      </c>
      <c r="C158" t="inlineStr">
        <is>
          <t>Esri</t>
        </is>
      </c>
      <c r="D158" t="inlineStr">
        <is>
          <t>linkedin</t>
        </is>
      </c>
      <c r="E158">
        <f>HYPERLINK("https://www.linkedin.com/jobs/view/4374106957", "https://www.linkedin.com/jobs/view/4374106957")</f>
        <v/>
      </c>
      <c r="F158" t="inlineStr"/>
      <c r="G158" t="inlineStr">
        <is>
          <t>Redlands, CA</t>
        </is>
      </c>
      <c r="H158" t="inlineStr"/>
      <c r="I158" t="inlineStr">
        <is>
          <t>**Overview**
 Esri is enhancing the ArcGIS system with new AI capabilities that improve automation, expand GeoAI tools and models, strengthen productivity features, and deepen platform integrations across desktop, web, mobile, and enterprise environments. The Product Manager in this role will lead core product management activities that include roadmap development, customer research, internal cross\-functional collaboration, partner engagement, and launch planning, all with a focus on delivering responsible and impactful AI across ArcGIS. You will also play a key role in advancing AI app strategic initiatives that will empower users to create and operationalize ArcGIS AI components.
**Responsibilities**
* Translate customer needs, market opportunities, and competitive signals into structured product requirements, problem statements, and a prioritized roadmap that balances innovation, feasibility, and customer trust
* Collaborate with software development through the full lifecycle of AI products
* Engage partners, distributors, and global business development to expand adoption of AI capabilities, support joint\-solution development, and gather customer insights from diverse markets
* Develop and support launch plans with Product Marketing by crafting messaging, writing value propositions, building demos, producing enablement materials, and supporting events
* Support Sales, Software Engineering, and Product Marketing with competitive guidance, demos, RFP and RFI responses, and leadership on pricing
* Lead and direct customer\-facing programs including early adopter programs, betas, advisory sessions, roadmap reviews, and strategic briefings
* Maintain actionable feedback loops with Support, Sales, and other teams to identify friction points and opportunities, and synthesize patterns into Productboard for prioritization
* Implement operational excellence by maintaining metrics dashboards, and cross\-team communication rhythms that support high\-quality delivery
* Collaborate with Legal, Security, Privacy, and IT to ensure compliance, data sovereignty, accessibility, and responsible AI governance are built into features and user scenarios
* Provide internal enablement to increase organizational understanding of AI capabilities
* Represent Esri and your product areas at conferences, webinars, user groups, partner summits, and technical communities, communicating product strategy and best practices in geospatial AI
* Work closely with engineering, design, and AI platform teams to define technical requirements, choose model integration patterns, validate evaluation metrics, design guardrails, and ensure assistants and agents perform reliably in alignment with Esri AI principles
**Requirements**
* 2\+ years in product management, product engineering, technical support, or a similar technical role
* Proven ability to define product strategy and collaborate with engineering and design to deliver customer\-facing capabilities
* Strong written, verbal, and presentation skills for both technical and non\-technical audiences
* Ability to translate complex GIS and AI workflows into clear, actionable product requirements
* Hands\-on experience shipping AI\-powered features (for example, LLM applications, code assistants, automation) or direct collaboration with teams building them
* Travel: 10–20% for strategic meetings, customer visits, conferences, and partner engagements
* Bachelor's degree in GIS, computer science, engineering, or a related field
**Recommended Qualifications**
* Experience with geospatial technologies and the ArcGIS system, including common GIS data models and workflows
* Familiarity with responsible AI practices such as trust, transparency, evaluation, telemetry, and data governance
* Experience engaging customers, partners, or distributors in roadmap, adoption, and technical enablement discussions
* Background working in enterprise software and cross\-functional product organizations
 Total RewardsEsri’s competitive total rewards strategy includes industry\-leading health and welfare benefits: medical, dental, vision, basic and supplemental life insurance for employees (and their families), 401(k) and profit\-sharing programs, minimum accrual of 80 hours of vacation leave, twelve paid holidays throughout the calendar year, and opportunities for personal and professional growth. Base salary is one component of our total rewards strategy. Compensation decisions and the base range for this role take into account many factors including but not limited to skill sets; experience and training; licensure and certifications; and other business and organizational needs.
 A reasonable estimate of the base salary range is: $91,520 USD \- $151,424 USD
**The Company**
 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Equity and Social Justice initiatives, please visit our website here.
**If you don’t meet all of the preferred qualifications for this position, we encourage you to still apply!**
 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reasonable accommodation for any part of the employment process, please email askcareers@esri.com and let us know the nature of your request and your contact information. Please note that only those inquiries concerning a request for reasonable accommodation will be responded to from this e\-mail address.
 Esri Privacy Esri takes our responsibility to protect your privacy seriously. We are committed to respecting your privacy by providing transparency in how we acquire and use your information, giving you control of your information and preferences, and holding ourselves to the highest national and international standards, including CCPA and GDPR compliance.</t>
        </is>
      </c>
    </row>
    <row r="159">
      <c r="A159" t="inlineStr">
        <is>
          <t>li-4373003073</t>
        </is>
      </c>
      <c r="B159" t="inlineStr">
        <is>
          <t>Senior Product Manager</t>
        </is>
      </c>
      <c r="C159" t="inlineStr">
        <is>
          <t>Zeta Global</t>
        </is>
      </c>
      <c r="D159" t="inlineStr">
        <is>
          <t>linkedin</t>
        </is>
      </c>
      <c r="E159">
        <f>HYPERLINK("https://www.linkedin.com/jobs/view/4373003073", "https://www.linkedin.com/jobs/view/4373003073")</f>
        <v/>
      </c>
      <c r="F159" t="inlineStr"/>
      <c r="G159" t="inlineStr">
        <is>
          <t>New York, NY</t>
        </is>
      </c>
      <c r="H159" t="inlineStr"/>
      <c r="I159" t="inlineStr">
        <is>
          <t>**WHO WE ARE** 
 Zeta Global (NYSE: ZETA) is the AI\-Powered Marketing Cloud that leverages advanced artificial intelligence (AI) and trillions of consumer signals to make it easier for marketers to acquire, grow, and retain customers more efficiently. Through the Zeta Marketing Platform (ZMP), our vision is to make sophisticated marketing simple by unifying identity, intelligence, and omnichannel activation into a single platform – powered by one of the industry’s largest proprietary databases and AI. Our enterprise customers across multiple verticals are empowered to personalize experiences with consumers at an individual level across every channel, delivering better results for marketing programs. Zeta was founded in 2007 by David A. Steinberg and John Sculley and is headquartered in New York City with offices around the world. To learn more, go to www.zetaglobal.com.
**THE ROLE** 
 We are seeking a Senior Product Manager to join our Product team focused on building a cutting\-edge MarTech product. You will own one of the product areas as an individual contributor while actively shaping the overall roadmap and delivering impactful customer experiences.
**RESPONSIBILITIES** 
* Drive day\-to\-day product execution, ensuring timely delivery of features.
* Collaborate with engineering, design, and cross\-functional teams to build high\-quality solutions.
* Engage with customers to understand pain points, gather feedback, and translate insights into actionable improvements.
* Contribute to product strategy and roadmap planning, aligning with business objectives.
* Define clear requirements, user stories, and success metrics for new features.
* Use data and KPIs to measure product performance and inform prioritization.
* Align product initiatives with business goals through stakeholder collaboration.
* Identify and mitigate risks in product delivery.
* Support go\-to\-market activities with marketing and sales teams.
* Drive post\-launch evaluations and iterate based on feedback and performance metrics.
* Provide mentorship to junior product managers or associates when needed.
**REQUIREMENTS** 
* 5–7 years of experience as a Product Manager, preferably in SaaS or MarTech.
* Strong technical background, ideally with a degree in Computer Science or related field.
* Proven ability to work independently while thriving in a collaborative team environment.
* Excellent communication skills and ability to influence stakeholders.
* Strong problem\-solving mindset and customer\-centric approach.
**PREFERRED SKILLS** 
* Experience in MarTech or B2B SaaS products.
* Familiarity with agile methodologies and product development best practices.
**BENEFITS \&amp; PERKS** 
* Unlimited PTO
* Excellent medical, dental, and vision coverage
* Employee Equity
* Employee Discounts, Virtual Wellness Classes, and Pet Insurance And more!!
**SALARY RANGE** 
 The salary range for this role is
**$160,000 \- $180,000** 
 . 
**PEOPLE \&amp; CULTURE AT ZETA** 
 Zeta considers applicants for employment without regard to, and does not discriminate on the basis of an individual’s sex, race, color, religion, age, disability, status as a veteran, or national or ethnic origin; nor does Zeta discriminate on the basis of sexual orientation, gender identity or expression.  
 We’re committed to building a workplace culture of trust and belonging, so everyone feels invited to bring their whole selves to work. We provide a forum for employees to celebrate, support and advocate for one another. Learn more about our commitment to diversity, equity and inclusion here:  https://zetaglobal.com/blog/a\-look\-into\-zetas\-ergs/ 
**ZETA IN THE NEWS!** 
 https://zetaglobal.com/press/?cat\=press\-releases</t>
        </is>
      </c>
    </row>
    <row r="160">
      <c r="A160" t="inlineStr">
        <is>
          <t>li-4374132508</t>
        </is>
      </c>
      <c r="B160" t="inlineStr">
        <is>
          <t>Technical Product Owner</t>
        </is>
      </c>
      <c r="C160" t="inlineStr">
        <is>
          <t>The Value Maximizer</t>
        </is>
      </c>
      <c r="D160" t="inlineStr">
        <is>
          <t>linkedin</t>
        </is>
      </c>
      <c r="E160">
        <f>HYPERLINK("https://www.linkedin.com/jobs/view/4374132508", "https://www.linkedin.com/jobs/view/4374132508")</f>
        <v/>
      </c>
      <c r="F160" t="inlineStr"/>
      <c r="G160" t="inlineStr">
        <is>
          <t>South Carolina, United States</t>
        </is>
      </c>
      <c r="H160" t="inlineStr"/>
      <c r="I160" t="inlineStr">
        <is>
          <t>****Job Title:** 
 Technical Product Owner**
**Location:** 
 Fort Mill, SC
 **Employment Type:** 
 Full\-TimeWe are seeking an experienced Product Owner with strong domain expertise in Wealth Management, Banking Operations, Fraud Risk Management, and Cheque. The ideal candidate will define and drive the product roadmap for digital wealth solutions while ensuring robust fraud controls and operational risk mitigation across investment and cheque\-related processes.This role requires a blend of product strategy, business analysis, regulatory understanding, and hands‑on experience in building customer\-centric financial products.
 **Key Responsibilities**
* Define product vision, strategy, and roadmap for Wealth Management digital offerings (Mutual Funds, Portfolio Services, Advisory, Insurance, etc.)
* Lead end‑to‑end product lifecycle—from discovery and requirements gathering to launch, adoption, and optimization
* Identify emerging trends in wealth products, investment platforms, and fraud management technologies
* Develop and enhance wealth management capabilities including onboarding, KYC, investment journeys, advisory tools, and customer reporting
* Collaborate with internal stakeholders to design seamless investment flows aligned with regulatory norms (SEBI, RBI, IRDAI, AML guidelines)
* Drive integration with custodians, exchanges, fund houses, and portfolio managers
* Build, refine, and maintain fraud prevention and detection frameworks across wealth management journeys
* Partner with Fraud Risk, Compliance, and Operations teams to implement risk\-based authentication, transaction monitoring, and anomaly detection features
* Oversee product requirements for cheque\-related modules (cheque clearing, CTS/ICS, returns, stop payment flows, risk scoring, signature verification)
* Ensure process\-level controls to minimize operational, transaction, and compliance risks
* Work closely with Engineering, Design, Operations, Risk, Compliance, and Data teams to deliver product features on schedule
* Translate business needs into clear BRDs/PRDs, user stories, wireframes, and functional specifications
* Coordinate with vendors, fintech partners, and external platforms for integrations and co\-development
**Required Skills \&amp; Experience** 
**Must Have**
* 5\-10\+ years of experience in Product Management within Wealth Management / Retail Banking / Digital Banking
* Strong knowledge of Mutual Funds, Investment Advisory, Portfolio Management, Insurance products
* Hands\-on experience in Fraud Prevention, Transaction Monitoring, Risk Scoring, and Cheque Processing (CTS)
* Deep understanding of regulatory guidelines (RBI, SEBI, KYC/AML)
* Ability to write detailed BRDs/PRDs, process flows, and UAT scenarios
* Experience working with digital platforms, APIs, and backend systems
* Familiarity with fraud detection tools, RPA, workflow engines, and transaction control systems
* Proficiency in data analysis, dashboards, and product performance metrics</t>
        </is>
      </c>
    </row>
    <row r="161">
      <c r="A161" t="inlineStr">
        <is>
          <t>li-4321459541</t>
        </is>
      </c>
      <c r="B161" t="inlineStr">
        <is>
          <t>Product Manager</t>
        </is>
      </c>
      <c r="C161" t="inlineStr">
        <is>
          <t>AutoFi</t>
        </is>
      </c>
      <c r="D161" t="inlineStr">
        <is>
          <t>linkedin</t>
        </is>
      </c>
      <c r="E161">
        <f>HYPERLINK("https://www.linkedin.com/jobs/view/4321459541", "https://www.linkedin.com/jobs/view/4321459541")</f>
        <v/>
      </c>
      <c r="F161" t="inlineStr"/>
      <c r="G161" t="inlineStr"/>
      <c r="H161" t="inlineStr"/>
      <c r="I161" t="inlineStr">
        <is>
          <t>**About AutoFi**
 AutoFi is the leading provider of digital commerce technology that powers the sales and finance experiences for the most innovative brands and dealers in automotive. The AutoFi platform enables a more transactional buying experience with $4B in funded loans processed through AutoFi annually. AutoFi’s dynamic selling platform empowers dealers to sell vehicles more efficiently and profitably, both online and in the showroom. We are funded for years of future growth and backed by investors including Crosslink Capital, Santander Holdings USA, SVB Financial Group, Ford, BMW iVentures and JP Morgan Chase.
 Our team is diverse \- spread out across the U.S. and Canada, we have backgrounds from finance and technology as well as deep experience in all areas of the auto space. We’re empathetic, gritty, curious, and humble owners of this business and are supported by some of the biggest names in the auto and financial industries as commercial partners. We’ve never been more excited about the opportunity in front of us to help transition the auto industry from offline to online. If changing a trillion\-dollar industry sounds exciting, we’d love to hear from you.
 For more information, visit www.autofi.com.
**About the Role** 
 At AutoFi, Product Managers own product strategy and drive execution to deliver high\-impact, customer\-centric solutions for the automotive industry. We are looking for a Product Manager or Senior Product Manager (level dependent on experience) to help drive our dealer retailing, engagement \&amp; AI initiatives and products. This role will work closely with engineering, design, analytics, sales, and customer teams to take products from concept to launch and iteration. 
**Responsibilities** 
* Own product initiatives end\-to\-end, from discovery and definition through delivery and iteration
* Gather and prioritize customer, dealer, and internal stakeholder requirements to inform product strategy and roadmap decisions
* Translate business needs into clear product requirements and specifications (PRDs), including user flows and success metrics
* Partner closely with engineering to scope, prioritize, and deliver high\-quality solutions
* Drive data\-informed decision making by defining KPIs, analyzing performance, and iterating based on results
* Collaborate with cross\-functional teams including Sales, Customer Success, Analytics, and Marketing
* Engage with external partners and third parties as needed to support integrations or joint initiatives
* Balance speed, quality, and scope while making thoughtful trade\-off decisions
**Required Qualifications** 
* 3\+ years (PM) or 6\+ years (Sr PM) of product management experience working on technical or platform products
* Proven ability to own and deliver complex products in collaboration with engineering and cross\-functional teams
* Strong analytical skills and experience using data to guide decisions
* Excellent written and verbal communication skills, able to clearly convey ideas to both technical and non\-technical audiences
* Comfort operating in ambiguity and driving clarity in fast\-moving environments
* Experience using JIRA for backlog management, sprint planning, prioritization, and collaboration with engineering teams
**Preferred Qualifications** 
* Automotive Software industry experience, particularly working with dealer\-facing products or workflows
* Experience building or scaling growth, e\-commerce, outbound communications, or customer engagement products
* Experience working directly with customers (e.g., dealers, enterprise clients) to shape product direction
* Experience leveraging AI tools or AI\-enabled features as part of a product
* AI\-assisted product workflows: Experience leveraging AI tools to improve effectiveness as a Product Manager — such as accelerating discovery, synthesizing customer feedback, drafting PRDs, analyzing data, or exploring product ideas
* Analytics \&amp; data tools: Ability to work with product and business data to inform decisions (e.g., Amplitude experience strongly preferred)
**What's in it for you:**
 \- We offer full training and a competitive total rewards package along with great benefits
 \- Medical, Dental \&amp; Vision coverage \- 100% premium coverage for employee / 50\+% for dependents
 \- Flexible work hours
 \- Remote environment
 \- Competitive pay
 \- Visionary leadership team
 \- Growth opportunities within a dynamic culture
 \- Wellness \&amp; cultural initiatives (fitness challenges, wellness webinars, virtual games, regional activities, etc.)
 \- Up to $1K per year for employee professional development
 \- Stock options \- we are all owners!
 Individual compensation decisions are based on a number of factors, including the candidate’s experience and qualifications and local market conditions. Please note, the foregoing salary range does not reflect an employee’s total compensation package, which may include bonus, company equity, and health benefits.
 AutoFi is an equal opportunity employer.  Individuals seeking employment are considered without regards to race, color, religion, national origin, age, sex, marital status, ancestry, physical or mental disability, veteran status, sexual orientation, gender identity or other protected status under all applicable laws, regulations, and ordinances.
 Personal Information submitted as part of your application is subject to our website privacy policy, located at https://www.autofi.com/privacy\-policy/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62">
      <c r="A162" t="inlineStr">
        <is>
          <t>li-4374127595</t>
        </is>
      </c>
      <c r="B162" t="inlineStr">
        <is>
          <t>Technical Product Owner</t>
        </is>
      </c>
      <c r="C162" t="inlineStr">
        <is>
          <t>The Value Maximizer</t>
        </is>
      </c>
      <c r="D162" t="inlineStr">
        <is>
          <t>linkedin</t>
        </is>
      </c>
      <c r="E162">
        <f>HYPERLINK("https://www.linkedin.com/jobs/view/4374127595", "https://www.linkedin.com/jobs/view/4374127595")</f>
        <v/>
      </c>
      <c r="F162" t="inlineStr"/>
      <c r="G162" t="inlineStr">
        <is>
          <t>New York, NY</t>
        </is>
      </c>
      <c r="H162" t="inlineStr"/>
      <c r="I162" t="inlineStr">
        <is>
          <t>****Job Title:** 
 Technical Product Owner**
**Location:** 
 Fort Mill, SC
 **Employment Type:** 
 Full\-TimeWe are seeking an experienced Product Owner with strong domain expertise in Wealth Management, Banking Operations, Fraud Risk Management, and Cheque. The ideal candidate will define and drive the product roadmap for digital wealth solutions while ensuring robust fraud controls and operational risk mitigation across investment and cheque\-related processes.This role requires a blend of product strategy, business analysis, regulatory understanding, and hands‑on experience in building customer\-centric financial products.
 **Key Responsibilities**
* Define product vision, strategy, and roadmap for Wealth Management digital offerings (Mutual Funds, Portfolio Services, Advisory, Insurance, etc.)
* Lead end‑to‑end product lifecycle—from discovery and requirements gathering to launch, adoption, and optimization
* Identify emerging trends in wealth products, investment platforms, and fraud management technologies
* Develop and enhance wealth management capabilities including onboarding, KYC, investment journeys, advisory tools, and customer reporting
* Collaborate with internal stakeholders to design seamless investment flows aligned with regulatory norms (SEBI, RBI, IRDAI, AML guidelines)
* Drive integration with custodians, exchanges, fund houses, and portfolio managers
* Build, refine, and maintain fraud prevention and detection frameworks across wealth management journeys
* Partner with Fraud Risk, Compliance, and Operations teams to implement risk\-based authentication, transaction monitoring, and anomaly detection features
* Oversee product requirements for cheque\-related modules (cheque clearing, CTS/ICS, returns, stop payment flows, risk scoring, signature verification)
* Ensure process\-level controls to minimize operational, transaction, and compliance risks
* Work closely with Engineering, Design, Operations, Risk, Compliance, and Data teams to deliver product features on schedule
* Translate business needs into clear BRDs/PRDs, user stories, wireframes, and functional specifications
* Coordinate with vendors, fintech partners, and external platforms for integrations and co\-development
**Required Skills \&amp; Experience** 
**Must Have**
* 5\-10\+ years of experience in Product Management within Wealth Management / Retail Banking / Digital Banking
* Strong knowledge of Mutual Funds, Investment Advisory, Portfolio Management, Insurance products
* Hands\-on experience in Fraud Prevention, Transaction Monitoring, Risk Scoring, and Cheque Processing (CTS)
* Deep understanding of regulatory guidelines (RBI, SEBI, KYC/AML)
* Ability to write detailed BRDs/PRDs, process flows, and UAT scenarios
* Experience working with digital platforms, APIs, and backend systems
* Familiarity with fraud detection tools, RPA, workflow engines, and transaction control systems
* Proficiency in data analysis, dashboards, and product performance metrics</t>
        </is>
      </c>
    </row>
    <row r="163">
      <c r="A163" t="inlineStr">
        <is>
          <t>li-4255458007</t>
        </is>
      </c>
      <c r="B163" t="inlineStr">
        <is>
          <t>Senior Product Manager</t>
        </is>
      </c>
      <c r="C163" t="inlineStr">
        <is>
          <t>PathAI</t>
        </is>
      </c>
      <c r="D163" t="inlineStr">
        <is>
          <t>linkedin</t>
        </is>
      </c>
      <c r="E163">
        <f>HYPERLINK("https://www.linkedin.com/jobs/view/4255458007", "https://www.linkedin.com/jobs/view/4255458007")</f>
        <v/>
      </c>
      <c r="F163" t="inlineStr"/>
      <c r="G163" t="inlineStr">
        <is>
          <t>Boston, MA</t>
        </is>
      </c>
      <c r="H163" t="inlineStr"/>
      <c r="I163" t="inlineStr">
        <is>
          <t>Who We Are
 PathAI is on a mission to improve patient outcomes with AI\-powered pathology. We are transforming traditional pathology methods into powerful, new technologies. These innovations in pathology can help accelerate drug development, improve confidence in the accuracy of diagnosis, and get life\-saving therapies to patients more quickly. At PathAI, you'll work with a diverse and talented team of people, who are dedicated to solving complex problems and making a huge impact.
 Where You Fit
 We are seeking an experienced and driven Senior Product Manager, Platform Products who will play a pivotal role in advancing PathAI’s product strategy. As an individual contributor, you’ll be responsible for owning and optimizing specific platform features and initiatives, with a focus on scaling functionality, enhancing the user experience, and work closely with our engineering, product, commercial, pathology, biomedical data science, clinical affairs, quality, regulatory, and business operations teams to take our world class product to the next level.
 What You’ll Do
* Lead the development and implementation of platform product initiatives, collaborating closely with engineering, business, and design teams.
* Define clear product requirements, prioritize features, and work with cross\-functional teams to ensure alignment and timely delivery.
* Analyze and translate user needs, market trends, and competitive insights into actionable platform features that enhance scalability and performance.
* Monitor and measure product performance, using insights to drive continuous improvement and value delivery.
* Communicate progress, learnings, and results to stakeholders, ensuring transparency and alignment with business objectives.
 What You Bring
* 5\+ years experience in software product management
* 1\-3 years experience in health tech
* Enterprise software (SaaS) experience preferred
* Strong analytical and problem\-solving skills, with the ability to interpret data and make informed decisions.
* Excellent communication and collaboration abilities, with a track record of effective cross\-functional partnerships.
 We Want To Hear From You
 At PathAI, we are looking for individuals who are team players, are willing to do the work no matter how big or small it may be, and who are passionate about everything they do. If this sounds like you, even if you may not match the job description to a tee, we encourage you to apply. You could be exactly what we're looking for.
 PathAI is an equal opportunity employer, dedicated to creating a workplace that is free of harassment and discrimination. We base our employment decisions on business needs, job requirements, and qualifications — that's all. We do not discriminate based on race, gender, religion, health, personal beliefs, age, family or parental status, or any other status. We don't tolerate any kind of discrimination or bias, and we are looking for teammates who feel the same way.
 The cash compensation outlined below includes base salary or hourly wage and on\-target commission for employees in eligible roles. The summary below indicates if an employee in this position is eligible for annual bonus, overtime pay and equity awards. Individual compensation packages are tailored based on skills, experience, qualifications, and other job\-related factors.
**Annual Pay Range**
 Product Manager:
 $90,000 \- $138,000
**Sr. Product Manager**
 $127,500 \- $195,500
 Not Overtime Eligible
 Eligible for Equity</t>
        </is>
      </c>
    </row>
    <row r="164">
      <c r="A164" t="inlineStr">
        <is>
          <t>li-4374100714</t>
        </is>
      </c>
      <c r="B164" t="inlineStr">
        <is>
          <t>Technology Product Owner</t>
        </is>
      </c>
      <c r="C164" t="inlineStr">
        <is>
          <t>SpeedX</t>
        </is>
      </c>
      <c r="D164" t="inlineStr">
        <is>
          <t>linkedin</t>
        </is>
      </c>
      <c r="E164">
        <f>HYPERLINK("https://www.linkedin.com/jobs/view/4374100714", "https://www.linkedin.com/jobs/view/4374100714")</f>
        <v/>
      </c>
      <c r="F164" t="inlineStr"/>
      <c r="G164" t="inlineStr">
        <is>
          <t>New York, United States</t>
        </is>
      </c>
      <c r="H164" t="inlineStr"/>
      <c r="I164" t="inlineStr">
        <is>
          <t>As the
 **Technology Product Owner** 
 , you will lead the strategy and development of innovative last\-mile delivery products. You will work closely with cross\-functional teams to drive innovation and ensure product success from concept to launch. This role requires strong communication, analytical, and collaboration skills, as well as a passion for technology and customer satisfaction. Your primary responsibilities will include guiding the product vision, managing the product roadmap, and ensuring alignment with business objectives and customer needs.
**Responsibilities** 
* Serve as the voice of the customer and the business and possess a fundamental understanding of end\-to\-end Last Mile customer shipping experience.
* Communicate product vision, roadmap and progress internal cross\-functional stakeholders.
* Translate product strategy into detailed requirements for prototype construction and final product development by engineering teams.
* Prioritize product features and requirements backlogs compromising both the business needs and technical readiness. Ability to participate in technical discussions and help make design trade\-offs.
* Identify both business and technical impediments and drive for product development.
* Lead planning of product releases and set expectations for delivery of new features
* Guide Engineering team in managing agile user stories with clear acceptance criteria for the development team’s execution.
* Work closely with functional business callers/owners to create and maintain a product backlog according to business value and priority.
* Support functional opportunities or initiatives and dive as MVPs (Min. viable product) for a unified coherent technology and customer experience.
* Work closely with Scrum Master and development team for delivery.
* Liaise and negotiate with IT SaaS vendors on all product\-related issues.
**Qualifications:** 
* Minimum 5 years working experience in a Product Owner/Product Manager/Product Development related role.
* Certified Agile or Scrum Product Owner is preferred.
* Proficient experience in using software such as Visio and Notion is preferred.
* Must promote a team environment.
* Digital product management experience in an international SaaS company.</t>
        </is>
      </c>
    </row>
    <row r="165">
      <c r="A165" t="inlineStr">
        <is>
          <t>li-4371988335</t>
        </is>
      </c>
      <c r="B165" t="inlineStr">
        <is>
          <t>Principal Product Manager, LogIn</t>
        </is>
      </c>
      <c r="C165" t="inlineStr">
        <is>
          <t>Okta</t>
        </is>
      </c>
      <c r="D165" t="inlineStr">
        <is>
          <t>linkedin</t>
        </is>
      </c>
      <c r="E165">
        <f>HYPERLINK("https://www.linkedin.com/jobs/view/4371988335", "https://www.linkedin.com/jobs/view/4371988335")</f>
        <v/>
      </c>
      <c r="F165" t="inlineStr"/>
      <c r="G165" t="inlineStr">
        <is>
          <t>Bellevue, WA</t>
        </is>
      </c>
      <c r="H165" t="inlineStr"/>
      <c r="I165" t="inlineStr">
        <is>
          <t>**Get to know Okta**
 Okta is The World’s Identity Company. We free everyone to safely use any technology, anywhere, on any device or app. Our flexible and neutral products, Okta Platform and Auth0 Platform, provide secure access, authentication, and automation, placing identity at the core of business security and growth.
 At Okta, we celebrate a variety of perspectives and experiences. We are not looking for someone who checks every single box \- we’re looking for lifelong learners and people who can make us better with their unique experiences.
 Join our team! We’re building a world where Identity belongs to you.
 Background
 As the Principal Product Manager for Login, you will own the "front door" for hundreds of millions of users accessing thousands of global products and services. The Login team at Auth0 provides highly secure, customizable, and performant hosted login authentication, enabling billions of successful logins for end\-users around the world.
 This is a high\-impact, high\-visibility role. You will be responsible for defining the future of the hosted login experience—defining secure\-by\-design authentication flows that empower customers to offer the low\-friction UX that modern brands demand. You aren't just building a login box; you are building flexible, secure, and seamless access to products and services offered by the worlds biggest and most recognizable brands.
 Role overview
 We need an experienced, technical product manager to direct the evolution of Universal Login and supporting capabilities to yield measurable business outcomes.
 The Principal Product Manager in this role will translate high\-level, strategic direction into actionable requirements and user stories. They will work with stakeholders to deliver rapid, incremental customer value aligned with a north star vision for providing world\-class authentication methods. They will actively negotiate scope to maintain momentum, balance technical innovation with customer requests, and ensure exceptional standards of quality.
 The Principal Product Manager will not merely execute a roadmap, but will architect long\-term plans and define a vision for the future of Login. This is a leadership role, requiring effective collaboration with product, engineering, design, executive leadership, and customers. The product manager will partner with marketing, documentation, design, and other teams to bring new capabilities to market. More details in the candidate shape / job description.
 Must Have
* Developer awareness/experience \- Our primary personas are developers. The PM must understand developer needs first\-hand; especially as many capabilities are exposed via Actions (experience with Node.js is a huge plus).
* Familiarity with Identity, Login and Multi\-Factor Authentication patterns, products, and concepts
* Leadership qualities \- A PM is a leadership role and and the PM is expected to exhibit initiative, discretion, calm amidst stress, and be able to represent their work up and across the organization
* Strong desire to learn \- Auth0 is a large, complex product and the PM has to invest the time to learn how MFA/authentication methods work across the product; both from a customer perspective and in terms of dependencies/interactivity
 Nice To Have:
* Experience implementing CIC/Auth0
* Previous employment in identity, security, or adjacent companies
 P\-3290
 Below is the annual base salary range for candidates located in California (excluding San Francisco Bay Area), Colorado, Illinois, New York and Washington. Your actual base salary will depend on factors such as your skills, qualifications, experience, and work location. In addition, Okta offers equity (where applicable), bonus, and benefits, including health, dental and vision insurance, 401(k), flexible spending account, and paid leave (including PTO and parental leave) in accordance with our applicable plans and policies. To learn more about our Total Rewards program please visit: https://rewards.okta.com/us.
 The annual base salary range for this position for candidates located in California (excluding San Francisco Bay Area), Colorado, Illinois, New York, and Washington is between:
 $220,000—$302,500 USD
**What you can look forward to as a Full\-Time Okta employee!**
* Amazing Benefits
* Making Social Impact
* Developing Talent and Fostering Connection \+ Community at Okta
 Okta cultivates a dynamic work environment, providing the best tools, technology and benefits to empower our employees to work productively in a setting that best and uniquely suits their needs. Each organization is unique in the degree of flexibility and mobility in which they work so that all employees are enabled to be their most creative and successful versions of themselves, regardless of where they live. Find your place at Okta today! https://www.okta.com/company/careers/.
 Some roles may require travel to one of our office locations for in\-person onboarding.
 Okta is an Equal Opportunity Employer. All qualified applicants will receive consideration for employment without regard to race, color, religion, sex, sexual orientation, gender identity, national origin, ancestry, marital status, age, physical or mental disability, or status as a protected veteran. We also consider for employment qualified applicants with arrest and convictions records, consistent with applicable laws.
 If reasonable accommodation is needed to complete any part of the job application, interview process, or onboarding please use this Form to request an accommodation.
**Notice for New York City Applicants \&amp; Employees:** 
 Okta may use Automated Employment Decision Tools (AEDT), as defined by New York City Local Law 144, that use artificial intelligence, machine learning, or other automated processes to assist in our recruitment and hiring process. In accordance with NYC Local Law 144, if you are an applicant or employee residing in New York City, please
 **click here** 
 to view our full NYC AEDT Notice.
 Okta is committed to complying with applicable data privacy and security laws and regulations. For more information, please see our Personnel and Job Candidate Privacy Notice at https://www.okta.com/legal/personnel\-policy/.</t>
        </is>
      </c>
    </row>
    <row r="166">
      <c r="A166" t="inlineStr">
        <is>
          <t>li-4372886041</t>
        </is>
      </c>
      <c r="B166" t="inlineStr">
        <is>
          <t>Product Owner</t>
        </is>
      </c>
      <c r="C166" t="inlineStr">
        <is>
          <t>Cantor Fitzgerald</t>
        </is>
      </c>
      <c r="D166" t="inlineStr">
        <is>
          <t>linkedin</t>
        </is>
      </c>
      <c r="E166">
        <f>HYPERLINK("https://www.linkedin.com/jobs/view/4372886041", "https://www.linkedin.com/jobs/view/4372886041")</f>
        <v/>
      </c>
      <c r="F166" t="inlineStr"/>
      <c r="G166" t="inlineStr"/>
      <c r="H166" t="inlineStr"/>
      <c r="I166" t="inlineStr">
        <is>
          <t>**Role: Data Lake Technical Product Owner** 
**Job Description:** 
 We are looking for a motivated Data Lake Technical Product Owner with a strong foundation in data products and data ownership. The ideal candidate will be able to develop the strategic vision for a financial organization's new centralized data repository but also have hands\-on experience in data governance and technical requirements of such a platform. They will bridge technical teams and business \&amp; operations stakeholders, ensuring the data platform is scalable, secure, and provides high\-quality data to drive analytics, client reporting and regulatory submissions. They will also thrive in a flat organizational structure in a company undergoing multiple technical reengineering efforts.
**Education Level:** 
* Bachelor’s or Master’s degree in Computer Science, Engineering, or a related field (or relevant work experience).
**Key Responsibilities:** 
* Strategy \&amp; Roadmap: Define and maintain the vision, roadmap, and prioritization of features for the data platform.
* Data Governance \&amp; Security: Author, build consensus around and enforce policies for data privacy, compliance, and data classification.
* Stakeholder Management: Act as the primary interface for users, translating business needs into technical user stories for engineers.
* Data Quality \&amp; Cataloging: Ensure data ingested is reliable, documented, and properly cataloged for accessibility.
* Operational Excellence: Monitor data pipeline performance, optimize costs, and manage the technical lifecycle of the platform.
**Experience Required:** 
**Must Have:** 
* Financial Domain Knowledge: Experience with Equities \&amp; Equities trading, with broad knowledge across the domain.
* Technical Acumen: Strong understanding of cloud technologies (AWS, Azure), data warehousing, SQL, and data engineering principles.
* Product Management: Experience with Agile methodologies, backlog prioritization, and defining KPIs.
* Business Acumen: Ability to align technical data initiatives with business objectives and value.
* Communication: Strong skills to bridge the gap between technical teams and non\-technical stakeholders.
**Good to Have:** 
* Experience with Snowflake, Databricks, Delta Lake or other data lake platforms
* Hybrid data architecture spanning on\-prem and cloud environments.
* Knowledge of CRM platforms (Saleforce, etc) and experience integrating sales, trading and CRM data to drive business insights.
* Certifications from relevant professional organizations, such as:
* CDMP (Certified Data Management Professional)
* DCAM (Data Management Capability Assessment Model)
**About Cantor Fitzerald:** 
 Cantor Fitzgerald has offices and trading desks in all major financial centers throughout the world. We specialize in Equities, Fixed Income \&amp; Currencies, Investment Banking, Prime Services and Real Estate.
* Cantor Fitzgerald's affiliate businesses include: BGC Group, Inc. (BGC), Newmark Group, Inc. (Newmark), and GFI Group (GFI).</t>
        </is>
      </c>
    </row>
    <row r="167">
      <c r="A167" t="inlineStr">
        <is>
          <t>li-4373002054</t>
        </is>
      </c>
      <c r="B167" t="inlineStr">
        <is>
          <t>Product Manager</t>
        </is>
      </c>
      <c r="C167" t="inlineStr">
        <is>
          <t>Skai</t>
        </is>
      </c>
      <c r="D167" t="inlineStr">
        <is>
          <t>linkedin</t>
        </is>
      </c>
      <c r="E167">
        <f>HYPERLINK("https://www.linkedin.com/jobs/view/4373002054", "https://www.linkedin.com/jobs/view/4373002054")</f>
        <v/>
      </c>
      <c r="F167" t="inlineStr"/>
      <c r="G167" t="inlineStr">
        <is>
          <t>New York, NY</t>
        </is>
      </c>
      <c r="H167" t="inlineStr"/>
      <c r="I167" t="inlineStr">
        <is>
          <t>**Description**
**Ready to take your career to the next level?**
 ﻿Skai is looking for the best and the brightest to join our rapidly growing team. We're proud of our industry\-leading digital marketing software but we're even prouder of the people behind it. That's where you come in!
 ﻿Our work environment is very fast\-paced and entrepreneurial. We work hard, we play hard, and we always do whatever it takes to delight our customers
 What will you do?
* Drive product strategies by leveraging insights from paid search marketing campaigns
* Collaborate with cross\-functional teams to design and enhance product features tailored to advertisers’ needs
* Act as the voice of the customer by collecting and analyzing market feedback
* Present ideas, product updates, and insights to clients and internal stakeholders with confidence and clarity
* Stay updated on trends in Paid Search and translate them into innovative product solutions
**Requirements**
* 3\-5 years of hands\-on campaign management experience in Google Ads with specific knowledge in Perfomance Max campaigns
* Planning, executing, and optimizing campaigns to achieve performance goals (e.g., ROAS, CPA, CTR)
* Proficient in building campaign structures, setting up ad groups, and keywords tailored to platform best practices
* Strong excel skills
* Strong understanding of the paid search marketing landscape, including campaign strategies and optimization.
* Strong presentation and communication skills, with fluency in English
* BA in Industrial Engineering, Business Management, Communication or similar
* Creativity, curiosity, and a passion for building innovative marketing technology solutions
**Nice To Have**
* Experience in product management or related fields
* Technical acumen and the ability to bridge the gap between business and technical teams
* A creative mindset with a knack for thinking outside the box
* Knowledge in commerce media marketing
 We are hybrid for the long term \- with a great home/ office work mix (three days in office per week), passionate and diverse team members, and a vibrant company culture.
 The salary range for this position is $140,000 to $150,000 plus bonuses. The actual salary amount will vary depending on the applicants experience, skills and abilities as well as internal equity and market data.
**Join us! We've been looking for you**
**Equal Opportunity Employer**
**Skai, Inc. is an Equal Opportunity Employer. At Skai, we believe ensuring a diverse, equitable, and inclusive workplace is not just an ideal to strive for; it is right, necessary, and our responsibility as humans. Our full** 
 DE\&amp;I commitment and global framework can be viewed on our company website and are aligned to our core values . We strongly encourage and seek applications from women, people of color, and bilingual and bicultural individuals, as well as members of the lesbian, gay, bisexual, and transgender communities. Applicants shall not be discriminated against because of race, religion, sex, national origin, ethnicity, age, disability, political affiliation, sexual orientation, gender identity, color, marital status, medical condition including acquired immune deficiency syndrome (AIDS) and AIDS\-related conditions, or any other protected status. Also pursuant to the San Francisco Fair Chance Ordinance, we encourage and will consider for employment qualified applicants with arrest and conviction records.
**Applicants With Disabilities**
**﻿**
**Reasonable accommodation will be made so that qualified disabled applicants may participate in the application process. Please advise in writing of special needs at the time of application.**
**Skai is an E\-Verify employer**
**﻿**</t>
        </is>
      </c>
    </row>
    <row r="168">
      <c r="A168" t="inlineStr">
        <is>
          <t>li-4195252962</t>
        </is>
      </c>
      <c r="B168" t="inlineStr">
        <is>
          <t>Product Manager, AI Quality</t>
        </is>
      </c>
      <c r="C168" t="inlineStr">
        <is>
          <t>Glean</t>
        </is>
      </c>
      <c r="D168" t="inlineStr">
        <is>
          <t>linkedin</t>
        </is>
      </c>
      <c r="E168">
        <f>HYPERLINK("https://www.linkedin.com/jobs/view/4195252962", "https://www.linkedin.com/jobs/view/4195252962")</f>
        <v/>
      </c>
      <c r="F168" t="inlineStr"/>
      <c r="G168" t="inlineStr"/>
      <c r="H168" t="inlineStr"/>
      <c r="I168" t="inlineStr">
        <is>
          <t>**About Glean**
 Founded in 2019, Glean is an innovative AI\-powered knowledge management platform designed to help organizations quickly find, organize, and share information across their teams. By integrating seamlessly with tools like Google Drive, Slack, and Microsoft Teams, Glean ensures employees can access the right knowledge at the right time, boosting productivity and collaboration. The company’s cutting\-edge AI technology simplifies knowledge discovery, making it faster and more efficient for teams to leverage their collective intelligence.
 Glean was born from Founder \&amp; CEO Arvind Jain’s deep understanding of the challenges employees face in finding and understanding information at work. Seeing firsthand how fragmented knowledge and sprawling SaaS tools made it difficult to stay productive, he set out to build a better way \- an AI\-powered enterprise search platform that helps people quickly and intuitively access the information they need. Since then, Glean has evolved into the leading Work AI platform, combining enterprise\-grade search, an AI assistant, and powerful application\- and agent\-building capabilities to fundamentally redefine how employees work.
**About The Role**
 As Glean’s PM for Glean Model Hub, you will evaluate LLM models, define the roadmap for growing Glean’s LLM portfolio, manage relationships with inference and model providers, and determine product strategy for allowing customers to experiment with different LLMs. You will own projections of LLM usage, cost, and capacity planning while driving customer enablement and their upgrade adoption journey for the latest LLMs and LLM\-native capabilities.
**You Will**
* Spending a lot of time with our customers to deeply understand their knowledge needs
* Developing key parts of our product roadmap, marrying customers’ needs with our product vision
* Empowering your team by giving context, setting direction, and building alignment
* Driving customer\-focused decisions, clear prioritization, and efficient execution
* Coordinating cross\-functionally with with leadership, go\-to\-market teams, and other key stakeholders across the company
* Building processes that will scale as our team and company go through rapid growth
**About You**
* You have 4\+ years of experience in product management at SaaS companies, primarily serving large enterprises with responsibilities spanning AI/ML Ops and external\-facing platform capabilities.
* Having built or worked with LLMs for at\-scale products is a major plus.
* You have a strong technical background and experience with both UX and API driven products and 3rd party product partnerships.
* You are an excellent written and verbal communicator.
* You have a proven track record of taking ownership, taking initiative, and delivering results.
* You collaborate effectively with cross\-functional partners.
* You have a learning and growth mindset.
* You are mission\-first and understand that your success is measured by your product and team’s success.
* You are an early adopter in building with or adopting AI for your own product craft and you are excited about helping customers accelerate their own AI adoption journey.
**Location:**
* This role is hybrid (3\-4 days a week in one of our SF Bay Area offices)
**Compensation \&amp; Benefits**
 The standard base salary range for this position is $160,000 \- $240,000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169">
      <c r="A169" t="inlineStr">
        <is>
          <t>li-4372885590</t>
        </is>
      </c>
      <c r="B169" t="inlineStr">
        <is>
          <t>Product Manager</t>
        </is>
      </c>
      <c r="C169" t="inlineStr">
        <is>
          <t>Dufry</t>
        </is>
      </c>
      <c r="D169" t="inlineStr">
        <is>
          <t>linkedin</t>
        </is>
      </c>
      <c r="E169">
        <f>HYPERLINK("https://www.linkedin.com/jobs/view/4372885590", "https://www.linkedin.com/jobs/view/4372885590")</f>
        <v/>
      </c>
      <c r="F169" t="inlineStr"/>
      <c r="G169" t="inlineStr">
        <is>
          <t>Queens, NY</t>
        </is>
      </c>
      <c r="H169" t="inlineStr"/>
      <c r="I169" t="inlineStr">
        <is>
          <t>Join
 **Dufry by Avolta** 
 , a global leader in Duty\-Free travel retail, as a
 **Product Manager** 
 at
 **John F. Kennedy International Airport – Terminal 6** 
 . In this role, you will lead the planning, monitoring, and optimization of retail operations across beauty, liquor, tobacco, food, and luxury categories, ensuring product availability, visual merchandising excellence, and exceptional customer experiences for travelers.
**Your Team is counting on you as an Operations Product Manager to:** 
* Provide flexibility to work any shift, any day of the week, including weekends \&amp; holidays
* Work a full\-time schedule
**Operations Product Manager Job Responsibilities:** 
* Analyze Category and Brand Performance, on weekly and monthly basis
* Confirm the correct implementation of pricing, policies, and advertising spaces
* Coordinate the implementation of the promotional plan. For those periods without a central promotion, proposes and coordinates with category managers/ procurement the negotiation with local, promotional and submit them to the General Manager for approval.
* Follow up on promotions, implementation (stock availability, marketing, material, and tastings).
* Ensure the correct execution of marketing strategies and visual merchandising guidelines.
* Responsible for reporting item/ assortment management issues that linked to central Master Date
* Establish \&amp; develop an effective relationship with our Brand partners in\-store to maximize category performance and potential business opportunities. Including working with brands to secure additional funding and optimization of cover. In conjunction with space planning ensure defined planograms are adhered to ensuring effective application and review of all H\&amp;S, risk and compliance policies relevant for location.
**We're looking for a product manager to oversee the following categories:** 
**Beauty (Perfumery \&amp; Cosmetics)** 
* Work collaboratively with a curated selection of beauty brands such as Chanel, Dolce \&amp; Gabbana, Christian Dior \&amp; Tom Ford.
* Implement a program of bespoke, interactive beauty services designed for travelers.
* Support product launches and campaigns through entertainment and engaging activity.
* Propose sales forecasts and negotiate funding for team incentives.
* Utilize and develop digital elements of the beauty category (e.g. Fragrance Finder).
**Liquor, Tobacco \&amp; Food** 
* Work with world leading brands across an extensive range of whiskies, spirits, champagne \&amp; fine wines.
* Liaise with local and international confectionery and tobacco brands such as Godiva, Mondelez and Marlboro.
* Develop a program of sampling and tastings to enhance the customer experience.
* Create training opportunities alongside specialist brand partners.
* Utilize and develop digital elements of the liquor category (e.g. Whisky Finder).
**Luxury (Watches, Jewelry, Textiles, Leather)** 
* Work with luxury sunglasses, watches and bags brand partners including Rayban, Breitling and Mont Blanc.
* Support commercial initiatives including the introduction of new products.
* Generate seasonal incentive opportunities linked to the customer agenda.
* Create opportunities for extensive brand training and product knowledge development.
* Ensure exceptional visual merchandising standards.
**Required Qualifications:** 
* 3 years of retail experience with at least 1 year in a similar commercial role.
* Abilities to work with systems, spreadsheets and analyze stock predictions to ensure sufficient stock levels.
* Leadership qualities and demonstrated organizational skills.
* Demonstrated ability to build effective teams.
* Excellent time\-management skills and problem\-solving abilities.
* Strong interpersonal skills with an ability to interact with diverse personalities.
* Ability to multi\-task.
**What we will offer you:** 
* Competitive Salary of:
 **$68,354 \- $80,417 annually \+ quarterly bonus**
* Daily Pay\- Get your money as you earn it
* 20% Dufry, Hudson \&amp; HMSHost products
* PTO
* Personal and Parental Leave Programs
* Medical, Dental \&amp; Vision Insurance
* Company Paid Life Insurance
* Employee Recognition Programs
* Advancement and Growth Opportunities
* On\-going Training \&amp; Development
*Avolta, including Dufry, HMSHost Corporation, Hudson, and affiliates (“the Company”), is an equal opportunity employer. It is the Company’s policy to ensure equal employment opportunity in all aspects of employment and to comply with anti\-discrimination laws and regulations. The Company prohibits discrimination and harassment of any type and provides equal opportunities to applicants and team members without regard to actual or perceived race, color, creed, age, religion, sex or gender (including pregnancy, childbirth, related medical conditions and lactation), gender identity or gender expression (including transgender status), sexual orientation, national origin, disability, military service and veteran status, ancestry, citizenship status, marital status, protected medical condition as defined by applicable state or local law, genetic information, or any other basis protected by applicable federal, state or local laws and ordinances (referred to as “protected characteristics”)*</t>
        </is>
      </c>
    </row>
    <row r="170">
      <c r="A170" t="inlineStr">
        <is>
          <t>li-4373971420</t>
        </is>
      </c>
      <c r="B170" t="inlineStr">
        <is>
          <t>Product Owner (Remote Position)</t>
        </is>
      </c>
      <c r="C170" t="inlineStr">
        <is>
          <t>Lensa</t>
        </is>
      </c>
      <c r="D170" t="inlineStr">
        <is>
          <t>linkedin</t>
        </is>
      </c>
      <c r="E170">
        <f>HYPERLINK("https://www.linkedin.com/jobs/view/4373971420", "https://www.linkedin.com/jobs/view/4373971420")</f>
        <v/>
      </c>
      <c r="F170" t="inlineStr"/>
      <c r="G170" t="inlineStr">
        <is>
          <t>St Louis, MO</t>
        </is>
      </c>
      <c r="H170" t="inlineStr"/>
      <c r="I17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Omnigo Software. Clicking "Apply Now" or "Read more" on Lensa redirects you to the job board/employer site. Any information collected there is subject to their terms and privacy notice.
**Job Summary**
 We’re expanding our product portfolio across Healthcare, Higher Education, K\-12, and Corporate security operations. As a Product Owner, you will be the voice of the customer and the owner of the backlog for one or more products/modules, turning market and customer needs into clear, prioritized work for the engineering teams. You’ll partner tightly with Product Managers to drive release goals, and collaborate daily with Engineering, QA, Product Operations, Go\-to\-Market, Customer Success, and Support to deliver outcomes that customers adopt and love.
 What You’ll Deliver
* Vertical impact: Features that measurably improve workflows for hospital security (HIPAA\-aware), campus police \&amp; public safety (Clery, FERPA\-aware), district/ K\-12 operations (student safety/FERPA), and corporate security teams.
* Adoption \&amp; value: Tangible increases in adoption/usage of new capabilities and reduction in time\-to\-value for target segments.
* Release reliability: Sprint goals met, predictable release cadence, and crisp acceptance criteria that reduce rework.
* Backlog health: Customer\-validated, outcomes\-based backlog with clear prioritization, dependencies, and capacity signals.
 Key Responsibilities Backlog \&amp; Delivery
* Own and continuously refine the product backlog; write user stories and acceptance criteria; manage sprint planning, reviews, and backlog grooming.
* Define release goals with the Product Manager; collaborate with Engineering and QA to ensure sprint commitments are achieved.
* Perform functional validation/UAT and sign off on increments; track defects and drive fast resolution.
 Customer \&amp; Market
* Translate voice\-of\-customer and market input into features that work across multiple vertical markets (Healthcare, Higher Ed, K\-12\).
* Partner with Customer Success/Support to mine feedback and usage signals; ensure product decisions reflect real\-world workflows for campus, hospital, and corporate security teams.
 Go\-to\-Market \&amp; Launch
* Coordinate with Product Operations and cross\-functional stakeholders (Sales Enablement, Marketing, Professional Services, Support) to ensure launch readiness (pricing, positioning, FAQs, training, rollout plans).
* Provide field\-ready artifacts (release notes, demos/scripts) and support early adopters.
 Platform \&amp; Portfolio Context (nice to have)
* Work with adjacent modules/products to ensure seamless hand\-offs across the incident lifecycle; understand how capabilities integrate across Web Dispatch, iTrak, ICMS, Command \&amp; Planning, and TraQ7 where applicable.
* Collaborate with internal and external engineering partners (including dedicated offshore teams) using our standard SDLC processes.
**Qualifications**
* 5–8\+ years in Product Owner/Business Analyst/Product roles for B2B SaaS or enterprise software; proven delivery in agile environments.
* Domain familiarity with security operations in Healthcare, Higher Education, K\-12, or Corporate; understanding of data privacy/compliance considerations (e.g., HIPAA, FERPA, Clery).
* Expert at writing high\-quality user stories and acceptance criteria; comfortable with Jira/Azure DevOps and product analytics.
* Strong stakeholder communication—able to balance customer outcomes, technical constraints, and commercial goals.
* Experience coordinating cross\-functional launches and enablement with Product Ops/Marketing/Sales/Services/Support.
* Bonus: Exposure to our portfolio (e.g., REX/Web Dispatch, ICMS, Rhodium, QueTel/TraQ7\), or similar safety/security products.
 Success Metrics
* Sprint goal achievement rate; cycle time/throughput; escaped defect rate.
* Feature adoption within target verticals; customer satisfaction on new releases; time\-to\-value.
* Backlog health indicators (clarity, prioritization, stakeholder alignment) and launch readiness scorecards.
 How We Work
 Product Owners partner with Product Managers at the release level to translate strategy into executable sprint goals and work closely with Engineering/QA to hit those goals—bringing customer context into daily decisions. We leverage fully\-embedded engineering partners (onshore/offshore) within our SDLC to scale delivery while maintaining quality.
 EOE/M/F/Disabled/Vet
 This company is an equal opportunity employer and makes employment decisions without regard to race, color, religion, sex, national origin, age, disability or protected veteran status. All qualified applicants will receive consideration for employment.
 If you have questions about this posting, please contact support@lensa.com</t>
        </is>
      </c>
    </row>
    <row r="171">
      <c r="A171" t="inlineStr">
        <is>
          <t>li-4374113196</t>
        </is>
      </c>
      <c r="B171" t="inlineStr">
        <is>
          <t>Associate Product Manager</t>
        </is>
      </c>
      <c r="C171" t="inlineStr">
        <is>
          <t>LevelTen Energy</t>
        </is>
      </c>
      <c r="D171" t="inlineStr">
        <is>
          <t>linkedin</t>
        </is>
      </c>
      <c r="E171">
        <f>HYPERLINK("https://www.linkedin.com/jobs/view/4374113196", "https://www.linkedin.com/jobs/view/4374113196")</f>
        <v/>
      </c>
      <c r="F171" t="inlineStr"/>
      <c r="G171" t="inlineStr">
        <is>
          <t>Seattle, WA</t>
        </is>
      </c>
      <c r="H171" t="inlineStr"/>
      <c r="I171" t="inlineStr">
        <is>
          <t>Role Purpose
 LevelTen Energy’s mission is to accelerate the energy transition by facilitating frictionless transactions. As the leading provider of renewable transaction infrastructure, we deliver the cloud\-based software, centralized supply, automated analytics, and transaction expertise required to power the renewable energy economy. The LevelTen Platform is the world’s largest online hub for renewable energy buyers, sellers, advisors, asset owners and financiers, and delivers the online tools and expertise they need to buy, sell and finance assets quickly.
*Join us on a mission that matters.*
 We’re looking for an Associate Product Manager (APM) to support the definition, validation, and scaling of LevelTen’s transactable products. This role is ideal for someone with 1–2 years of experience—especially candidates coming from data analyst or analytics\-adjacent backgrounds—who wants to grow into product management by working deeply on data, requirements, and buyer\-facing insights.
 You’ll partner closely with our Commercial and Analytics teams to define product and data requirements, ensure high\-quality inputs, and support the analytics and visualizations that enable buyers to confidently transact on our platform.
 Duties and Responsibilities
* Support the definition and evolution of LevelTen’s transactable products (e.g., Power Purchase Agreements, capacity contracts, and related offerings)
* Partner with Commercial and Analytics teams to understand buyer and seller decision\-making and translate those needs into clear product and data requirements
* Define, document, and validate the data required to support analytics, pricing insights, and buyer decision\-making
* Work closely with Analytics to ensure models, pipelines, and analytical outputs can run effectively on defined data inputs
* Help define and iterate on buyer\-facing and internal data visualizations, dashboards, and summary views
* Write clear product requirements, data definitions, and documentation that support downstream analytics and engineering work
* Assist with testing, validation, and iteration of product features before and after release, with a strong focus on data correctness
* Communicate product updates and progress effectively to internal and external stakeholders.
**Qualifications**
* 1–2 years of experience in product management, data analysis, analytics, consulting, or a related role
* Strong analytical skills and comfort working with structured datasets, with keen attention to detail
* Experience as a data analyst or in a data\-heavy role is a strong plus
* Working knowledge of SQL or similar query languages, with experience using queries to explore, validate, and troubleshoot structured dataset
* Ability to translate customer and business needs into clear, actionable product and data documentation
* Demonstrated ability to work collaboratively with cross\-functional teams, including Product, Commercial, and Analytics partners
* Strong problem\-solving skills and comfort operating in ambiguous problem spaces
* Excellent verbal and written communication skills
* Familiarity with agile development methodologies and tools such as Jira, Confluence, or similar is a plus
* Interest in renewable energy, energy markets, or sustainability (prior experience is a plus but not required)
 Benefits / Perks
* Full Medical, Vision and Dental coverage
* Wellness Credit
* Flexible vacation policy
* 11 paid company holidays
* 401k
 In the Seattle office
* Casual dress code
* Commuter benefits
* Standing desk options
* Regular company\-sponsored happy hours
* Hybrid in\-office/work from home schedule
 Additional Information
* This position is based out of our office in the Belltown neighborhood of Seattle, WA (hybrid work schedule).
* The estimated compensation for this position is $86,000 \- $105,000 per year, based on experience and qualifications. In addition, this position is eligible for an annual bonus and an equity grant.
* Must be legally authorized to work in the U.S. without a current or future need for visa sponsorship.
**About LevelTen Energy**
 LevelTen Energy is the leading provider of transaction infrastructure for the clean energy transition, connecting buyers, sellers, and financiers through dynamic marketplaces, data\-driven insights, and automated analytics. The LevelTen Platform supports power purchase agreements, clean energy asset M\&amp;A transactions, and tax credit transfers—soon expanding to granular certificate trading—enabling organizations to execute and manage transactions with confidence. With a network of over 1,000 project developers in 35 countries, LevelTen is advancing carbon\-free energy markets by increasing transparency, liquidity, and accessibility. Learn more at LevelTenEnergy.com.
 Equal Opportunity Employer
 LevelTen Energy is an Equal Opportunity Employer committed to a diverse and inclusive workforce. All qualified applicants will receive consideration for employment without regard to race, color, religion, sex, national origin, disability, protected veteran status, marital status, age, sexual orientation, gender identity or expression, or any other legally protected status.
 Accessibility
 If you are an individual with a disability and need assistance completing the online application or during the interview process, please call 1\-800\-995\-2152\. Please leave a message and a member of our People team will return your call within three business days. Alternatively, an email may be sent to hr@leveltenenergy.com. “Applicant Accommodation” should be included in the subject line of the email. Please note that this phone number and email are only for those individuals who would like to request an accommodation to apply for a job.</t>
        </is>
      </c>
    </row>
    <row r="172">
      <c r="A172" t="inlineStr">
        <is>
          <t>li-4374101149</t>
        </is>
      </c>
      <c r="B172" t="inlineStr">
        <is>
          <t>Product Owner</t>
        </is>
      </c>
      <c r="C172" t="inlineStr">
        <is>
          <t>Stelvio Inc.</t>
        </is>
      </c>
      <c r="D172" t="inlineStr">
        <is>
          <t>linkedin</t>
        </is>
      </c>
      <c r="E172">
        <f>HYPERLINK("https://www.linkedin.com/jobs/view/4374101149", "https://www.linkedin.com/jobs/view/4374101149")</f>
        <v/>
      </c>
      <c r="F172" t="inlineStr"/>
      <c r="G172" t="inlineStr">
        <is>
          <t>Phoenix, AZ</t>
        </is>
      </c>
      <c r="H172" t="inlineStr"/>
      <c r="I172" t="inlineStr">
        <is>
          <t>Product Owner – e\-Clearance
 Hybrid \| Downtown Phoenix, AZ
 Stelvio is working with a client operating at scale in the
 **transportation and mobility technology** 
 space. This is a product\-led organisation solving complex, high\-impact problems where software is used in live, mission\-critical environments.
 The Role
 We’re looking for an experienced
 **Product Owner** 
 to take ownership of development for an
 **e\-Clearance product area** 
 . You’ll work in a fast\-moving, highly collaborative environment, partnering closely with Product Management, Engineering, Design, QA, and business stakeholders.
 Your focus will be translating product vision and business objectives into clear, actionable backlog items and ensuring the team is consistently delivering value to customers. This role requires strong judgement, comfort working with complex systems, and the ability to operate effectively where priorities evolve.
 What You’ll Do
* Own, prioritise, and maintain the product backlog in line with business and product goals
* Develop a strong understanding of customer operations and how the product delivers operational value
* Prioritise features and user stories within sprints to maximise customer impact
* Ensure backlog items are well defined, understood, and appropriately estimated
* Lead sprint planning, backlog refinement, and discovery activities
* Translate requirements into clear, actionable user stories for development teams
* Review product performance and use insights to propose improvements to customer experience
* Act as a product domain expert and key point of contact for internal and external stakeholders
* Work closely with engineering, design, and QA to maintain quality and consistency
* Identify opportunities to improve processes, delivery, and outcomes
* Stay current with Agile best practices and relevant industry trends
 You
* Bachelor’s degree or equivalent practical experience
* 5\+ years’ experience as a Product Owner or in a closely related role
* Strong background in business process and requirements analysis
* Experience working with complex, interconnected systems
* Solid understanding of Agile methodologies, particularly Scrum
* Hands\-on experience with backlog management tools such as Jira or Azure DevOps
* Strong communication, decision\-making, and organisational skills
* Familiarity with user\-centred design principles
* Comfortable influencing cross\-functional teams without formal authority
* Willingness to travel occasionally
 Benefits
* Medical, dental, and vision coverage from day one
* Paid time off including vacation, sick time, holidays, and floating holidays
* 401(k) with employer match
* Company\-funded lifestyle allowance supporting physical and mental wellbeing
* Tuition reimbursement
* Access to voluntary benefits such as legal and pet programs
* Employee Assistance Program at no cost
* Strong focus on employee wellbeing, development, and community involvement</t>
        </is>
      </c>
    </row>
    <row r="173">
      <c r="A173" t="inlineStr">
        <is>
          <t>li-4372881928</t>
        </is>
      </c>
      <c r="B173" t="inlineStr">
        <is>
          <t>Product Manager</t>
        </is>
      </c>
      <c r="C173" t="inlineStr">
        <is>
          <t>Lawrence Harvey</t>
        </is>
      </c>
      <c r="D173" t="inlineStr">
        <is>
          <t>linkedin</t>
        </is>
      </c>
      <c r="E173">
        <f>HYPERLINK("https://www.linkedin.com/jobs/view/4372881928", "https://www.linkedin.com/jobs/view/4372881928")</f>
        <v/>
      </c>
      <c r="F173" t="inlineStr"/>
      <c r="G173" t="inlineStr"/>
      <c r="H173" t="inlineStr"/>
      <c r="I173" t="inlineStr">
        <is>
          <t>Lawrence Harvey has been engaged by a technology company developing AI\-driven software for large\-scale industrial construction projects in a position that is critical to commercializing a portfolio of intelligent workflow tools embedded directly into real\-world operations.
 They are looking for a
 **Product Manager** 
 who will own the end\-to\-end lifecycle of multiple AI agents, from discovery and rapid prototyping through pilot validation and scaled deployment. This individual will work closely with engineering and field stakeholders to map real workflows, define product direction, and merge a portfolio of agents into a cohesive commercial offering.
 The successful candidate will be joining a highly technical, fast\-paced, and collaborative team operating in a hands\-on discovery environment and will play a key role in shaping how AI is applied to complex construction programs.
 This is an opportunity to join a technology\-driven organization in a role that offers true ownership, measurable impact, and direct exposure to executive leadership while building products that improve how large industrial projects are planned and executed.
 The Ideal Candidate has:
 • 4\+ years of Product Management experience delivering B2B software from discovery through launch and iteration
 • Experience building workflow\-driven software tools, ideally within construction, EPC, infrastructure, or industrial environments
 • Strong ability to translate operational processes into clear product artifacts, roadmaps, and measurable success metrics
 • Exposure to AI, automation, enterprise integrations, or systems\-of\-record environments is a plus
 If this aligns well with your experience, please feel free to APPLY NOW</t>
        </is>
      </c>
    </row>
    <row r="174">
      <c r="A174" t="inlineStr">
        <is>
          <t>li-4372885223</t>
        </is>
      </c>
      <c r="B174" t="inlineStr">
        <is>
          <t>Product Owner</t>
        </is>
      </c>
      <c r="C174" t="inlineStr">
        <is>
          <t>Capgemini</t>
        </is>
      </c>
      <c r="D174" t="inlineStr">
        <is>
          <t>linkedin</t>
        </is>
      </c>
      <c r="E174">
        <f>HYPERLINK("https://www.linkedin.com/jobs/view/4372885223", "https://www.linkedin.com/jobs/view/4372885223")</f>
        <v/>
      </c>
      <c r="F174" t="inlineStr"/>
      <c r="G174" t="inlineStr">
        <is>
          <t>Chicago, IL</t>
        </is>
      </c>
      <c r="H174" t="inlineStr"/>
      <c r="I174"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**Role\- Sr. Product owner with Payments** 
**Location\- Chicago, IL\- Hybrid** 
**Responsibilities:** 
* Independently oversees the design process for an application and innovates unique solution patterns for that application Demonstrates a deep understanding of business processes and technical building blocks to help develop product vision and strategy with Product Owners
* Trains others in and out of your department in solution design patterns
* Actively researches innovative solutions and ways to build business capabilities
* Work with executive level stakeholders on new payment services business strategies and create the architectures to realize the required capabilities
* Create and maintain the Technology vision and roadmap for the financial clearing and settlement product area
* Accountable for working with the product area architects to incorporate the technical enhancements in their target architectures and technical roadmaps
* Provide consulting to payment services architects and application teams on best practices
* Work with the third\-party vendors for product evaluations roadmaps feature implementations
**Minimum Qualifications** 
* 10 Years Software Development Software Engineering Technical Architecture or related
* Internal applicants only technical proficiency rating of expert on the Dreyfus architecture scale
* Hands on experience with Architecture and designing
* In\-depth knowledge and experience in payment transaction clearing settlement fee billing and pricing
* Experience with Payment networks Banking industry and Debit card processing
* Experience building high performing scalable systems that adapt and grow to customer needs
* Architecture patterns Integration patterns Right sizing the services Micro services
* Familiarity using Kubernetes AWS or other cloud computing services
* Architecture and design documentation using industry standard tools
* Good communication and presentation skills
 The base compensation range for this role in the posted location is: $110,000\-130,000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Paid time off based on employee grade (A\-F), defined by policy: Vacation: 12\-25 days, depending on grade, Company paid holidays, Personal Days, Sick Leave
 Medical, dental, and vision coverage (or provincial healthcare coordination in Canada)
 Retirement savings plans (e.g., 401(k) in the U.S., RRSP in Canada)
 Life and disability insurance
 Employee assistance programs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175">
      <c r="A175" t="inlineStr">
        <is>
          <t>li-4374109024</t>
        </is>
      </c>
      <c r="B175" t="inlineStr">
        <is>
          <t>Associate Product Manager</t>
        </is>
      </c>
      <c r="C175" t="inlineStr">
        <is>
          <t>Judi Health</t>
        </is>
      </c>
      <c r="D175" t="inlineStr">
        <is>
          <t>linkedin</t>
        </is>
      </c>
      <c r="E175">
        <f>HYPERLINK("https://www.linkedin.com/jobs/view/4374109024", "https://www.linkedin.com/jobs/view/4374109024")</f>
        <v/>
      </c>
      <c r="F175">
        <f>HYPERLINK("https://grnh.se/vkzk6uu78us&amp;urlHash=5o_T", "https://grnh.se/vkzk6uu78us&amp;urlHash=5o_T")</f>
        <v/>
      </c>
      <c r="G175" t="inlineStr">
        <is>
          <t>New York, NY</t>
        </is>
      </c>
      <c r="H175" t="inlineStr"/>
      <c r="I175" t="inlineStr">
        <is>
          <t>**About Judi Health**
 Judi Health is an enterprise health technology company providing a comprehensive suite of solutions for employers and health plans, including:
* Capital Rx, a public benefit corporation delivering full\-service pharmacy benefit management (PBM) solutions to self\-insured employers,
* Judi Health™, which offers full\-service health benefit management solutions to employers, TPAs, and health plans, and
* Judi®, the industry’s leading proprietary Enterprise Health Platform (EHP), which consolidates all claim administration\-related workflows in one scalable, secure platform.
 Together with our clients, we’re rebuilding trust in healthcare in the U.S. and deploying the infrastructure we need for the care we deserve. To learn more, visit www.judi.health.
**Position Summary**
 We’re seeking a driven and collaborative Associate Product Manager to help shape the future of Judi Health’s data products.
 The ideal candidate is intellectually curious, thrives in a fast‑paced, highly collaborative environment, and is passionate about using data to build scalable analytics capabilities and models that power meaningful, data‑driven solutions.
**Position Responsibilities**
* Collaborate with other PMs, engineers, UX designers, and other stakeholders to ensure on\-time delivery of product features.
* Effectively manage and meet stakeholders’ priorities and expectations while assuming the role of a subject matter expert through deep intellectual curiosity and drive to learn.
* Partner with go\-to\-market and client\-facing teams to identify key value\-add opportunities.
* Drive the development of standardized and scalable data models.
* Analyze product data to derive insights to assist in the prioritization and post release optimization of the products.
* Translate business, analytics, and operational needs into a prioritized roadmap for the Enterprise Data Warehouse.
* Work with design team to conduct user experience testing and research.
* Collect and act on feedback from internal stakeholders and external clients to ideate and anticipate new products.
* Create and maintain team specific 15 month rolling product roadmap.
* Develop business requirements and specification documents.
* Perform backlog refinement, epic planning, and other scrum events.
* Conduct user testing prior to and post release of functionality to the customer.
* Publish value driven release notes and user guides.
* Present roadmap updates and product delivery risks to senior leadership.
* Manage and execute day\-to\-day project management functions with regards to the specific products under development.
* Support general business needs, as required.
* Responsible for adherence to the Capital Rx Code of Conduct including reporting of noncompliance.
**Minimum Qualifications**
* Bachelor’s degree or equivalent related experience.
* 2\+ years of experience in a Product Management role, Software Engineering role or related work experience.
* Experience with pharmacy benefit management, health plans or other health care companies.
* Ability to conceptualize and translate complex problems into viable solutions.
* Ability to manage conflicting priorities in a deadline driven environment.
* Highly analytical; demonstratable knowledge of SQL, Excel, or other data visualization tools.
* Excellent communication and collaboration skills with ability to translate between technical and not technical audiences both verbally and in writing.
* Strong attention to detail and project management skills.
* Intellectual and professional curiosity.
* Comfort or experience in a fast\-paced, growth\-oriented environment.
* Experience with agile framework; certified Scrum Product Owner preferred.
* Experience with Github or similar source code repositories preferred.
* Demonstratable knowledge of the Python programming language preferred.
 Salary Range: $80,000 USD \- $110,000 USD
*All employees are responsible for adherence to the Capital Rx Code of Conduct including the reporting of non\-compliance. This position description is designed to be flexible, allowing management the opportunity to assign or reassign duties and responsibilities as needed to best meet organizational goals.*
*Judi Health values a diverse workplace and celebrates the diversity that each employee brings to the table. We are proud to provide equal employment opportunities to all employees and applicants for employment and prohibit discrimination and harassment of any type without regard to race, color, religion, age, sex, national origin, disability status, medical condition, genetic information, protected veteran status, sexual orientation, gender identity or expression, or any other characteristic protected by federal, state or local laws.*
 By submitting an application, you agree to the retention of your personal data for consideration for a future position at Judi Health. More details about Judi Health's privacy practices can be found at https://www.judi.health/legal/privacy\-policy.</t>
        </is>
      </c>
    </row>
    <row r="176">
      <c r="A176" t="inlineStr">
        <is>
          <t>li-4373026271</t>
        </is>
      </c>
      <c r="B176" t="inlineStr">
        <is>
          <t>Product Manager</t>
        </is>
      </c>
      <c r="C176" t="inlineStr">
        <is>
          <t>Metrc</t>
        </is>
      </c>
      <c r="D176" t="inlineStr">
        <is>
          <t>linkedin</t>
        </is>
      </c>
      <c r="E176">
        <f>HYPERLINK("https://www.linkedin.com/jobs/view/4373026271", "https://www.linkedin.com/jobs/view/4373026271")</f>
        <v/>
      </c>
      <c r="F176" t="inlineStr"/>
      <c r="G176" t="inlineStr">
        <is>
          <t>Lakeland, FL</t>
        </is>
      </c>
      <c r="H176" t="inlineStr"/>
      <c r="I176" t="inlineStr">
        <is>
          <t>**ABOUT METRC** 
 Metrc is the most trusted and experienced provider of cannabis regulatory systems in the United States and is growing extremely rapidly to expand globally. We provide a solution that combines advanced software, radio\-frequency identification (RFID) technology, a dedicated customer\-support team, and a secure database to track and trace cannabis from growth, harvest, and processing to testing, transport, and sale. As a Metrc Product Manager, you will have the opportunity to thrive in a fast\-moving, fluid environment, and be passionate about implementing change, great processes and procedures in a commercial setting at a fast\-growing technology company.
**GENERAL OVERVIEW** 
 As a Metrc Product Manager, you own the end\-to\-end lifecycle of a Metrc software product. You will act as a bridge between stakeholders, customers and development teams to ensure products are aligned with business cases and objectives and deliver exceptional value to users.
**KEY RESPONSIBILITIES** 
 • Establish a clear product vision, business case, and strategy that aligns with company objectives, competitive positioning, customer needs, and market demands.
 • Conduct market research, competitive analysis, and customer feedback to identify opportunities and validate ideas.
 • Translate concepts into detailed product requirements and specifications in collaboration with TPMs and engineering managers.
 • Lead cross\-functional teams (engineering, design, marketing, and growth) to deliver high\-quality products on time and within budget.
 • Monitor product performance using KPIs and analytics, driving continuous improvement and optimizing user satisfaction.
 • Own product success metrics such as adoption, retention, customer NPS, and company\-defined OKRs.
 • Serve as the voice of the customer, ensuring products meet their needs and address pain points.
 • Prioritize and manage the product backlog, balancing short\-term goals with long\-term vision.
 • Communicate the vision and strategy to stakeholders and development teams to align expectations and ensure clarity.
**QUALIFICATIONS\- KNOWLEDGE, SKILLS, \&amp; ABILITIES** 
**Required Qualifications** 
* Bachelor’s degree in computer science, Business Administration, or a related field (or equivalent experience).
* 5\+ years of experience as a Product Manager or similar role in a software development environment.
* Proven track record of successfully delivering software products from concept to launch.
* Strong understanding of Agile methodologies (Kanban and Scrum) with experience managing cross\-functional teams.
* Exceptional analytical and problem\-solving skills with the ability to make data\-driven decisions.
* Excellent communication, presentation, and leadership abilities.
* Proficiency in product management tools (e.g., JIRA, Confluence, or similar).
* Ability to manage multiple priorities in a fast\-paced, dynamic environment.
**Preferred Qualifications** 
* Experience with regulated industries – including Cannabis.
* Familiarity with UI/UX design principles and user\-centered design practices.
* Certifications such as Certified Product Manager (CPM), Pragmatic Institute Certification, and similar.
**TRAVEL** 
* This position will require frequent travel ranging from 15% of work time to 15% travel
**PHYSICAL DEMANDS AND WORK ENVIRONMENT** 
* Frequently required to sit
* Frequently required to talk or hear
* Continually utilize visual acuity to operate equipment, read technical information, and/or use a keyboard and mouse.</t>
        </is>
      </c>
    </row>
    <row r="177">
      <c r="A177" t="inlineStr">
        <is>
          <t>li-4354692435</t>
        </is>
      </c>
      <c r="B177" t="inlineStr">
        <is>
          <t>Product Manager - Tech, Consumer Growth</t>
        </is>
      </c>
      <c r="C177" t="inlineStr">
        <is>
          <t>Audible</t>
        </is>
      </c>
      <c r="D177" t="inlineStr">
        <is>
          <t>linkedin</t>
        </is>
      </c>
      <c r="E177">
        <f>HYPERLINK("https://www.linkedin.com/jobs/view/4354692435", "https://www.linkedin.com/jobs/view/4354692435")</f>
        <v/>
      </c>
      <c r="F177" t="inlineStr"/>
      <c r="G177" t="inlineStr">
        <is>
          <t>Newark, NJ</t>
        </is>
      </c>
      <c r="H177" t="inlineStr"/>
      <c r="I177" t="inlineStr">
        <is>
          <t>**Description**
 At Audible, we believe stories have the power to transform lives. It’s why we work with some of the world’s leading creators to produce and share audio storytelling with our millions of global listeners. We are dreamers and inventors who come from a wide range of backgrounds and experiences to empower and inspire each other. Imagine your future with us.
**About This Role**
 As a Product Manager \- Tech, Consumer Growth, you will work at the intersection of media and technology, introducing Audible's unique value proposition and immersive storytelling to new customers around the world. You will focus relentlessly on customer needs, collaborating with cross\-functional teams to launch product features that will surprise and delight our customers and drive Audible customer growth.
**About You**
 You are a customer\-obsessed product manager who thrives in fast\-paced, cross\-functional environments. You excel at driving growth initiatives with data\-driven decision making, influencing stakeholders and developing solutions that deliver best\-in\-class customer experiences. You combine strong analytical skills, persuasive communication, and the tenacity to turn ambitious ideas into results.
 As a Product Manager \- Tech, Consumer Growth, you will...
* Contribute to product roadmaps and execute features that enhance Audible's user experience and drive Audible customer growth
* Design, launch, and analyze experiments using statistical rigor to maximize customer and business value
* Prioritize backlogs, accelerate team workflows, and remove blockers to optimize feature development
* Collaborate with engineering, design, data science, and marketing teams to deliver outcomes for new customers
**About Audible**
 Audible is the leading producer and provider of audio storytelling. We spark listeners’ imaginations, offering immersive, cinematic experiences full of inspiration and insight to enrich our customers daily lives. We are a global company with an entrepreneurial spirit. We are dreamers and inventors who are passionate about the positive impact Audible can make for our customers and our neighbors. This spirit courses throughout Audible, supporting a culture of creativity and inclusion built on our People Principles and our mission to build more equitable communities in the cities we call home.
**Basic Qualifications**
* Bachelor's degree in Computer Science, Engineering, or a related technical field
* 3\+ years of experience in consumer product management, with 1\+ year in complex organizations
* Experience in data driven hypothesis testing and experimentation
* Experience working with design teams to improve the user experience for customer facing products/features
**Preferred Qualifications**
* Relevant experience in consumer growth product management
* Relevant content streaming/media/entertainment industry experience
* Expertise with growth frameworks, experimentation, and optimization of conversion metrics
* Experience with product development on mobile web and desktop surfaces
* Ability to define success metrics and leverage quantitative/qualitative data to validate assumptions and guide decisions
* Ability to understand technical trade\-offs and collaborate effectively with engineering teams on design decisions
* Ability to rally diverse teams toward shared goals and outcomes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NJ, Newark \- 142,200\.00 \- 192,300\.00 USD annually
**Company** 
 \- Audible, Inc.
 Job ID: A3152740</t>
        </is>
      </c>
    </row>
    <row r="178">
      <c r="A178" t="inlineStr">
        <is>
          <t>li-4373996684</t>
        </is>
      </c>
      <c r="B178" t="inlineStr">
        <is>
          <t>Senior Product Manager, Household Graph &amp; Ads Identity</t>
        </is>
      </c>
      <c r="C178" t="inlineStr">
        <is>
          <t>Roku</t>
        </is>
      </c>
      <c r="D178" t="inlineStr">
        <is>
          <t>linkedin</t>
        </is>
      </c>
      <c r="E178">
        <f>HYPERLINK("https://www.linkedin.com/jobs/view/4373996684", "https://www.linkedin.com/jobs/view/4373996684")</f>
        <v/>
      </c>
      <c r="F178" t="inlineStr"/>
      <c r="G178" t="inlineStr">
        <is>
          <t>Austin, TX</t>
        </is>
      </c>
      <c r="H178" t="inlineStr"/>
      <c r="I178"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The Ads Product team is responsible for monetizing Roku's platform through innovative advertising solutions across the Roku TV experience, including its premiere streaming service, The Roku Channel, on both Roku devices and off\-platform environments. Collectively, these products reach millions of users daily, creating valuable advertising inventory and engagement opportunities throughout the entire Roku ecosystem. 
**About the role** 
 We're looking for a Senior Product Manager to own Roku's Household Graph and ads identity services that power addressability, targeting, optimization, measurement, and data collaboration across Roku Ads. This role owns the identity spine of the ad platform: identifier strategy and policy, match coverage and stability, identity health, and the contracts that ensure identity works consistently across impression, conversion, and audience data in a privacy\-safe way. 
**What you'll be doing** 
* **Identity platform ownership** 
 : Own the Household Graph and ads identity services and make identity usable across the ads platform
* **Match rate optimization** 
 : Drive identity signal quality and match rate strategy by improving conversion\-to\-exposure and audience\-to\-exposure match rates through clearer identity inputs, coverage gap analysis, and prioritized roadmap decisions
* **Programmatic addressability** 
 : Improve programmatic addressability by defining and executing identity interoperability with common programmatic frameworks (e.g., UID2, ConnectID) and measuring coverage and performance impact
* **Identity health monitoring** 
 : Establish identity health monitoring and diagnostics: coverage, stability, drift, match rates, and root\-cause visibility when joins fail
* **Privacy\-safe collaboration** 
 : Enable privacy\-safe collaboration by defining identity constraints and matching patterns used in clean rooms and data collaboration workflows
* **Support data collaboration** 
 : Enable data collaboration that aligns with Roku’s privacy and data policy by defining identity constraints and matching patterns used in clean rooms and data collaboration workflows
* **Governance and monitoring** 
 : Own governance and usage monitoring, and ensure consistent implementations across teams
**We're excited if you have** 
* 5\+ years of product management experience in ad tech, identity, or ad data platform\-focused products
* Strong technical understanding of identity and addressability signals, including MAIDs, IP\-based signals, cookies, and common industry identity frameworks (e.g., UID2, ConnectID), plus familiarity with platform privacy frameworks such as AdAttributionKit
* Deep expertise in identity resolution and data contracts: match strategies, coverage/accuracy tradeoffs, join semantics, and measurement impact
* Highly analytical mindset: able to quantify value, spot gaps in assumptions, and make principled tradeoffs across privacy, reliability, durability, and monetization
* Proven ability to drive cross\-functional execution across engineering, data science, analytics, product, privacy/legal, sales/operations, and partners
* Experience defining SLAs/quality metrics and building operational tooling for high\-scale platform services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179">
      <c r="A179" t="inlineStr">
        <is>
          <t>li-4330361294</t>
        </is>
      </c>
      <c r="B179" t="inlineStr">
        <is>
          <t>Staff Product Manager - US (Remote)</t>
        </is>
      </c>
      <c r="C179" t="inlineStr">
        <is>
          <t>Luxury Presence</t>
        </is>
      </c>
      <c r="D179" t="inlineStr">
        <is>
          <t>linkedin</t>
        </is>
      </c>
      <c r="E179">
        <f>HYPERLINK("https://www.linkedin.com/jobs/view/4330361294", "https://www.linkedin.com/jobs/view/4330361294")</f>
        <v/>
      </c>
      <c r="F179" t="inlineStr"/>
      <c r="G179" t="inlineStr"/>
      <c r="H179" t="inlineStr"/>
      <c r="I179" t="inlineStr">
        <is>
          <t>**Luxury Presence** 
 is building the AI growth platform for real estate. Backed by Bessemer Venture Partners and other top investors, we're a Series C company on track to hit $100M in annual recurring revenue in the next six months. More than 87,000 real estate professionals, including over 30% of the WSJ Real Trends top 100 agents in the United States, use us to run and grow their business.
 Why this role
 This role will lead product for a new team inside our Flagship Group to accelerate Luxury Presence’s shift to an AI\-powered platform for real estate growth. Flagship owns the technology at the core of our business: stunning real estate websites and the foundational elements of Presence, our platform that enables clients and internal teams to create websites, integrate with CRMs, create beautiful presentations for home buyers and sellers, and much more.
 As a Staff Product Manager, you’ll own strategy, roadmap, execution, and rollout high\-impact, high\-complexity projects, including new offerings and strengthening our existing solutions. Working in a fast\-paced environment with a skilled designer and team of fully AI\-equipped engineers, you’ll shape the core product that our customers and internal teams rely on every day — and see your work unlock momentum across the company.
 If you want to build high\-value, intuitive, beautiful products at an AI\-forward start\-up — this is your role.
**What You’ll Do**
* Own a roadmap that increases customer value, raises quality, and removes friction across Presence
* Turn ambiguous problems into a sharp plans with clear value, scope, milestones, and metrics
* Run discovery with customers and internal teams. Validate problems, test solutions, and de\-risk early
* Write crisp PRDs, roadmaps, and decision docs that drive clarity and align stakeholders
* Sequence work for iterative delivery and fast learning
* Collaborate with Design and Engineering to ship reliable, intuitive, and delightful experiences
* Define and analyze success metrics to understand if your bets are paying off and guide future work
**What We’re Looking For**
* 5\+ years in product management, including 2–3 years leading large, complex 0→1 or major revamp initiatives
* Startup mindset — you thrive in ambiguity, are a master at finding the MVP, and balance speed with quality
* Exceptional communicator \&amp; collaborator — you drive clarity and gain trust and buy\-in within your team and across the business
* Technical product track record — you’re experienced building technical products such as integrations and APIs
* Passion for quality — you care deeply about building exceptional user experiences and nailing the details
* Fluent in AI tools — you’re an expert at leveraging AI tools to multiply your impact
**Nice to Haves**
* Experience building AI\-powered products – agentic workflows, LLM selection, prompt creation, and evaluation suites
* Familiarity with the real estate industry
**Why You’ll Love It Here**
* 🚀 Join a product\-led, design\- and AI\-forward company with real traction and a clear growth strategy
* 🎯 Drive innovation on core functionality and greenfield bets
* 💡 Work with a talented, humble, and highly collaborative team
* 🌍 Thrive in a remote\-first, async\-friendly environment
* 🌱 Grow into leadership as we expand the platform and team
**Join us in shaping the future of real estate**
 The real estate industry is in the midst of a seismic shift, and the future belongs to those who break new ground. As one of the fastest\-growing companies in the proptech and marketing sectors, Luxury Presence challenges the status quo of what technology can do for real estate agents, leaders, and brokerages.
 We're a team of agile and tenacious innovators working collaboratively to drive the industry forward. Together, we build game\-changing products that empower modern real estate entrepreneurs to dominate their markets. From award\-winning web design to agile SEO solutions to cutting\-edge AI tools, we deliver tech that anticipates market shifts and keeps our clients ahead of their competition.
 Founded in 2016 by Stanford Business School alum Malte Kramer, Luxury Presence has grown to a global team ranked on the Inc. 5000 fastest\-growing companies list three years in a row. We're backed by world\-class investors, including Bessemer Venture Partners, NextEquity Partners, Toba Capital, and Switch Ventures, and have raised $89 million to date.
 More than 18,000 real estate businesses rely on our platform, including 30% of the Wall Street Journal RealTrends top agents and teams. Additionally, many of the industry's most powerful brokerages rely on Luxury Presence as a trusted business partner.
 Every year since 2020, Luxury Presence has ranked on BuiltIn's Best Place to Work lists. HousingWire named our founder and CEO a 2024 Tech Trendsetter, we've received several Tech100 Awards, and we just scored an Inman Innovation Award for Best AI\-Powered Platform.
**Luxury Presence is an Equal Opportunity Employer.** 
 All qualified applicants will receive consideration for employment without regard to race, color, religion, sex, sexual orientation, gender identity, or national origin.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80">
      <c r="A180" t="inlineStr">
        <is>
          <t>li-4373004697</t>
        </is>
      </c>
      <c r="B180" t="inlineStr">
        <is>
          <t>Product Manager - Multi-D</t>
        </is>
      </c>
      <c r="C180" t="inlineStr">
        <is>
          <t>CentralReach</t>
        </is>
      </c>
      <c r="D180" t="inlineStr">
        <is>
          <t>linkedin</t>
        </is>
      </c>
      <c r="E180">
        <f>HYPERLINK("https://www.linkedin.com/jobs/view/4373004697", "https://www.linkedin.com/jobs/view/4373004697")</f>
        <v/>
      </c>
      <c r="F180" t="inlineStr"/>
      <c r="G180" t="inlineStr"/>
      <c r="H180" t="inlineStr"/>
      <c r="I180" t="inlineStr">
        <is>
          <t>CentralReach is a leading provider of autism and IDD care software for Applied Behavior Analysis (ABA), multidisciplinary therapy, and special education. Trusted by more than 200,000 users, we enable therapy providers, educators, and employers to scale the way they deliver ABA and related therapies with innovative technology, market\-leading industry expertise, and world\-class customer satisfaction.
 CentralReach is expanding beyond its ABA foundation to support multi\-disciplinary pediatric therapy, including Speech\-Language Pathology (SLP), Occupational Therapy (OT), and Physical Therapy (PT). We’re seeking a senior individual\-contributor Product Manager to help shape and deliver this next phase of the platform.
 This role is designed for a Product Manager who is comfortable operating at the intersection of strategy and hands\-on execution. You will contribute to Multi\-D product direction while owning end\-to\-end delivery of complex initiatives across scheduling, authorizations, billing, documentation, and reporting. Success in this role requires navigating ambiguity, deeply understanding real\-world clinic workflows, and building solutions that work across disciplines without compromising CentralReach’s ABA strengths. This role plays a critical part in ensuring CentralReach delivers true multi\-disciplinary support, not just incremental extensions of ABA workflows.
**Key Accountabilities**
* Partner with Product Leadership to help define and evolve the Multi\-Disciplinary product strategy
* Own execution for key areas of the Multi\-D roadmap, from discovery through delivery
* Help balance near\-term needs of ABA\-first organizations expanding into Multi\-D with longer\-term platform investments that enable true Multi\-Disciplinary care
* Translate complex clinical, operational, and billing workflows into clear, scalable product solutions
* Collaborate closely with Engineering, Design, Clinical, Billing, Customer Success, and Support teams
* Define and track success metrics focused on operational efficiency, accuracy, and customer impact
**Desired Skills And Experience**
* Bachelor’s degree or equivalent work experience
* 5\+ years of experience in product management, preferably in healthcare or workflow\-intensive B2B software
* Strong understanding of practice management and care delivery workflows, including scheduling, authorizations, billing, and reporting
* Experience supporting or designing for multi\-service or multi\-disciplinary environments
* Proven ability to operate effectively in ambiguous problem spaces and influence outcomes through strong product judgment and execution
 Base Salary Range
 $130,000—$150,000 USD
 Backed by Roper Technologies, Inc. (Nasdaq: ROP), and led by award\-winning CEO Chris Sullens, CentralReach is entering an exciting phase of growth, innovation, and scale.
 Recognized as one of the best places to work over 10 times by organizations such as Inc, Built In, and NJBIZ, our culture is centered around impact, inclusion, and flexibility. As a hybrid company with collaborative offices in Ft. Lauderdale, FL; Holmdel, NJ; and Verona, Italy, we foster a workplace where top talent can thrive and make a real difference in the lives of those we serve.
 We offer competitive compensation, comprehensive health benefits, generous PTO, 401(k) matching, and paid parental leave. Our team members also enjoy hybrid work schedules, career development support, wellness programs, and opportunities to give back through CR Cares™, our community engagement initiative.
 Be part of a market leader driving the future of care. Explore opportunities at centralreach.com/careers.</t>
        </is>
      </c>
    </row>
    <row r="181">
      <c r="A181" t="inlineStr">
        <is>
          <t>li-4373976780</t>
        </is>
      </c>
      <c r="B181" t="inlineStr">
        <is>
          <t>Payments Product Manager - fintech</t>
        </is>
      </c>
      <c r="C181" t="inlineStr">
        <is>
          <t>Vika Talent Solutions</t>
        </is>
      </c>
      <c r="D181" t="inlineStr">
        <is>
          <t>linkedin</t>
        </is>
      </c>
      <c r="E181">
        <f>HYPERLINK("https://www.linkedin.com/jobs/view/4373976780", "https://www.linkedin.com/jobs/view/4373976780")</f>
        <v/>
      </c>
      <c r="F181" t="inlineStr"/>
      <c r="G181" t="inlineStr"/>
      <c r="H181" t="inlineStr"/>
      <c r="I181" t="inlineStr">
        <is>
          <t>We’re looking for a high agency, domain\-strong Product Manager (or aspiring PM) to help us build a brand\-new product in the fast\-evolving world of payments and bank data infrastructure. If you're someone who’s
 **sharp, scrappy, and energized by messy, 0→1 environments** 
 , this could be your ideal next move.
 This isn’t just about building features this is an opportunity to define the foundation of a product that safeguards financial transactions across employee payroll, vendor payouts, and customer payments. You’ll play a key role in shaping a product that prevents fraud, validates account ownership, and adds trust to every transfer.
 If you’ve worked at a company like
 **Stripe** 
 ,
 **Plaid** 
 , or within
 **payment network ecosystems** 
 , and are looking for your next big product challenge, we’d love to hear from youeven if you’ve never held a formal Product Manager title before.
**What You’ll Do** 
* Lead product discovery and collaborate with cross\-functional teams to validate problem statements around payment fraud prevention and bank account verification.
* Build and own core modules that touch areas like payment rails, account ownership validation, and transaction risk detection.
* Work closely with engineering, design, and data teams to translate domain expertise into scalable product features.
* Continuously evolve the product strategy based on customer feedback and emerging trends in payment security and infrastructure.
**What We’re Looking For** 
* Strong domain experience in the
 **payments ecosystem** 
 whether via banking, fintech, or infrastructure platforms like Plaid, Stripe, or B2B payment networks.
* Understanding of
 **payment rails** 
 ,
 **fraud detection** 
 , and
 **banking infrastructure** 
 .
* Exposure to products used for
 **vendor payments** 
 ,
 **payroll** 
 , or
 **customer transactions** 
 .
* You don’t need to be a senior product leaderbut you should be high\-agency problem solver, hands\-on, and deeply curious about building in this space.
* Excellent problem\-solving skills and the ability to distill complex financial workflows into clear, scalable solutions.
**Bonus Points For** 
* Prior experience working in early\-stage product development or 0\-to\-1 environments.
* Experience building internal tools or enterprise SaaS in finance, compliance, or data infrastructure.
* Technical fluency in banking APIs, security protocols, or payment risk modelling.
* A former background in engineering or technical consulting before moving into product roles.</t>
        </is>
      </c>
    </row>
    <row r="182">
      <c r="A182" t="inlineStr">
        <is>
          <t>li-4373990624</t>
        </is>
      </c>
      <c r="B182" t="inlineStr">
        <is>
          <t>Product Manager – Capital Markets</t>
        </is>
      </c>
      <c r="C182" t="inlineStr">
        <is>
          <t>Luma Financial Technologies</t>
        </is>
      </c>
      <c r="D182" t="inlineStr">
        <is>
          <t>linkedin</t>
        </is>
      </c>
      <c r="E182">
        <f>HYPERLINK("https://www.linkedin.com/jobs/view/4373990624", "https://www.linkedin.com/jobs/view/4373990624")</f>
        <v/>
      </c>
      <c r="F182" t="inlineStr"/>
      <c r="G182" t="inlineStr">
        <is>
          <t>Cincinnati, OH</t>
        </is>
      </c>
      <c r="H182" t="inlineStr"/>
      <c r="I182" t="inlineStr">
        <is>
          <t>**About Luma Financial Technologies** 
 Founded in 2018, Luma Financial Technologies (“Luma”) has pioneered a cutting\-edge fintech software platform that has been adopted by broker/dealer firms, RIA offices, and private banks around the world. By using Luma, institutional and retail investors have a fully customizable, independent, buy\-side technology platform that helps financial teams more efficiently learn about, research, purchase, and manage alternative investments as well as annuities. Luma gives these users the ability to oversee the full, end\-to\-end process lifecycle by offering a suite of solutions. These include education resources and training materials; creation and pricing of custom structured products; electronic order entry; and post\-trade management. By prioritizing transparency and ease of use, Luma is a multi\-issuer, multi\-wholesaler, and multi\-product option that advisors can utilize to best meet their clients’ specific portfolio needs. Headquartered in Cincinnati, OH, Luma also has offices in New York, NY, Miami, FL, Zurich, Switzerland and Lisbon, Portugal. For more information, please visit Luma’s website.
**About the role** 
 Luma Financial Technologies is seeking an experienced Product Manager who excels at executing the Product Development Lifecycle (PDLC), managing multiple high\-impact initiatives simultaneously, and partnering closely with business stakeholders across a dynamic capital\-markets environment. This role requires strong organizational discipline, the ability to quickly reprioritize as situations evolve, and the judgment to balance near\-term execution with longer\-term objectives.
 The ideal candidate brings 7\+ years of experience in structured products or alternative investments and understands the workflows of Financial Advisors, Bankers, Brokers, Wholesalers, Asset Managers, and Investment Banks. Experience working at a fintech platform, investment bank, asset manager, or similar capital\-markets institution is essential.
**What you'll do** 
**PDLC Execution \&amp; Delivery** 
* Own end\-to\-end execution of the PDLC across discovery, design, development, QA, release, and post\-launch evaluation.
* Translate complex financial workflows into clear, detailed requirements, user stories, and acceptance criteria.
* Manage multiple high\-priority initiatives at once, ensuring each remains on track through structured planning and active communication.
* Demonstrate strong flexibility and real\-time reprioritization as new information, constraints, or business needs emerge.
* Collaborate closely with Engineering to guide sprint planning, backlog refinement, and milestone management.
* Business Stakeholder Partnership
* Act as the central liaison between business teams and engineering, ensuring alignment of priorities and clarity of requirements.
* Partner with Sales, Trading, Operations, Issuers, Legal/Compliance, and Client Success to refine workflows and validate solutions.
* Communicate evolving priorities clearly and adjust plans as market conditions or stakeholder needs shift.
* Provide consistent updates on progress, risks, dependencies, and changes in scope.
* Leveraging AI \&amp; Modern Product Tools
* Use Figma’s AI design tools, Jira’s AI\-enabled backlog and ticket\-generation features, and other emerging technologies to accelerate discovery, documentation, and execution.
* Employ AI to generate wireframes, user flows, test cases, release notes, and dependency analysis.
* Identify additional tools that improve efficiency, reduce manual steps, and support scalable product operations.
**Capital Markets \&amp; Structured\-Product Expertise** 
* Apply deep subject\-matter expertise to ensure the platform mirrors real\-world structured\-product workflows and market practices.
* Understand the lifecycle of structured products from issuance to lifecycle events and secondary\-market considerations.
* Represent the workflow perspectives of advisors, issuers, bankers, distributors, and operations teams.
* User Experience \&amp; Platform Quality
* Partner with UX/design teams to ensure features support clean, intuitive, and compliant workflows.
* Conduct UAT, support QA feedback loops, and validate feature readiness for deployment.
* Improve dashboarding, reporting, and workflow efficiencies across advisor and issuer interfaces.
* Operational \&amp; Support Alignment
* Collaborate with Client Success to prioritize and resolve support issues with clear SLAs.
* Develop product documentation, process materials, and release communications.
* Ensure that new releases are smoothly adopted through clear training and stakeholder enablement.
* Cross\-Platform Coordination
* Work across product lines to ensure unified standards, shared components, and scalable system design.
* Identify upstream and downstream dependencies, proactively communicating their impact to teams and stakeholders.
**Qualifications** 
* 7\+ years of experience in structured products, alternative investments, or related capital markets domains.
* Experience at a fintech platform, investment bank, asset manager, or similar institution.
* Demonstrated ability to manage multiple simultaneous initiatives while maintaining strong execution discipline.
* Strong agility and adaptability with the ability to reprioritize quickly as situations evolve.
* Skilled in PDLC execution with a proven track record of delivering complex software capabilities.
* Strong command of Agile/Scrum methodologies and backlog management.
* Excellent communication, organization, and cross\-functional leadership skills.
* Experience with Jira, Figma, and openness to adopting new AI\-enabled productivity tools.
* Experience working with issuers, advisors, or product\-distribution partners.
* Understanding of structured\-product issuance systems, lifecycle processes, and compliance.
* Background working in modular or multi\-team product environments.
* Familiarity with data analytics and reporting tools.</t>
        </is>
      </c>
    </row>
    <row r="183">
      <c r="A183" t="inlineStr">
        <is>
          <t>li-4372868820</t>
        </is>
      </c>
      <c r="B183" t="inlineStr">
        <is>
          <t>Sr. Product Manager, AI Voice &amp; Messaging Agents</t>
        </is>
      </c>
      <c r="C183" t="inlineStr">
        <is>
          <t>Bandwidth Inc.</t>
        </is>
      </c>
      <c r="D183" t="inlineStr">
        <is>
          <t>linkedin</t>
        </is>
      </c>
      <c r="E183">
        <f>HYPERLINK("https://www.linkedin.com/jobs/view/4372868820", "https://www.linkedin.com/jobs/view/4372868820")</f>
        <v/>
      </c>
      <c r="F183" t="inlineStr"/>
      <c r="G183" t="inlineStr">
        <is>
          <t>Raleigh, NC</t>
        </is>
      </c>
      <c r="H183" t="inlineStr"/>
      <c r="I183" t="inlineStr">
        <is>
          <t>**Who We Are:** 
**Bandwidth** 
 , a prior “Best of EC” award winner, is a global software company that helps enterprises deliver exceptional experiences through voice, messaging, and emergency services. Reaching 65\+ countries and over 90 percent of the global economy, we're the only provider offering an owned communications cloud that delivers advanced automation, AI integrations, global reach, and premium human support. Bandwidth is trusted for mission\-critical communications by the Global 2000, hyperscalers, and SaaS builders!
 At Bandwidth, your music matters when you are part of the BAND.  We celebrate differences and encourage BANDmates to be their authentic selves.  \#jointheband
**What We Are Looking For:** 
 Nine months ago, we launched the
 **Bandwidth Innovation Studio** 
 —a high\-velocity "startup\-within\-a\-giant" designed to move with the speed of a venture team while leveraging our global scale. We are seeking a 
 **Senior Product Manager** 
 to lead our flagship platform initiative:
 **AI Voice Agents for SMBs** 
 .
 This is a
 **Founding Product Manager** 
 role. You will be deeply integrated with a high\-caliber, T\-shaped engineering team that already has a strong product mindset. Your differentiator isn't just managing a backlog—it’s your
 **Product Taste** 
 . You have the intuition to advocate for superior UX and the design sense to turn complex AI workflows into a turnkey, white\-label product that any reseller can deploy with ease.
**What You'll Do:** 
* **Design the Frictionless Journey:** 
 Own the end\-to\-end experience from demo to launch. While engineering handles the AI "weeds," you obsess over the path to the "aha!" moment.
* **Close the Feedback Loop:** 
 Rapidly gather and synthesize feedback from partners and SMBs. You’ll turn qualitative insights and market performance data into high\-tempo product refinements.
* **Lead High\-Impact Product Strategy:** 
 Partner closely with senior engineers on technical trade\-offs while maintaining a relentless focus on "magical" product experiences.
* **Architect a B2B2B Platform:** 
 Build a wholesale engine that empowers thousands of resellers to offer AI\-as\-a\-Service to their customers.
* **Master Zero\-Touch Onboarding:** 
 Solve the configuration puzzle, enabling non\-technical partners to launch a custom AI agent in under 10 minutes.
* **Arbitrate Quality:** 
 Set the standard for voice interactions and setup flows, ensuring every touchpoint is professional and intuitive.
* **Key Objectives:** 
	+ **Scale:** 
	 Support tens of thousands of active agents with enterprise\-grade reliability.
	+ **Speed:** 
	 Achieve 10\-minute "Zero\-Touch" onboarding for partners.
	+ **Consistency:** 
	 Maintain a 90%\+ Task Completion Rate (TCR) for scheduling.
	+ **Market Validation: Translate initial "Anchor" partner feedback into a scalable product roadmap that drives measurable ARR growth.**
**What You Need:** 
* **5\-8 Years of PM Experience:** 
 Proven track record in high\-growth SaaS or platform environments.
* **0\-to\-1 Success:** 
 Experience leading a product from initial concept to scaled market launch.
* **AI/ML Fluency:** 
 Direct experience launching AI\-native features; familiar with LLMs and conversational AI, and have designed, shipped agentic LLM products.
* **Design \&amp; UX Obsession:** 
 A portfolio demonstrating "frictionless" design and simple onboarding flows.
* **B2B/Platform Background:** 
 Experience with white\-label solutions or partner\-facing APIs is highly preferred.
* **The Mindset:** 
	+ **Exceptional Intuition:** 
	 You instinctively identify friction and know how to fix it.
	+ **Market Curiosity:** 
	 You are obsessed with understanding how the product is performing in the wild. You don't just ship; you validate success through data and user impact.
	+ **Technical Fluency:** 
	 You can "hang" with senior engineers on technical constraints like latency and RAG.
	+ **Entrepreneurial Spirit: You thrive in ambiguity and prefer shipping and iterating on a weekly cycle.**
**The Whole Person Promise:** 
 At Bandwidth, we’re pretty proud of our corporate culture, which is rooted in our “Whole Person Promise.” We promise all employees that they can have meaningful work AND a full life, and we provide a work environment geared toward enriching your body, mind, and spirit. How do we do that? Well…
* 100% company\-paid Medical, Vision, \&amp; Dental coverage for you and your family with low deductibles and low out\-of\-pocket expenses.
* All new hires receive four weeks of PTO.
* PTO Embargo. When you take time off (of any kind!) you’re embargoed from working. Bandmates and managers are not allowed to interrupt your PTO – not even with email.
* Additional PTO can be earned throughout the year through volunteer hours and Bandwidth challenges.
* “Mahalo moments” program grants additional time off for life’s most important moments like graduations, buying a first home, getting married, wedding anniversaries (every five years), and the birth of a grandchild.
* 90\-Minute Workout Lunches and unlimited meetings with our very own nutritionist.
 Are you excited about the position and its responsibilities, but not sure if you’re 100% qualified? Do you feel you can work to help us crush the mission? If you answered ‘yes’ to both of these questions, we encourage you to apply! You won’t want to miss the opportunity to be a part of the BAND.
 Applicant Privacy Notice</t>
        </is>
      </c>
    </row>
    <row r="184">
      <c r="A184" t="inlineStr">
        <is>
          <t>li-4123837115</t>
        </is>
      </c>
      <c r="B184" t="inlineStr">
        <is>
          <t>Senior Product Manager</t>
        </is>
      </c>
      <c r="C184" t="inlineStr">
        <is>
          <t>Bestow</t>
        </is>
      </c>
      <c r="D184" t="inlineStr">
        <is>
          <t>linkedin</t>
        </is>
      </c>
      <c r="E184">
        <f>HYPERLINK("https://www.linkedin.com/jobs/view/4123837115", "https://www.linkedin.com/jobs/view/4123837115")</f>
        <v/>
      </c>
      <c r="F184">
        <f>HYPERLINK("https://jobs.ashbyhq.com/bestow/80d43dc2-1ac3-4d43-9c70-c9a4a2789fb7?utm_source=linkedin&amp;urlHash=Yb-x", "https://jobs.ashbyhq.com/bestow/80d43dc2-1ac3-4d43-9c70-c9a4a2789fb7?utm_source=linkedin&amp;urlHash=Yb-x")</f>
        <v/>
      </c>
      <c r="G184" t="inlineStr">
        <is>
          <t>Dallas, TX</t>
        </is>
      </c>
      <c r="H184" t="inlineStr"/>
      <c r="I184" t="inlineStr">
        <is>
          <t>**About Bestow**
 Life insurance is one of the world's most important products. It's also one of the hardest to build, distribute, and modernize. Bestow exists to change that.
 Bestow is a leading vertical technology platform serving some of the largest and most innovative life insurers. Our platform unifies the fragmented, legacy value chain, enabling carriers to launch products in weeks instead of years. Carriers choose us to scale and operate at unprecedented speed, powered by AI and automation.
 Bestow isn't selling policies. We're building the infrastructure that helps an entire industry move faster, reach more people, and deliver on its promise.
 Backed by leading investors (Goldman Sachs, Hedosophia, NEA, Valar, 8VC) and trusted by major carriers, Bestow is powered by a team that moves with precision, purpose, and heart. If you want to help reimagine a centuries\-old industry with lasting impact, join us.
 Bestow offers flexible remote/hybrid work, meaningful benefits, equity, and substantial growth opportunities.
*Bestow participates in the* 
*E\-Verify Program* 
*.*
**About The Team**
 The Bestow Product organization is responsible for defining, designing, and delivering exceptional digital experiences that solve real problems. Our team collaborates across Engineering, Revenue and Ops teams to transform ideas into intuitive, valuable solutions that delight our users. We believe in evidence\-based decision making and maintaining a relentless focus on customer outcomes to drive product excellence.
 The role is remote or can be a hybrid role from our Dallas headquarters.
**What You'll Do**
 Bestow is looking for an exceptional Senior Product Manager who thrives on transforming complex challenges into elegant solutions. We're seeking a pioneer who can see beyond the immediate horizon – someone who combines strategic vision with tactical excellence to drive meaningful impact across their product area.
 This role is perfect for a product leader who understands that the most meaningful innovations often arise from the most perplexing problems. You'll be the driving force behind multiple high\-impact initiatives, translating business objectives and customer needs into products that truly make a difference. Your ability to navigate ambiguity, inspire cross\-functional teams, and deliver measurable results will be instrumental in advancing our mission to increase financial stability for everyone.
**As a Senior Product Manager At Bestow, You Will**
* Lead complex product initiatives across your area
* Collaborate with cross\-functional teams to translate customer needs and business objectives into compelling product features and experiences
* Develop and maintain product roadmaps that align with company strategy, balancing short\-term wins with long\-term vision
* Define success metrics and build data\-driven feedback loops to measure product performance and inform future decisions
* Identify opportunities for product improvements through customer research, market analysis, and competitive intelligence
* Partner with Engineering, Design, Marketing, and Operations to ensure successful product delivery and adoption
* Influence stakeholders across the organization by effectively communicating product vision, strategy, and outcomes
* Coach and mentor junior product managers while modeling Bestow's operating principles
**Who You Are**
* Bachelor's degree or equivalent experience
* 5\+ years of product management experience in B2B SaaS
* Demonstrated ability to lead multiple projects simultaneously across an entire product area
* Proven track record of delivering successful products with measurable business impact
* Experience with user research, usability testing, and UI/UX design principles for complex systems
* Strong analytical skills with experience using product analytics tools and BI solutions to drive decision making
* Excellent communication and stakeholder management abilities, with demonstrated success influencing cross\-functional teams
* Comfortable operating with ambiguity and making decisions with incomplete information
**TOTAL REWARDS**
 At Bestow, we’re proud to be awarded for our team members, innovative products, and culture. Our standard benefits include:
* Competitive salary and equity based on role
* Policies and managers that support work/life balance, like our flexible paid time off and parental leave programs
* 100% paid\-premium option for medical, dental, and vision insurance
* Lifestyle stipend to support your physical, emotional, and financial wellbeing
* Flexible work\-from\-home policy and open to remote
* Remote and WFH options, as well as a beautiful, state\-of\-the\-art office in Dallas’ Deep Ellum, for those who prefer an office setting
* Employee\-led diversity, equity, and inclusion initiatives
**Recent Employer Awards Include**
* Best Place for Working Parents 2023 \+ 2024 \+ 2025
* Great Place to Work Certified, 2022 \+ 2023 \+ 2024 \+ 2025
* Built In Best Places to Work, 2022 \+ 2023 \+ 2025
* Fortune’s Best Workplaces in Texas 2022 \+ 2023
* Fortune’s Best Workplaces in Financial Services and Insurance 2022 \+ 2023 \+ 2024
 We value diversity at Bestow. The company will hire, recruit, and promote regardless of race, color, religion, sex, sexual orientation, gender identity or expression, national origin, pregnancy or maternity, veteran status, or any other status protected by applicable law. We understand the importance of creating a safe and comfortable work environment and encourage individualism and authenticity in every team member.
 Thanks for considering a job at Bestow!</t>
        </is>
      </c>
    </row>
    <row r="185">
      <c r="A185" t="inlineStr">
        <is>
          <t>li-4372875739</t>
        </is>
      </c>
      <c r="B185" t="inlineStr">
        <is>
          <t>Product Manager</t>
        </is>
      </c>
      <c r="C185" t="inlineStr">
        <is>
          <t>Tata Consultancy Services</t>
        </is>
      </c>
      <c r="D185" t="inlineStr">
        <is>
          <t>linkedin</t>
        </is>
      </c>
      <c r="E185">
        <f>HYPERLINK("https://www.linkedin.com/jobs/view/4372875739", "https://www.linkedin.com/jobs/view/4372875739")</f>
        <v/>
      </c>
      <c r="F185" t="inlineStr"/>
      <c r="G185" t="inlineStr">
        <is>
          <t>Phoenix, AZ</t>
        </is>
      </c>
      <c r="H185" t="inlineStr"/>
      <c r="I185" t="inlineStr">
        <is>
          <t>**Role: Product Manager** 
**location: Phoenix, Arizona, United States.** 
 Job Description
 Product Manager
 Must Have Technical/Functional Skills
 • Identify modernization opportunities, including simplification, consolidation, performance improvements, and enhanced network\-based risk decisioning.
 • Partner with Risk Technology, Network teams, Enterprise Architecture, and Data Strategy to shape long\-term platform capabilities.
 • Develop detailed product requirements, user stories, acceptance criteria, and success metrics for authorization and risk features.
 • Map current legacy workflows and translate them into target\-state capabilities on the new authorization system
 or network.
 • Lead migration planning including dependency assessment, sequencing, change\-management strategy, and operational readiness.
 • Drive execution through agile ceremonies, backlog prioritization, and release planning. Support the team through
 the various migration phases (build, parallel test, ramp up, cutover, fallback, and decommission).
 • Partner closely with engineering leaders to ensure timely delivery, high quality, and adherence to architectural standards.
 • Coordinate functional tests, performance validation, and end\-to\-end readiness assessments.
 Roles \&amp; Responsibilities
 • 5–8\+ years of Product Management experience, ideally in payments, risk systems, platform modernization,
 or large\-scale technology transformation.
 • Proven experience driving cross\-functional programs with complex dependencies.
 • Ability to translate technical concepts into clear business requirements and communicate with both engineering and leadership stakeholders.
 • Experience working in Agile development environments.
 • Data\-oriented mindset with the ability to define KPIs and use analytics to drive decision\-making.
**Interested candidates please share me your updated resume to gopinath.j3@tcs.com**</t>
        </is>
      </c>
    </row>
    <row r="186">
      <c r="A186" t="inlineStr">
        <is>
          <t>li-4373967604</t>
        </is>
      </c>
      <c r="B186" t="inlineStr">
        <is>
          <t>Technical Product Owner (Remote - Chicago, IL)</t>
        </is>
      </c>
      <c r="C186" t="inlineStr">
        <is>
          <t>Lensa</t>
        </is>
      </c>
      <c r="D186" t="inlineStr">
        <is>
          <t>linkedin</t>
        </is>
      </c>
      <c r="E186">
        <f>HYPERLINK("https://www.linkedin.com/jobs/view/4373967604", "https://www.linkedin.com/jobs/view/4373967604")</f>
        <v/>
      </c>
      <c r="F186">
        <f>HYPERLINK("https://lensa.com/cgw/4f5990582e774ab791779abac36b039etjo1?jpsi=directemployers_no_redirect&amp;publisher_preference=easier_apply&amp;utm_campaign=Computer%20Occupations&amp;utm_medium=slot&amp;utm_source=linkedin&amp;utm_term=jse&amp;urlHash=HFaH", "https://lensa.com/cgw/4f5990582e774ab791779abac36b039etjo1?jpsi=directemployers_no_redirect&amp;publisher_preference=easier_apply&amp;utm_campaign=Computer%20Occupations&amp;utm_medium=slot&amp;utm_source=linkedin&amp;utm_term=jse&amp;urlHash=HFaH")</f>
        <v/>
      </c>
      <c r="G186" t="inlineStr">
        <is>
          <t>Chicago, IL</t>
        </is>
      </c>
      <c r="H186" t="inlineStr"/>
      <c r="I18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GN Hearing. Clicking "Apply Now" or "Read more" on Lensa redirects you to the job board/employer site. Any information collected there is subject to their terms and privacy notice.
**Technical Product Owner**
* Please consider before applying: While this is a remote role, the selected candidate will be required to physically reside in Chicago, IL or nearby surrounding area.
**Position Overview**
 The primary responsibility of the Technical Product Owner is to prioritize and manage the product backlog, learning the customers and markets to deliver industry\-leading software applications through documenting, analyzing, prioritizing, and agreeing on requirements for the engineering team.
**Essential Functions**
* Translate product road map to features
* Participate in daily Scrum ceremonies, leading refinement sessions, and engaging with implementation team
* Act as a liaison between cross\-functional teams
* Manage product backlog, prioritize features, and create detailed user stories and acceptance criteria for the development team
* Transform business priorities into technical requirements and engage thoroughly to ensure that business objectives are accomplished for PI
* Demonstrate sense of ownership
* Ability to communicate technical concepts, risks and dependencies and translate them into TFS/Azure work items or plans
* Writing and reviewing requirements as well as maintaining the requirements in our requirement systems cross platform
* Participating in scope discussions and facilitating the requirements elicitation process, leading from user needs, business needs, and regulatory requirements into well\-documented requirements suitable for product development
* Contributing to and creating corporate procedures that are related to requirement management and system engineering
**Required Skills (Knowledge And Skills Needed For This Position)**
* Ability to document complex products and systems
* Demonstrate knowledge of concepts, practices, and procedures in engineering and product development
* Demonstrate ability to think both strategically and tactically
* Thorough knowledge of both web\-based and desktop applications
* Experience with Medical devices or regulated healthcare industry
* Ability to communicate across departments
* Experience creating detailed reports and giving presentations
* Experience leading Agile ceremonies for Scrum teams and authoring features, user stories, acceptance criteria and related technical details
* The capacity to engage stakeholders and collaborate with them to define the team's requirements
* Working knowledge of Figma for reviewing UI designs
* Proficiency in Azure DevOps/TFS
**Desired Qualifications**
**Education:** 
 Degree in computer science, engineering or equivalent
**Experience**
* Strong technical understanding of requirements methodologies, tools and best practices
* 5\+ years of software engineering, product development or related experience
* 3\+ years' experience in project delivery role
* Experience in agile development, SAFe
* Medical device experience
* Solid understanding of regulatory requirements and business processes in the medical device industry \- or any other regulated industry
**Pay Transparency Notice**
* The target annual compensation for this position can range from $100,000\.00 \- $115,000\.00 with a discretionary bonus if you are an active employee as of the fiscal year\-end.
* Compensation for roles at GN depends on a wide array of factors including but not limited to location, role, skill set, and level of experience
* To remain competitive, GN offers a competitive benefits package, including annual bonuses, health insurance, a 401(k) plan, and paid vacation and holidays
**We Encourage You To Apply**
 We highly value a mindset, motivation, and energy, that aligns with our core values, to not only ensure growth for you, but for your team and the wider GN organization as well.
**We Are Committed To An Inclusive Recruitment Process**
 GN welcomes applicants from all backgrounds and applicants will receive equal consideration for employment. We make life sound better by developing intelligent sound solutions that transform lives through the power of sound, enabling you to hear more, do more \&amp; be more than you ever thought possible. Founded in 1869, GN group today has more than 6,000 employees.
**Disability Accommodation**
 If you have a disability and you believe you need a reasonable accommodation in order to search for a job opening or to submit an online application, please e\-mail careers.us@gn.com or call 978\-606\-2210\. This email and phone number is created exclusively to assist disabled job seekers whose disability prevents them from being able to apply online. Only messages left for this purpose will be returned. Messages left for other purposes, such as following up on an application or technical issues not related to a disability, will not receive a response.
 GN brings people closer through our advanced intelligent hearing, audio, video, and gaming solutions. Inspired by people and motivated by innovation, we deliver technology that enhances the senses of hearing and sight. We enable people with hearing loss overcome real\-life problems, improve communication and collaboration for businesses and provide great experiences for audio and gaming enthusiasts.
 We hope you will join us on this journey and look forward to receiving your application.
 GN brings people closer through our leading intelligent hearing, audio, video, and gaming solutions. Inspired by people and driven by innovation, we deliver technology that enhance the senses of hearing and sight. We help people with hearing loss overcome real\-life challenges, improve communication and collaboration for businesses, and provide great experiences for audio and gaming enthusiasts.
 GN was founded more than 150 years ago with a vision to connect the world. Today, inspired by our strong heritage, GN touches more lives than ever with the broadest portfolio of products and services in our history \- fostering a sense of community, openness, and understanding.
 By listening to customers and combining our unique expertise in the human ear, audio, video, and speech, wireless technologies, software, and miniaturization, we transform what it takes to bring people closer to what is important to them.
**The GN\-owned brands that are responsible for bringing these technologies to life:**
* Medical grade hearing technology: ReSound (https://www.resound.com/en) , Beltone (https://www.beltone.com/en) , Interton (https://www.interton.com/en) , Jabra (https://www.jabra.com/hearing)
* Professional collaboration: Jabra (https://www.jabra.com/) , BlueParrott (https://www.emea.blueparrott.com/) , FalCom (https://falcom.gn.com/)
* Gaming, calls and media: SteelSeries (https://steelseries.com/) , Jabra (https://www.jabra.com/)
 Founded in 1869, the GN Group employs 7,000 people and is listed on Nasdaq Copenhagen (GN.CO). GN's solutions are sold in around 100 countries across the world.
 If you would like to learn more about us, visit our homepage gn.com or click on our different brands. You can also connect with us on LinkedIn (https://www.linkedin.com/company/gn\-store\-nord/) , Facebook (https://www.facebook.com/gnstorenord/) and Twitter (https://twitter.com/gnstorenord) .
 We are a Equal Opportunity Employer that values a diverse and inclusive workforce. We do not discriminate on the basis of race, color, national origin, religion, age, gender identity, sexual orientation, marital status, disability, genetic information, veteran status, or any other basis prohibited by federal, state, or local law. Women, minorities, veterans, LGBTQIA\+ individuals, and persons with disabilities are encouraged to apply. Come join our team!
 If you have questions about this posting, please contact support@lensa.com</t>
        </is>
      </c>
    </row>
    <row r="187">
      <c r="A187" t="inlineStr">
        <is>
          <t>li-4364520749</t>
        </is>
      </c>
      <c r="B187" t="inlineStr">
        <is>
          <t>AI Product Owner</t>
        </is>
      </c>
      <c r="C187" t="inlineStr">
        <is>
          <t>HUB International</t>
        </is>
      </c>
      <c r="D187" t="inlineStr">
        <is>
          <t>linkedin</t>
        </is>
      </c>
      <c r="E187">
        <f>HYPERLINK("https://www.linkedin.com/jobs/view/4364520749", "https://www.linkedin.com/jobs/view/4364520749")</f>
        <v/>
      </c>
      <c r="F187" t="inlineStr"/>
      <c r="G187" t="inlineStr">
        <is>
          <t>Chicago, IL</t>
        </is>
      </c>
      <c r="H187" t="inlineStr"/>
      <c r="I187" t="inlineStr">
        <is>
          <t>**Job Description**
**ABOUT US**
 At HUB International, we are a team of entrepreneurs. We believe in protecting and supporting the aspirations of individuals, families, and businesses. We help our clients evaluate their risks and develop solutions tailored to their needs. We believe in empowering our employees to learn, grow, and make a difference. Our structure enables our teams to maintain their own unique, regional culture while leveraging support and resources from our corporate centers of excellence.
 HUB is a global insurance and employee benefits broker, providing a boundaryless array of business insurance, employee benefits, risk services, personal insurance, retirement, and private wealth management products and services. With over $5 billion in revenue and almost 20,000 employees in 600 offices throughout North America, HUB has grown substantially, in part due to our industry leading success in mergers and acquisitions.
 Position Overview
 HUB is seeking an AI Product Owner to drive the business use cases, roadmap, and execution of enterprise AI solutions. This critical role sits at the intersection of business, AI technology, development, and user experience; responsible for translating HUB's AI vision into tangible products that deliver measured value. The AI Product Owner will own the product lifecycle for AI; to scale AI adoption from while ensuring responsible AI practices across the enterprise.
 Key Responsibilities
**AI Product Strategy \&amp; Vision**
* Collaborate with stakeholders to align AI initiatives with business objectives and strategic priorities
* Identify and prioritize AI use cases across insurance value chains including underwriting, claims, policy servicing, and sales enablement
* Develop investment thesis documentation for emerging AI capabilities (Digital D2C, Voice AI, Agentic Coding)
* Monitor AI industry trends, competitive landscape, and emerging technologies to inform product direction
**Product Development \&amp; Delivery**
* Own the product backlog for AI initiatives, facilitate AI solution groups, acceptance criteria, and technical specifications
* Lead discovery phases for new AI products
* Partner with engineering, data science, and design teams to deliver AI solutions through agile sprints
* Define MVP scope, success criteria, and pilot implementation strategies for new AI capabilities
* Manage vendor relationships and technical integrations with AI platform partners
**User Experience \&amp; Adoption**
* Champion the voice of the AI user, conducting working sessions to understand pain points and opportunities for AI solutions
* Drive user adoption of AI users through compelling experiences
* Partner with Innovation Cohorts and AI Business Champions to gather feedback, validate solutions, and scale successful use cases
* Design intuitive AI interfaces that balance powerful capabilities with ease of use for diverse user personas
* Develop training materials, documentation, and change management strategies to support AI rollouts
**Governance \&amp; Responsible AI**
* Ensure AI products comply with HUB's AI governance framework, security policies, and regulatory requirements
* Champion responsible AI practices including fairness, transparency, explainability, data privacy and more
* Support AI Center of Excellence with product recommendations and prioritization decisions
* Document AI capabilities, value creation, limitations, and appropriate use cases for enterprise deployment
* Establish model performance metrics, monitoring dashboards, and continuous improvement processes
**Metrics \&amp; Value Realization**
* Define and track KPIs for AI product success including adoption rates, time savings, and business impact metrics
* Build ROI models and business cases to justify AI investments and demonstrate value to executive leadership
* Report on AI program health, user adoption trends, and value creation across the enterprise
* Quantify productivity and communicate success stories
**Required Qualifications**
* 7\+ years of experience in product management, product ownership, or related roles
* 3\+ years of direct experience with AI/ML products, data science initiatives, or enterprise AI deployments
* Strong understanding of generative AI capabilities, large language models (LLMs), and AI application patterns
* Proven experience facilitating AI Solutioning, user stories, and technical specifications
* Experience with Agile/Scrum methodologies and working with cross\-functional development teams
* Excellent stakeholder management and executive communication skills
* Bachelor’s degree in business, Computer Science, Data Science, or related field
**Preferred Qualifications**
* Experience with enterprise AI platforms (Anthropic Claude, OpenAI, Microsoft Copilot, Google Gemini)
* Insurance or financial services industry experience
* Experience with RAG (Retrieval Augmented Generation), prompt engineering, and AI agent architectures
* Product management certifications (CSPO, PSPO, or equivalent)
* Master's degree or MBA
* Experience with AI governance frameworks and responsible AI practices
* Technical background with ability to understand data pipelines, APIs, and AI model architectures
 Key Competencies
* Strategic thinking with ability to translate AI capabilities into business value
* User empathy and design thinking mindset
* Data\-driven decision making with strong analytical skills
* Excellent written and verbal communication across technical and non\-technical audiences
* Entrepreneurial mindset with ability to navigate ambiguity and drive innovation
* Collaborative leadership style with ability to influence without authority
* Integrity and commitment to responsible AI development
 What We Offer You
 At HUB International, we're invested in your success—both inside and outside of work. Our benefits include:
* Competitive base salary plus performance\-based bonus
* Comprehensive medical, dental, and vision coverage
* 401(k) with company match
* Paid time off and company holidays
* Professional development and certification reimbursement
* Access to cutting\-edge AI tools and technologies
* Opportunity to shape the AI strategy of a leading insurance brokerage
**JOIN OUR TEAM**
 Do you believe in the power of innovation, collaboration, and transformation?  Do you thrive in a supportive and client focused work environment?  Are you looking for an opportunity to help build and drive change in a rapidly growing and evolving organization?  When you join
 **HUB International** 
 , you will be part of a community of learners and doers focused on our Core Values: entrepreneurship, teamwork, integrity, accountability, and service.
*Disclosure required under applicable law in California, Colorado, Illinois, Maryland, Minnesota, New York, New Jersey, and Washington states: The expected salary range for this position is $150K to $190K and will be impacted by factors such as the successful candidate’s skills, experience and working location, as well as the specific position’s business line, scope and level. If you believe that your qualifications and experience surpass the minimum requirements for this role, we encourage you to submit your application. By doing so, we will be able to keep your application on file for consideration for potential future positions within our organization. HUB International is proud to offer comprehensive benefit and total compensation packages which could include health/dental/vision/life/disability insurance, FSA, HSA and 401(k) accounts, paid\-time\-off benefits such as vacation, sick, and personal days, and eligible bonuses, equity and commissions for some positions.*
 Department Information Technology
 Required Experience: 7\-10 years of relevant experience
 Required Travel: Negligible
 Required Education: Bachelor's degree (4\-year degree)
 HUB International Limited is an equal opportunity employer that does not discriminate on the basis of race/ethnicity, national origin, religion, age, color, sex, sexual orientation, gender identity, disability or veteran's status, or any other characteristic protected by local, state or federal laws, rules or regulations.
 E\-Verify Program
 We endeavor to make this website accessible to any and all users. If you would like to contact us regarding the accessibility of our website or need assistance completing the application process, please contact the recruiting team HUBRecruiting@hubinternational.com. This contact information is for accommodation requests only; do not use this contact information to inquire about the status of applications.</t>
        </is>
      </c>
    </row>
    <row r="188">
      <c r="A188" t="inlineStr">
        <is>
          <t>li-4374107931</t>
        </is>
      </c>
      <c r="B188" t="inlineStr">
        <is>
          <t>Senior Product Manager - Software</t>
        </is>
      </c>
      <c r="C188" t="inlineStr">
        <is>
          <t>Volkswagen of America, Inc</t>
        </is>
      </c>
      <c r="D188" t="inlineStr">
        <is>
          <t>linkedin</t>
        </is>
      </c>
      <c r="E188">
        <f>HYPERLINK("https://www.linkedin.com/jobs/view/4374107931", "https://www.linkedin.com/jobs/view/4374107931")</f>
        <v/>
      </c>
      <c r="F188">
        <f>HYPERLINK("https://volkswagen-ag.contactrh.com/jobs/12/43979179/en_US&amp;urlHash=g-b-", "https://volkswagen-ag.contactrh.com/jobs/12/43979179/en_US&amp;urlHash=g-b-")</f>
        <v/>
      </c>
      <c r="G188" t="inlineStr">
        <is>
          <t>California, United States</t>
        </is>
      </c>
      <c r="H188" t="inlineStr"/>
      <c r="I188" t="inlineStr">
        <is>
          <t>Job description:
 As ADMT, we develop and realize fully autonomous mobility and transportation services. Our mission is to make mobility\-and transportation\-as\-a\-service safe, accessible and most attractive for society. For that, we cover the entire ground from strategy and business development, software development and end\-2\-end integration, fleet operations to next\-generation self\-driving systems. Being the driver in Volkswagen Group initiative for mobility solutions, we’re an integral part of Volkswagen Group's future success.
**Brief Role Description** 
 Worldwide, the Volkswagen Group has a long tradition of dramatic innovations. The Volkswagen Group with its headquarters in Wolfsburg is one of the world’s leading automobile manufacturers and the largest carmaker in Europe. The Group comprises twelve brands from seven European countries: Volkswagen Passenger Cars, Audi, SEAT, ŠKODA, Bentley, Bugatti, Lamborghini, Porsche, Ducati, Volkswagen Commercial Vehicles, Scania and MAN. Here in the US, we are blending German engineering with American ingenuity.
 As ADMT, we develop and realize fully autonomous mobility and transportation services. Our mission is to make mobility\-and transportation\-as\-a\-service safe, accessible and most attractive for society. For that, we cover the entire ground from strategy and business development, software development and end\-2\-end integration, fleet operations to next\-generation self\-driving systems. Being the driver in Volkswagen Group initiative for mobility solutions, we’re an integral part of Volkswagen Group's future success.
**Role Summary:** 
 ADMT represents the Volkswagen Group as its driver for building self\-driving technology. With experienced leaders in the field and collaborative partnerships with some of the world’s largest automakers, we’re building self\-driving technology that is engineered to scale globally and transform mobility for millions. Talented individuals join our team because they share our purpose to make it safe, easy, and enjoyable for everyone to get around. We aspire to impact key industries that move people and goods, from ride hailing to deliveries.
 Are you ready to join us?
 This position will be part of the Product and Software Engineering team and will guide engineering work, as well as validate and improve on features in the field. With a large engineering team to support, as well as multiple partners, we’re looking for someone who embraces challenge, learns quickly, and is fundamentally excited to help us build cars that drive themselves.
**The ideal candidate will have a strong understanding of the fundamentals of self\-driving vehicles, with a special emphasis on the cloud software that is required to enable them.** 
**Role Responsibilities** 
**Role Responsibilities:** 
* Lead distinct product areas and drive executional excellence across cross\-functional teams.
* Translate our customers’ needs into clearly defined technical requirements backed by data and
* comprehensive industry knowledge.
* Evaluate the market opportunities, define product roadmap, and launch/roll\-out strategy to scale our solutions.
* Engage closely with the engineering and operations teams to inform decisions that balance timing, cost, features, and performance, while staying true to the product strategy and vision.
* Serve as a cross\-functional liaison that bridges engineering, business, operations, and regulatory
* considerations to drive product decisions.
* Measure our success and improve our products using principled methods and metrics.
* Find innovative ways to accelerate our development, reduce risk, and improve the overall product experience; work with the company to implement these initiatives and fully realize them.
**Qualification requirements** 
**Qualifications** 
**Years of Relevant Experience:** 
* 7 \- 10 years professional experience preferred
* Prior experience in Product Management preferred.
**Education \- Required:** 
* Bachelor’s or Master’s Degree in computer science, engineering, physics, or a related field.
**Skills:** 
 Experience with the software systems underpinning our self\-driving vehicles including:
* Perception
* Prediction
* Motion Planning
* Motion Control
* Cloud
**Conceptual thinking and analytical skills:** 
* Strong product sense and user empathy
* Solid understanding of technical systems and architecture
* Effectively work with others across a broad range of technologies, processes, and systems.
* Excellent written and verbal communication skills
* Belief in rigorous, high\-quality engineering that produces tangible results quickly.
* The ideal candidate will have a strong understanding of the software systems underpinning our self\-driving vehicles or the willingness and ability to learn them quickly
* Demonstrated ability to achieve strategic goals in an innovative and fast\-paced environment, and to evolve product strategy based on research, data and industry trends.
* Excellent problem\-solving skills
* Organizational and analytical skills.
* The ideal candidate will be able to reason data into implications.
* The ideal candidate will have a strong understanding of the logistics and operational components inherent in a transportation business at scale
 Competencies Act as an owner Be a pioneer Excite customer Live integrity \&amp; compliance Perform together Think ahead Work Flexibility \&amp; Compensation Data
**Work Flexibility:** 
* Readiness for international business trips to visit ADMT GmbH, Volkswagen AG (Germany)
* Flexibility to travel within US and Europe
 In Belmont, California, the salary range for this role is $145,000 \- $190,000\. 
 **Salary is determined by geographical location and adjusted accordingly.** 
 Other benefits for this position include:
* Eligibility for annual performance bonus
* Healthcare benefits
* 401(k), with company match
* Defined contribution retirement program.
* Tuition reimbursement
* Company lease car program
* Paid time off
 ADMT is an Equal Opportunity Employer. We welcome and encourage applicants from all backgrounds, and do not discriminate based on race, sex, age, disability, sexual orientation, national origin, religion, color, gender identity/expression, marital status, veteran status, or any other characteristics protected by applicable laws.
 This role description is a guideline and does not create contractual rights between the Company and any of its applicants. The Company does not enter into any type of employment contract, implied or written, with its applicants regarding job security.
 This Organization participates in E\-Verify. We maintain a drug free workplace and perform pre\-employment substance abuse testing.</t>
        </is>
      </c>
    </row>
    <row r="189">
      <c r="A189" t="inlineStr">
        <is>
          <t>li-4321447593</t>
        </is>
      </c>
      <c r="B189" t="inlineStr">
        <is>
          <t>Associate Product Manager</t>
        </is>
      </c>
      <c r="C189" t="inlineStr">
        <is>
          <t>CarMax</t>
        </is>
      </c>
      <c r="D189" t="inlineStr">
        <is>
          <t>linkedin</t>
        </is>
      </c>
      <c r="E189">
        <f>HYPERLINK("https://www.linkedin.com/jobs/view/4321447593", "https://www.linkedin.com/jobs/view/4321447593")</f>
        <v/>
      </c>
      <c r="F189" t="inlineStr"/>
      <c r="G189" t="inlineStr">
        <is>
          <t>Richmond, VA</t>
        </is>
      </c>
      <c r="H189" t="inlineStr"/>
      <c r="I189" t="inlineStr">
        <is>
          <t>8116 \- Midtown Office \- 2220 W. Broad Street, Richmond, Virginia, 23220
 CarMax, the way your career should be!
**Are you an innovator that wants to learn Product Management at CarMax?**
 As an Associate Product Manager, you will learn from our existing Product Teams and gain hands on experience driving product discovery and delivery activities. In addition to mentorship, guidance and developmental focus from Senior Product Managers and Product Directors, Associate Product Managers will complete CarMax PREP (Product Education Program) \- a tailored learning agenda designed to provide you the skillset necessary to be successful in a Product Manager role after completion. Your work will put customer needs at the heart of our process, and make the car buying and selling experience better. Thinking cross functionally, you’ll work with your design, engineering, and data science partners to create products that allow customers to buy the vehicle they want in a way that’s right for them. Innovation is at the heart of CarMax’s strategy, and in this role, you are too.
**About CarMax PREP**
* Associate Product Managers participate in the CarMax Product Education Program (PREP) to ensure they have the functional expertise to be successful as a Product Manager
* PREP focuses on building and demonstrating relevant skills, such as customer discovery, stakeholder management, and product analytics.
* PREP participants will have the opportunity to shadow existing Product Teams to see first\-hand how successful teams operate
**What You Will Do – Essential Responsibilities**
* Discovers and develops products and services that transform the car shopping, buying, and owning experience for our customers and drives business value
* Lead ongoing, immersive customer discovery to understand behaviors, motivations, problems, and opportunities across the customer journey
* Develop hypotheses and rapidly iterate on prototypes to validate the right solutions
* Assess the feasibility of solutions, prioritize opportunities, and work with a cross\-functional, technically oriented team to develop and scale unique solutions to complex problems
* Set direction and goals based on quantitative data, qualitative insights, and strong business acumen, in collaboration with business leaders and stakeholders
* Stay on top of industry trends and best practices to continuously improve what we do and ensure a great customer experience
**Improve Customer Experience With Every Interaction**
 Drawing on data, you’ll bring new insights to the development of products that offer a well\-rounded customer experience. Your forward\-thinking and strategic approach will be matched by an urge to drive rapid product delivery and make a real impact on the business. To do this, you must be able to inspire and lead others, partnering cross\-functionally to scale the experiences we build in\-store or online.
**Desired Traits**
* Passionate about leveraging technology to power the customer experience
* Able to motivate and inspire team members, peers and stakeholders
* Analytical; loves to solve problems
* Innovative; thinks beyond boundaries, curious
* Flexible and open\-minded; proactively seeks input from others
* Exceptional organization and results focus, self\-directed leader
* Entrepreneurial drive and spirit; enjoys working in a fast\-paced environment
**Base Requirements**
* Undergraduate degree in relevant field, or 1\-2 years of experience working in Product or related field, including adjacent business areas within CarMax
**Preferred Qualifications**
* 1\-2 years of experience in Product or relevant field
* Master's degree
* Demonstrated ability to work with engineers, designers, and company leaders in a highly collaborative environment
 Work Location and Arrangement: This role will be based out of the CarMax Midtown \- Richmond, Virginia and have a Hybrid work arrangement.
* Associates based in Richmond work onsite 5 days per week.
**About CarMax**
 CarMax disrupted the auto industry by delivering the honest, transparent, and high\-integrity experience customers want and deserve. This innovative thinking around the way cars are bought and sold has helped us become the nation’s largest retailer of used cars, with over 200 locations nationwide.
 Our amazing team of more than 25,000 associates work together to deliver iconic customer experiences. Along the way, we help every associate grow their career and achieve their best, at work and in their community. We are recognized for our commitment to training and diversity and are one of the FORTUNE 100 Best Companies to Work For®.
 CarMax is an equal opportunity employer, and all qualified candidates will receive consideration for employment without regard to race, color, religion, sex, sexual orientation, gender identity, genetic information, national origin, protected veteran status, disability status, or any other characteristic protected by law.
 Upon an applicant's request, CarMax will consider reasonable accommodation to complete the CarMax Job Application.</t>
        </is>
      </c>
    </row>
    <row r="190">
      <c r="A190" t="inlineStr">
        <is>
          <t>li-4364788710</t>
        </is>
      </c>
      <c r="B190" t="inlineStr">
        <is>
          <t>Senior Product Owner - 4949</t>
        </is>
      </c>
      <c r="C190" t="inlineStr">
        <is>
          <t>Tier4 Group</t>
        </is>
      </c>
      <c r="D190" t="inlineStr">
        <is>
          <t>linkedin</t>
        </is>
      </c>
      <c r="E190">
        <f>HYPERLINK("https://www.linkedin.com/jobs/view/4364788710", "https://www.linkedin.com/jobs/view/4364788710")</f>
        <v/>
      </c>
      <c r="F190" t="inlineStr"/>
      <c r="G190" t="inlineStr"/>
      <c r="H190" t="inlineStr"/>
      <c r="I190" t="inlineStr">
        <is>
          <t>**Senior Product Owner / Project Manager — Healthcare Analytics Programs** 
**Hybrid Onsite in Atlanta, GA (2\-3 days per week)** 
 We are seeking a Senior Product Owner / Project Manager (50/50 mix) to drive execution of high\-impact initiatives across data, analytics, and research programs focused on healthcare risk and performance.
 This role serves as a hybrid delivery leader, translating strategic priorities into actionable workstreams and ensuring cross\-functional teams deliver measurable business value.
 What You’ll Do
* Serve as Product Owner for research, analytics, and content teams
* Manage and prioritize team backlogs aligned to strategic objectives
* Translate initiatives into user stories, features, and acceptance criteria
* Coordinate complex cross\-functional projects across multiple teams
* Participate in PI Planning and manage dependencies across programs
* Represent business and customer perspectives throughout delivery
* Track progress, risks, and KPIs; communicate status to leadership
* Ensure on\-time, on\-budget execution of strategic initiatives
* Manage vendor deliverables and external partners
 What You Bring
* 5–10 years of experience in product or project management
* Experience in healthcare, insurance, or regulated environments preferred
* Proven success in Agile or SAFe environments
* Experience as Product Owner, Agile PM, or similar role
* Strong backlog management and prioritization skills
* Excellent communication and stakeholder management abilities
* Experience with Agile tools such as Jira, Azure DevOps, or Confluence
 What Sets You Apart
* SAFe PO/PM, PMP, or CSPO certification
* Experience delivering data or analytics initiatives
* Ability to navigate complex organizations and competing priorities
* Strong problem\-solving mindset and results orientation
* Experience coordinating across multiple Agile teams
 Why This Role Matters
 You will play a central role in ensuring strategic initiatives move from concept to execution, enabling meaningful improvements in healthcare risk mitigation, analytics capabilities, and organizational effectiveness.
 Excellent benefits and wellness program, industry\-leading 401(k) match, and generous, flexible PTO plan and schedule.</t>
        </is>
      </c>
    </row>
    <row r="191">
      <c r="A191" t="inlineStr">
        <is>
          <t>li-4330410366</t>
        </is>
      </c>
      <c r="B191" t="inlineStr">
        <is>
          <t>Senior Product Manager- CIAM</t>
        </is>
      </c>
      <c r="C191" t="inlineStr">
        <is>
          <t>GM Financial</t>
        </is>
      </c>
      <c r="D191" t="inlineStr">
        <is>
          <t>linkedin</t>
        </is>
      </c>
      <c r="E191">
        <f>HYPERLINK("https://www.linkedin.com/jobs/view/4330410366", "https://www.linkedin.com/jobs/view/4330410366")</f>
        <v/>
      </c>
      <c r="F191" t="inlineStr"/>
      <c r="G191" t="inlineStr">
        <is>
          <t>Irving, TX</t>
        </is>
      </c>
      <c r="H191" t="inlineStr"/>
      <c r="I191" t="inlineStr">
        <is>
          <t>**Job Description**
**Why GM Financial Technology?**
 Innovation isn’t just a talking point at GM Financial, it’s how we operate. From generative AI and cloud\-native technologies to peer\-led learning and hackathons, our tech teams are building real solutions that make a difference. We’re committed to AI\-powered transformation, using advanced machine learning and automation to help us reimagine customer interactions and modernize operations, positioning GM Financial as a leader in digital innovation within a dynamic industry.
 Join us and discover a workplace where your ideas matter, your development is prioritized, and you can truly make a global impact.
**About The Role**
 The role of the Senior Product Manager at GM Financial is crucial in driving innovation and continuous improvement across the B2C and B2B channels. The Senior Product Manager, reporting to the VP Servicing Systems, will be responsible for defining and leading the execution of a roadmap of features and experiences that exceed customer expectations and meet business objectives. As a collaborative team player, you will work closely with developers, Conversation designers, marketers, analytics teams and operations leaders to ensure the success of the product. Your expertise in some of GM Financial's key digital consumer channels will make you a recognized advocate for putting the customer at the center of everything we do. In your role as the Senior Product Manager of the GMF Contact Center, you will be responsible for gathering requirements, prioritizing tasks, and executing the product features. Working closely with the other Contact Center product manager, you will accelerate the contact center product portfolio, and with our Analytics teams, you will ensure that the new features are being reported on.
**Responsibilities**
**What makes you an ideal candidate?**
* Understand and articulate the vision, strategic priorities and goals of the organization, translating them into a roadmap of features and enhancements that provide remarkable customer experiences.
* Establish and nurture relationships with key stakeholders and other influencers who contribute to the definition and ongoing support of B2C and B2B strategies through stewardship, influence, motivation and change leadership.
* Lead the high\-level prioritization of initiatives, aligning experiences across channels and touchpoints to ensure the best business results.
* Lead planning for the future direction of B2C and B2B channels and features by combining customer needs and insights with quantifiable business cases to establish program roadmaps and strategies that are built on consensus and buy\-in from senior leadership.
* Lead and nurture a team of direct and/or indirect team members charged with implementing the product roadmap.
* Continually monitor competitors and industry developments.
* Deep understanding of and experience in product management and software product lifecycle in an agile environment.
* Strong knowledge and experience in Scaled Agile Framework (SAFe).
* Strong analytical skills, with the ability to assemble and interpret data, create executive summaries and deliver business insights.
* Exceptional interpersonal, communication (verbal and written), cross\-collaboration and team skills.
* Ability to dive into performance measurements with teams to help optimize and find key insights into performance.
* Ability to manage multiple projects simultaneously.
* Ability to synthesize analytic results into relevant and strategic recommendations.
* Ability to understand and explain complex issues and clearly identify and communicate the situation at a high level.
* Excellent persuasive and negotiation skills.
* Excellent presentation skills.
* Excellent skills creating and managing a roadmap of features and enhancements.
* Conversational AI and contact center experience preferred.
**Qualifications**
**Experience:**
* Bachelor’s Degree in related field or equivalent work experience required
* 4\-7 years’ experience as a Product Owner/Manager on an Agile Scrum Team required
* 2\-4 years Leadership experience required
**Licenses/Certifications**
* Agile Certifications required
**What We Offer:** 
 Benefits effective day 1, 401K, Bonding leave for new parents (12 weeks, 100% paid), Pet insurance, training, certifications
**Our Culture:** 
 Our team members define and shape our culture — an environment that welcomes innovative ideas, fosters integrity, and creates a sense of community and belonging. Here we do more than work — we thrive.
**Compensation:** 
 Competitive pay
**Work Life Balance:** 
 Flexible hybrid work environment
**Benefits Package:** 
 Generous benefits package</t>
        </is>
      </c>
    </row>
    <row r="192">
      <c r="A192" t="inlineStr">
        <is>
          <t>li-4374110450</t>
        </is>
      </c>
      <c r="B192" t="inlineStr">
        <is>
          <t>Product Manager 2, Workpapers</t>
        </is>
      </c>
      <c r="C192" t="inlineStr">
        <is>
          <t>Bloomberg Industry Group</t>
        </is>
      </c>
      <c r="D192" t="inlineStr">
        <is>
          <t>linkedin</t>
        </is>
      </c>
      <c r="E192">
        <f>HYPERLINK("https://www.linkedin.com/jobs/view/4374110450", "https://www.linkedin.com/jobs/view/4374110450")</f>
        <v/>
      </c>
      <c r="F192" t="inlineStr"/>
      <c r="G192" t="inlineStr">
        <is>
          <t>Arlington, VA</t>
        </is>
      </c>
      <c r="H192" t="inlineStr"/>
      <c r="I192" t="inlineStr">
        <is>
          <t>As a PM 2, you’ll lead cross\-functional teams to solve customer and business problems with solutions that are valuable, viable, usable, and feasible. You’ll own product outcomes, contribute to strategy, and use data to guide decisions. You’ll collaborate closely with designers, engineers, and stakeholders, bringing a strong understanding of customer needs, business constraints, and market dynamics. You’ll influence through logic and insight and take responsibility for delivering impactful results.
 What you will do:
* Defines product vision, strategy, and roadmap for assigned products. Aligns product goals with company objectives and ensures stakeholder buy\-in through clear communication.
* Works closely with engineering, design, marketing, and sales teams to deliver high\-quality products on time. Facilitates agile ceremonies and ensures cross\-functional alignment throughout the development lifecycle.
* Prioritizes features based on business goals, customer needs, and technical feasibility. Uses frameworks like RICE or MoSCoW to make transparent, data\-informed prioritization decisions.
* Conducts market research to understand competitive landscape and identify opportunities for differentiation. Synthesizes findings into actionable insights that shape product positioning and feature development.
* Develops detailed product requirements documents (PRDs). Ensures PRDs include user stories, acceptance criteria, and edge cases to guide development and QA. Oversee the creation of content and thought leadership in your area of subject matter expertise that assists tax and legal practitioners, both in terms of substance and workflows, to undertake their work more efficiently and to learn new areas more quickly.
 You need to have:
* 5\-7 years building and shipping successful technology\-powered products as either a product manager, product designer, product delivery manager, engineer, data analyst, data scientist, or user researcher OR as a subject matter expert with product or technical proficiency.
* Solid understanding of product discovery and delivery techniques, with hands\-on experience applying them.
* Proven ability to contribute to product vision, define roadmaps, and align product goals with business outcomes.
* Experience using data and experimentation to drive product decisions.
* Skilled at creating and presenting demos or prototypes to communicate product direction.
* Strong problem\-solving skills, with the ability to navigate ambiguity and make sound trade\-offs.
* Excellent communication and collaboration skills across disciplines.
* Willingness to travel as needed.
 Equal Opportunity
 Bloomberg Industry Group maintains a continuing policy of non\-discrimination in employment. It is Bloomberg Industry Group’s policy to provide equal opportunity and access for all persons, and the Company is committed to attracting, retaining, developing, and promoting the most qualified individuals without regard to age, ancestry, color, gender identity or expression, genetic predisposition or carrier status, marital status, national or ethnic origin, race, religion or belief, sex, sexual orientation, sexual and other reproductive health decisions, parental or caring status, physical or mental disability, pregnancy or maternity/parental leave, protected veteran status, status as a victim of domestic violence, or any other classification protected by applicable law (“Protected Characteristic”). Bloomberg prohibits treating applicants or employees less favorably in connection with the terms and conditions of employment, in all phases of the employment process, because of one or more Protected Characteristics (“Discrimination”).</t>
        </is>
      </c>
    </row>
    <row r="193">
      <c r="A193" t="inlineStr">
        <is>
          <t>li-4371966688</t>
        </is>
      </c>
      <c r="B193" t="inlineStr">
        <is>
          <t>Product Owner</t>
        </is>
      </c>
      <c r="C193" t="inlineStr">
        <is>
          <t>Mastercam</t>
        </is>
      </c>
      <c r="D193" t="inlineStr">
        <is>
          <t>linkedin</t>
        </is>
      </c>
      <c r="E193">
        <f>HYPERLINK("https://www.linkedin.com/jobs/view/4371966688", "https://www.linkedin.com/jobs/view/4371966688")</f>
        <v/>
      </c>
      <c r="F193">
        <f>HYPERLINK("https://workforcenow.adp.com/mascsr/default/mdf/recruitment/recruitment.html?cid=b35545bc-d131-467c-a046-2ba0f85874f6&amp;ccId=19000101_000001&amp;type=MP&amp;lang=en_US&amp;selectedMenuKey=CareerCenter&amp;urlHash=Xiv_", "https://workforcenow.adp.com/mascsr/default/mdf/recruitment/recruitment.html?cid=b35545bc-d131-467c-a046-2ba0f85874f6&amp;ccId=19000101_000001&amp;type=MP&amp;lang=en_US&amp;selectedMenuKey=CareerCenter&amp;urlHash=Xiv_")</f>
        <v/>
      </c>
      <c r="G193" t="inlineStr"/>
      <c r="H193" t="inlineStr"/>
      <c r="I193" t="inlineStr">
        <is>
          <t>**Your Role at a Glance** 
**Product Owner, Cloud \&amp; AI** 
 Mastercam is redefining the future of manufacturing software by evolving from a world\-class desktop CAD/CAM system into an intelligent, connected, and cloud\-powered platform. We are seeking a Product Owner, Cloud \&amp; AI to help drive this transformation, enabling the migration from traditional desktop software to a modern, service\-based cloud architecture that integrates AI\-powered workflows, automation, and data\-driven insights. This role is critical to executing the cloud and AI transformation strategy. You will translate strategic goals into actionable product requirements and user stories, working closely with cross\-functional teams to deliver cloud\-native capabilities and embed AI assistance into every workflow.
**How You’ll Drive Success** 
***Cloud Platform Ownership***
* Own and manage the product backlog for Mastercam’s cloud platform and connected services, including APIs, telemetry, and synchronization features.
* Define user stories and acceptance criteria for cloud\-native capabilities such as collaboration, data sync, and connected toolpath computation.
* Partner with software architects and engineering managers to ensure scalability, performance, and security of new cloud modules.
* Ensure backlog priorities reflect the transformation roadmap set by the Product Manager.
***AI Product Enablement***
* Define and prioritize AI\-powered use cases, including intelligent assistants, copilots, predictive machining, and automation insights.
* Collaborate with engineering to operationalize LLMs and generative AI features on secure, scalable cloud platforms.
* Ensure model feedback, telemetry, and user interaction data are leveraged for continuous improvement.
* Work with UX teams to design intuitive, context\-aware AI interactions that elevate user experience.
***Cross\-Functional Collaboration***
* Translate strategic goals from leadership and stakeholders into clear, actionable roadmaps for development teams.
* Act as the bridge between product development and design, ensuring clarity, alignment, and delivery against timelines.
* Collaborate with QA and DevOps teams to ensure cloud/AI release readiness.
* Participate in sprint planning, backlog grooming, and release reviews to ensure feature readiness and quality.
* Collaborate with Product Marketing and UX to ensure cohesive customer experiences as desktop and cloud modules converge.
***Measurement \&amp; Impact***
* Define and track KPIs for backlog velocity, cloud adoption, and AI feature engagement.
* Gather feedback from internal teams, customers, and beta users to refine requirements and improve outcomes.
* Maintain a strong focus on business value delivery, ensuring every cloud or AI feature contributes to user productivity and long\-term scalability.
**The Talents We’re Seeking** 
***Education and Experience***
* Bachelor’s degree in Computer Science, Engineering, related technical field, or equivalent professional experience required.
* Master’s degree preferred.
***Required Skills***
* 5\+ years of experience as a Product Owner or Product Manager in software or platform development.
* Generalunderstanding of cloud architectures (Azure/AWS), APIs, and modern SaaS principles.
* Familiarity with AI/ML concepts, particularly LLM integration and AI service deployment.
* Demonstrated success translating high\-level strategy into detailed product requirements and technical deliverables.
* Excellent communication and stakeholder management skills.
* Experience working in Agile/Scrum environments with distributed engineering teams.
***Preferred Skills***
* Certified Scrum Product Owner.
* Background in manufacturing software, CAD/CAM, or industrial automation.
* Understanding of telemetry, analytics pipelines, and cloud\-to\-desktop synchronization.
* Familiarity with PLM systems and hybrid deployment models for consistency with transformation objectives.
**Who We Are** 
 At Mastercam, we do not just keep pace with manufacturing—we set the pace. For over 40 years, we have been the name behind the breakthroughs, the partner for those who refuse to settle. When the industry says “too complex,” we say, “challenge accepted.”
 We are more than software. We are a movement of makers, innovators, and problem\-solvers driving transformation across the globe.
 Backed by a network of 400 Channel Partners and a thriving developer community, Mastercam delivers the tools and expertise to turn ambitious ideas into flawless reality. From aerospace to automotive, medical to education, we empower manufacturers to push boundaries and redefine what is possible.
 As part of Intelligent Manufacturing and the Sandvik Group, we are leading the charge in digital transformation. Our team of 350\+ professionals is united by a single mission: to help achieve precision, productivity, and performance without compromise.
**Our Core Values? They are not just words. They are how we win:** 
* **Winning Together:** 
 Collaboration is not optional—it is the engine that drives us.
* **Curiosity:** 
 We question, we explore, we innovate. Every day.
* **Responsibility:** 
 Safety, integrity, and sustainability aren’t boxes to check—they are the foundation of trust.
* **Customer\-Focused:** 
 We listen. We adapt. We deliver. Always.
 Innovation. Collaboration. Growth. That is the Mastercam way. Explore more at www.mastercam.com, connect on LinkedIn, and join the conversation with
 **\#mastercam** 
 .
 The next big challenge is waiting—are you ready to accept?
**It is the policy of the company to provide equal employment opportunities to all employees and employment applicants without regard to race, color, religion, sex, or national origin or any other classification protected by applicable local or state laws.** 
**EOE/M/F/Vet/Disabled are encouraged to apply.** 
**We are an E\-Verify Employer.**</t>
        </is>
      </c>
    </row>
    <row r="194">
      <c r="A194" t="inlineStr">
        <is>
          <t>li-4358338234</t>
        </is>
      </c>
      <c r="B194" t="inlineStr">
        <is>
          <t>Product Manager, Data Platforms (Boston/hybrid0</t>
        </is>
      </c>
      <c r="C194" t="inlineStr">
        <is>
          <t>Daley And Associates, LLC</t>
        </is>
      </c>
      <c r="D194" t="inlineStr">
        <is>
          <t>linkedin</t>
        </is>
      </c>
      <c r="E194">
        <f>HYPERLINK("https://www.linkedin.com/jobs/view/4358338234", "https://www.linkedin.com/jobs/view/4358338234")</f>
        <v/>
      </c>
      <c r="F194" t="inlineStr"/>
      <c r="G194" t="inlineStr">
        <is>
          <t>Boston, MA</t>
        </is>
      </c>
      <c r="H194" t="inlineStr"/>
      <c r="I194" t="inlineStr">
        <is>
          <t>**Product Owner – Data Platforms\-Boston/Hybrid (3 days in office)**
 NO C2C candidates! Candidates must be currently in the Boston area 
 We’re hiring a Product Owner to drive delivery across internal
 **data and analytics platforms** 
 in a financial services environment. This role owns requirements, partners with stakeholders, prioritizes work, and ensures solutions are delivered, tested, and adopted.
**What you’ll do** 
* Own and prioritize the
 **product backlog** 
 for data/finance platforms
* Gather and translate business requirements into clear user stories and specs
* Partner with engineering and stakeholders to deliver solutions end\-to\-end
* Lead
 **UAT** 
 , training, and documentation
* Balance new delivery with
 **production support** 
 and enhancements
**What you bring** 
* 5\+ years in Product Owner, Business Analyst, or similar role
* Strong experience with
 **SQL** 
 and
 **Tableau or Power BI**
* Experience with
 **enterprise data platforms** 
 (Snowflake/dbt a plus)
* Comfortable in
 **Agile** 
 environments
* Financial services experience strongly preferred
 salary $150\-175K range \+ bonus
 If you are interested in learning more please send your resume to Angela Fagin at afagin@daleyaa.com NO C2C candidates! Candidates must be currently in the Boston area</t>
        </is>
      </c>
    </row>
    <row r="195">
      <c r="A195" t="inlineStr">
        <is>
          <t>li-4371976820</t>
        </is>
      </c>
      <c r="B195" t="inlineStr">
        <is>
          <t>Product Owner</t>
        </is>
      </c>
      <c r="C195" t="inlineStr">
        <is>
          <t>Meijer</t>
        </is>
      </c>
      <c r="D195" t="inlineStr">
        <is>
          <t>linkedin</t>
        </is>
      </c>
      <c r="E195">
        <f>HYPERLINK("https://www.linkedin.com/jobs/view/4371976820", "https://www.linkedin.com/jobs/view/4371976820")</f>
        <v/>
      </c>
      <c r="F195">
        <f>HYPERLINK("https://meijer.wd5.myworkdayjobs.com/Meijer/job/Grand-Rapids-MI/Product-Owner_R000643960?source=LinkedIn&amp;urlHash=t2cY", "https://meijer.wd5.myworkdayjobs.com/Meijer/job/Grand-Rapids-MI/Product-Owner_R000643960?source=LinkedIn&amp;urlHash=t2cY")</f>
        <v/>
      </c>
      <c r="G195" t="inlineStr">
        <is>
          <t>Grand Rapids, MI</t>
        </is>
      </c>
      <c r="H195" t="inlineStr"/>
      <c r="I195" t="inlineStr">
        <is>
          <t>As a family company, we serve people and communities. When you work at Meijer, you’re provided with career and community opportunities centered around leadership, personal growth and development. Consider joining our family – take care of your career and your community!
**Meijer Rewards**
* Weekly pay
* Scheduling flexibility
* Paid parental leave
* Paid education assistance
* Team member discount
* Development programs for advancement and career growth
 Please review the job profile below and apply today!
 As a Product Owner, you will serve as a key business leader shaping the future of Meijer’s digital capabilities. You’ll own a business product area whether in Meijer eCommerce, Meijer Loyalty, Meijer Internal Tools \&amp; Systems, or Voice of the Customer and act as the strategic voice of the business in translating goals, customer needs, and operational realities into actionable solutions for our IT partners. You’ll bring clarity, direction, and momentum to crossfunctional product teams, ensuring that technology investments deliver meaningful value to our customers and business. If you’re passionate about championing business needs and influencing digital strategy, this role gives you the platform to drive big impact.
**What You’ll Be Doing**
* Own and articulate the business vision for your product area, shaping how customers and team members interact across digital and instore touchpoints.
* Serve as the business’s decision maker for your agile team(s), guiding direction and ensuring alignment with business priorities.
* Translate business strategies into clear product roadmaps, working closely with IT partners to bring new experiences, capabilities, and enhancements to life.
* Drive product initiatives end\-to\-end, ensuring features support key business goals—customer engagement, loyalty growth, operational efficiency, and seamless experience.
* Lead with a strong business perspective, prioritizing backlog items based on business impact, customer value, and feasibility.
* Partner closely with engineering, UX/UI, analytics, loyalty, merchandising, marketing, and customer care teams to deliver solutions that move the business forward.
* Champion the voice of the customer, ensuring feedback, sentiment trends, and insights shape product direction and business decisions.
* Analyze business and customer data—including loyalty performance, VoC themes, buying behavior, and market trends—to refine strategy and inform decision making.
* Advocate for a cohesive omnichannel experience, ensuring digital and instore interactions work together to support business goals.
* Bridge communication between business and IT, clarifying requirements, resolving ambiguity, and ensuring teams move in lockstep.
* Actively participate in agile ceremonies, representing the business perspective and ensuring work remains aligned to strategic outcomes.
* Share updates and insights with transparency, keeping leaders and partners aligned on progress, risks, and results.
**What You Bring With You (Qualifications)**
* Bachelor’s degree or equivalent experience.
* 2–4 years of business experience in Merchandising, Retail, Loyalty, eCommerce, Omnichannel, or Voice of Customer.
* Strong understanding of VoC programs, customer feedback insights, loyalty drivers, and customer engagement strategies.
* Business understanding of retail operations, digital commerce, and customer behavior.
* Ability to translate business objectives into clear product requirements and prioritization frameworks.
* Basic awareness of SEO/SEM principles.
* Strong analytical mindset with the ability to interpret customer and business data to guide decisions.
* A proactive, business led approach focused on delivering measurable value and improving customer sentiment.
* Ability to confidently communicate and present business priorities to IT teams and cross functional partners.
* Quick learner with ability to master business systems and identify opportunities to reduce friction or enhance experience.
* Highly organized, detail oriented, and comfortable managing multiple business driven priorities.
* Strong written and verbal communication skills.
* Proficiency in Microsoft Office Suite.
* Awareness of compliance, IP, and business governance considerations.</t>
        </is>
      </c>
    </row>
    <row r="196">
      <c r="A196" t="inlineStr">
        <is>
          <t>li-4374136000</t>
        </is>
      </c>
      <c r="B196" t="inlineStr">
        <is>
          <t>Sr. Salesforce Product Manager</t>
        </is>
      </c>
      <c r="C196" t="inlineStr">
        <is>
          <t>Palmetto</t>
        </is>
      </c>
      <c r="D196" t="inlineStr">
        <is>
          <t>linkedin</t>
        </is>
      </c>
      <c r="E196">
        <f>HYPERLINK("https://www.linkedin.com/jobs/view/4374136000", "https://www.linkedin.com/jobs/view/4374136000")</f>
        <v/>
      </c>
      <c r="F196" t="inlineStr"/>
      <c r="G196" t="inlineStr">
        <is>
          <t>Charlotte, NC</t>
        </is>
      </c>
      <c r="H196" t="inlineStr"/>
      <c r="I196" t="inlineStr">
        <is>
          <t>**Company Description**
 Palmetto is a leading clean tech company on a mission to accelerate the transition to a clean energy future. With a belief that consumers can
 **have it all,** 
 we are an uncompromising energy company that makes coming clean a no brainer. Our award\-winning technology platform empowers homeowners, businesses, and entrepreneurs to adopt renewable energy through simple, scalable, and innovative solutions. Operating at the intersection of B2B and D2C, we offer software, financial products, and services that drive real environmental impact—without compromising value. We deliver end\-to\-end solutions for whole home electrification that put clean energy within reach for all.
 Our employees are our most valuable resource. We foster a promote\-from\-within culture that prioritizes talent development, career growth, and purpose\-driven work. Palmetto offers a comprehensive benefits package—including unlimited PTO, medical, dental, and vision coverage, paid parental leave, retirement plans, and more—so you can
 **have it all** 
 both personally and professionally. Palmetto prioritizes people, planet, and profit—backed by a culture that values collaboration, impact, and balance. Join us in building a brighter, cleaner world.
**Location**
 This position will be based remotely in the United States.
**Summary of Role** 
 The Senior Salesforce Product Manager role will drive the continued development of Palmetto's Salesforce platform in alignment with Palmetto’s business needs and objectives. The Salesforce Product Manager owns the product strategy, roadmap, and weekly sprint priorities for Palmetto’s Salesforce team by serving as the primary business liaison and subject matter expert on the platform’s ever\-evolving features and capabilities. The Salesforce Product Manager will also consult with other Product teams regularly to align on cross\-product priorities.
**Strategic \&amp; Tactical**
**Key Responsibilities Of The Salesforce Product Manager**
* Understand Palmetto’s business processes and organizational priorities
* Proactively engage with stakeholders regularly to understand their evolving needs
* Manages technical SFDC lead and delivery team
* Proactively builds reporting to support business operations, as well as track sprint delivery and progress of the SFDC delivery team(s)
* Develop, maintain, and communicate the Salesforce product’s vision and roadmap
* Establish and track progress against evolving business initiatives for the Salesforce team
* Manage, prioritize, and refine User Stories for the Salesforce product backlog
* Work closely with peers in your department to ensure that your projects and initiatives align with the priorities of their related systems i.e. accounting and financial systems
* Lead Salesforce product roadmap and sprint planning meetings with the Salesforce development team
* Lead solutioning conversations and technologies for products that live within or touch the Salesforce system
* Facilitate daily standups with the Salesforce development team
* Engage with business stakeholders and end\-users to resolve impediments to Product development as they arise
* Manage end\-user testing, communications, release management, and roll\-out plan for new Product feature releases
* Align with other Palmetto Product Owners when needed to maintain cross\-product alignment
* Manage MANY priorities across the org and drive the strategic vision and implementation of Salesforce enhancements to support Palmetto’s growth and business needs
* Very strong technical foundational knowledge and understanding of the Salesforce platform and various clouds (Sales, Service, Field Service Lightning, etc.)
**Qualifications**
* 3\+ years of experience at a technology company or consulting firm
* 5\+ years of experience working in an Agile development environment and participating in Agile ceremonies
* Ability to manage many competing priorities and complex projects
* Salesforce certifications highly preferred (consultant, administrator, etc.)
* 3\+ years of experience working with middleware for Salesforce (BOOMI, Tray.IO, or other) along with DevOps tools (Gearset or other)
* Experience translating business needs into strong user stories/requirements for new product features
* Technical aptitude and expertise in the Salesforce platform as well as other applications commonly integrated with Salesforce
* Excellent organizational and project management skills; can manage priorities and dependencies across teams
* Excellent communication skills with experience translating technical concepts to non\-technical audiences
* Strong leadership skills rooted in high EQ, with an ability to rally cross\-functional teams towards demanding goals
* Is regarded as a subject matter expert in Salesforce; can set up working agreements with other teams on how to use, engage and request updates to their service.
* Has strong alignment to the Palmetto mission of building the green energy future, and examples of working within Palmetto core values:
+ Customer Mindfulness: we are conscientious of and empathetic towards the needs of our customers.
+ Inclusion \&amp; Diversity: We are steadfast in our commitment to the advancement of inclusion and diversity of our people, ideas, thoughts, and acts.
+ Rituals: We create practices that keep us disciplined in the pursuit of our goals
+ Longevity: We build for the future
+ Happiness: We encourage employees to focus on their well being
+ Openness: We provide complete transparency to our colleagues, even when it is uncomfortable.
*Employment is contingent upon the successful completion of a background check.*
*Employment is contingent upon the successful completion of a background check.*
**Equal Employment Opportunity**
 Palmetto embraces diversity and is an Equal Employment Opportunity employer. Employment is decided on the basis of qualifications, merit, and business need. We do not discriminate based upon race, religion, color, national origin, gender, sexual orientation, gender identity, gender expression, age, status as a protected veteran, status as an individual with a disability, or any other status protected under federal, state, or local law.
 For more about our Privacy Policy, visit: https://palmetto.com/privacy\-policy</t>
        </is>
      </c>
    </row>
    <row r="197">
      <c r="A197" t="inlineStr">
        <is>
          <t>li-4373963734</t>
        </is>
      </c>
      <c r="B197" t="inlineStr">
        <is>
          <t>Product Manager - Shelton, CT</t>
        </is>
      </c>
      <c r="C197" t="inlineStr">
        <is>
          <t>Lensa</t>
        </is>
      </c>
      <c r="D197" t="inlineStr">
        <is>
          <t>linkedin</t>
        </is>
      </c>
      <c r="E197">
        <f>HYPERLINK("https://www.linkedin.com/jobs/view/4373963734", "https://www.linkedin.com/jobs/view/4373963734")</f>
        <v/>
      </c>
      <c r="F197" t="inlineStr"/>
      <c r="G197" t="inlineStr">
        <is>
          <t>Shelton, CT</t>
        </is>
      </c>
      <c r="H197" t="inlineStr"/>
      <c r="I19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Hubbell Power Systems. Clicking "Apply Now" or "Read more" on Lensa redirects you to the job board/employer site. Any information collected there is subject to their terms and privacy notice.
 Product Manager \- Shelton, CT
 Apply now »
 Date: Jan 28, 2026
 Location: Shelton, CT, US, 06484\-4300
 Company: Hubbell Incorporated
**Job Overview**
 The Product Manager is responsible for the overall product strategy, business leadership and capacity plans for the assigned product lines to meet sales, profit and other financial objectives. Identifies product extensions, changes and improvements for existing products, and provides guidance in the innovation, definition, development and introduction of new products. Recommends high level strategies and advises management of marketplace trends affecting market strategies. In conjunction with Engineering, Manufacturing, Finance, Sales, Management develops business plans for product lines which will meet financial performance and business objectives.
 A Day In The Life
* Provides leadership for assigned product lines by establishing annual marketing plans, product development program management, capacity forecasts and financial operating plans.
* Is recognized as the primary point of contact and subject matter expert for assigned product lines, providing support and education for all stake holders including field sales, channel partners and customers.
* Maintains close working relationships with Sales, distributor partners and customers to identify new opportunities and to grow sales of existing products.
* Monitors sales and field reports, pricing levels, competition and proposals pertaining to responsible product area.
* Monitors manufacturing costs versus standards and/or budgets and forecasts, giving recommendations for cost improvements.
* Forecasts and communicates major changes in capacity requirements so Operations can plan accordingly.
* Analyzes product life cycles and recommends redesign or improvement of existing products to increase sales and/or profitability.
* Stays abreast of technological advances to develop a competitive strategy to enhance market position, new applications for products, and modifications to improve flexibility and customer appeal. Ability to learn about assigned technology areas to understand and communicate program needs.
* Establishes effective communication channels and working relationships at all levels to provide pertinent, timely and accurate information and ensure effective performance of related product line functions. Has experience in making presentations to all levels of the organization successfully communicating complex issues and business cases.
* Responsible for keeping management informed of the progress, status and direction of assigned product lines and projects, including overall trends in the marketplace in order to develop product strategies.
* Develops and implements a marketing strategy for assigned product lines that includes promotions, marketing collateral, merchandising and alternate channels to market.
* Supports sales efforts by participating in a variety of training events, trade shows, market development programs and industry association committees.
* Develops, tracks and drives new product development, redesign and product modification efforts by managing cross functionally activities through the organization and communicates requirements and issues effectively.
* Actively participates in sales and operations planning. Uses financial forecasts as the basis for developing demand, inventory and production plans.
 What will help you thrive in this role?
**Requirements**
 This is a high visibility position that will interface with all levels within the organization. The individual must be highly analytical, organized, tactically oriented and possess excellent communication and leadership skills. The ideal candidate will meet these requirements:
 Bachelor Degree in Engineering General, Marketing or Business
 At least 5 years of experience required, preferrably in the Electrical, Construction or Consumer Products Industry
 Direct Experience gathering Voice Of Customer (VOC) and market research required
**Demonstrated Experience Leading Successful Teams Through Influencing Skills**
 Strong verbal and written communication required. Should be comfortable presenting to large audiences and customers.
 Hubbell Incorporated
 Hubbell creates critical infrastructure solutions that power our customers, communities, people and the planet. Our company is strategically aligned around enabling grid modernization and electrification. As more products plug in to an aging grid, Hubbell solutions enable the transition to a more reliable, resilient and efficient energy infrastructure. Founded in 1888 our innovation has made us a leading global manufacturer of high quality electrical and utility solutions enabling customers to operate critical infrastructure reliably and efficiently.
 The company operates in two segments. Hubbell Utility Solutions (HUS) enable the grid to conduct, communicate and control energy across utility applications and Hubbell Electrical Solutions (HES) are essential to managing power across a wide range of industries and applications. Our vertical market solutions can be applied to markets including Data Centers, Renewables, Commercial Buildings, Industrial, Telecom and Transportation. Supporting both of our business segments is our corporate and Hubbell Unified Business Solutions teams that provide consistent process, tools technologies across our businesses.
 We are committed to operating sustainably and ethically while promoting an inclusive and supportive culture for our people to grow and develop in their careers. Our employees proudly work and serve our communities from our headquarters in Shelton, CT, across the United States and around the globe.
 Hubbell Electrical Solutions
 Hubbell Electrical Solutions (HES) are essential to managing power across a wide range of industries and applications. HES provides the critical components that allow operators of buildings, factories and other industrial infrastructure to connect, protect, wire and manage power.
 Hubbell Incorporated, its subsidiaries and affiliates, is an EO Employer AA: M/F/Veteran/Disability. All qualified applicants will receive consideration for employment without regard to race, color, religion, sex, national origin, disability, protected veteran status, sexual orientation, gender identity or any other protected class.
 The above summary of position responsibilities and requirements is not intended, and should not be construed, to be an exhaustive list of duties, skills, efforts, physical requirements, or working conditions associated with the position. It is intended to be an accurate reflection of those principal position elements essential for making decisions related to position performance, employee development, and compensation.
 If you have questions about this posting, please contact support@lensa.com</t>
        </is>
      </c>
    </row>
    <row r="198">
      <c r="A198" t="inlineStr">
        <is>
          <t>li-4358150986</t>
        </is>
      </c>
      <c r="B198" t="inlineStr">
        <is>
          <t>Product Manager II</t>
        </is>
      </c>
      <c r="C198" t="inlineStr">
        <is>
          <t>NBME</t>
        </is>
      </c>
      <c r="D198" t="inlineStr">
        <is>
          <t>linkedin</t>
        </is>
      </c>
      <c r="E198">
        <f>HYPERLINK("https://www.linkedin.com/jobs/view/4358150986", "https://www.linkedin.com/jobs/view/4358150986")</f>
        <v/>
      </c>
      <c r="F198" t="inlineStr"/>
      <c r="G198" t="inlineStr">
        <is>
          <t>Philadelphia, PA</t>
        </is>
      </c>
      <c r="H198" t="inlineStr"/>
      <c r="I198" t="inlineStr">
        <is>
          <t>**POSITION OVERVIEW** 
**NBME is seeking to hire a level II Product Manager for our organization. This person will be responsible for driving the success of one or more products and leading cross\-functional teams responsible for developing, improving, and delivering the product(s). The ideal candidate will have direct accountability for identifying market opportunities and customer needs, developing the product(s) roadmap, and planning and executing the operational planning, production, and projects that directly contribute to the success of the product(s).** 
 This role has been designated as primarily remote, meaning it requires little to no onsite attendance. While this role can be designated as remote, you are offered the flexibility to select if you prefer to work primarily remotely, hybrid, or onsite. We're open to considering candidates in PA, NJ, DE, MD, but will prioritize qualified candidates living within 50 miles of our office location in Philadelphia, PA.
 At NBME, we continue to innovate and improve how we fulfill the evolving needs of the healthcare community. This commitment starts and ends with the people at NBME. By recruiting and empowering talented individuals from various disciplines and backgrounds, which includes professionals with diverse life experiences, abilities, and perspectives, NBME can take a well\-informed, robust approach to advancing medical education and assessment for years to come.
**RESPONSIBILITIES** 
* Control the vision, strategy, and roadmap for one or more products in an effort to deliver value to the customer and align with broader NBME strategy.
* Manage and execute product life cycle/strategy, technical, and marketing aspects of the product(s), which includes: discovery and validation of market problems; bringing the voice of the customer into product strategy; exploration of new market opportunities; definition and sizing of market segments; business plan creation; pricing; product positioning; go\-to\-market planning; win/loss analysis; distribution strategy; product profitability and sales analysis.
* Continually monitor financial, reputational, and user\-satisfaction "health" of product(s), reports findings, and develop recommendations to make appropriate strategic and tactical adjustments based on evidence.
* Lead the development and management of product\-level budgets, including forecasting revenue, tracking expenses, and analyzing financial performance. Collaborate with cross\-functional teams to align investment decisions with strategic goals, ensuring profitability and long\-term value creation. Monitor key financial metrics and adjust plans proactively to meet business targets.
* Identify and implement process improvements that enhance team productivity, reduce waste, and accelerate time\-to\-market. Collaborate cross\-functionally to streamline workflows, optimize resource utilization, and ensure consistent execution of product strategies aligned with business goals.
* Define market requirements, package features into product plans, and identifies risks/benefits/mitigation strategies.
* Develops recommendations for product(s) based on data analysis, competitive climate, understanding of NBME strategy, and informed business needs.
* Interacts with agile teams, cross\-functional teams, development leads, product architects, and key customers
* Gather requirements from existing and potential customers, write market requirements documents or product backlogs, and monitor the implementation of each product project, maintaining the product roadmap and status dashboard.
* Analyzes the competitive landscape; works cross\-functionally to monitor and incorporate industry innovations.
* Serves as the main liaison on the assigned product(s) between internal and external stakeholders. Coordinates efforts of cross\-functional teams to align and deliver operational planning and production that meet customer and product roadmap requirements.
* Develops, interprets, and communicates policies and practices to external stakeholders; addresses/resolves routine issues, problems, and concerns.
* Represents assigned product(s) internally and externally to product\-associated groups and organizations. Develops and delivers presentations, Webinars, and reports to NBME governance, the Executive Team, and external groups about products and activities.
* Participates in the creation of market collateral to support outreach, converting technical positioning into key market messages.
* Launches product(s) onto the market: Assist with defining buyer personas and determining market messages; participates in the creation of marketing plans; collaboratively evaluate the effectiveness of product marketing programs; maintains product launch plans.
* Delivers thought\-leader content via events and other outlets; creates standard presentations and demo scripts; aligns sales and outreach tools.
* Provide account support and manage client accounts as needed.
* Develop RFPs and contracts and execute them with guidance from other Product Management staff.
* Contribute to the creation and revision of policies, practices, and quality control measures. Participates in research initiatives and special projects.
**QUALIFICATIONS** 
**Skills and Abilities** 
* 5 or more years of relevant experience in program/product management required.
* Demonstrated ability to analyze data and synthesize market trends to inform product strategy and decision\-making.
* Skilled in translating quantitative and qualitative insights into actionable recommendations that drive product innovation, customer value, and business growth.
* Demonstrated ability to utilize OpenAI\-powered tools and generative AI technologies to streamline workflows, accelerate decision\-making, and improve communication. Skilled in applying AI for tasks such as data summarization and market analysis to drive efficiency and deliver high\-impact product outcomes.
* Proven ability to manage product\-level profit and loss, including budget planning, revenue forecasting, and expense tracking. Skilled in analyzing financial performance to guide strategic decisions, optimize resource allocation, and ensure alignment with business objectives and profitability targets.
* Skilled in identifying inefficiencies and implementing process improvements across the product lifecycle. Adept at streamlining workflows, enhancing cross\-functional collaboration, and optimizing resource allocation to accelerate delivery and maximize impact.
* Proven track record of launching product(s) or product releases; leading and organizing market research/pilot/testing efforts; coordinating Agile experiences.
* Strategic and technical Product Management experience, preferably in healthcare, medical education and/or assessment.
* Strong team orientation, project management and analytical skills.
* Demonstrated ability to operate within diverse cross\-functional groups and diverse external stakeholder groups.
* Strong critical thinking, problem\-solving, and conflict management skills; commitment to DEI. Excellent communication and analytical skills (written and verbal).
* Ability to maintain confidential information and secure materials appropriately.
* Ability to succeed in role with some supervisory guidance.
* Broad knowledge base in several aspects of testing.
* Demonstrated ability to bring projects to the implementation stage.
**Experience** 
* 5 or more years
**Education** 
* Bachelor's Degree; required
* Pragmatic Marketing Certification or similar; preferred
**About NBME**
 NBME is a not\-for\-profit organization that specializes in the creation of assessments and learning tools for physicians and health professionals. Our mission is to advance assessment of these professionals to achieve optimal care for all, supporting the development of a highly effective, diverse and compassionate health care workforce.
 Founded in 1915, NBME develops and manages the
 United States Medical Licensing Examination
 ®
 with the Federation of State Medical Boards. We offer a comprehensive portfolio of
 assessment products
 for every stage of the medical school journey and provide assessment services to various health profession organizations.
 We are dedicated to advancing innovative assessment approaches through research,
 collaboration and contributions
 to the medical education and assessment communities. In 2024, we expanded our assessment capabilities to include simulation through the acquisition of
 MedVR Education
 .
 Learn more on
 NBME's website
 .
**NBME's Community Collaborations and Contributions**
 NBME believes that a key path to meeting our mission is collaborating with and supporting our communities. Our
 Community Collaborations and Contributions programs
 provide resources and recognition to medical educators and researchers advancing the field of assessment throughout their careers. In addition, we invest in fee assistance, scholarships and pathway programs to aid learners and help support increased representation in health care. Headquartered in Philadelphia, NBME also gives to local organizations that advance health equity and access and positively impact social determinants of health.
 Compensation we are offering for this position is at $96,991\-$121,239 year. Please note that the offered rate for this position typically aligns with the minimum to midrange of this grade, but it can vary based on the successful candidate's qualifications and experience, department budget, and an internal equity review.
**The NBME offers competitive salaries, excellent benefits, and a rewarding work environment.**
 Excellent Benefits include: Healthcare, Dental, Prescription, and Vision plans; 401(k) w/match, Tuition Reimbursement Plan, Commuter Benefit: Public Transit or Parking options. Remote Friendly Workplace.
**NBME is an Equal Opportunity Employer. We will consider all qualified applicants for employment without regard to race; color; sex; gender identity; sexual orientation; religious practices and observances; national origin; pregnancy, childbirth, or related medical conditions; status as a protected veteran or spouse/family member of a protected veteran; or disability.**</t>
        </is>
      </c>
    </row>
    <row r="199">
      <c r="A199" t="inlineStr">
        <is>
          <t>li-4355935782</t>
        </is>
      </c>
      <c r="B199" t="inlineStr">
        <is>
          <t>Product Manager - Instagram Reels Monetization Creative</t>
        </is>
      </c>
      <c r="C199" t="inlineStr">
        <is>
          <t>Instagram</t>
        </is>
      </c>
      <c r="D199" t="inlineStr">
        <is>
          <t>linkedin</t>
        </is>
      </c>
      <c r="E199">
        <f>HYPERLINK("https://www.linkedin.com/jobs/view/4355935782", "https://www.linkedin.com/jobs/view/4355935782")</f>
        <v/>
      </c>
      <c r="F199" t="inlineStr"/>
      <c r="G199" t="inlineStr">
        <is>
          <t>Menlo Park, CA</t>
        </is>
      </c>
      <c r="H199" t="inlineStr"/>
      <c r="I199" t="inlineStr">
        <is>
          <t>Meta Product Managers work with cross\-functional teams of engineers, designers, data scientists and researchers to build products. We are looking for Product Managers who value moving quickly.
 Product Manager \- Instagram Reels Monetization Creative Responsibilities:
* Be responsible for driving one or more projects within a product area. Define success metrics, prioritize product problems and identify the best solutions to achieve the overall goals
* Work with the cross\-functional team to develop a roadmap, drive progress against milestones and resolve blockers, whilst maintaining team health
* Gather and analyze user research, product insights and market analysis to inform product decisions
* Coordinate effectively across all functions relevant to your product area, aligning and influencing roadmaps where appropriate
* Communicate clearly upwards and sideways on product plans and progress
 Minimum Qualifications:
* 3\+ years product management or related industry experience
* Bachelor's degree (or relevant degree equivalent): STEM subject ideal but not essential (Computer Science, Engineering, Information Systems, Analytics, Mathematics, Physics, Applied Sciences)
* Experience working with a cross\-functional product team on key product projects: Crafting product mission and strategy, defining product requirements, and driving the team to achieve key milestones and goals
* Proven experience to have an impact on the product outcomes and improve the effectiveness of a product team
* Extensive understanding to analyze data and deploy it to make the right decisions for a product
* Experience using a mixture of approaches to understand requirements from users and identifying the appropriate product solution
* Experience leading and motivating a product team
* Clear and concise communication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$114,000/year to $172,000/year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00">
      <c r="A200" t="inlineStr">
        <is>
          <t>li-4340256307</t>
        </is>
      </c>
      <c r="B200" t="inlineStr">
        <is>
          <t>Product Manager - End User Computing</t>
        </is>
      </c>
      <c r="C200" t="inlineStr">
        <is>
          <t>Bloomberg</t>
        </is>
      </c>
      <c r="D200" t="inlineStr">
        <is>
          <t>linkedin</t>
        </is>
      </c>
      <c r="E200">
        <f>HYPERLINK("https://www.linkedin.com/jobs/view/4340256307", "https://www.linkedin.com/jobs/view/4340256307")</f>
        <v/>
      </c>
      <c r="F200" t="inlineStr"/>
      <c r="G200" t="inlineStr">
        <is>
          <t>New York, NY</t>
        </is>
      </c>
      <c r="H200" t="inlineStr"/>
      <c r="I200" t="inlineStr">
        <is>
          <t>Location
 New York
 Business Area
 Engineering and CTO
 Ref \#
 10046225
**Description \&amp; Requirements**
**About Employee Experience at Bloomberg**
 A great employee experience is foundational to our ability to build great products and services for our clients. From HR systems to collaboration tools, from workplace security to facilities technology, our employee experience stack supports every individual at Bloomberg in doing their best work.
 Our mission is to ensure that employees have seamless, intuitive, and secure tools that enable productivity, drive engagement, and reinforce a culture of excellence—whether they're working from one of our global offices or remotely.
 End User Computing (EUC) plays a critical role in that mission—providing the physical and virtual computing environment that employees rely on every day. From OS\-level software to endpoint performance, from privileged access control to secure remote connectivity, we strive to deliver modern, secure, and responsive employee devices and workspaces.
**What’s the Role?**
 As a Product Manager for End User Computing, you will define, evolve, and execute the product vision for the Bloomberg employee device ecosystem, including Windows and macOS platforms. You’ll work at the intersection of technology, security, and user experience to ensure our computing environment is modern, scalable, employee\-centric and secure.
 You’ll collaborate with Engineering, CTO, IT operations, security and compliance teams to create consistent, high\-performing experiences across physical and virtual endpoints. Your work will directly impact how thousands of employees securely interact with their tools, access internal systems, and stay productive from any location.
**We’ll Trust You To**
* Define the EUC product strategy and roadmap, aligned to broader employee experience, IT and security goals
* Own and evolve the product roadmap for end user hardware and accessories/peripherals by incorporating key stakeholder requirements and end user needs
* Translate business, technical, and security requirements into a cohesive and intuitive end\-user computing experience
* Identify and prioritize key initiatives across Windows/macOS platforms, patching, device management, and telemetry
* Drive execution across the EUC stack by collaborating multiple teams.
* Lead backlog grooming and roadmap planning across core components including OS imaging, policy management (MDM, GPO), software deployment, and endpoint configuration.
* Drive continuous improvement through end\-user feedback, performance monitoring, incident analysis, and change impact assessment
* Partner closely with InfoSec and Risk to define and enforce EUC security requirements, including endpoint protection and patch hygiene.
* Develop user\-facing training, comms, and documentation for major EUC rollouts and upgrades.
* Serve as a primary voice in communicating platform changes, support paths, and new capabilities to internal stakeholders and employees.
**You’ll Need To Have**
* 6\+ years of product management or technical program management experience, with 2\+ years focused on end\-user computing or infrastructure platforms in large\-scale enterprise environments
* Excellent communication, leadership, and stakeholder management skills
* Ability to define a vision and roadmap across multiple stakeholders
* Demonstrated experience delivering secure, scalable Windows and macOS endpoint environments
* Experience managing vendor relationships and driving work across global teams
* Deep understanding of device and OS policy management (e.g., SCCM, Intune, Jamf), enterprise patching, and MDM
* Experience with modern PC build processes
* Strong knowledge of endpoint telemetry, performance tuning, and support tooling
* Familiarity with security tooling (DLP, EDR, EMP), access control mechanisms, and incident response protocols
* Bachelor's degree in Computer Science, Engineering, Information Systems or equivalent
**We’d Love To See**
* Experience deploying modern endpoint delivery and configuration pipelines
* Familiarity with user experience design
* Success driving product decisions with data from telemetry, feedback, and user feedback loops
 Salary Range \= 140000 \- 295000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201">
      <c r="A201" t="inlineStr">
        <is>
          <t>li-4358320131</t>
        </is>
      </c>
      <c r="B201" t="inlineStr">
        <is>
          <t>Product Manager II, Seamless Ordering, Popeyes</t>
        </is>
      </c>
      <c r="C201" t="inlineStr">
        <is>
          <t>Popeyes Louisiana Kitchen</t>
        </is>
      </c>
      <c r="D201" t="inlineStr">
        <is>
          <t>linkedin</t>
        </is>
      </c>
      <c r="E201">
        <f>HYPERLINK("https://www.linkedin.com/jobs/view/4358320131", "https://www.linkedin.com/jobs/view/4358320131")</f>
        <v/>
      </c>
      <c r="F201" t="inlineStr"/>
      <c r="G201" t="inlineStr">
        <is>
          <t>Miami, FL</t>
        </is>
      </c>
      <c r="H201" t="inlineStr"/>
      <c r="I201" t="inlineStr">
        <is>
          <t>**Ready to make your next big professional move? Join us on our journey to achieve our big dream of building the most loved restaurant brands in the world.**
 Restaurant Brands International Inc. is one of the world's largest quick service restaurant companies with nearly $45 billion in annual system\-wide sales and over 32,000 restaurants in more than 120 countries and territories.
 RBI owns four of the world's most prominent and iconic quick service restaurant brands – TIM HORTONS®, BURGER KING®, POPEYES®, and FIREHOUSE SUBS®. These independently operated brands have been serving their respective guests, franchisees and communities for decades. Through its Restaurant Brands for Good framework, RBI is improving sustainable outcomes related to its food, the planet, and people and communities.
 RBI is committed to growing the TIM HORTONS®, BURGER KING®, POPEYES® and FIREHOUSE SUBS® brands by leveraging their respective core values, employee and franchisee relationships, and long track records of community support. Each brand benefits from the global scale and shared best practices that come from ownership by Restaurant Brands International Inc.
 Popeyes is in the midst of an exhilarating digital evolution, navigating the fast\-evolving digital environment and the escalating expectations of our customers. Our digital teams are laser\-focused on pioneering innovation across the entire customer journey, both within our restaurants and beyond.
 As the
 **Product Manager, Seamless Ordering** 
 , you will be responsible for driving the strategy, development, and execution of an industry leading customer experience within the Popeyes App and Website. Your job will involve understanding our customers’ needs and business goals to develop a roadmap rooted in meticulous qualitative and quantitative analysis. You will partner with engineering, design and marketing to implement exceptional experiences across the customer journey. You have experience building and A/B testing thoughtful, data\-driven consumer\-facing products that focus on the customer first, accelerating purchase decisions, and delivering innovative experiences that drive satisfaction and sales.
 RBI follows a 5 day, in\-office work schedule to support collaboration. Candidates should be comfortable working onsite 5 days per week out of our office in
 **Miami, FL** 
 .
**Role And Requirements**
* Define the roadmap for Popeyes’ first\-party digital experiences, balancing operating the product, making foundational improvements, and delivering new and improved features that deliver the most value to our guests.
* Lead the end\-to\-end product development lifecycle, including ideation, evaluation, requirements gathering, UI/UX collaboration, development, rollout and performance measurement, ensuring timely delivery of growth initiatives that meet business and guest needs.
* Analyze product metrics, business performance, and A/B test results to inform continuous improvements, measure progress towards goals, and report to leadership
* Partner with engineering, design, marketing and operations to ensure products deliver an on\-brand omni\-channel guest experience.
* Support national promotions and menu initiatives to ensure seamless digital ordering experiences.
* Identify long\-term channel opportunities based on research, analysis, and a strategic view of the direction of the market to create Ja compelling guest experience that further differentiates Popeyes from others in the market.
* Be accountable for the craftsmanship of the experiences developed.
**Qualifications And Skills**
* 3\+ years of product management experience working on large scale consumer\-facing products and services delivering best\-in\-class e\-commerce experiences.
* Demonstrated success in defining and launching products that enhance user experiences and deliver business impact.
* Experience working with product data and metrics. Data focused and fast decision maker. Relentless driver of rapid iteration, always considering the user experience
* Impeccable organizational and project management skills. Strong knowledge of agile methodologies.
* Strong interpersonal and communication skills adapted for audiences from technical to non\-technical partners.
* Passion for customer\-centric innovation and digital transformation.
* Results\-driven with bias for action and commitment to excellence.
 \#Popeyes
 Benefits at all of our global offices are focused on physical, mental and financial wellness. We offer unique and progressive benefits, including a comprehensive global paid parental leave program that supports employees as they expand their families, free telemedicine and mental wellness support.
 Restaurant Brands International and all of its affiliated companies (collectively, RBI) are equal opportunity and affirmative action employers that do not discriminate on the basis of race, national origin, religion, age, color, sex, sexual orientation, gender identity, disability, or veteran status, or any other characteristic protected by local, state, provincial or federal laws, rules, or regulations. RBI's policy applies to all terms and conditions of employment. Accommodation is available for applicants with disabilities upon request.</t>
        </is>
      </c>
    </row>
    <row r="202">
      <c r="A202" t="inlineStr">
        <is>
          <t>li-4373989925</t>
        </is>
      </c>
      <c r="B202" t="inlineStr">
        <is>
          <t>Senior Product Manager – Comfort</t>
        </is>
      </c>
      <c r="C202" t="inlineStr">
        <is>
          <t>Gravie</t>
        </is>
      </c>
      <c r="D202" t="inlineStr">
        <is>
          <t>linkedin</t>
        </is>
      </c>
      <c r="E202">
        <f>HYPERLINK("https://www.linkedin.com/jobs/view/4373989925", "https://www.linkedin.com/jobs/view/4373989925")</f>
        <v/>
      </c>
      <c r="F202" t="inlineStr"/>
      <c r="G202" t="inlineStr"/>
      <c r="H202" t="inlineStr"/>
      <c r="I202" t="inlineStr">
        <is>
          <t>Hi, we’re Gravie. Our mission is to create health benefits that actually benefit small and midsize businesses and their employees. Our innovative benefit solutions and services are developed and delivered by a diverse group of unique people. We encourage you to be your authentic self \- we like you that way.
**A Little More About The Role**
 We’re looking for a Senior Product Manager to join Gravie’s Comfort Product team. In this role, you’ll own strategy and execution for a critical product area, driving high\-impact outcomes for our members, customers, and internal teams.
 This is a senior\-level individual contributor role. You will operate with a high degree of autonomy, shaping product vision, defining roadmap priorities, and leading cross\-functional teams through execution. While you may provide informal guidance and influence across the Product organization, this role does not include direct people management responsibilities.
 This role is ideal for a strategic, hands\-on product leader who thrives in ambiguity, leads with curiosity, and delivers measurable results in fast\-paced environments.
**You Will**
* Own the end\-to\-end product lifecycle for one or more product areas, from vision and roadmap through delivery, launch, and iteration
* Define and articulate a clear product vision aligned to company strategy and measurable business outcomes
* Partner closely with Engineering, Design, Operations, Legal, Compliance, and other cross\-functional stakeholders to deeply understand problems and shape scalable solutions
* Define product requirements, write clear user stories, and prioritize the team’s backlog based on business impact, user value, and technical feasibility
* Drive cross\-functional alignment and execution to ensure roadmap commitments are delivered with quality and impact
* Use qualitative and quantitative insights to inform decisions, measure product performance, and continuously improve outcomes
* Communicate product strategy, trade\-offs, roadmap updates, and launch plans to stakeholders and leadership
* Influence without authority across teams, fostering a collaborative, customer\-focused product culture grounded in Gravie’s values
* Contribute to improving product management best practices, tools, and operating rhythms across the organization
* Perform other duties as assigned
**You Bring**
* 5\+ years of experience in product management, including ownership of complex, cross\-functional product areas
* Demonstrated ability to independently drive product strategy and execution
* Strong stakeholder management and influence skills across technical and non\-technical audiences
* Experience operating as a senior individual contributor within Agile development environments (e.g., Jira, Confluence)
* Comfort navigating ambiguity and balancing short\-term delivery with long\-term product vision
* Strong analytical mindset with experience using data to drive prioritization and decision\-making
* A track record of delivering user\-centered, high\-impact solutions
**Extra Credit**
* Experience in health insurance
* Experience in any of the following:
* Claims, Payment Integrity, Enrollment \&amp; Eligibility and Financial Systems
* Network, Insurance Product and Sales Enablement
* Digital Platforms \- Member/Broker/Employer Services
**Gravie**
 In order to create a more equitable and sustainable future for employer\-sponsored health insurance, we need talented people doing amazing work. In exchange, we offer a great overall employee experience with opportunities for career growth, meaningful mission\-driven work, and an above average total rewards package.
 The salary range for this position is $120,900 \- $201,640 annually. Numerous factors including, but not limited to, education, skills, work experience, certifications, etc. will be considered when determining compensation.
 Our unique benefits program is the gravy, i.e., the special sauce that sets our compensation package apart. In addition to standard health and wellness benefits, Gravie’s package includes alternative medicine coverage, generous PTO, up to 16 weeks paid parental leave, paid holidays, a 401k program, transportation perks, education reimbursement, and paid paw\-ternity leave.
**A Little More About Us**
* We know healthcare. Our company was founded and is still led by industry veterans who have started and grown several market\-leading companies in the space.
* We have raised money from top tier investors who share the same long\-term vision as we do of building an industry defining company that will endure over the long run. We are well capitalized.
* Our clients love us. Customer satisfaction rates among employees using Gravie health plans consistently rank above 80% – nearly 40 points above the industry average.
* Our culture is unique. We tend to be non\-hierarchical, merit\-driven, opinionated but kind people who thrive working in a high\-performance, fast\-paced environment. People at Gravie care deeply about making a positive impact in the lives of the people we serve. We may not be the right place for everybody, but if you get energized by doing work every day that focuses on putting consumers at the front of the line, we could be a great place for you. It takes unique people and diverse perspectives to deliver our results. We encourage you to be your authentic self – we like you that way.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03">
      <c r="A203" t="inlineStr">
        <is>
          <t>li-4369067398</t>
        </is>
      </c>
      <c r="B203" t="inlineStr">
        <is>
          <t>Product Manager</t>
        </is>
      </c>
      <c r="C203" t="inlineStr">
        <is>
          <t>TEKsystems</t>
        </is>
      </c>
      <c r="D203" t="inlineStr">
        <is>
          <t>linkedin</t>
        </is>
      </c>
      <c r="E203">
        <f>HYPERLINK("https://www.linkedin.com/jobs/view/4369067398", "https://www.linkedin.com/jobs/view/4369067398")</f>
        <v/>
      </c>
      <c r="F203">
        <f>HYPERLINK("https://jsv3.recruitics.com/redirect?rx_cid=3435&amp;rx_jobId=JP-005809160&amp;rx_url=https%3A%2F%2Fars2.equest.com%2F%3Ficid%3Dlinkedin_recruitics%26response_id%3D9605417f09b1564bac2b81fd3fec3baa%26rx_campaign%3DLinkedin1%26rx_ch%3Dconnector%26rx_group%3D123600%26rx_id%3Daf70568a-015c-11f1-9bf5-ab47721b3108%26rx_job%3DJP-005809160%26rx_medium%3Dpost%26rx_r%3Dnone%26rx_source%3DLinkedin%26rx_ts%3D20260217T121210Z%26rx_vp%3Dslots&amp;urlHash=huXe", "https://jsv3.recruitics.com/redirect?rx_cid=3435&amp;rx_jobId=JP-005809160&amp;rx_url=https%3A%2F%2Fars2.equest.com%2F%3Ficid%3Dlinkedin_recruitics%26response_id%3D9605417f09b1564bac2b81fd3fec3baa%26rx_campaign%3DLinkedin1%26rx_ch%3Dconnector%26rx_group%3D123600%26rx_id%3Daf70568a-015c-11f1-9bf5-ab47721b3108%26rx_job%3DJP-005809160%26rx_medium%3Dpost%26rx_r%3Dnone%26rx_source%3DLinkedin%26rx_ts%3D20260217T121210Z%26rx_vp%3Dslots&amp;urlHash=huXe")</f>
        <v/>
      </c>
      <c r="G203" t="inlineStr">
        <is>
          <t>Stamford, CT</t>
        </is>
      </c>
      <c r="H203" t="inlineStr"/>
      <c r="I203" t="inlineStr">
        <is>
          <t>Description
 The Product Manager is responsible for managing one or more highly complex digital experience products. The Product Manager evaluates customer, business and market needs to identify new capabilities and features to enhance the experience and meet company goals.
 Responsibilities
* Defines and communicates the product vision and goals
* Aligns cross\-functional teams with the product goals
* Creates, defines, refines and prioritizes the product feature intake and backlog to align with product roadmap
* Defines feature requirements and oversees the execution of projects to meet timelines
* Manages relationships with internal and external customers and stakeholders
* Understands and communicates business goals of features and capabilities
* Identifies team risks and dependencies and communicates impacts and proposals
* Prepares and/or presents and/or participates in product planning ceremonies including Product syncs, System Demos and Quarterly Planning
* Establishes KPIs and OKRs for the product
* Monitors product metrics to meet or exceed KPI goals
* Collects and analyzes customer feedback
* Develops user personas and use cases to understand the end users needs
* Creates user journey maps to illustrate the goals and desired outcomes for various customer types and scenarios
* Manages and supports Product Owner(s) in creating effective delivery teams
* Works with Product Owner(s) to explore customer needs and business opportunities
 Core Skills
* Ability to analyze data to identify risks and opportunities
* Understanding of technical aspects of the product and development cycle
* Ability to create and communicate a product vision, roadmap and strategy
* Risk management and prioritization
* Market research
* User research
* Identify risks and dependencies
* Data analytics and metrics
* UI/UX
* Understanding of Agile principles and ability to apply to delivery team
* Basic understanding of technologies that support the product
* Understand technical implications of design and development decisions
 Job Type \&amp; Location
 This is a Contract position based out of Stamford, CT.
 Pay And Benefits
 The pay range for this position is $70\.00 \- $77\.00/hr.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 Medical, dental \&amp; vision
* Critical Illness, Accident, and Hospital
* 401(k) Retirement Plan – Pre\-tax and Roth post\-tax contributions available
* Life Insurance (Voluntary Life \&amp; AD\&amp;D for the employee and dependents)
* Short and long\-term disability
* Health Spending Account (HSA)
* Transportation benefits
* Employee Assistance Program
* Time Off/Leave (PTO, Vacation or Sick Leave) Workplace Type This is a hybrid position in Stamford,CT. Application Deadline This position is anticipated to close on Feb 17, 2026\. h4\&gt;About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204">
      <c r="A204" t="inlineStr">
        <is>
          <t>li-4373974030</t>
        </is>
      </c>
      <c r="B204" t="inlineStr">
        <is>
          <t>Product Manager, Healthcare SaaS - Patient Support (Remote)</t>
        </is>
      </c>
      <c r="C204" t="inlineStr">
        <is>
          <t>Lensa</t>
        </is>
      </c>
      <c r="D204" t="inlineStr">
        <is>
          <t>linkedin</t>
        </is>
      </c>
      <c r="E204">
        <f>HYPERLINK("https://www.linkedin.com/jobs/view/4373974030", "https://www.linkedin.com/jobs/view/4373974030")</f>
        <v/>
      </c>
      <c r="F204" t="inlineStr"/>
      <c r="G204" t="inlineStr">
        <is>
          <t>Orlando, FL</t>
        </is>
      </c>
      <c r="H204" t="inlineStr"/>
      <c r="I20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AssistRx. Clicking "Apply Now" or "Read more" on Lensa redirects you to the job board/employer site. Any information collected there is subject to their terms and privacy notice.
 AssistRx is a leading healthcare technology company dedicated to accelerating patient access to life\-changing therapies. Through our premier patient solutions platform and advanced technology ecosystem, we partner with pharmaceutical manufacturers, specialty pharmacies, and healthcare providers to simplify the patient journey and eliminate barriers to treatment.
 Our suite of solutions—including iAssist®, Hub Lite™, Prior Authorization, Benefits Verification, Copay Support, specialty pharmacy integrations, and digital engagement tools—empowers patients to start and stay on therapy faster.
 At AssistRx, we blend technology, talent, and compassion to drive better healthcare outcomes for the patients and brands we serve.
 We are seeking a strategic, customer\-centric, and execution\-focused Product Manager to lead the evolution of our patient support program (PSP) solutions for pharmaceutical and biotech clients. This role sits at the intersection of patient experience, technology, and commercial strategy—driving offerings such as field\-based nurse support, reimbursement assistance, specialty pharmacy coordination, patient education, data workflows, and digital engagement tools (apps, portals, messaging workflows, and more).
 You will own product strategy, roadmap development, and cross\-functional execution to improve patient access, adherence, satisfaction, and program outcomes, while ensuring alignment with brand strategy, compliance requirements, and client expectations.
 Key ResponsibilitiesProduct Strategy \&amp; Vision
* Develop and execute a clear product roadmap for PSP\-related capabilities—including services, data workflows, and digital engagement tools.
* Align product initiatives with evolving client needs, regulatory requirements, and market trends in patient access and support services.
 Customer \&amp; Market Insight
* Partner with commercial teams, clients, and operations to deeply understand PSP workflows, pain points, and success metrics.
* Conduct competitive intelligence and market analysis to support product differentiation and value\-driven positioning.
 Cross\-Functional Leadership
* Collaborate with engineering, UX/UI, data science, operations, and clinical teams to deliver scalable, secure, and intuitive product features.
* Work closely with legal, compliance, and privacy stakeholders to ensure adherence to HIPAA, GDPR, and industry\-specific regulatory standards.
 Lifecycle Ownership
* Own the full product lifecycle—from ideation and requirements definition through development, launch, and ongoing optimization.
* Monitor product performance, adoption, patient outcomes, and client satisfaction to drive continuous innovation.
 Client Engagement \&amp; Enablement
* Support client onboarding and implementation by translating business requirements into product configurations and enhancements.
* Serve as the product subject matter expert during client meetings, workshops, and advisory discussions.
 Product Development Execution
* Work effectively within Agile/Scrum teams, contributing to sprint planning, backlog prioritization, and iterative roadmap delivery.
* Write clear, concise user stories, acceptance criteria, and business requirements that translate complex needs into action.
* Utilize product management tools (Jira, Confluence, Aha!, Productboard) to manage roadmaps, documentation, and communication.
**Requirements**
* Bachelor’s degree in life sciences, business, data analytics, or related field.
* 5\+ years of product management experience in B2B SaaS, healthcare technology, or tech\-enabled services.
* Experience in life sciences, healthcare delivery, pharmaceutical services, or patient support programs.
* Familiarity with PSP workflows: hub services, copay programs, prior authorization, benefits investigations, nurse support.
* Strong understanding of data privacy, compliance, and interoperability standards (HIPAA, HL7, FHIR, GDPR).
* Demonstrated success working in Agile/Scrum environments.
* Excellent communication, stakeholder engagement, and analytical skills.
**Preferred**
* Master’s degree in business, life sciences, healthcare administration, or related field.
* Experience working with pharmaceutical manufacturers, hub providers, or specialty pharmacies.
* Exposure to digital health tools (patient portals, apps, engagement platforms).
* Knowledge of EMR/EHR integrations, claims data, and real\-world evidence (RWE).
* Experience creating outcomes dashboards or patient journey analytics.
* Experience supporting AI\-driven workflows or automation tools.
* Consulting or client\-facing implementation experience.
**Benefits**
* Supportive, progressive, fast\-paced environment
* Competitive pay structure
* Matching 401(k) with immediate vesting
* Medical, dental, vision, life, \&amp; short\-term disability insurance
* Opportunity to impact patient outcomes through data\-driven healthcare technology.
* Collaborative and mission\-driven culture that values innovation and continuous learning.
* Access to cutting\-edge cloud technologies and modern data engineering tools.
* Competitive compensation, comprehensive benefits, and career growth opportunities
 AssistRx, Inc. is proud to be an Equal Opportunity Employer. All qualified applicants will receive consideration without regard to race, religion, color, sex (including pregnancy, gender identity, and sexual orientation), parental status, national origin, age, disability, family medical history or genetic information, political affiliation, military service, or other non\-merit based factors, or any other protected categories protected by federal, state, or local laws.
 All offers of employment with AssistRx are conditional based on the successful completion of a pre\-employment background check.
 In compliance with federal law, all persons hired will be required to verify identity and eligibility to work in the United States and to complete the required employment eligibility verification document form upon hire. Sponsorship and/or work authorization is not available for this position.
 AssistRx does not accept unsolicited resumes from search firms or any other vendor services. Any unsolicited resumes will be considered property of AssistRx and no fee will be paid in the event of a hire
 If you have questions about this posting, please contact support@lensa.com</t>
        </is>
      </c>
    </row>
    <row r="205">
      <c r="A205" t="inlineStr">
        <is>
          <t>li-4373000960</t>
        </is>
      </c>
      <c r="B205" t="inlineStr">
        <is>
          <t>Product Owner</t>
        </is>
      </c>
      <c r="C205" t="inlineStr">
        <is>
          <t>ALLDATA</t>
        </is>
      </c>
      <c r="D205" t="inlineStr">
        <is>
          <t>linkedin</t>
        </is>
      </c>
      <c r="E205">
        <f>HYPERLINK("https://www.linkedin.com/jobs/view/4373000960", "https://www.linkedin.com/jobs/view/4373000960")</f>
        <v/>
      </c>
      <c r="F205" t="inlineStr"/>
      <c r="G205" t="inlineStr">
        <is>
          <t>Elk Grove, CA</t>
        </is>
      </c>
      <c r="H205" t="inlineStr"/>
      <c r="I205" t="inlineStr">
        <is>
          <t>**Job Description**
**Hybrid role 3X a week in office in Elk Grove, CA; no remote capabilities**
**Position Summary**
 The Product Owner will play a critical role in driving the scope, definition and requirements for the product development process for ALLDATA’s products. This person will report to a Senior Product Manager and work with other Product Managers, Scrum Masters, IT, and other cross\-functional teams, playing a key role in the Software Development Life Cycle of new products and product improvements in an agile environment. This person will perform discovery, requirements gathering and definition, prioritization, and management of the backlogs. The person in this role acts as the bridge between stakeholders and the development team, responsible for communication of the product roadmap and prioritizing the backlog to ensure every sprint delivers maximum value to ALLDATA customers.
**Position Responsibilities \- Other Duties May Be Assigned**
* Effectively use marketing data and customer feedback to analyze and understand market needs, determining the roadmap priorities and prioritization of the product backlog.
* Drive the delivery of valuable, usable and feasible solutions.
* Drive Scrum teams to deliver value that will contribute positively to the organization's financial performance.
* Lead and perform all discovery and requirements gathering activities to ensure that the requirements for the product priorities are complete, accurate and ensure that the development team can produce the product value expected.
* Write user stories and prioritize backlog based on product strategy and vision.
* Analyze data (e.g., win/loss, customer feedback, support tickets, etc.) to understand what product enhancements should be prioritized based on what is “urgent, pervasive and someone is willing to pay” in the marketplace.
* Conduct grooming sessions and manage stories through to completion.
* Assist cross\-functional groups with product launch activities including but not limited to product demos, product training, product positioning/messaging, and support processes.
* Effectively communicate the product strategy, roadmap, deliverables, performance, etc. to stakeholders and C\-level employees within the organization.
* Attend release sessions and provide Go/No\-Go decision within the process.
* Participate in the review and/or analysis of customer feedback.
* Participate in all scrum activities/ceremonies.
* Perform Business Analyst responsibilities in absence of an assigned Business Analyst.
* Serve as the product Subject Matter Expert (SME) and effectively support all sales and product launch activities. Measure product performance for the company by tracking and reporting to KPIs that are meaningful to the financial health of the company.
* Consistently produce high\-quality deliverables in a timely manner, self\-assigning dates/times for delivery and meeting delivery due dates.
* Create comprehensive, clear, and accurate documentation.
* Communicate proactively, clearly and completely with team members, cross\-functional teams, strategic partners and all levels of leadership to provide product delivery requirements, delivery statuses, impediments, product roadmap information and/or product performance data.
**Position Requirements**
* A Bachelor of Science in Computer Science, Information Systems or related field.
* 3\+ years of professional experience in Product Management or Product Development as a Business Analyst or a Product Owner
* 2\+ years of managing cross\-functional teams
* Professional experience analyzing data and gathering insights
* Demonstrated ability to translate customer needs and data into requirements
* Professional Agile experience, including story writing and backlog prioritization/management
* Excellent communication and presentation skills
 The salary range for this position is $96,000 – $165,000\. When extending an offer of employment, ALLDATA considers factors such as (but not limited to) the scope and responsibilities of the position, the candidate’s work experience, education/training, key skills, internal peer equity, federal, state, and local laws, company financials, as well as external market and organizational considerations. ALLDATA values and is committed to diversity, equity and inclusion.
**About Us**
 Since opening our first store in 1979, AutoZone has grown into a leading retailer and distributor of automotive parts and accessories across the Americas. Our customer\-first mindset and commitment to Going the Extra Mile define who we are, for both our customers and AutoZoners. Working at AutoZone means being part of a team that values dedication, teamwork, and growth. Whether you're helping customers or building your career, we provide tools and support to help you succeed and drive your future.
**Benefits At AutoZone**
 AutoZone offers thoughtful benefits programs with one\-on\-one benefits guidance designed to improve AutoZoners’ physical, mental and financial well\-being.
**All AutoZoners (Full\-Time And Part\-Time)**
* Competitive pay
* Unrivaled company culture
* Medical, dental and vision plans
* Exclusive discounts and perks, including an AutoZone in\-store discount
* 401(k) with company match and Stock Purchase Plan
* AutoZoners Living Well Program for free mental health support
* Opportunities for career growth
**Additional Benefits For Full\-Time AutoZoners**
* Paid time off
* Life, and short\- and long\-term disability insurance options
* Health Savings and Flexible Spending Accounts with wellness rewards
* Tuition reimbursement
 Minimum age requirements may apply. Eligibility and waiting period requirements may apply; benefits for AutoZoners in Puerto Rico, Hawaii, or the U.S. Virgin Islands may differ. Learn more about all that AutoZone has to offer at Careers.AutoZone.com.
 We proudly support Veterans, Active\-duty Service Members, Reservists, National Guard and Military Families. Your experience is highly valued, and we encourage you to apply to join our team.
**Online Application**
 An online application is required. Click the Apply button to complete your application. For step\-by\-step instructions on how to apply visit careers.autozone.com/candidateresources.
 AutoZone, and its subsidiary, ALLDATA are equal opportunity employers. All applicants will be considered for employment without attention to age, race, color, religion, sex, sexual orientation, gender identity, national origin, veteran or disability status, or any other legally protected categories.</t>
        </is>
      </c>
    </row>
    <row r="206">
      <c r="A206" t="inlineStr">
        <is>
          <t>li-4366267772</t>
        </is>
      </c>
      <c r="B206" t="inlineStr">
        <is>
          <t>Principal Product Manager, AI Frameworks</t>
        </is>
      </c>
      <c r="C206" t="inlineStr">
        <is>
          <t>NVIDIA</t>
        </is>
      </c>
      <c r="D206" t="inlineStr">
        <is>
          <t>linkedin</t>
        </is>
      </c>
      <c r="E206">
        <f>HYPERLINK("https://www.linkedin.com/jobs/view/4366267772", "https://www.linkedin.com/jobs/view/4366267772")</f>
        <v/>
      </c>
      <c r="F206">
        <f>HYPERLINK("https://nvidia.wd5.myworkdayjobs.com/NVIDIAExternalCareerSite/job/US-CA-Santa-Clara/Principal-Product-Manager\u002d\u002dAI-Frameworks_JR2011865?source=jobboardlinkedin&amp;urlHash=rnmP", "https://nvidia.wd5.myworkdayjobs.com/NVIDIAExternalCareerSite/job/US-CA-Santa-Clara/Principal-Product-Manager\u002d\u002dAI-Frameworks_JR2011865?source=jobboardlinkedin&amp;urlHash=rnmP")</f>
        <v/>
      </c>
      <c r="G206" t="inlineStr">
        <is>
          <t>Santa Clara, CA</t>
        </is>
      </c>
      <c r="H206" t="inlineStr"/>
      <c r="I206" t="inlineStr">
        <is>
          <t>At Nvidia we meet customers where they are on their AI journey on our GPUs \- this means we build best in class frameworks in OSS and support a robust eco system of other OSS frameworks. and As a Product Manager for AI Platform post\-training and RL, you will be responsible for building the tools, SDKs, and libraries which enable model builders to get the best large scale performance, resilience and experience on NVIDIA GPUs.
 As NVIDIA Product Managers, our goal is to enable researchers and operators to be successful on the NVIDIA Platform, and push the boundaries of what is possible in their research and research\-to\-production! As Product Managers, we are the champions inside NVIDIA for frontier model builders looking to push the bounds of scale and resilience for current and emerging modeling paradigms on GPUs. We work directly with customers inside and outside of the company to identify key improvements, create roadmaps, and stay alert on the training/post training landscape. We also work with NVIDIA leaders to define clear product strategy, and marketing team teams to build go\-to\-market plans. The Product Management organization at NVIDIA is a small, strong, and impactful group. We focus on enabling deep learning across all GPU use cases and providing great products for our users. We are seeking a rare blend of product skills, technical depth, and passion to make NVIDIA great. Does that sounds familiar? If so, we would love to hear from you!
**What You'll Be Doing**
* Create and optimize post\-training RL libraries, frameworks to help researchers and production model builders
* Develop product strategy, roadmaps, and go\-to\-market plans
* Collaborate with internal and external customers to build product\-based roadmaps for training/post training software
* Work with leadership to align with and drive company strategy
**What We Need To See**
* Experience with design and scaling of training/post training and optimization software (ex. VeRL, Tunix, Nemo Framework, PyTorch distributed, torchtitan, etc.)
* Demonstrable knowledge of GenAI or machine learning concepts, particularly around model training, performance optimization, and software development and delivery
* Experience with large scale distributed systems
* BS or MS degree in Computer Science, Computer Engineering, or similar experience (or equivalent experience)
* 15\+ years of technical product management, or similar, experience at a technology company
* Strong communication and interpersonal skills
**Ways To Stand Out From The Crowd**
* Experience leading RL for research to production at scale
* Working on Open Source \&amp; Github\-first developer products with deep customer interactions
* Knowledge of GPU architecture, HW/SW co\-design, and performance profiling
 Your base salary will be determined based on your location, experience, and the pay of employees in similar positions. The base salary range is 240,000 USD \- 379,500 USD.
 You will also be eligible for equity and benefits .
 Applications for this job will be accepted at least until January 30,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JR2011865</t>
        </is>
      </c>
    </row>
    <row r="207">
      <c r="A207" t="inlineStr">
        <is>
          <t>li-4372897747</t>
        </is>
      </c>
      <c r="B207" t="inlineStr">
        <is>
          <t>Group Product Manager, Care Delivery</t>
        </is>
      </c>
      <c r="C207" t="inlineStr">
        <is>
          <t>Maven Clinic</t>
        </is>
      </c>
      <c r="D207" t="inlineStr">
        <is>
          <t>linkedin</t>
        </is>
      </c>
      <c r="E207">
        <f>HYPERLINK("https://www.linkedin.com/jobs/view/4372897747", "https://www.linkedin.com/jobs/view/4372897747")</f>
        <v/>
      </c>
      <c r="F207" t="inlineStr"/>
      <c r="G207" t="inlineStr"/>
      <c r="H207" t="inlineStr"/>
      <c r="I207" t="inlineStr">
        <is>
          <t>Maven is the world's largest virtual clinic for women and families on a mission to make healthcare work for all of us. Maven's award\-winning digital programs provide clinical, emotional, and financial support all in one platform, spanning fertility \&amp; family building, maternity \&amp; newborn care, parenting \&amp; pediatrics, and menopause \&amp; midlife. More than 2,000 employers and health plans trust Maven's end\-to\-end platform to improve clinical outcomes, reduce healthcare costs, and provide equity in benefits programs. Recognized for innovation and industry leadership, Maven has been named to the Time 100 Most Influential Companies, CNBC Disruptor 50, Fast Company Most Innovative Companies, and FORTUNE Best Places to Work. Founded in 2014 by CEO Kate Ryder, Maven has raised more than $425 million in funding from top healthcare and technology investors including General Catalyst, Sequoia, Dragoneer Investment Group, Oak HC/FT, StepStone Group, Icon Ventures, and Lux Capital. To learn more about Maven, visit us at mavenclinic.com.
**An award\-winning culture working towards an important mission – Maven Clinic is a recipient of over 30 workplace and innovation awards, including:**
* Fortune Change the World (2024\)
* CNBC Disruptor 50 List (2022, 2023, 2024\)
* Fortune Best Workplaces for Millennials (2024\)
* Fortune Best Workplaces in Health Care (2024\)
* TIME 100 Most Influential Companies (2023\)
* Fast Company Most Innovative Companies (2020, 2023\)
* Built In Best Places to Work (2023\)
* Fortune Best Workplaces NY (2020, 2021, 2022, 2023, 2024\)
* Great Place to Work certified (2020, 2021, 2022, 2023, 2024\)
* Fast Company Best Workplaces for Innovators (2022\)
* Built In LGBTQIA\+ Advocacy Award (2022\)
 Maven’s product team is growing quickly to accelerate our mission of driving better health outcomes for our members through a human\-centered product experience. As Group Product Manager, Care Delivery, you will deeply understand member needs and design innovative solutions that create ongoing value and drive meaningful retention.
 You will lead the strategy, definition, design and implementation of our content, community, and core engagement \[navigation, homepage, search, etc.] products on Maven. You’ll drive experimentation, discovery and implementation of these consumer products as well as develop and support the back\-end infrastructure and architecture for your products. Some of your core areas of focus will be: community features, like forums and support groups, homepage, and content discovery and interaction. You will be the voice of our new users and partner closely with other Product, Design, Engineering, Analytics, Marketing \&amp; Comms, Content Production, and other teams.
**Group Product Manager, Care Delivery**
 As a Group Product Manager, Care Delivery at Maven, you will lead the strategy, execution, and evolution of products that power how care is delivered across the Maven platform. You will be accountable for building scalable, intelligent care experiences that enable clinicians, coaches, and operations teams to deliver high\-quality, outcomes\-driven care across the member lifecycle.
 You will manage and develop a team of Product Managers, set a clear long\-term vision for care delivery, and partner closely with clinical, engineering, data, design, and operations leaders to ensure Maven delivers care that is seamless, personalized, and clinically excellent.
**As a Group Product Manager at Maven, you will:**
* Own the care delivery product strategy by identifying and prioritizing high\-impact opportunities across clinical workflows, virtual care, care coordination, and operational tooling, aligned with Maven’s company goals and AI\-first roadmap.
* Set vision and investment direction for how care is delivered on the Maven platform, ensuring experiences scale across conditions, programs, and member lifecycles while maintaining clinical quality and human\-centered care.
* Lead and mentor a team of Product Managers, supporting their growth while raising the bar on product thinking, execution, and impact across the care delivery domain.
* Partner deeply with cross\-functional leaders in Clinical, Engineering, Data, Design, Operations, and Member Support to deliver integrated, end\-to\-end care experiences for members and clinicians.
* Define and own success metrics for care delivery, including clinical outcomes, operational efficiency, clinician experience, and member satisfaction, and ensure teams are delivering measurable impact against company OKRs.
* Use data, research, and insights, including clinical outcomes, product analytics, user research, and operational signals, to inform prioritization, tradeoffs, and roadmap decisions.
* Drive experimentation and innovation across both core workflows and new capabilities, including AI\-enabled care orchestration, clinical decision support, and clinician\-facing intelligence.
* Build for the long term, designing durable systems and platforms that support Maven’s growth, regulatory requirements, and evolving standards of care. Champion the clinician and member experience, ensuring care delivery tools reduce friction, preserve human connection, and enable teams to work at the top of their license. Advance product excellence at Maven, contributing to product best practices, operating models, and cross\-team alignment.
**We’re looking for you to bring:**
* 12\+ years of Product Management experience, with ownership of complex healthcare or care delivery products; experience with clinical workflows, eligibility, claims, payer data, EHRs, or health data integrations strongly preferred.
* Deep understanding of healthcare delivery systems and the health consumer mindset, with experience translating complex clinical and operational systems into intuitive, high\-impact products.
* Proven people leadership experience, including managing and mentoring Product Managers and leading multi\-team product portfolios.
* Strong product judgment and analytical rigor, with the ability to ground decisions in data, clinical evidence, user insights, operational constraints, and business impact.
* Track record of delivering and scaling products across the full lifecycle, from discovery and 0→1 innovation to optimization and scale.
* Exceptional cross\-functional leadership skills, with experience partnering closely with engineering, data science, clinical teams, operations, and external partners in fast\-moving environments.
* Comfort operating in ambiguity, with the ability to set direction, make tradeoffs, and drive execution in a rapidly evolving healthcare landscape.
 The base salary range for this role is $221,000 \- $255,000 per year. You will also be entitled to receive equity and benefits. Individual pay decisions are based on qualifications, experience, and skillset.
**New York, NY; Remote, US (Hub cities)** 
 Maven embraces a flexible hybrid work model. Our teams primarily operate from the New York Metropolitan area, NY, San Francisco/Bay Area, CA, and Seattle, WA.
 **This role is exclusively open to candidates in these locations.** 
 For those in our New York City office, we encourage in\-person collaboration by requiring team members to work onsite three days a week (Tuesday, Wednesday, Thursday). For those based in San Francisco/Bay Area, CA or Seattle, WA we encourage in\-person collaboration by requiring team members to attend quarterly Work Together Days within these cities. This policy aims to balance remote work flexibility with the benefits of face\-to\-face interaction.
**This role requires active work authorization in the US.**
 At Maven we believe that a diverse set of backgrounds and experiences enrich our teams and allow us to achieve above and beyond our goals. If you do not have experience in all of the areas detailed above, we hope that you will share your unique background with us in your application and how it can be additive to our teams.
**Benefits That Work For You**
 Our benefits are designed to support your health, well\-being and career development, helping you thrive both personally and professionally. We remain focused on providing a competitive benefits package for our employees. On top of standards such as employer\-covered health, dental, and insurance plan options, we offer an inclusive approach to benefits:
* Maven for Mavens: access to the full platform and specialists, including care for mental health, reproductive health, family planning and pediatrics.
* Whole\-self care through wellness partnerships
* Hybrid work, in office meals, and work together days
* 16 weeks 100% paid parental leave and new parent stipend (for Mavens who've been with us for 1 year\+)
* Annual professional development stipend and access to a personal career coach through Maven for Mavens
* 401K matching for US\-based employees, with immediate vesting
**These benefits are applicable to Maven Clinic Co., US\-based, full\-time employees only. 1099/Contract Providers are ineligible for these benefits.**
 Maven is an affirmative action and equal opportunity employer. All qualified applicants will receive consideration for employment without regard to race, color, religion, sex, disability, age, sexual orientation, gender identity, national origin, veteran status, or genetic information. Maven is committed to providing access, equal opportunity and reasonable accommodation for individuals with disabilities in employment, its services, programs, and activities. Maven Clinic interview requests and job offers only originate from an @mavenclinic.com email address (e.g jsmith@mavenclinic.com). Maven Clinic will never ask for sensitive information to be delivered over email or phone. If you receive a scam issue or a security issue involving Maven Clinic please notify us at: security@mavenclinic.com. For general and additional inquiries, please contact us at careers@mavenclinic.com.</t>
        </is>
      </c>
    </row>
    <row r="208">
      <c r="A208" t="inlineStr">
        <is>
          <t>li-4372888721</t>
        </is>
      </c>
      <c r="B208" t="inlineStr">
        <is>
          <t>Product Manager</t>
        </is>
      </c>
      <c r="C208" t="inlineStr">
        <is>
          <t>Connect Search, LLC</t>
        </is>
      </c>
      <c r="D208" t="inlineStr">
        <is>
          <t>linkedin</t>
        </is>
      </c>
      <c r="E208">
        <f>HYPERLINK("https://www.linkedin.com/jobs/view/4372888721", "https://www.linkedin.com/jobs/view/4372888721")</f>
        <v/>
      </c>
      <c r="F208" t="inlineStr"/>
      <c r="G208" t="inlineStr">
        <is>
          <t>Madison, WI</t>
        </is>
      </c>
      <c r="H208" t="inlineStr"/>
      <c r="I208" t="inlineStr">
        <is>
          <t>**Job Title:** 
 Product Manager
**Location:** 
 Madison, WI
**Type:** 
 Direct Hire
**Schedule:** 
 Monday \- Friday, 8am \- 5pm
**Pay Range:** 
 $95k \- $125k \+ bonus
**Benefits:** 
 Yes. Medical, Dental, Vision, PTO, 401(k), Paid holidays
**Summary** 
 Connect Search is hiring a Product Manager for a manufacturing company in the Madison area. This position offers a hybrid work from home schedule of 1 day per week.
**Responsibilities** 
* Lead the full product lifecycle and serve as the SME for the product portfolio.
* Shape the product vision and define requirements that reflect customer needs.
* Develop go\-to\-market plans and ensure key deliverables for product launch are met.
* Oversee the commercial launch of new products.
* Lead product phase\-in/phase\-out processes.
* Shape product messaging.
* Coordinate customer field testing.
* Attend trade shows, dealer events, webinars, etc.
**Qualifications** 
* Bachelor's degree in an Engineering discipline required
* New product development/introduction experience relevant to material handling systems or motor vehicle manufacturing required
* Knowledge of machinery, fluid power, electrical power systems, embedded controls, or automation required</t>
        </is>
      </c>
    </row>
    <row r="209">
      <c r="A209" t="inlineStr">
        <is>
          <t>li-4364779760</t>
        </is>
      </c>
      <c r="B209" t="inlineStr">
        <is>
          <t>Staff Product Manager, AI Runtime Data</t>
        </is>
      </c>
      <c r="C209" t="inlineStr">
        <is>
          <t>Unity South APAC (SEA, ANZ, IND Subcont.)</t>
        </is>
      </c>
      <c r="D209" t="inlineStr">
        <is>
          <t>linkedin</t>
        </is>
      </c>
      <c r="E209">
        <f>HYPERLINK("https://www.linkedin.com/jobs/view/4364779760", "https://www.linkedin.com/jobs/view/4364779760")</f>
        <v/>
      </c>
      <c r="F209" t="inlineStr"/>
      <c r="G209" t="inlineStr">
        <is>
          <t>San Francisco, CA</t>
        </is>
      </c>
      <c r="H209" t="inlineStr"/>
      <c r="I209" t="inlineStr">
        <is>
          <t>The opportunity
 Join us at Unity as we transform the Engine into a true data\-powered platform that helps creators deeply understand and serve their players. With our Data Developer Framework, we're pioneering a new approach where developers maintain complete control over their data while Unity provides the infrastructure to collect, organize, and unlock its value—all from one centralized dashboard.
 Engine Data sits at the heart of this ambition: building richer, safer runtime signals directly into the Engine so machine learning engineers and product teams can better attract, understand, and retain players. You'll own the strategy and implementation for transforming raw engine and runtime data into a groundbreaking competitive moat—proprietary data that only Unity can collect. This is an opportunity to leapfrog the industry by applying AI to understand, structure, and unlock data that powers everything from user acquisition to game creation. We want you to convert Unity's unique position into real, actionable data products that create value both internally for our AI/ML initiatives and externally for the developer community. This is a forward\-thinking role where you'll build the foundation for Unity's next generation of AI\-powered capabilities.
 What you'll be doing
* Define and implement the strategy for collecting, structuring, and classifying proprietary data from Unity's engine and runtime (code, assets, in\-engine behaviors, usage patterns)
* Partner with engineering teams to design data pipelines that feed downstream AI/ML products and build scalable collection mechanisms
* Identify and validate which data and labels will be most valuable for machine learning applications and developer\-facing services
* Transform data assets into authoring capabilities that developers can use to improve their games and applications
* Collaborate with product and go\-to\-market partners to position Unity's data capabilities as a key differentiator in the market
 What we're looking for
* Hands\-on experience with ML workflows, particularly data collection, labeling, classification, and structuring datasets for model training
* Deep understanding of game development or app development workflows and the ability to identify developer pain points
* Proven track record of building developer\-facing products that translate technical capabilities into clear user value
* Ability to work effectively in multi\-functional teams spanning engineering, data science, and product
* Experience making data\-driven decisions about what to build and how to prioritize based on important metrics and user impact
 You might also have
* Experience designing features that encourage data sharing while respecting user privacy and creating mutual value
 Additional information
* International relocation support is not available for this position
 Life at Unity
 We offer a wide range of benefits designed to support employees' well\-being and work\-life balance. You can read more about them on our career page.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*Pursuant to the San Francisco Fair Chance Ordinance, we will consider for employment qualified applicants with arrest and conviction records.*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 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\#DIR
* Note: Certain locations require a good faith disclosure of the base salary range for the role. The actual salary for the successful candidate may differ based on location, experience, and other job\-related factors. Gross pay salary$179,500—$269,300 USD</t>
        </is>
      </c>
    </row>
    <row r="210">
      <c r="A210" t="inlineStr">
        <is>
          <t>li-4227552316</t>
        </is>
      </c>
      <c r="B210" t="inlineStr">
        <is>
          <t>Product Manager - Asset Backed Financing</t>
        </is>
      </c>
      <c r="C210" t="inlineStr">
        <is>
          <t>KKR</t>
        </is>
      </c>
      <c r="D210" t="inlineStr">
        <is>
          <t>linkedin</t>
        </is>
      </c>
      <c r="E210">
        <f>HYPERLINK("https://www.linkedin.com/jobs/view/4227552316", "https://www.linkedin.com/jobs/view/4227552316")</f>
        <v/>
      </c>
      <c r="F210" t="inlineStr"/>
      <c r="G210" t="inlineStr">
        <is>
          <t>New York, United States</t>
        </is>
      </c>
      <c r="H210" t="inlineStr"/>
      <c r="I210" t="inlineStr">
        <is>
          <t>**Company Overview**
 KKR is a leading global investment firm that offers alternative asset management as well as capital markets and insurance solutions. KKR aims to generate attractive investment returns by following a patient and disciplined investment approach, employing world\-class people, and supporting growth in its portfolio companies and communities. KKR sponsors investment funds that invest in private equity, credit and real assets and has strategic partners that manage hedge funds. KKR’s insurance subsidiaries offer retirement, life and reinsurance products under the management of Global Atlantic Financial Group. References to KKR’s investments may include the activities of its sponsored funds and insurance subsidiaries.
**Team Overview**
 The Investment Lifecycle Product team, part of KKR’s Technology organization, develops technology solutions for clients and KKR teams with the objective to deliver exceptional experiences, enable firm growth, and mitigate firm risks. It collaborates closely with the Investment teams and other Technology teams, as well as Compliance, Enterprise Risk, Finance, Internal Audit, Legal, and Marketing.
**Position Summary**
 We are seeking a product manager with deep expertise in Asset\-Based Finance (ABF), risk management, and data analytics to lead the strategy, roadmap, and development of portfolio management, deal modelling and performance platforms supporting our Global ABF investment business. This individual will be responsible for delivering innovative, data\-driven solutions that enable Investment Teams and their partners to make informed decisions across a diverse set of ABF asset classes, including consumer credit (auto, credit card, personal loans), residential mortgages (agency/non\-agency RMBS), high\-grade structured credit (ABS, CLOs), and non\-performing loans (charged\-off receivables, distressed real estate, restructured debt).
 As a domain expert, the product manager will bring strategic vision, strong relationship\-building skills, and cross\-functional leadership to ensure risk assessment and mitigation are seamlessly embedded into investment processes. This role requires a blend of product ownership, technical fluency, and user understanding—delivering platforms that combine risk measurement, scenario analysis, visualization, and performance insights.
**Responsibilities**
* Global Product Strategy \&amp; Roadmap: Define and drive a comprehensive global product strategy and multi\-year roadmap for Asset\-Based Finance (ABF), ensuring alignment with firm\-wide objectives and regional needs. Establish clear OKRs to track progress and impact, continuously refining the roadmap based on stakeholder input, market dynamics, and evolving risk management priorities.
* Strategic Product Leadership: Lead a team of product managers focused on ABF tools and platforms. Provide strategic direction across the entire product lifecycle—from ideation and development through launch and iteration—ensuring product alignment across geographies and consistency in user experience throughout the investment lifecycle.
* Advanced Risk Analytics \&amp; Reporting: Spearhead the development of sophisticated risk analytics and real\-time reporting tools to support global ABF risk oversight. Define and implement standardized risk metrics and dashboards in partnership with Engineering and external data providers, ensuring high\-quality, actionable insights into exposures, mitigation strategies, and investment performance.
* Cross\-Functional Collaboration: Foster deep partnerships with global stakeholders—including Investment Teams, Risk, Operations, Legal, and Technology—to align on strategic goals, gather localized requirements, and ensure adoption of scalable, risk\-aligned solutions. Promote a unified product vision while accommodating regional regulatory and business nuances.
* Vendor and Partner Management: Lead buy vs. build assessments, select the right partners, and manage ongoing vendor relationships to ensure high\-quality product solutions for the firm’s risk management needs.
* Platform\-Mindset: Advocate for a platform\-based approach that emphasizes interoperability, reusability, and scalability across ABF and adjacent investment verticals. Ensure ABF product architecture integrates seamlessly with broader investment and risk management ecosystems.
* Technology and Company\-Wide Contribution: Actively contribute to Technology and company\-wide priorities, offering input beyond the immediate product role to support broader company objectives and initiatives.
**Qualifications**
* 10\+ years of experience in product management, data analytics, business analysis, asset management, and or software development, with a deep focus on Global Asset\-Based Finance (ABF) products. Expertise spans the full spectrum of ABF sub\-asset types, including consumer credit (auto loans, credit cards, personal loans), residential mortgages (agency and non\-agency RMBS), high\-grade structured credit (ABS, CLOs), and non\-performing loans (distressed real estate, restructured debt, charged\-off receivables). Proven ability to lead product strategy and roadmap execution aligned with firm objectives, balancing innovation with scalable, cost\-effective delivery.
* Hands\-on experience using Intex to model, analyze, and evaluate structured deals across RMBS, ABS, and CLOs. Proficient in scenario analysis, tranche modeling, waterfall structures, and cash flow forecasting to support product design, risk management, and investment decision\-making. Adept at integrating Intex outputs with proprietary risk analytics for a holistic view of exposures across multiple ABF asset classes.
* Deep understanding of unique risk characteristics and performance drivers across ABF segments—from delinquency and prepayment in consumer credit, to default timing and severity modeling in non\-performing loan pools. Skilled in developing asset\-specific KPIs and dashboards to deliver actionable insights for investment and risk stakeholders.
* Extensive experience working with asset managers, investment professionals, and operations teams to tailor tools for each ABF vertical. Implement structured feedback loops and human\-centered design to create intuitive, high\-utility solutions that enhance decision\-making and operational efficiency.
* Consistently deliver high\-quality, scalable products across complex ABF domains while maintaining rigorous standards in performance, usability, and stakeholder alignment. Experience in launching and maintaining tools supporting both primary issuance and secondary trading of structured credit and distressed assets.
* Skilled at translating technical ABF concepts into actionable strategies for cross\-functional and senior leadership audiences. Proven ability to drive alignment and execution across Product, Engineering, Risk, and Investment teams globally.
* Work closely with engineering teams to develop scalable architectures supporting structured product workflows. Design and implement data models and workflow automation for asset\-specific processes.
 This is the expected annual base salary range for this New York\-based position. Actual salaries may vary based on factors, such as skill, experience, and qualification for the role. Employees may be eligible for a discretionary bonus, based on factors such as individual and team performance.
 Base Salary Range
 $150,000—$200,000 USD
 KKR is an equal opportunity employer. Individuals seeking employment are considered without regard to race, color, religion, national origin, age, sex, marital status, ancestry, physical or mental disability, veteran status, sexual orientation, or any other category protected by applicable law.</t>
        </is>
      </c>
    </row>
    <row r="211">
      <c r="A211" t="inlineStr">
        <is>
          <t>li-4328732393</t>
        </is>
      </c>
      <c r="B211" t="inlineStr">
        <is>
          <t>Senior Product Manager - Retention</t>
        </is>
      </c>
      <c r="C211" t="inlineStr">
        <is>
          <t>Brigit</t>
        </is>
      </c>
      <c r="D211" t="inlineStr">
        <is>
          <t>linkedin</t>
        </is>
      </c>
      <c r="E211">
        <f>HYPERLINK("https://www.linkedin.com/jobs/view/4328732393", "https://www.linkedin.com/jobs/view/4328732393")</f>
        <v/>
      </c>
      <c r="F211" t="inlineStr"/>
      <c r="G211" t="inlineStr"/>
      <c r="H211" t="inlineStr"/>
      <c r="I211" t="inlineStr">
        <is>
          <t>Hi, we're Brigit! A holistic financial health company helping everyday Americans build a brighter financial future. With a business model that is aligned with our customers, we create transparent, fair, and simple financial products that put money back in the hands of our members, help them spend wisely, avoid unfair fees and build their credit quickly. If autonomy, ownership, and having meaningful input at the company you work for is important to you, come join our growing team!
 Brigit is doing innovative and exciting work, but don’t just take our word for it, our work is being recognized by others
* Built In's 2026 Best Midsize Companies to Work For in New York City
* Built In's 2025 Best Places to Work For In New York City
* Built In’s 2024 \&amp; 2025 Best Startups to Work For In the U.S.
* Built In’s 2023 \- 2025 Best Startups to Work For In New York City
* Fast Company’s Most Innovative Companies of 2022
* Business Insider’s Most Promising Consumer Startups 2022
* Forbes Fintech 50 2022
**Role Overview** 
 As t
 **he Senior Product Manager for Membership/Retent** 
 ion, you’ll own the strategy, roadmap, and execution for the Brigit member experience in our mobile app, reporting directly to the VP of Product. Your scope will include the Brigit home screen and global navigation, as well as subscription flows, account management, and billing features. You’ll work cross\-functionally with engineering, design, data, marketing, and customer support, owning a roadmap that grows, engages, and retains our subscribed user base.
**What you'll be doing:** 
* Define and drive the product vision and roadmap for membership and subscription experiences across iOS and Android platf
* ormsLead the end\-to\-end lifecycle of features related to onboarding, product adoption, billing, retention, cross\-sell, and up
* sellCollaborate with UX designers and engineers to create intuitive, frictionless, and lovable experiences for subscri
* bersPartner with marketing and analytics teams to A/B test engagement and retention tac
* ticsUse data, research, and experimentation to identify key drivers of engagement and retention and develop solutions to optimize
* themMonitor and measure performance metrics, analyzing user behavior and feedback to continuously refine the pro
* ductStay up\-to\-date on industry trends and best practices in subscription\-based mobile apps
**Who you are:** 
* 5\+ years of product management experience
* Proven experience
 **with B2C mobile pro** 
 ducts, preferably with a strong focus on customer journey optimization
* Strong understanding of subscription, retention, and user engagement metrics
* Experience with experimentation (A/B testing), analytics tools (e.g., Amplitude, Mode), and product KPIs (LTV, churn, retention, CAC)
* Excellent communication and cross\-functional collaboration skills
* Comfort working in a fast\-paced, data\-informed, and customer\-obsessed environment
* Bonus: Experience working in a highly regulated industry (e.g., financial services, healthcare)
**Compensation** 
 The anticipated annual base salary for this position is $140,000\-$210,000\. This range does not include any other compensation components or other benefits for which an individual may be eligible (other benefits listed below). The actual base salary offered depends on a variety of factors, which may include as applicable,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**Our Benefits** 
* Medical, dental, and vision insurance
* Flexible PTO
* 401k plan
* Paid Parental Leace
* Physical and mental wellbeing benefits including Wellhub for access to virtual workouts and discounted gym memberships, and Headspace for covered virtual therapy sessions and unlimited on demand health support
* Monthly reimbursements to use against wifi and cell phone bills
* Annual reimbursement for Learning \&amp; Development
* Help hard working Americans build a brighter financial future
* High\-growth company
* A dynamic, flexible and collaborative start\-up work environment with a highly talented team
 Brigit is committed to providing equal employment opportunities for all applicants and employees without regard to race, religion, color, sex, pregnancy (including breast feeding and related medical conditions), national origin, citizenship status, uniform service member status, age, genetic information, disability, or any other protected status in accordance with all applicable federal, state and local laws. We are proud to be an equal opportunity workplace.
 If you require reasonable accommodation in completing an application, interviewing, completing any pre\-employment testing, or otherwise participating in the employee selection process, please email accommodations@hellobrigit.com.</t>
        </is>
      </c>
    </row>
    <row r="212">
      <c r="A212" t="inlineStr">
        <is>
          <t>li-4374139103</t>
        </is>
      </c>
      <c r="B212" t="inlineStr">
        <is>
          <t>Product Manager III (Digital)</t>
        </is>
      </c>
      <c r="C212" t="inlineStr">
        <is>
          <t>F5</t>
        </is>
      </c>
      <c r="D212" t="inlineStr">
        <is>
          <t>linkedin</t>
        </is>
      </c>
      <c r="E212">
        <f>HYPERLINK("https://www.linkedin.com/jobs/view/4374139103", "https://www.linkedin.com/jobs/view/4374139103")</f>
        <v/>
      </c>
      <c r="F212">
        <f>HYPERLINK("https://ffive.wd5.myworkdayjobs.com/f5jobs/job/Seattle/Product-Manager-III\u002d\u002dDigital-_RP1036452?source=LinkedIn&amp;urlHash=npt-", "https://ffive.wd5.myworkdayjobs.com/f5jobs/job/Seattle/Product-Manager-III\u002d\u002dDigital-_RP1036452?source=LinkedIn&amp;urlHash=npt-")</f>
        <v/>
      </c>
      <c r="G212" t="inlineStr"/>
      <c r="H212" t="inlineStr"/>
      <c r="I212" t="inlineStr">
        <is>
          <t>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At F5, our mission is to power and protect every app anywhere. We help organizations deliver secure, high\-performing digital experiences across clouds and data centers. With the Application Delivery and Security Platform (ADSP), F5 brings application security and delivery together so customers can simplify operations, improve resiliency, and stay ahead of evolving threats.
 F5 Digital platforms accelerate this mission by modernizing the enterprise systems and experiences that support our customers, partners, and internal teams.
 Position Summary
 F5 Digital is seeking a Product Manager III to support the Product Launch and Fulfillment organization within the Customer Experience pillar. This role owns product strategy and day\-to\-day execution for Manufacturing and Supply Chain, along with NPI support.
 The role partners closely with Manufacturing and Supply Chain teams and operates within a broader enterprise ecosystem, including integrations with Oracle Fusion tools, PIM (PDH) and SnOP, along with downstream fulfillment platforms.
 The ideal candidate is an end\-to\-end product leader with supply/demand planning, contract manufacturing and manufacturing test expertise who can balance strategic roadmap planning with hands\-on Agile execution. This person brings a metrics\-driven mindset and familiarity with AI/ML concepts to drive automation and improved forecasting.
 The Candidate should be willing to drive Agile delivery, shaping a prioritized team backlog, translating business needs into well\-defined work (Features and User stories in ADO), and ensuring consistent stakeholder engagement through sprint planning, demos, and regular business reviews.
 Key Responsibilities:
 Backlog Ownership and Prioritization
* Translate business requirements into Epics, Features, and User stories with clear Acceptance Criteria.
* Prioritize work based on business value, revenue impact, urgency, technical dependencies, and risk.
 Agile Delivery and Execution
* Lead sprint planning, backlog refinement, retrospectives, and execution cadence with engineering and stakeholders.
* Facilitate biweekly demos to validate outcomes, gather feedback, and adjust priorities.
* Maintain delivery predictability by managing scope and surfacing risks early.
 Stakeholder Management and Alignment
* Serve as the primary product point of contact for Manufacturing and Supply Chain teams.
* Partner with Infrastructure and Systems Engineering teams to ensure solutions align with business needs.
* Collaborate with other Product Managers to align Manufacturing and Supply Chain priorities within quarterly plans and enterprise roadmaps.
 Metrics, QBRs, and Delivery Transparency
* Maintain accurate backlog, sprint, and release reporting in Azure DevOps or Jira.
* Support Quarterly Business Reviews (QBRs) with delivery insights such as points planned vs completed, throughput trends, predictability, and release outcomes.
* Use metrics and feedback loops to continuously improve execution, quality, and stakeholder trust.
 AI/ML Enablement Mindset
* Apply familiarity with AI/ML concepts to identify opportunities for automation and intelligence within Manufacturing/Supply Chain processes and Oracle Fusion modules.
* Partner with data, analytics, and architecture teams to define measurable outcomes and support responsible AI adoption.
**Qualifications**
* 5\+ years of experience in Technical Product Management, Product Ownership, Business Systems, or IT delivery roles for enterprise environments. Proficiency with Azure DevOps or Jira for backlog, sprint, and release management.
* Experience in delivering database and Oracle Fusion solutions.
* Proven Agile delivery leadership, including sprint planning, backlog refinement, stakeholder demos, and iterative delivery.
* Proficiency with Azure DevOps or Jira for backlog, sprint, and release management.
* Strong communication and facilitation skills with the ability to drive alignment across business and technology teams.
* Bachelor’s degree in Business, Information Systems, Computer Science, or equivalent experience.
* Strong analytical skills with the ability to write and optimize T\-SQL or PL/SQL queries
**Preferred Qualifications**
* Experience supporting Manufacturing or Supply Chain systems
* Familiarity with enterprise integrations across CRM, ERP, PIM/PDH and analytics platforms.
* Experience in scaled Agile environments with multiple scrum teams and shared dependencies.
* Agile or Product Management certifications are a plus.
 The Job Description is intended to be a general representation of the responsibilities and requirements of the job. However, the description may not be all\-inclusive, and responsibilities and requirements are subject to change.
 The annual base pay for this position is: $120,000\.00 \- $180,000\.00
*F5 maintains broad salary ranges for its roles in order to account for variations in knowledge, skills, experience, geographic locations, and market conditions, as well as to reflect F5’s differing products, industries, and lines of business. The pay range referenced is as of the time of the job posting and is subject to change.*
*You may also be offered incentive compensation, bonus, restricted stock units, and benefits. More details about F5’s benefits can be found at the following link:* 
*https://www.f5\.com/company/careers/benefits* 
*. F5 reserves the right to change or terminate any benefit plan without notice.*
**Please note that F5 only contacts candidates through F5 email address (ending with @f5\.com) or auto email notification from Workday (ending with f5\.com or** 
**@myworkday.com)** 
**.**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Requesting an accommodation is completely voluntary. F5 will assess the need for accommodations in the application process separately from those that may be needed to perform the job. Request by contacting accommodations@f5\.com.</t>
        </is>
      </c>
    </row>
    <row r="213">
      <c r="A213" t="inlineStr">
        <is>
          <t>li-4366265942</t>
        </is>
      </c>
      <c r="B213" t="inlineStr">
        <is>
          <t>Sr. Product Manager, Consumer Experience</t>
        </is>
      </c>
      <c r="C213" t="inlineStr">
        <is>
          <t>Prodege, LLC</t>
        </is>
      </c>
      <c r="D213" t="inlineStr">
        <is>
          <t>linkedin</t>
        </is>
      </c>
      <c r="E213">
        <f>HYPERLINK("https://www.linkedin.com/jobs/view/4366265942", "https://www.linkedin.com/jobs/view/4366265942")</f>
        <v/>
      </c>
      <c r="F213" t="inlineStr"/>
      <c r="G213" t="inlineStr"/>
      <c r="H213" t="inlineStr"/>
      <c r="I213" t="inlineStr">
        <is>
          <t>**Job Description**
****Strategic Imperative:****
 The
 **Sr. Product Manager, Consumer Experience** 
 will own the vision, strategy, and roadmap for Prodege’s consumer\-facing experiences across web and mobile. By deeply understanding member needs and behaviors, this role translates insights into simple, rewarding product journeys that increase acquisition, activation, engagement, and long\-term loyalty. You will partner closely with Design, Engineering, Marketing, and Data to ship high\-impact features and experiments that measurably improve core KPIs such as retention, frequency, ARPU, and NPS. As a senior individual contributor, you lead through influence—providing clear product direction, sharpening tradeoffs, and ensuring teams stay aligned on outcomes, not just output. Ultimately, this role is critical to strengthening Prodege’s consumer brand, expanding our member base, and driving sustainable revenue growth from our consumer products.
**Prodege**
 A cutting\-edge marketing and consumer insights platform, Prodege has charted a course of innovation in the evolving technology landscape by helping leading brands, marketers, and agencies uncover the answers to their business questions, acquire new customers, increase revenue, and drive brand loyalty \&amp; product adoption. Bolstered by a major investment by Great Hill Partners in Q4 2021 and strategic acquisitions of Pollfish, BitBurst \&amp; AdGate Media in 2022, Prodege looks forward to more growth and innovation to empower our partners to gather meaningful, rich insights and better market to their target audiences.
 As an organization, we go the extra mile to “Create Rewarding Moments” every day for our partners, consumers, and team. Come join us today!
**Primary Objectives**
* Consumer Experience Product Strategy \&amp; Roadmap Ownership
* User Research, Insights, and Voice of the Member
* End\-to\-End Feature Delivery (Discovery → Launch → Iteration)
* Activation, Engagement, and Retention Optimization
* Experimentation, A/B Testing, and Data\-Driven Decision Making
* Cross\-Functional Leadership \&amp; Stakeholder Alignment
* Product Requirements, Documentation, and Backlog Management
* Risk Management, Quality, and Compliance Alignment
* Continuous Improvement of Product Development Practices
****Qualifications** 
 \-** 
*To perform this job successfully, an individual must be able to perform each job duty satisfactorily. The requirements listed below are representative of the knowledge, skill, and/or ability required. Reasonable accommodations may be made to enable individuals with disabilities to perform the essential functions.*
****Detailed Job Duties:** 
 (
 *typical monthly, weekly, daily tasks which support the primary objectives* 
 )**
* Consumer Experience Strategy \&amp; Roadmap
+ Own and maintain the product vision and multi\-quarter roadmap for Prodege’s consumer experiences (web and app), aligned with company and business unit goals.
+ Define clear problem spaces, value propositions, and success metrics for key consumer initiatives (e.g., onboarding, rewards, surveys, shopping, engagement loops).
+ Translate strategic priorities into sequenced, realistic product plans with clear milestones and tradeoffs.
* User Insight, Discovery \&amp; Problem Definition
+ Act as the voice of the consumer—leveraging qualitative research, surveys, feedback, and support data to deeply understand member needs, pain points, and motivations.
+ Partner with Data/Analytics to analyze funnels, cohorts, and behavioral patterns that inform product decisions and opportunity sizing.
+ Lead structured discovery efforts (customer interviews, prototypes, usability tests) to validate problems and solution concepts before significant build investment.
* Feature Definition \&amp; Delivery
+ Write clear, actionable product requirements (PRDs, user stories, acceptance criteria) that enable Engineering, Design, and QA to execute efficiently.
+ Collaborate with Design to define intuitive, user\-friendly flows that align with Prodege’s brand and accessibility best practices.
+ Prioritize the backlog ruthlessly based on impact, effort, risk, and strategic alignment; facilitate sprint planning and ongoing backlog grooming.
+ Partner with Engineering throughout development to clarify requirements, resolve tradeoffs, unblock progress, and ensure delivery quality.
* Activation, Engagement \&amp; Retention
+ Own and optimize core consumer funnels (registration, onboarding, first\-earning moment, habit\-building actions) to improve activation and early retention.
+ Collaborate with Lifecycle/CRM and Marketing teams to align in\-product experiences with messaging, promotions, and campaigns.
+ Identify and ship features that deepen engagement and loyalty (e.g., reward mechanisms, streaks, personalization, content improvements).
* Experimentation \&amp; Data\-Driven Decisions
+ Define success metrics and experiment designs (A/B tests, holdouts) for key initiatives; partner with Data to instrument and analyze results.
+ Use data to iterate on released features, sunsetting low\-performing experiences and doubling down on what works.
+ Communicate learnings and insights to stakeholders to inform future strategy and roadmap decisions.
* Cross\-Functional Leadership \&amp; Stakeholder Management
+ Drive alignment with cross\-functional partners (Engineering, Design, Marketing, Operations, Customer Support, Legal/Compliance) around priorities, scope, and timelines.
+ Communicate clearly and regularly on roadmap, status, risks, and impacts to leadership and adjacent teams.
+ Lead through influence as a senior IC—coaching more junior PMs informally and setting a high bar for product thinking and execution.
* Operational Excellence \&amp; Continuous Improvement
+ Ensure product work adheres to privacy, security, and compliance standards applicable to consumer data and marketing practices.
+ Contribute to improving product development practices, rituals, and tools (e.g., discovery frameworks, documentation standards, experimentation discipline).
+ Stay current on consumer product, rewards/loyalty, and growth best practices, bringing fresh ideas and external benchmarks into Prodege’s product strategy.
****What does SUCCESS look like?****
 Success in this role means Prodege’s consumer experience products show measurable, sustained improvements in activation, engagement, retention, and revenue per active user. You are recognized as the go\-to leader for consumer product decisions—bringing clarity to ambiguous problems, making smart tradeoffs, and consistently shipping features that move the needle on core KPIs. Your roadmaps are transparent, data\-informed, and well\-aligned with leadership priorities, and your cross\-functional partners trust you to represent the member, the business, and the team fairly. Over time, your work will strengthen our consumer brand, deepen member loyalty, and build a more cohesive, delightful experience across Prodege’s properties.
****The MUST Haves:** 
 (
 *ex: job cannot be done without these skills, education, experience, certifications, licenses* 
 )**
* Bachelor’s degree in Business, Marketing, Computer Science, Engineering, Economics, or a related field; or equivalent practical experience in product management.
* Five or more (5\+) years of product management experience, with significant time spent on consumer\-facing web or mobile products.
* Demonstrated track record owning product roadmaps and delivering features that materially improved core user and business metrics.
* Strong analytical skills, including comfort working with funnels, cohorts, dashboards, and experimentation results to drive decisions.
* Experience leading cross\-functional teams (Engineering, Design, Data, Marketing) as a senior individual contributor.
* Excellent product discovery skills—able to frame problems, validate assumptions with users, and iterate solutions before heavy build.
* Proven ability to write clear product requirements, user stories, and release documentation.
* Strong communication and storytelling skills; able to tailor messages to executives, technical partners, and non\-technical stakeholders.
* Familiarity with modern experimentation and analytics tools (e.g., A/B testing platforms, product analytics tools, dashboards).
* Experience in rewards, loyalty, consumer marketplaces, gaming, or survey/market research products.
* Ability to operate in a fast\-paced, evolving environment, balancing strategic thinking with hands\-on execution.
****The Nice to Haves:** 
 (
 *preferred additional skills, education, experience, certifications, licenses* 
 )**
* Background in growth product management focused on acquisition, activation, and retention.
* Experience working with distributed/remote engineering and design teams.
* Exposure to UX research practices and/or the ability to conduct lightweight user research independently.
* Familiarity with monetization models (ads, offers, subscriptions, performance marketing) and their impact on consumer experience.
* Prior work in a high\-growth, data\-driven technology company or startup environment.
**Pay Transparency**
 The anticipated base salary range for this position is $142,000 to $163,000\. The final salary offered to a successful candidate will be dependent on several factors that may include, but are not limited to; the type and length of experience within the job, type and length of experience within the industry, the type and length of knowledge and skills for the position, education, training, etc. Prodege is a multi\-state employer and final compensation within this range could be impacted by work location. Please note that the compensation details listed in US role postings reflect the base salary only, and do not include bonus, equity, or benefits.
**Prodege Benefits**
 Prodege offers a comprehensive benefits package to US Full\-time employees including medical, dental, vision, STD, LTD and basic life insurance. Employees receive flexible PTO, as well as paid sick leave prorated based on hire date. US Employees have eight paid holidays throughout the calendar year. Employees receive an option to purchase shares of Company stock commensurate with their position, which vests over four years.
**Equal Employment Opportunity Statement**
 At Prodege, we are committed to creating a diverse and inclusive environment. We are proud to be an
**Equal Opportunity Employer** 
 and do not discriminate on the basis of race, color, religion, sex, sexual orientation, gender identity or expression, national origin, age, disability, veteran status, or any other characteristic protected by law. We encourage individuals of all backgrounds to apply.
**FCIHO**
 Employers will consider for employment qualified applicants with criminal histories in a manner consistent with the requirements of
 **FCIHO.**</t>
        </is>
      </c>
    </row>
    <row r="214">
      <c r="A214" t="inlineStr">
        <is>
          <t>li-4366368999</t>
        </is>
      </c>
      <c r="B214" t="inlineStr">
        <is>
          <t>Lead Technical Product Manager – Digital Acquisitions</t>
        </is>
      </c>
      <c r="C214" t="inlineStr">
        <is>
          <t>AT&amp;T</t>
        </is>
      </c>
      <c r="D214" t="inlineStr">
        <is>
          <t>linkedin</t>
        </is>
      </c>
      <c r="E214">
        <f>HYPERLINK("https://www.linkedin.com/jobs/view/4366368999", "https://www.linkedin.com/jobs/view/4366368999")</f>
        <v/>
      </c>
      <c r="F214">
        <f>HYPERLINK("https://att.wd1.myworkdayjobs.com/ATTGeneral/job/USATXDallas\u002d\u002dTwo-ATT-Plaza-211-S-Akard-St\u002d\u002d-Dat211-S-Akard-St/Lead-Technical-Product-Manager\u002d\u002d-Digital-Acquisitions_R-98631?source=Linkedin&amp;urlHash=hs-x", "https://att.wd1.myworkdayjobs.com/ATTGeneral/job/USATXDallas\u002d\u002dTwo-ATT-Plaza-211-S-Akard-St\u002d\u002d-Dat211-S-Akard-St/Lead-Technical-Product-Manager\u002d\u002d-Digital-Acquisitions_R-98631?source=Linkedin&amp;urlHash=hs-x")</f>
        <v/>
      </c>
      <c r="G214" t="inlineStr"/>
      <c r="H214" t="inlineStr"/>
      <c r="I214" t="inlineStr">
        <is>
          <t>**Lead Technical Product Manager – Digital Acquisitions** 
**About the Role** 
 We’re seeking an experienced
 **Lead Product Manager** 
 to drive strategy, discovery, and delivery for next‑generation digital customer experiences. You’ll own outcomes—not feature lists—and lead continuous discovery to build products customers love. This role operates within an empowered product trio (PM \+ Design \+ Engineering) and focuses heavily on AI/ML‑powered solutions that improve personalization, connectivity, and customer engagement.
 You’ll shape product vision, define strategy, and influence teams across the organization while helping advance modern product practices and an outcomes‑driven culture.
**What You’ll Do** 
**Product Strategy** 
* Own end‑to‑end product strategy for a defined digital experience area.
* Set measurable, outcome‑focused OKRs aligned to business goals.
* Build and communicate a clear product vision and roadmap.
* Identify opportunities where AI/ML can unlock differentiated customer value.
**Continuous Discovery** 
* Lead weekly customer interviews and research with your product trio.
* Use frameworks like opportunity solution trees to map and prioritize problems.
* Run assumption tests, prototypes, and experiments before committing to build.
* Synthesize customer insights, competitive intel, and analytics to guide decisions.
**AI/ML Product Development** 
* Identify where generative AI, recommendation engines, or predictive models can improve customer experiences.
* Partner with data science/ML engineering to design, test, and deploy AI features.
* Define success metrics, quality standards, and responsible AI practices.
* Navigate ambiguity inherent to ML development, edge cases, and model tradeoffs.
**Cross‑Functional Leadership** 
* Collaborate closely with engineering, design, data science, marketing, and operations.
* Influence without authority using customer insights and strategic reasoning.
* Present strategy, learnings, and results to senior leadership.
* Guide teams through complex dependencies and stakeholder alignment.
**Team \&amp; Culture** 
* Champion continuous discovery and customer‑centricity.
* Model empowered product team behaviors and coach others in modern product thinking.
* Contribute to a culture that values experimentation, learning, and outcomes over output.
**Required Qualifications** 
**Product Management Expertise** 
* 7\+ years building digital products; 3\+ years in a senior/lead role.
* Proven ability to ship products with measurable customer or business impact.
* Strong experience owning strategy from discovery → delivery → measurement.
* Deep understanding of continuous discovery, assumption testing, and OKR‑driven product development.
**AI/ML Experience** 
* 1\+ years building or shipping AI/ML‑powered features.
* Partnership experience with data science/ML engineering teams.
* Understanding of model lifecycle: data, training, evaluation, deployment, monitoring.
* Experience defining success metrics for AI experiences.
**Discovery \&amp; Research** 
* Hands‑on experience conducting customer interviews regularly.
* Ability to design experiments, prototypes, and MVPs.
* Strong synthesis skills across qualitative \+ quantitative data.
**Cross‑Functional Influence** 
* Ability to align engineering, design, and business stakeholders.
* Clear, persuasive verbal and written communication.
* Experience navigating complex org structures.
**Preferred Experience** 
* Telecom, consumer digital services, large‑scale B2C, or enterprise SaaS.
* Products serving millions of users or using personalization/recommendation systems.
* Experience with generative AI/LLMs, responsible AI, or intelligent automation.
* Coaching/mentoring PMs; contributing to product culture transformation.
* Technical depth: CS/engineering background, ability to read code, familiarity with cloud and modern architectures.
**Skills \&amp; Attributes** 
* Strategic thinking, critical problem‑solving, and customer empathy.
* High‑agency, adaptable, and comfortable with ambiguity.
* Strong experimentation mindset, rigorous decision‑making, and rapid execution.
* Collaborative communication, conflict navigation, and stakeholder management.
* Commitment to continuous learning.
**Education** 
* Bachelor’s degree in Engineering, Computer Science, Business, Design, or related field.
 Advanced degrees (MBA, MS CS/HCI/Data Science) are a plus but not required.</t>
        </is>
      </c>
    </row>
    <row r="215">
      <c r="A215" t="inlineStr">
        <is>
          <t>li-4374125205</t>
        </is>
      </c>
      <c r="B215" t="inlineStr">
        <is>
          <t>Lead Product Manager - Auto Lending</t>
        </is>
      </c>
      <c r="C215" t="inlineStr">
        <is>
          <t>Alliant Credit Union</t>
        </is>
      </c>
      <c r="D215" t="inlineStr">
        <is>
          <t>linkedin</t>
        </is>
      </c>
      <c r="E215">
        <f>HYPERLINK("https://www.linkedin.com/jobs/view/4374125205", "https://www.linkedin.com/jobs/view/4374125205")</f>
        <v/>
      </c>
      <c r="F215">
        <f>HYPERLINK("https://recruiting2.ultipro.com/ALL1033ALLIA/JobBoard/dc90e825-a948-4516-8a12-125bf49ecf03/Opportunity/OpportunityDetail?opportunityId=7de766c5-cb58-4b03-97de-974ddcadd430&amp;urlHash=zViX", "https://recruiting2.ultipro.com/ALL1033ALLIA/JobBoard/dc90e825-a948-4516-8a12-125bf49ecf03/Opportunity/OpportunityDetail?opportunityId=7de766c5-cb58-4b03-97de-974ddcadd430&amp;urlHash=zViX")</f>
        <v/>
      </c>
      <c r="G215" t="inlineStr">
        <is>
          <t>Chicago, IL</t>
        </is>
      </c>
      <c r="H215" t="inlineStr"/>
      <c r="I215" t="inlineStr">
        <is>
          <t>**Essential Responsibilities** 
* Lead product initiatives with strategic significance, often across multiple teams or platforms
* Define product roadmaps, manage stakeholders at various levels, and ensure alignment with business goals
* Define and drive product vision, strategy and roadmap for a significant product area based on stakeholder needs and business benefits in alignment with company goals
* Lead cross\-functional teams through discovery, prioritization, and delivery of impactful product features
* Conduct user research, market analysis, and competitor benchmarking to inform product decisions
* Own the end\-to\-end product lifecycle, from ideation to launch and post\-launch optimization
* Translate customer and business needs into clear requirements, user stories, and success metrics
* Work closely with technology and design to ensure timely delivery of high\-quality features
* Communicate product plans, progress, and performance to stakeholders and leadership
**Education \&amp; Years of Experience** 
* Minimum \- 4 Years Bachelor's Degree in Marketing, Technology, Business or related
* Minimum \- 5 years of Agile/Scrum Methodologies, Product Management or related
* Preferred \- 5 years in Auto Lending
**In Lieu of Education** 
* 8 Years of Agile/Scrum Methodologies, Product Management or related within (specific domain)
**License/Certifications/Training** 
* Preferred \- Certified Scrum Product Owner (CSPO)
**Compensation \&amp; Benefits:** 
**Typical hiring range:\&amp;rlm;\&amp;rlm;\&amp;lrm;** 
 \&amp;lrm;$92,600\&amp;rlm;\&amp;rlm;\&amp;lrm; \&amp;lrm;\-\&amp;rlm;\&amp;rlm;\&amp;lrm; \&amp;lrm;$144,100 Annually. Actual compensation will be determined using factors such as experience, skills \&amp; knowledge
 \&amp;lrm;
 **Benefits:** 
 Alliant provides a benefits package including health care, vision, dental, and 401k with employer match.
* Annual performance bonus
* Work from home up to 3 days a week
* Paid parental leave
* Employee discount programs
* Time off including paid personal and sick days
* 11 paid holidays
* Education reimbursement
 \*Note that eligibility and cost of benefits can vary depending on the number of regularly scheduled hours, and job status such as regular full\-time, regular part\-time, or temporary employment.
 Adhere to and ensure compliance of all business transactions with policy and process of the Bank Secrecy Act. Ensures compliance with all applicable state and federal laws, company procedures and policies. Maintains integrity and ethics in all actions and conversations with or regarding credit union members and their accounts; complies with Privacy Act directives.
 The responsibilities listed do not contain a comprehensive listing of activities, duties or responsibilities that are required of the employee for this position. Duties, responsibilities and activities may change at any time with or without notice.
 Equal Opportunity Employer
 This employer is required to notify all applicants of their rights pursuant to federal employment laws.
 For further information, please review the Know Your Rights notice from the Department of Labor.</t>
        </is>
      </c>
    </row>
    <row r="216">
      <c r="A216" t="inlineStr">
        <is>
          <t>li-4354549358</t>
        </is>
      </c>
      <c r="B216" t="inlineStr">
        <is>
          <t>Sr. Staff Product Manager, NovaSeq X Series</t>
        </is>
      </c>
      <c r="C216" t="inlineStr">
        <is>
          <t>Illumina</t>
        </is>
      </c>
      <c r="D216" t="inlineStr">
        <is>
          <t>linkedin</t>
        </is>
      </c>
      <c r="E216">
        <f>HYPERLINK("https://www.linkedin.com/jobs/view/4354549358", "https://www.linkedin.com/jobs/view/4354549358")</f>
        <v/>
      </c>
      <c r="F216">
        <f>HYPERLINK("https://illumina.wd1.myworkdayjobs.com/illumina-careers/job/US\u002d\u002d-California\u002d\u002d-San-Diego/Sr-Staff-Product-Manager\u002d\u002dNovaSeq-X-Series_41819-JOB-1/apply?source=LNKD&amp;urlHash=vjMQ", "https://illumina.wd1.myworkdayjobs.com/illumina-careers/job/US\u002d\u002d-California\u002d\u002d-San-Diego/Sr-Staff-Product-Manager\u002d\u002dNovaSeq-X-Series_41819-JOB-1/apply?source=LNKD&amp;urlHash=vjMQ")</f>
        <v/>
      </c>
      <c r="G216" t="inlineStr">
        <is>
          <t>San Diego, CA</t>
        </is>
      </c>
      <c r="H216" t="inlineStr"/>
      <c r="I216" t="inlineStr">
        <is>
          <t>What if the work you did every day could impact the lives of people you know? Or all of humanity?
 At Illumina, we are expanding access to genomic technology to realize health equity for billions of people around the world. Our efforts enable life\-changing discoveries that are transforming human health through the early detection and diagnosis of diseases and new treatment options for patients.
 Working at Illumina means being part of something bigger than yourself. Every person, in every role, has the opportunity to make a difference. Surrounded by extraordinary people, inspiring leaders, and world changing projects, you will do more and become more than you ever thought possible.
 We are actively seeking an experienced Senior Staff Product Manager to join our High\-Throughput Platforms team. In this key role, you will drive product strategy, definition, and cross\-functional execution for a major next\-phase platform initiative within Illumina’s high\-throughput sequencing portfolio.
 This position is ideal for a seasoned product leader with deep experience in Next\-Generation Sequencing who can connect customer workflows, technology capabilities, and sequencing economics to guide complex, multi\-year platform programs. You will collaborate across R\&amp;D, Operations, Commercial, and strategic partners to help deliver the next wave of innovation in high\-throughput sequencing—grounded in a clear, customer\-first perspective. It is critical that you think beyond the sequencer and develop product strategies that meet customer needs in emerging high intensity sequencing applications.
**Responsibilities**
* Provide product leadership for a complex, multi\-year platform program, including business case framing, customer and market analysis, requirements definition, and strategic decision support.
* Lead market input to design decisions by understanding workflow needs, application requirements, competitive trends, and ecosystem dynamics (library prep, automation, informatics).
* Represent the customer as a critical member of the development core team, by advocating for their needs and ensuring trade off decisions do not impact Illumina’s ability to serve our customers.
* Engage directly with high\-throughput customers—genome centers, clinical labs, research institutes, and service providers—to bring a deep, workflow\-informed voice of customer into product strategy and development.
* Anchor product decisions in a customer\-first understanding of operational constraints, workflow bottlenecks, application needs, and adoption drivers.
* Partner closely with R\&amp;D teams to translate customer needs and workflow insights into clear, testable product requirements and acceptance criteria.
* Drive cross\-functional execution across chemistry, hardware, software, operations, and commercial stakeholders to ensure program alignment and readiness.
* Support cross\-functional teams in modeling adoption patterns, sequencing volume drivers, workflow considerations, and platform economics to inform platform and portfolio decisions.
* Collaborate with Regional Marketing, Product Management, and the Commercial Organization to align on messaging, positioning, launch plans, and customer engagement strategies.
* Develop clear materials and frameworks to support executive decision\-making, including product trade\-offs, opportunity assessments, and roadmap recommendations.
* Work with commercial teams to create and deliver sales tools, positioning guidance, objection handling, and customer\-facing content.
* Build strong relationships with internal and external partners, key opinion leaders, and ecosystem stakeholders to stay ahead of emerging customer and technology trends.
* Represent the platform strategy across internal teams and drive clarity on product direction, customer value, and business impact.
**Requirements**
* Typically requires a minimum of 12 years of related experience with a Bachelor's degree; or 12 years and a Master's degree; or a PhD with 8 years of experience; or equivalent experience
* Strong technical knowledge of NGS platforms, workflows, and high\-throughput sequencing applications.
* Demonstrated ability to integrate customer insights, technical constraints, and business drivers into clear product strategy and requirements.
* Demonstrated ability to operate as a customer\-first product leader, grounding product decisions in real customer workflows, technical realities, and long\-term adoption dynamics.
* Experience working in highly cross\-functional, matrixed environments with R\&amp;D, Operations, Finance, and Commercial teams.
* Proven analytical strength, with the ability to interpret complex data, model businesses cases and link analysis to strategic decisions.
* Strong communication and executive\-level presentation skills.
* Experience supporting or launching products in clinical genomics, high\-throughput research, or sequencing operations is highly desirable.
* Demonstrated understanding of ecosystem dependencies (workflow integration, automation, informatics, sample logistics) and how they influence customer adoption.
* Up to 30% travel may be required.
 The estimated base salary range for the Sr. Staff Product Manager, NovaSeq X Series role based in the United States of America is: $155,600 \- $233,400\. Should the level or location of the role change during the hiring process, the applicable base pay range may be updated accordingly. Compensation decisions are dependent on several factors including, but not limited to, an individual’s qualifications, location where the role is to be performed, internal equity, and alignment with market data. Additionally, all employees are eligible for one of our variable cash programs (bonus or commission) and eligible roles may receive equity as part of the compensation package. We offer a wide range of benefits as innovative as our work, including access to genomics sequencing, family planning, health/dental/vision, retirement benefits, and paid time off.
 We are a company deeply rooted in belonging, promoting an inclusive environment where employees feel valued and empowered to contribute to our mission. Built on a strong foundation, Illumina has always prioritized openness, collaboration, and seeking alternative perspectives to propel innovation in genomics. We are proud to confirm a zero\-net gap in pay, regardless of gender, ethnicity, or race. We also have several Employee Resource Groups (ERG) that deliver career development experiences, increase cultural awareness, and offer opportunities to engage in social responsibility. We are proud to be an equal opportunity employer committed to providing employment opportunity regardless of sex, race, creed, color, gender, religion, marital status, domestic partner status, age, national origin or ancestry, physical or mental disability, medical condition, sexual orientation, pregnancy, military or veteran status, citizenship status, and genetic information. Illumina conducts background checks on applicants for whom a conditional offer of employment has been made. Qualified applicants with arrest or conviction records will be considered for employment in accordance with applicable local, state, and federal laws. Background check results may potentially result in the withdrawal of a conditional offer of employment. The background check process and any decisions made as a result shall be made in accordance with all applicable local, state, and federal laws. Illumina prohibits the use of generative artificial intelligence (AI) in the application and interview process. If you require accommodation to complete the application or interview process, please contact accommodations@illumina.com. To learn more, visit: https://www.dol.gov/ofccp/regs/compliance/posters/pdf/eeopost.pdf. The position will be posted until a final candidate is selected or the requisition has a sufficient number of qualified applicants.</t>
        </is>
      </c>
    </row>
    <row r="217">
      <c r="A217" t="inlineStr">
        <is>
          <t>li-4373955821</t>
        </is>
      </c>
      <c r="B217" t="inlineStr">
        <is>
          <t>Product Manager, Personal Finance for All</t>
        </is>
      </c>
      <c r="C217" t="inlineStr">
        <is>
          <t>Inside Higher Ed</t>
        </is>
      </c>
      <c r="D217" t="inlineStr">
        <is>
          <t>linkedin</t>
        </is>
      </c>
      <c r="E217">
        <f>HYPERLINK("https://www.linkedin.com/jobs/view/4373955821", "https://www.linkedin.com/jobs/view/4373955821")</f>
        <v/>
      </c>
      <c r="F217" t="inlineStr"/>
      <c r="G217" t="inlineStr">
        <is>
          <t>Stanford, CA</t>
        </is>
      </c>
      <c r="H217" t="inlineStr"/>
      <c r="I217" t="inlineStr">
        <is>
          <t>🔍Graduate School of Business, Stanford, California, United States📁Information Technology Services📅Oct 15, 2025 Post Date📅107540 Requisition \#
***This position is a 2\-year fixed\-term role.***
**Stanford Graduate School of Business**
 Stanford's Graduate School of Business (GSB) has built a global reputation based on its immersive and innovative management programs. We provide students a transformative leadership experience, pushing the boundaries of knowledge with faculty research, and offering a portfolio of entrepreneurial and non\-degree programs that deliver global impact. We invite you to be part of our mission of developing innovative, principled, and insightful leaders who change lives, change organizations, and change the world.
 The Initiative for Financial Decision\-Making (IFDM), a collaboration among the Stanford Graduate School of Business (GSB), the Stanford Institute for Economic Policy Research (SIEPR), and the Economics Department, is recruiting a Product Manager for its Personal Finance for All efforts based at the GSB in Stanford, CA. IFDM is spearheading the effort to improve people’s financial well\-being through financial literacy. IFDM’s mission is to equip people, especially the young and underprivileged, with skills for making informed financial decisions based on sound academic research insights. Despite the growth of personal finance education, challenges remain. IFDM works to support high schools, universities, and employers by providing tools, programs, and research\-based evidence to promote financial literacy on a large scale.
 Funded through a generous gift, IFDM has ambitious goals and seeks a mission\-driven Product Manager to lead the development of new technological platforms to transform IFDM’s financial literacy curriculum into engaging, interactive learning experiences. This role is ideal for someone who thrives in a startup\-like environment within an academic ecosystem and has experience developing apps. You will lead the full lifecycle of high\-impact educational products, such as an app, an online resource library, and a chatbot. Additionally, you will collaborate with Stanford faculty, researchers, engineers, designers, and students to transform the academic curriculum into digital tools that teach core personal finance skills.
 Financial literacy is more important than ever. This project presents an opportunity to build something that matters at scale. You will help shape a product that has the potential to transform financial literacy outcomes.
**Primary Responsibilities Of The Product Manager Include**
* Lead the design and development of digital applications (web and mobile), ensuring products are user\-friendly, scalable, and aligned with IFDM goals.
* Translate financial literacy curriculum into modular, interactive content within a seamless app experience and other digital tools.
* Conduct user research and usability testing to continuously iterate and improve learning outcomes.
* Ensure accessibility and engagement across mobile (iOS/Android) and web platforms.
* Analyze and use user data to inform decision\-making and drive product iteration.
* Develop lifecycle strategies to ensure continuity in the face of changes in operating systems and technical advancements.
* Manage planning, timelines, metrics, and stakeholder communications.
* Ensure work completion within schedule, budgetary, and design constraints; make decisions about analysis, design, and testing.
* Solve complex technical problems; provide alternative methods for achieving goals when necessary.
* Provide strategic planning for own work group; may assist higher\-level management in broader scope strategic planning for a significant, complex, university\-wide function or major initiative.
* Create procedures and guidelines to ensure compliance with university policy and federal and state regulations.
* Develop and manage budgets for projects or work groups.
* Oversee or assist in the preparation and submission of documentation, such as proposals, progress reports, or other contractual requirements.
* Monitor technology trends and evaluate emerging technologies for adoption and implementation.
* Work collaboratively with colleagues to leverage the university/school’s investments in information technology.
* Work directly with Stanford faculty, researchers, and instructional designers to ensure educational rigor and engagement.
**Additional Responsibilities**
* Remain adaptable and willing to take on various tasks as needed to support the IFDM’s goals.
* Provide direction and insights on IFDM technical projects as requested to ensure consistency in the functionality and branding.
**Minimum Requirements**
**Education and Experience**
 Bachelor’s degree and ten years of relevant experience or a combination of education and relevant experience.
**Knowledge, Skills, And Abilities**
* Proven experience managing the development of web or mobile applications, ideally in the education, fintech, or nonprofit space.
* Detailed understanding of relevant technical knowledge and problem resolution.
* Strong customer relationship skills, consensus\-building skills, and ability to establish effective working relationships in a diverse environment.
* Demonstrated leadership and supervisory skills, including conflict resolution.
* Demonstrated ability to lead, motivate, and develop staff.
* A strong grasp of digital user behavior and product design principles.
* Demonstrated ability to manage complex projects and cross\-functional collaboration.
* Experience working closely with designers, engineers, and subject matter experts.
* Ability to synthesize complex information into clear, engaging digital experiences across multiple platforms and for targeted audiences.
* Familiarity with agile development, product analytics tools, and design tools.
* Passion for financial literacy, education, and making knowledge accessible to myriad users of IFDM apps and materials.
**Physical Requirements**
* Frequently stand/walk, sit, grasp lightly/fine manipulate, perform desk\-based computer tasks.
* Occasionally, use a telephone, write by hand, and lift/carry/push/pull objects that weigh up to 40 pounds.
* Rarely sort/file paperwork or parts, lift/carry/push/pull objects that weigh \&gt;40 pounds.
* Ability to use voice to present information/communicate with others.
* On\-campus mobility.
**Working Conditions**
* May work extended hours, evenings, or weekends.
* May travel domestically.
* Occasional overnight travel.
**Work Standards**
* Interpersonal Skills: Demonstrates the ability to work well with Stanford colleagues and clients and with external organizations.
* Promote Culture of Safety: Demonstrates commitment to personal responsibility and value for safety; communicates safety concerns; uses and promotes safe behaviors based on training and lessons learned.
* Subject to and expected to comply with all applicable University policies and procedures, including but not limited to the personnel policies and other policies found in the University’s Administrative Guide, http://adminguide.stanford.edu.
**The expected pay range for this position is $152,010\-$179,801 per annum.**
**This position is campus\-based with limited hybrid flexibility and requires on\-site presence during events and special engagements.**
**Stanford University provides pay ranges that represent its good\-faith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
**At Stanford University, the base pay represents only one aspect of the total comprehensive rewards package. The Cardinal at Work website (** 
**https://cardinalatwork.stanford.edu/benefits\-rewards** 
**) provides detailed information on Stanford’s extensive range of benefits and rewards offered to employees. Specific details about the rewards package for this position may be discussed during the hiring process.**
**Why Stanford is for You**
**Benefits**
 Stanford’s dedicated 16,000 staff come from diverse educational and career backgrounds. We are a collaborative environment that thrives on innovation and continuous improvement. At Stanford, we seek talent committed to excellence, driven to impact the future of our legacy and improve lives on a global sphere. We provide competitive salaries, excellent healthcare and retirement plans, and a generous vacation policy, including additional time off during our winter closure. Our generous perks align with what matters to you:
* Freedom to grow. Take advantage of career development programs, tuition reimbursement, or course audits. Join a TedTalk, or film screening, or listen to a renowned author or leader discuss global issues.
* A caring culture. We understand the importance of your personal and family time and provide you access to wellness programs, child\-care resources, parent education and consultation, elder care, and caregiving support.
* A healthier you. We make wellness a priority by providing access to world\-class exercise facilities. Climb our rock wall, or participate in one of hundreds of health or fitness classes.
* Discovery and fun. Visit campus gardens, trails, and museums.
* Enviable resources. We offer free commuter programs and ridesharing incentives. Enjoy discounts for computers, cell phones, recreation, travel, entertainment, and more!
 We take pride in being a culture that encourages and empowers you.
**How To Apply**
 We invite you to apply for this position by clicking on the “Apply for Job” button. To be considered, please submit a cover letter and résumé along with your online application.
*The job duties listed are typical examples of work performed by positions in this job classification and are not designed to contain or be interpreted as a comprehensive inventory of all duties, tasks, and responsibilities. Specific duties and responsibilities may vary depending on department or program needs without changing the general nature and scope of the job or level of responsibility. Employees may also perform other duties as assigned.*
*Consistent with its obligations under the law, the University will provide reasonable accommodations to applicants and employees with disabilities. Applicants requiring a reasonable accommodation for any part of the application or hiring process should contact Stanford University Human Resources by submitting a* 
*contact form* 
*.*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Additional Information
* Schedule: Full\-time
* Job Code: 4803
* Employee Status: Fixed\-Term
* Grade: K
* Requisition ID: 107540
* Work Arrangement : Hybrid Eligible</t>
        </is>
      </c>
    </row>
    <row r="218">
      <c r="A218" t="inlineStr">
        <is>
          <t>li-4358191117</t>
        </is>
      </c>
      <c r="B218" t="inlineStr">
        <is>
          <t>Staff Product Manager, Industry Expansion</t>
        </is>
      </c>
      <c r="C218" t="inlineStr">
        <is>
          <t>Gong</t>
        </is>
      </c>
      <c r="D218" t="inlineStr">
        <is>
          <t>linkedin</t>
        </is>
      </c>
      <c r="E218">
        <f>HYPERLINK("https://www.linkedin.com/jobs/view/4358191117", "https://www.linkedin.com/jobs/view/4358191117")</f>
        <v/>
      </c>
      <c r="F218" t="inlineStr"/>
      <c r="G218" t="inlineStr">
        <is>
          <t>San Francisco, CA</t>
        </is>
      </c>
      <c r="H218" t="inlineStr"/>
      <c r="I218" t="inlineStr">
        <is>
          <t>Gong harnesses the power of AI to transform how revenue teams win. The Gong Revenue AI Operating System unifies data, insights, and workflows into a single, trusted system that observes, guides, and acts alongside the world’s most successful revenue teams. Powered by the Gong Revenue Graph, AI\-powered intelligence, specialized agents, and trusted applications, Gong helps more than 5,000 companies around the world deeply understand their teams and customers, automate critical sales workflows, and close more deals with less effort. For more information, visit www.gong.io.
 At Gong, you will join a company built on innovative products, ambitious goals, and passionate people. We are shaping the future of revenue intelligence and we want people who are excited to build what comes next. You will work with a team that dreams big, moves fast, and cares deeply about the craft and about each other. Here, transparency and trust are core to how we operate, and every person has the opportunity to make a visible impact. If you want to grow, stretch, and do work that truly matters, Gong is the place to do the best work of your career.
 Join our team as a Staff Product Manager for Industry Expansion, driving Gong forward through bringing Revenue AI to a wider set of industries. In this strategic role, you'll work with our industry expansion customers and go\-to\-market team to accelerate revenue: unblocking new logo acquisition, increasing product stickiness, and setting a foundation for significant company growth. You'll serve as the crucial link between our customers' industry\-specific needs and our product development teams, aligning our roadmap and directly executing on high\-priority features. This is a high\-visibility position requiring significant customer interaction, strategic thinking, and the ability to drive results across multiple stakeholders.
**Responsibilities**
* Develop firsthand understanding of customer needs in priority industries, through customer calls, on\-site visits, and independent market research
* Work closely with the industry expansion GTM team, providing product expertise as an extended member of the team
* Guide the GTM team on comprehensive discovery to understand customers' broader solution requirements including use cases, workflows, and technical environments
* Develop point\-of\-view on Gong product positioning within the overall ecosystem for priority industries
* Own industry\-specific overlay roadmaps, driving alignment with core product teams and identifying how planned features benefit priority industries
* Review and prioritize feature requests coming from priority industries and synthesize common themes to identify product opportunities
* Lead execution on high\-priority feature development as the product lead for industry\-focused projects
* Partner with Enablement to ensure the industry expansion GTM team clearly understands roadmap implications for their segments
**Qualifications**
* 8\+ years experience in B2B product management roles or relevant entrepreneurial experience
* Strong technical and product acumen to define both strategic vision and detailed feature requirements
* Proven ability to engage confidently with executive\-level customer stakeholders
* Excellent internal communication and influencing skills to advocate effectively
* Ability to independently create professional presentations, roadmaps, and documentation
* Willingness to travel regularly for customer meetings and on\-site visits
* Ability to quickly learn the dynamics of new industries and establish credibility
* Prior experience in finance or healthcare industries is a plus
**Perks \&amp; Benefits**
* We offer Gongsters a variety of medical, dental, and vision plans, designed to fit you and your family’s needs.
* Wellbeing Fund \- flexible wellness stipend to support a healthy lifestyle.
* Mental Health benefits with covered therapy and coaching.
* 401(k) program to help you invest in your future.
* Education \&amp; learning stipend for personal growth and development.
* Flexible vacation time to promote a healthy work\-life blend.
* Paid parental leave to support you and your family.
* Company\-wide recharge days each quarter.
* Work from home stipend to help you succeed in a remote environment.
**The annual salary hiring range for this position is $175,000 \- $250,000 USD.**
 Compensation is based on factors unique to each candidate, including, but not limited to, job\-related skills, qualification, education, experience, and location. At Gong, we have a location\-based compensation structure, which means there may be a different range for candidates in other locations. The total compensation package for this position, in addition to base compensation, may include incentive compensation, bonus, equity, and benefits. Some of our sales compensation programs also offer the potential to achieve above targeted earnings for those who exceed their sales targets.
 We are always looking for outstanding Gongsters! So if this sounds like something that interests you regardless of compensation, please reach out. We may have more roles for you to consider and would love to connect.
**We have noticed a rise in recruiting impersonations across the industry, where scammers attempt to access candidates' personal and financial information through fake interviews and offers. All Gong recruiting email communications will always come from the @gong.io domain. Any outreach claiming to be from Gong via other sources should be ignored.**
*Gong is an equal\-opportunity employer. We believe that diversity is integral to our success, and do not discriminate based on race, color, religion, age, sex, sexual orientation, gender identity, national origin, disability, military status, genetic information, or any other basis protected by applicable law.*
*To review Gong's privacy policy, visit https://www.gong.io/gong\-io\-job\-candidates\-privacy\-notice/ for more details.*</t>
        </is>
      </c>
    </row>
    <row r="219">
      <c r="A219" t="inlineStr">
        <is>
          <t>li-4374133581</t>
        </is>
      </c>
      <c r="B219" t="inlineStr">
        <is>
          <t>Product Owner</t>
        </is>
      </c>
      <c r="C219" t="inlineStr">
        <is>
          <t>Booz Allen Hamilton</t>
        </is>
      </c>
      <c r="D219" t="inlineStr">
        <is>
          <t>linkedin</t>
        </is>
      </c>
      <c r="E219">
        <f>HYPERLINK("https://www.linkedin.com/jobs/view/4374133581", "https://www.linkedin.com/jobs/view/4374133581")</f>
        <v/>
      </c>
      <c r="F219">
        <f>HYPERLINK("https://careers.boozallen.com/careers/JobDetail?jobId=120815&amp;source=JB-16500&amp;urlHash=zj6F", "https://careers.boozallen.com/careers/JobDetail?jobId=120815&amp;source=JB-16500&amp;urlHash=zj6F")</f>
        <v/>
      </c>
      <c r="G219" t="inlineStr">
        <is>
          <t>Tampa, FL</t>
        </is>
      </c>
      <c r="H219" t="inlineStr"/>
      <c r="I219" t="inlineStr">
        <is>
          <t>**Job Number: R0234309**
 Product Owner
**The Opportunity:**
 Project and program execution for DoW and Mission Partner manned and unmanned Airborne Intelligence, Surveillance, and Reconnaissance (ISR) platforms and associated sensor systems is inherently complex, fast\-moving, and unforgiving. Success requires more than task tracking, it demands disciplined leadership that can guide mission\-critical efforts through the full lifecycle, from operational need through delivery and sustainment. This role exists to ensure ISR programs are driven by clarity, foresight, and accountability, aligning mission intent with executable plans and requirements.
 As a Product Owner, you will be responsible for orchestrating cross\-functional teams, managing dependencies, identifying challenges early, and mitigating risk before it impacts mission outcomes. You will apply structured program management practices alongside strong requirements discipline to keep teams focused, aligned, and moving forward ensuring the ISR mission achieves success in a no\-fail environment.
 We need a Product Owner who understands what “No\-Fail” means. You operate with extreme ownership and demonstrate full accountability for outcomes, proactively identifying problems, driving solutions, and ensuring completion without reliance on external direction. You take personal responsibility for mission success, team performance, and deliverable quality—owning both successes and failures. Anticipate risks, remove obstacles, and act decisively to close gaps before they impact schedule, cost, or performance. Operate with a “no excuses” mindset while maintaining professional humility and continuous improvement. Elevate team effectiveness by taking initiative beyond assigned responsibilities to support mission objectives.
 Work with us as we help DoW and Mission Partners maintain decisive operational advantage through resilient, no\-fail Airborne ISR capabilities that directly support the warfighter.
 Join us. The world can’t wait.
**You Have:**
* 8\+ years of experience leading or supporting program or project management efforts in complex technical environments, including responsibility for scope, schedule, and risk management
* Knowledge of program and project management principles, including lifecycle planning, requirements development, dependency management, and risk mitigation for technology\-driven programs
* Ability to lead cross\-functional teams and coordinate with government stakeholders, engineers, and vendors to deliver mission\-critical capabilities on schedule and within scope
* Secret clearance
* Bachelor’s degree and 8\+ years of experience in program management or 10\+ years of experience in program management in lieu of a degree
**Nice If You Have:**
* Experience supporting USSOCOM, ISR, or DoD operational programs, including manned or unmanned platforms
* Experience developing or managing Product Requirements Documents (PRDs) or similar requirements artifacts as part of program execution
* Experience with Airborne ISR systems, sensor integration, data transport, or mission systems
* Experience working in no\-fail, operationally critical environments with high\-tempo delivery expectations
* Experience operating within DoD acquisition frameworks or large\-scale defense programs
* Program or Project Management Certification, such as PMP, Agile, SAFe, or DAU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20">
      <c r="A220" t="inlineStr">
        <is>
          <t>li-4293037352</t>
        </is>
      </c>
      <c r="B220" t="inlineStr">
        <is>
          <t>Lead Product Manager (New York, Washington DC, Dallas)</t>
        </is>
      </c>
      <c r="C220" t="inlineStr">
        <is>
          <t>Newmark</t>
        </is>
      </c>
      <c r="D220" t="inlineStr">
        <is>
          <t>linkedin</t>
        </is>
      </c>
      <c r="E220">
        <f>HYPERLINK("https://www.linkedin.com/jobs/view/4293037352", "https://www.linkedin.com/jobs/view/4293037352")</f>
        <v/>
      </c>
      <c r="F220" t="inlineStr"/>
      <c r="G220" t="inlineStr">
        <is>
          <t>New York, NY</t>
        </is>
      </c>
      <c r="H220" t="inlineStr"/>
      <c r="I220" t="inlineStr">
        <is>
          <t>**Job Description**
**What you'll do:**
* Spend time with our debt origination teams—including prescreen, underwriting, and closing professionals—to understand their day\-to\-day workflows, pain points, and opportunities for automation
* Partner with design, engineering, data science, and analytics teams to identify and prioritize AI\-driven solutions for document data extraction, cross\-document auditing, and automated data ingestion into loan calculation models
* Meet with capital markets leaders and underwriting managers to align on process inefficiencies and map them to technology solutions that can deliver measurable time and cost savings
* Shadow underwriters and closing teams to observe their document review processes and identify opportunities for AI\-powered automation
* Partner with your fellow product managers on integrations and changes that may impact other capital markets solutions across the organization
* Drive the product strategy for transforming manual data extraction and entry processes into automated, AI\-enhanced workflows
 The ideal candidate for this role loves getting into the details of complex financial workflows, has experience with AI/ML product development, goes deep with internal users to understand their operational needs, has a proven track record of collaborating with capital markets, underwriting, and operations teams, and is skilled at communicating across levels and functions. Success in the role will be measured by process efficiency gains, time savings in debt origination workflows, and ultimately achieving a 20% cost reduction in our debt origination function.
**What You'll Bring**
* 
* Prior product experience working with financial services, lending, or debt origination platforms is highly preferred
* Demonstrated experience with AI/ML product development, particularly in document processing, data extraction, or workflow automation
* Proven ability to make a meaningful impact on operational efficiency through technology solutions and your contributions to the product roadmap
* You have more than 10 years of product management experience, having evolved product portfolios that have delivered measurable process improvements and cost savings
* Bachelor's degree and 12\+ years of related experience preferred or equivalent work experience
* Vision – You have an eye for process optimization opportunities, including defining and driving AI\-powered automation features with quantitative and qualitative reasoning
* Internal Customer Focus – You comprehend and advocate for our debt origination teams; you bring strong empathy for complex financial workflows and experience driving product direction based on operational pain points and efficiency opportunities
* Attention to Detail – You sweat the small stuff in financial processes, and you raise the team's standards for accuracy and attention to detail in loan data handling
* Planning – Lead cross\-functional participation in planning and execution; direct product development toward the highest\-ROI automation opportunities
* Decisive – You can translate complex underwriting requirements and regulatory constraints into solid AI product plans and precise technical requirements
* Communication Skills – Clear, concise written and verbal communication skills; experience crafting epics, user stories, and tasks for complex financial workflows
* Leadership – You can unite and steer cross\-functional teams aligned to process transformation goals without direct managerial authority
* Product management experience at a leading technology company, with enterprise software, financial services, lending, or real estate technology experience strongly preferred
* Demonstrated experience in adopting product management best practices, standards and policies in regulated financial environments
* Strategic thinker – Understands capital markets business objectives and converts them into clear product plans for operational transformation
* Analytical and results oriented – Uses hard data to assess automation opportunities, metrics driven on efficiency gains, ruthless in prioritization of highest\-impact process improvements
* Comfortable with ambiguity and challenge – Thrives in a fast\-paced financial services environment, concurrently manages multiple automation initiatives
* Excellent communicator – Articulates the product strategy for debt origination transformation, experienced in presenting efficiency and cost reduction results to senior executives
**Nice To Haves**
* Commercial real estate debt, mortgage technology, lending operations, or FinTech experience
* Experience with AI/ML applications in document processing, OCR, or financial data extraction
* Demonstrated success with process reengineering projects that delivered significant cost savings
* You have owned product strategy for complex financial products with regulatory considerations
* Experience with loan origination systems, underwriting platforms, or closing management tools
**Salary Range Language**
 The expected base salary for this position ranges from $220,000 to $225,000 annually. The actual base salary will be determined on an individualized basis taking into account a wide range of factors including, but not limited to, relevant skills, experience, education, and, where applicable, licenses or certifications held. In addition to base salary and a competitive benefits package (including health, vision, and dental insurance, paid time off and a 401(k) retirement plan with employer matching), this position may be eligible for additional types of compensation including discretionary bonuses and other short\- and long\-term incentives (e.g., deferred cash, equity, etc.).
**Working Conditions:** 
 Normal working conditions with the absence of disagreeable elements.
**Note** 
 : The statements herein are intended to describe the general nature and level of work being performed by employees, and are not to be construed as an exhaustive list of responsibilities, duties, and skills required of personnel so classified.
 Newmark is an Equal Opportunity/Affirmative Action employer. All qualified applicants will receive consideration for employment without regard to race, color, religion, sex including sexual orientation and gender identity, national origin, disability, protected Veteran Status, or any other characteristic protected by applicable federal, state, or local law.</t>
        </is>
      </c>
    </row>
    <row r="221">
      <c r="A221" t="inlineStr">
        <is>
          <t>li-4328136018</t>
        </is>
      </c>
      <c r="B221" t="inlineStr">
        <is>
          <t>Sr. Product Manager, Global Expansion</t>
        </is>
      </c>
      <c r="C221" t="inlineStr">
        <is>
          <t>Fiserv</t>
        </is>
      </c>
      <c r="D221" t="inlineStr">
        <is>
          <t>linkedin</t>
        </is>
      </c>
      <c r="E221">
        <f>HYPERLINK("https://www.linkedin.com/jobs/view/4328136018", "https://www.linkedin.com/jobs/view/4328136018")</f>
        <v/>
      </c>
      <c r="F221">
        <f>HYPERLINK("https://careers.fiserv.com/us/en/job/FFFYJUSR10383547EXTERNALENUS/Sr-Product-Manager-Global-Expansion?utm_source=linkedin&amp;utm_medium=phenom-feeds&amp;source=LinkedIn&amp;urlHash=39jT", "https://careers.fiserv.com/us/en/job/FFFYJUSR10383547EXTERNALENUS/Sr-Product-Manager-Global-Expansion?utm_source=linkedin&amp;utm_medium=phenom-feeds&amp;source=LinkedIn&amp;urlHash=39jT")</f>
        <v/>
      </c>
      <c r="G221" t="inlineStr">
        <is>
          <t>Berkeley Heights, NJ</t>
        </is>
      </c>
      <c r="H221" t="inlineStr"/>
      <c r="I221"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Sr. Product Manager, Global Expansion
**What does a successful Sr. Product Manager do at Fiserv?**
 As a Senior Product Manager, Commerce Hub, you will lead the development and integration of global payment solutions, including cards, wallets, alternative and local payment methods, for both e\-commerce and point\-of\-sale experiences. You’ll ensure compliance with regional regulations, drive go\-to\-market strategies, and interface with major commerce platforms like Adobe Commerce, Salesforce Commerce Cloud, and more.
 Success in this role requires strong business acumen, the ability to align product strategy with company goals, and a global perspective to scale solutions across diverse markets. You’ll combine technical expertise in payments with strategic thinking, high emotional intelligence, and the assertiveness to challenge assumptions professionally. This is a high\-impact role with significant influence on global expansion and business growth.
**What You Will Do In This Role**
* Lead Payment Integrations: Build and deliver integrations for cards, online wallets, alternative payment methods, and local payment solutions for both card\-not\-present and card\-present experiences.
* Ensure Compliance \&amp; Regulatory Alignment: Understand and implement regional and local mandates, compliance standards, and payment regulations in concert with leaders, peers, legal, and risk teams across the globe.
* Drive Go\-to\-Market Strategy: Define and execute GTM plans for new payment methods, focusing on distribution, scale, and operational readiness, partner with marketing, sales, and operations teams to drive usage and adoption.
* Third\-Party Partnerships: Work with commerce platforms such as Adobe Commerce, Salesforce Commerce Cloud, and others to enable product distribution and easy access.
* Collaborate Across Teams: Partner with engineering, design, compliance, and business teams to deliver high\-quality products. Influence stakeholders globally, respecting cultural norms and sensitivities.
* Align with Business Goals: Ensure product strategies and roadmaps are directly tied to company objectives, revenue growth, and market expansion. Prioritize initiatives that deliver measurable business impact and customer value.
* Drive Global Expansion: Develop payment solutions that scale across multiple regions and markets, adapting to local requirements while maintaining global consistency. Ensure solutions meet cross\-border compliance and operational standards.
**What You Need To Have**
* 6\+ years in product management within payments and/or financial technology. Proven track record of delivering payment integrations and managing complex ecosystems.
* Technical and Regulatory Knowledge. Deep understanding of payment mechanics, compliance, and regulatory frameworks. Familiarity with POS systems, card\-present and card\-not\-present solutions.
* Ability to connect product decisions to business outcomes, including revenue, cost optimization, and customer experience.
* Skilled at analyzing market trends and competitive landscapes to inform product strategy.
* Global Perspective. Experience building products for international markets, navigating cultural nuances and regulatory differences. Ability to balance local customization with global scalability.
* High emotional intelligence (EQ) and ability to work across diverse cultures. Assertive, professional communicator who can ask questions, challenge assumptions, and drive clarity. Collaborative and easy to work with, fostering strong relationships across teams.
**Salary Range**
 $120,000\.00 \- $198,000\.00
*These pay ranges apply to employees in New Jersey and New York. Pay ranges for employees in other states may differ.*
 It is unlawful to discriminate against a prospective employee due to the individual's status as a veteran.
 For incentive eligible associates, the successful candidate is eligible for an annual incentive opportunity which may be delivered as a mix of cash bonus and equity awards in the Company’s sole discretion.
**Thank You For Considering Employment With Fiserv. Please**
* Apply using your legal name
* Complete the step\-by\-step profile and attach your resume (either is acceptable, both are preferable).
**Our Commitment To Equal Opportunity**
 Fiserv is proud to be an Equal Opportunity Employer. All qualified applicants will receive consideration for employment without regard to race, color, religion, national origin, gender, gender identity, sexual orientation, age, disability, protected veteran status, or any other category protected by law.
 If you have a disability and require a reasonable accommodation in completing a job application or otherwise participating in the overall hiring process, please contact AskHR.US@fiserv.com. Please note our AskHR representatives do not have visibility to your application status. Current associates who require a workplace accommodation should refer to Fiserv’s Disability Accommodation Policy for additional information.
**Note To Agencies**
 Fiserv does not accept resume submissions from agencies outside of existing agreements. Please do not send resumes to Fiserv associates. Fiserv is not responsible for any fees associated with unsolicited resume submissions.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Fiserv email address.</t>
        </is>
      </c>
    </row>
    <row r="222">
      <c r="A222" t="inlineStr">
        <is>
          <t>li-4365879076</t>
        </is>
      </c>
      <c r="B222" t="inlineStr">
        <is>
          <t>Product Manager</t>
        </is>
      </c>
      <c r="C222" t="inlineStr">
        <is>
          <t>Submer</t>
        </is>
      </c>
      <c r="D222" t="inlineStr">
        <is>
          <t>linkedin</t>
        </is>
      </c>
      <c r="E222">
        <f>HYPERLINK("https://www.linkedin.com/jobs/view/4365879076", "https://www.linkedin.com/jobs/view/4365879076")</f>
        <v/>
      </c>
      <c r="F222" t="inlineStr"/>
      <c r="G222" t="inlineStr"/>
      <c r="H222" t="inlineStr"/>
      <c r="I222" t="inlineStr">
        <is>
          <t>**Location \&amp; work modality:** 
 Houston, TX (Hybrid)
**Start:** 
 ASAP
**Type of Contract:** 
 Full Time / Permanent
**About Submer**
 Submer enables organizations scaling AI to overcome the limits of traditional datacenters across power, compute density and efficiency.
 We design and deliver scalable, high\-density AI datacenter infrastructure built around industry\-leading liquid cooling, supporting everything from early AI deployments to full\-scale production environments.
 Acting as a full\-stack delivery partner, Submer provides advisory, design, build and IT integration through a single point of accountability, working with a deep ecosystem of technology specialists. This end\-to\-end approach accelerates time\-to\-AI while reducing operational cost, complexity and environmental impact.
 The result is AI infrastructure that performs today, scales predictably and avoids the redesigns and inefficiencies slowing the market down.
**What Impact You Will Have**
**Bigcat Pass** 
 is the new generation of Submer’s
 **ultra\-high\-density cooling racks** 
 , capable of cooling extreme density IT load per rack, combining multiple cooling technologies.
 You will be part of the Product Sales \&amp; Marketing Team and own the
 **end\-to\-end delivery** 
 you will own the
 **end\-to\-end delivery** 
 of new Bigcat Pass rack platforms and major releases, from approved plan to implementing, executing and supervising the plan until industrialization and launch. Working in close partnership with the Product Line Owner and Engineering, you will execute the agreed master plan, scope, milestones, budget and resources and ensure BCP products are delivered on time, on budget, and to demanding performance, reliability and safety targets.
 **Your work will directly enable the company’s ability to deploy** 
**next\-generation, ultra\-dense AI infrastructure** 
**at scale** 
 .
**What You’ll Do**
* Own the approved delivery plan for Bigcat Pass racks (first\-generation platforms variants and follow\-on releases.
* Translate the high‑level plan into detailed, executable project schedules with clear deliverables, owners and deadlines across Mechanical, Thermal/CFD, Electrical, Controls/Firmware, Industrialization, Quality and Supply Chain.
* Establish and run appropriate governance, reviews and escalation mechanisms, given its strategic importance and technical risk.
* Drive day\-to\-day execution to ensure milestones are met from design freeze through validation, certification, industrialization and launch.
* Track progress against scope, schedule and budget; manage critical paths and complex technical dependencies.
* Identify risks early and coordinate mitigations across disciplines, suppliers and partners.
* Escalate major deviations and trade\-off decisions with clear impact analysis and options.
* Ensure agreed BCP scope and key features (density targets, supported cooling modes, serviceability, safety, monitoring) are delivered as defined.
* Manage change requests, assessing impact on performance, timing, cost and risk.
* Work closely with Engineering, Quality and Compliance and Sustainability to ensure prototypes and final BCP racks meet performance, reliability and regulatory requirements for ultra\-high\-density mixed‑technology cooling systems.
**What You’ll Need**
* Master’s degree in Engineering (Mechanical, Thermal/Fluid, Electrical, Industrial, or similar).
* 7\+ years in project or program management of complex hardware product development, ideally including high‑density server/rack systems, cooling systems, or datacenter infrastructure.
* Proven track record delivering multi‑disciplinary engineering projects (mechanical, thermal/fluid, electrical, controls) on time and on budget.
* Experience with high\-density racks, liquid cooling systems (immersion and/or DLC), or datacenter infrastructure is a strong plus.
* Experience working with industrialization, manufacturing and supply chain on sophisticated, high\-value assembled products.
 Our job titles may span more than one job level. The actual base pay is dependent on a number of factors, such as transferable skills, work experience, business needs and market demands.
**What We Offer**
* Attractive compensation package reflecting your expertise and experience.
* Medical Insurance Plan.
* 401k Employee volunteer contribution Plan.
* A great work environment characterized by friendliness, international diversity, flexibility, and a hybrid\-friendly approach.
* You´ll be part of a fast\-growing scale\-up with a mission to make a positive impact, offering an exciting career evolution.
**Our Inclusive Responsibility**
 Submer is committed to creating a diverse and inclusive environment and is proud to be an equal opportunity employer. All qualified applicants will receive consideration for employment without regard to race, color, religion, gender, gender identity or expression, sexual orientation, national origin, genetics, disability, age, veteran status, or any other protected category under applicable law.
 From concept to deployment, we create liquid\-cooled datacenters that scale smarter, run cleaner and cost less.</t>
        </is>
      </c>
    </row>
    <row r="223">
      <c r="A223" t="inlineStr">
        <is>
          <t>li-4373971400</t>
        </is>
      </c>
      <c r="B223" t="inlineStr">
        <is>
          <t>Staff, Product Manager Driver Earning, Tax &amp; Reconciliation (Last Mile Delivery)</t>
        </is>
      </c>
      <c r="C223" t="inlineStr">
        <is>
          <t>Lensa</t>
        </is>
      </c>
      <c r="D223" t="inlineStr">
        <is>
          <t>linkedin</t>
        </is>
      </c>
      <c r="E223">
        <f>HYPERLINK("https://www.linkedin.com/jobs/view/4373971400", "https://www.linkedin.com/jobs/view/4373971400")</f>
        <v/>
      </c>
      <c r="F223" t="inlineStr"/>
      <c r="G223" t="inlineStr">
        <is>
          <t>Sunnyvale, CA</t>
        </is>
      </c>
      <c r="H223" t="inlineStr"/>
      <c r="I22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Walmart. Clicking "Apply Now" or "Read more" on Lensa redirects you to the job board/employer site. Any information collected there is subject to their terms and privacy notice.
**Position Summary...**
 The Last Mile Delivery team builds and scales products that make every aspect of delivery faster, simpler, and more transparent—for both customers and the independent drivers who power our network. Our mission is to deliver an accurate, compliant, and effortless earnings ecosystem for thousands of gig drivers who rely on our platform every day.
 As a Staff Product Manager on the Trust \&amp; Safety, Driver Earnings team, you will focus on Accounting, Tax \&amp; Reconciliation, . You will own the financial integrity of the driver earnings lifecycle—spanning tax calculation, 1099 reporting, daily accounting accuracy, invoicing, reconciliation, and regulatory compliance. You’ll ensure that the data, systems, and UI surfaces that support driver earnings and accounting are precise, compliant, and transparent.
 This role is deeply cross functional across Tax, Accounting, Finance Systems, Compliance, Disbursements, and Legal. You’ll steward products that move millions of dollars daily to gig drivers, uphold reporting obligations, prevent financial discrepancies, and strengthen trust through flawless execution.
**What You'll Do...**
**Own Tax, Reporting \&amp; Compliance**
* Lead product strategy forgig economytax operations, including 1099 creation, filing, corrections, and distribution.
* Ensure earnings data is compliant with federal, state, and local tax rules;anticipateregulatory changes and translate them into scalable product solutions.
* Partner with Tax and Compliance to implement new reporting requirements,andaudit readydocumentation.
**Drive Accounting Accuracy \&amp; Reconciliation**
* Supportsystems that reconcilemillions of transactionswith a high degree of financial precision.
* Partner with Accounting and Financeteamsto ensureaccurateGLmapping,and settlement.
* Ensure disbursements to drivers flow through our partnerbanking solutions with zero defects.
* Identifyand resolve discrepancies proactively, designing automated guardrails that prevent recurrence.
**Product Leadership \&amp; Execution**
* Own product strategy, roadmap, PRDs, and KPI frameworks foraccounting,taxand reconciliation workflows.
* Ship resilient, scalable systems that support rapid growth while reducing operational overhead.
**You’ll** 
**Sweep Us Off Our Feet If…**
* You are energized by tax, accounting, reconciliation, and compliance challenges within large scale marketplaces.
* You can translate complex financial rules into simple, trustworthy user experiences.
* You’reexceptionallydetail orientedand know how to safeguard financial accuracy at scale.
* You build strong partnerships across Finance, Tax, Compliance, and Engineering.
* You make decisions with data, structure ambiguous domains, and communicate clearly.
**Preferred Qualifications**
* Experience withgig economyplatforms,disbursements, or contractor tax reporting.
* Background in financial systems, accounting, or enterprise reconciliation workflows.
* Familiarity with1099,contractor earnings, andregulatorytax requirements.
* Skilled in discovery, requirements gathering, and partnering withlegal and compliance teams.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(https://one.walmart.com/) .
 Sunnyvale, California US\-11789: The annual salary range for this position is $143,000\.00 \- $286,000\.00
 Bentonville, Arkansas US\-09413: The annual salary range for this position is $110,000\.00 \- $220,000\.00 Additional compensation includes annual or quarterly performance bonuses. Additional compensation for certain positions may also include :
* Stock
 \&amp;\#12644;
 \&amp;\#12644;
 \&amp;\#12644;
 \&amp;\#12644;
 ‎
**Minimum Qualifications...**
*Outlined below are the required minimum qualifications for this position. If none are listed, there are no minimum qualifications.*
 Option 1: Bachelor’s degree in computer science, engineering, or related area and 7 years’ experience in product management. Option 2: 9 years’ experience in product management or related area.
**Preferred Qualifications...**
*Outlined below are the optional preferred qualifications for this position. If none are listed, there are no preferred qualifications.*
 Master’s degree in Computer Science, Engineering, Business Administration, or related area and 6 years’ experience as a product manager, ideally working on consumer\-facing, large\-scale, highly complex B2B/C products,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809 11th Ave, Sunnyvale, CA 94089\-4731,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
 Walmart, Inc. is an Equal Opportunity Employer\- By Choice. We believe we are best equipped to help our associates, customers, and the communities we serve live better when we really know them. That means understanding, respecting, and valuing diversity\- unique styles, experiences, identities, abilities, ideas and opinions\- while being inclusive of all people.
 If you have questions about this posting, please contact support@lensa.com</t>
        </is>
      </c>
    </row>
    <row r="224">
      <c r="A224" t="inlineStr">
        <is>
          <t>li-4373992486</t>
        </is>
      </c>
      <c r="B224" t="inlineStr">
        <is>
          <t>Product Owner</t>
        </is>
      </c>
      <c r="C224" t="inlineStr">
        <is>
          <t>Liberty Mutual Insurance</t>
        </is>
      </c>
      <c r="D224" t="inlineStr">
        <is>
          <t>linkedin</t>
        </is>
      </c>
      <c r="E224">
        <f>HYPERLINK("https://www.linkedin.com/jobs/view/4373992486", "https://www.linkedin.com/jobs/view/4373992486")</f>
        <v/>
      </c>
      <c r="F224">
        <f>HYPERLINK("https://searchjobs.libertymutualgroup.com/careers/job/618515520398?utm_source=linkedin&amp;domain=libertymutual.com&amp;utm_source=Job+Board&amp;utm_campaign=LinkedIn+Jobs&amp;extcmp=bof-paid-text-lkin-aljb&amp;urlHash=JC9H", "https://searchjobs.libertymutualgroup.com/careers/job/618515520398?utm_source=linkedin&amp;domain=libertymutual.com&amp;utm_source=Job+Board&amp;utm_campaign=LinkedIn+Jobs&amp;extcmp=bof-paid-text-lkin-aljb&amp;urlHash=JC9H")</f>
        <v/>
      </c>
      <c r="G224" t="inlineStr">
        <is>
          <t>Boston, MA</t>
        </is>
      </c>
      <c r="H224" t="inlineStr"/>
      <c r="I224" t="inlineStr">
        <is>
          <t>**Description**
 Join Liberty Mutual’s US Retail Markets Servicing Solutions portfolio as a Product Owner III supporting our servicing platform — the internal application used by service representatives and independent agents to manage and service their customers. You will own UI/experience specific capabilities our employees and independent agents rely on every day to view customer information, service policies, manage updates, and take action across the customer lifecycle. You will lead strategy and delivery for core customer management capabilities — including customer data integration, 360° customer overview experiences, profile and information management, and intelligent alerting — ensuring our servicing professionals have accurate, actionable, and streamlined tools to support customers efficiently. This is a high\-impact role operating at the center of our US retail servicing ecosystem, balancing near\-term delivery with long\-term modernization as we simplify systems and retire legacy applications.
**Why This Role Matters**
* Critical to daily operations: The platform you support is used every day by service representatives and independent agents across US Retail Markets.
* Employee \&amp; agent experience focus: Improve the tools that power servicing workflows — reducing friction, improving data visibility, and driving efficiency.
* Strategic modernization: Help unify customer data experiences and accelerate retirement of legacy systems.
* High visibility: Regular interaction with senior leaders to align roadmap priorities and outcomes.
* Cross\-functional leadership: Partner closely with engineering, UX, research, data \&amp; analytics, architecture, and business stakeholders across Service and Distribution.
**What You’ll Own**
 You will own a portfolio of customer\-centric capabilities within the servicing platform, including:
* Customer data ingestion and integration across systems
* 360° customer overview experiences
* Customer profile and information management
* Enterprise/global alerting and notifications
* Workflow enhancements that improve agent and employee productivity
* KPI definition and product health monitoring
**Key Responsibilities**
**Product Strategy \&amp; Roadmap**
* Define and communicate a clear product vision and multi\-quarter roadmap aligned to US Retail Markets priorities.
* Balance persona needs (internal employees and independent agents) while driving platform convergence where possible.
* Establish measurable value hypotheses and success metrics for major initiatives.
**Agile Product Ownership**
* Own and prioritize a complex backlog focused on delivering measurable operational and experience outcomes.
* Translate servicing and distribution needs into clear, testable user stories and acceptance criteria.
* Collaborate daily with engineering, design, and research to ensure delivery aligns with strategic intent.
* Participate in quarterly planning and sprint ceremonies to drive transparency and commitment alignment.
**Data \&amp; Performance Management**
* Define and monitor product\-level KPIs tied to efficiency, usability, and servicing outcomes.
* Partner with analytics teams to measure value realization and inform prioritization decisions.
* Proactively identify ecosystem risks and opportunities across interconnected systems.
**Stakeholder Engagement**
* Represent the voice of service representatives and independent agents within the Agile team.
* Lead alignment conversations across Service, Distribution, and Technology stakeholders.
* Communicate roadmap trade\-offs, dependencies, and impacts clearly to technical and executive audiences.
**Ideal Candidate Must Have**
* 5\+ years product management or product owner experience working directly with Agile delivery teams.
* Demonstrated experience owning end\-to\-end product lifecycle: vision, roadmap, backlog, and KPIs.
* Strong stakeholder management: proven ability to align cross\-functional teams and influence business and technical leaders.
* Able to write clear, testable user stories and acceptance criteria; hands\-on backlog management.
* Data\-driven decision making: experience defining product KPIs and using analytics to measure outcomes.
* Comfortable operating in ambiguity and high\-complexity environments; ability to make trade\-offs.
* Excellent written and verbal communication skills, including presenting to senior leadership.
* Experience working with research, design, and engineering to translate customer needs into intuitive UI experiences.
**Qualifications**
* Advanced knowledge of Agile development methodologies as typically acquired through a Bachelors’ degree in relevant field (business, computer science, humanities etc.), 7 years in business, technology, or consulting with 5 to 7 years direct experience with agile teams
* Master's degree preferred
* High level of proven business expertise needed to set clear priorities for product and understand business value impacts
* Develops strong stakeholder relationships and influencing across multiple organizational boundaries
* Demonstrated experience leading varied audiences through the development of complex ideas, issues and designs
* Ability to lead varied audiences through census building
* Proven experience with Agile practices and expectations
* Comfortable with making decisions with some level of uncertainty
* Strong communication skills, both written and verbal
* Knowledge of insurance industry preferred
* Knowledge of relevant products and portfolio strongly preferred
* Strong experimental mindset to drive innovation amongst uncertainty and exploit market opportunities
**About Us**
**Pay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225">
      <c r="A225" t="inlineStr">
        <is>
          <t>li-4355729668</t>
        </is>
      </c>
      <c r="B225" t="inlineStr">
        <is>
          <t>Senior Product Manager (Embolization)</t>
        </is>
      </c>
      <c r="C225" t="inlineStr">
        <is>
          <t>Merit Medical Systems, Inc.</t>
        </is>
      </c>
      <c r="D225" t="inlineStr">
        <is>
          <t>linkedin</t>
        </is>
      </c>
      <c r="E225">
        <f>HYPERLINK("https://www.linkedin.com/jobs/view/4355729668", "https://www.linkedin.com/jobs/view/4355729668")</f>
        <v/>
      </c>
      <c r="F225" t="inlineStr"/>
      <c r="G225" t="inlineStr">
        <is>
          <t>South Jordan, UT</t>
        </is>
      </c>
      <c r="H225" t="inlineStr"/>
      <c r="I225" t="inlineStr">
        <is>
          <t>**Why Merit?**
 At Merit Medical, our mission is to create innovative medical devices that improve lives. Our goal is to hire and develop people who want to build something special through hard work, team effort, and commitment. Together, we are making a difference in the lives of patients around the world.
**WORK SHIFT**
 DAY (United States of America)
**Summary Of Duties**
 Responsible for providing intensive and diversified product marketing and analysis support, and special project management. May lead the work of other Product Managers.
**Essential Functions Performed**
* Works with product users to increase the ability of Merit to improve products to meet specific customer needs by:
* Identifying problems not met by existing products.
* Discussing possible changes in product specifications based upon the unique needs of an individual customer.
* Coordinating with Sales staff to identify customers with possible customized needs.
* Working with manufacturing staff to confirm pricing parameters for products.
* Works with customers in coordinating Market Research Trials by:
* Identifying opportunities for adding accessories or improving product operation.
* Gathering information about product performance by observation of procedures, questionnaires, interviews and face\-to\-face discussions.
* Explaining product improvement needs to Engineering and Manufacturing staff.
* Evaluating overall product effectiveness and market potential.
* Evaluates new product potential by:
* Researching and analyzing the existing market and the products being manufactured by competing companies.
* Forecasting sales of products within existing and potential markets.
* Assessing the ability of products to meet current and potential needs.
* Trains sales staff in anatomy and physiology related to the clinical application and use of products, the various unique features of new and existing products, and the advantages and weaknesses of Merit products when compared to other competing products.
* Prepares and writes brochures and sales materials.
* Acts as a team leader on product management, marketing, or interdepartmental teams and may supervise other product managers in this effort.
* Prepares a variety of sales and marketing forecasts.
* Exercises judgment in project management for high priority projects and assignments.
* Serves as marketing liaison to other departments in the absence of the Marketing Director.
* May lead the work of other Product Managers.
* Performs other related product management and marketing tasks, as needed.
**Essential Physical/Environmental Demands**
* Lifting \-\- Not to exceed 50 lbs. \-\- local practice may apply.
* Writing
* Sitting
* Standing
* Bending
* Visual acuity
* Color perception
* Depth perception
* Reading
* Field of vision/peripheral
**Summary Of Minimum Qualifications**
* Education and/or experience equivalent to a Bachelor’s Degree in Marketing or related field.
* Work related experience equivalent to eight years of product management and/or sales experience in the medical device field.
* Previous experience in medical device product management, with a strong focus on embolotherapy.
* International exposure and global market experience highly desirable.
* Excellent analytical and problem solving skills.
* Ability to manage large and high priority projects efficiently and effectively and to meet deadlines in a timely manner.
* Good organizational skills and the ability to conduct and/or supervise the clinical trial process as a representative of Marketing in an organized and methodical manner.
* Strong interpersonal and communication skills and the ability to act as a team leader while supervising Marketing's efforts as related to high priority projects.
* Demonstrated computer skills preferably spreadsheets, word processing, database and other applicable software programs.
* Excellent presentation skills and the ability to prepare professional written and oral presentations and market analysis.
* Excellent market research skills and the ability to report research findings with high degrees of validity and reliability.
 COMPETENCIES
* Product effectiveness/market potential evaluation
* Market research/analyzing
* Sales forecasting
* Product assessment
* Training
* Brochure/sales material preparation and writing
* Problem solving
 COMMENTS
**Infectious Control Risk Category II**
 The risk category explains whether or not employees are likely to come into contact with blood or body fluids while performing their jobs. Risk category II states employment and procedures that may require exposure.
**As an eligible Merit employee, you can expect the following:**
* Multiple Shifts and Hours to choose from: Days, Swing (Eve), and Nights
* Medical/Dental \&amp; Other Insurances (eligible the first of month after 30 days)
* Low Cost Onsite Medical Clinic
* Two (2\) Onsite Cafeterias
* Employee Garden \| Gardening Classes
* 3 Weeks' Vacation \| 1 Week Sick\-Time \| Paid Holidays
* 401K \| Health Savings Account
 To see more on our culture, go to www.merit.com/careers.
 Military Veterans are encouraged to Apply.
**Merit is a proud Utah Patriot Partner committed to hiring our Veterans.**</t>
        </is>
      </c>
    </row>
    <row r="226">
      <c r="A226" t="inlineStr">
        <is>
          <t>li-4371970624</t>
        </is>
      </c>
      <c r="B226" t="inlineStr">
        <is>
          <t>Product Manager - HR Technology</t>
        </is>
      </c>
      <c r="C226" t="inlineStr">
        <is>
          <t>Ladders</t>
        </is>
      </c>
      <c r="D226" t="inlineStr">
        <is>
          <t>linkedin</t>
        </is>
      </c>
      <c r="E226">
        <f>HYPERLINK("https://www.linkedin.com/jobs/view/4371970624", "https://www.linkedin.com/jobs/view/4371970624")</f>
        <v/>
      </c>
      <c r="F226">
        <f>HYPERLINK("https://www.theladders.com/linkedin/85390783?src=LinkedIn&amp;urlHash=sv-P", "https://www.theladders.com/linkedin/85390783?src=LinkedIn&amp;urlHash=sv-P")</f>
        <v/>
      </c>
      <c r="G226" t="inlineStr"/>
      <c r="H226" t="inlineStr"/>
      <c r="I226" t="inlineStr">
        <is>
          <t>For our client, we are seeking a Product Manager \- HR Technology to join the team of a leader in the Hospitality \&amp; Recreation space. You’ll play a key role delivering outcomes for customers and stakeholders in the Hospitality \&amp; Recreation space. You’ll collaborate cross\-functionally and take ownership of priorities. This role offers visibility, growth, and impact.
 Location: Remote \- US based candidates only, no visa sponsorship available
 Compensation: $310,000 – $545,000 annually.
**Responsibilities**
* Develop and manage product strategy and roadmap for talent management systems
* Understand HR stakeholder needs through research and analytics
* Translate complex business challenges into user\-focused product designs
* Prioritize stakeholder demands using strategic frameworks
* Collaborate with engineering and design for timely, quality product delivery
* Monitor product performance, adoption, and customer satisfaction for continuous improvements
* Stay updated on HR tech trends to innovate product strategies
**Qualifications**
* Bachelor's Degree required
* 6\+ years of experience in product management or data architecture, ideally in enterprise applications or HR technology
* Deep understanding of talent data systems and analytical systems development
* Experience with GenAI and collaboration with engineering teams
* Familiarity with talent ecosystem technologies like learning management systems
* Exceptional communication skills for diverse audiences
* Self\-directed and adaptable in a fast\-paced environment
**Benefits**
* Health Plans and Mental Health support
* 401(k) Retirement Plan with employer match
* Stock Option Program and Disability Programs
* Flexible Spending Accounts and Family\-forming benefits
* Generous paid leave policies and paid time off
 Our client is an equal opportunity employer. We encourage you to apply even if you don’t meet every qualification—your background could be exactly what this team needs.</t>
        </is>
      </c>
    </row>
    <row r="227">
      <c r="A227" t="inlineStr">
        <is>
          <t>li-4281934492</t>
        </is>
      </c>
      <c r="B227" t="inlineStr">
        <is>
          <t>Senior Product Manager (Technical), AWS Game Tech</t>
        </is>
      </c>
      <c r="C227" t="inlineStr">
        <is>
          <t>Amazon Web Services (AWS)</t>
        </is>
      </c>
      <c r="D227" t="inlineStr">
        <is>
          <t>linkedin</t>
        </is>
      </c>
      <c r="E227">
        <f>HYPERLINK("https://www.linkedin.com/jobs/view/4281934492", "https://www.linkedin.com/jobs/view/4281934492")</f>
        <v/>
      </c>
      <c r="F227" t="inlineStr"/>
      <c r="G227" t="inlineStr">
        <is>
          <t>Seattle, WA</t>
        </is>
      </c>
      <c r="H227" t="inlineStr"/>
      <c r="I227" t="inlineStr">
        <is>
          <t>**Description**
 GameLift Servers is an AWS service that helps the world’s largest game developers deploy and scale game servers for millions of players around the world. Game developers complete against all other forms of entertainment for attention from players, and have increasingly migrated toward building “always on, live” multiplayer games since they retain and monetize players better versus single\-player experiences. A foundational component of most multiplayer games are backend game severs which bring multiple players together (either on PC, console or mobile) into the same simulated world.
 We are looking for a Sr PMT\-ES who is passionate about solving challenges in game server hosting. In this role, you will help solve the hardest challenges customers face when engaging players on a global scale: server deployment to dozens of edge locations around the world, scaling performance to 100K\+ game servers and millions of concurrent players in just minutes, leveraging their existing on\-prem capacity to form hybrid compute topologies, low player latency so that gameplay is imperceptible from local play, cost reduction levers such as Linux, Spot or Graviton, and sufficient observability to understand if end\-players are getting the desired experience at the right cost.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5\+ years of technical product management with internet business experience
* 5\+ years of working as a Technical Product Manager experience
* 3\+ years of technical (software development, network development, IT, other related) experience
* Experience in taking a product from conception \&amp; definition phase through engineering design and taking it to market
* Experience delivering large\-scale SaaS, PaaS or LaaS products where you are responsible for the full product lifecycle, from concept through GTM (go to market)
**Preferred Qualifications**
* Experience working in the gaming space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\- 152,200\.00 \- 205,900\.00 USD annually
**Company** 
 \- Amazon.com Services LLC
 Job ID: A3053594</t>
        </is>
      </c>
    </row>
    <row r="228">
      <c r="A228" t="inlineStr">
        <is>
          <t>li-4366272700</t>
        </is>
      </c>
      <c r="B228" t="inlineStr">
        <is>
          <t>Sr. Manager, Product Manager - Tech, Agentic AI, ITA</t>
        </is>
      </c>
      <c r="C228" t="inlineStr">
        <is>
          <t>Amazon</t>
        </is>
      </c>
      <c r="D228" t="inlineStr">
        <is>
          <t>linkedin</t>
        </is>
      </c>
      <c r="E228">
        <f>HYPERLINK("https://www.linkedin.com/jobs/view/4366272700", "https://www.linkedin.com/jobs/view/4366272700")</f>
        <v/>
      </c>
      <c r="F228" t="inlineStr"/>
      <c r="G228" t="inlineStr">
        <is>
          <t>Seattle, WA</t>
        </is>
      </c>
      <c r="H228" t="inlineStr"/>
      <c r="I228" t="inlineStr">
        <is>
          <t>**Description**
 Do you want a role with deep meaning and the ability to make a real impact? Hiring top talent is not only critical to Amazon’s success—it can literally change the world. It took a lot of great hires to deliver innovations like AWS, Prime, and Alexa, which make life better for millions of customers around the world every day. As part of Intelligent Talent Acquisition (ITA), you'll have the opportunity to reinvent the hiring process and deliver unprecedented scale, sophistication, and accuracy for Amazon's Talent Acquisition operations through the use of AI/ML solutions.
 ITA is an industry\-leading, award\-winning people science and technology organization made up of scientists, engineers, analysts, product professionals and more. Our shared goal is to fairly and precisely connect the right people to the right jobs at the right time. Each year we help Amazon deliver billions of packages around the world by making it possible to hire hundreds of thousands of associates in the right quantity, at the right location and at exactly the right time. You’ll work on state\-of\-the\-art agentic AI frameworks, research, advanced software tools, new AI systems, and machine learning algorithms to solve complex hiring challenges. Leveraging Amazon's in\-house tech stack built on AWS, you'll have the autonomy and flexibility to bring innovative solutions to life. One day, we can bring our solutions to the rest of the world. Join ITA in using technologies to transform the hiring landscape and make a meaningful difference in people's lives. Together, we can solve the world's toughest hiring problems.
 experiences.
 Key job responsibilities
**Responsibilities**
 Sr. Manager, Product Manager \- Technical will be responsible for owning the technical roadmap for key technology initiatives across Amazon hiring. This includes the development of internal and candidate facing technologies and experience that ensure a safe and effective way to source, match, evaluate and hire the next generation of Amazonians. This leader will work closely with business stakeholders to align technology solutions to support the organization's goals to continually improve the quality of hires while minimizing operational cost and time to fill critical roles. This role will be responsible for:
* Architecting interconnected multi\-agent systems using latetest AI frameworks
* Integrating machine learning and GenAI\-based solutions where they are game\-changers
* Building, leading and influencing high\-functional product management teams
* Defining product strategy that achieves strong customer value and business outcomes
* Working with developers and architects to build scalable and highly reliant systems
* Using UX, product, and business knowledge to inform decisions and communicate effectively with and influence internal teams
* Problem solving using analytical skills and a proven process of data\-validated, hypothesis\-driven, experiment\-tested decisions
* Hire and develop the best with empathy, while ensuring the highest standards
 A day in the life
 Each day is a new adventure and you will routinely engage with your customers, working backwards from their needs together with your UX and software development partners. This could mean defining a product vision, writing PRFAQ documents, diving deep into the technical details of agentic AI and LLM engineering frameworks and making trade\-offs to deliver the highest customer value with a bias for action. You will work with our internal partners (e.g. science and engineering) to make product decisions, and with our external partners (operations center, security, etc) to launch products.
**About The Team**
 Intelligent Talent Acquisition brings together elegant user experiences, analytics, ML and AI to ensure we continue to raise the bar with each hire. Insights become actions that support hiring across the globe, so our customers get the right service or package, each and every time.
 We’re continuously raising our performance bar as we strive to become Earth’s Best Employer. That’s why you’ll find endless knowledge\-sharing, mentorship and other career\-advancing resources here to help you develop into a better\-rounded professional.
**Basic Qualifications**
* 10\+ years of product or program management, product marketing, business development or technology experience
* 6\+ years of team management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**Preferred Qualifications**
* Experience delivering consumer software products and services in a high growth environment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\- 197,900\.00 \- 267,800\.00 USD annually
**Company** 
 \- Amazon.com Services LLC
 Job ID: A3157242</t>
        </is>
      </c>
    </row>
    <row r="229">
      <c r="A229" t="inlineStr">
        <is>
          <t>li-4365121086</t>
        </is>
      </c>
      <c r="B229" t="inlineStr">
        <is>
          <t>Product Manager, Lathe, Live, and Static Tooling</t>
        </is>
      </c>
      <c r="C229" t="inlineStr">
        <is>
          <t>Lyndex-Nikken</t>
        </is>
      </c>
      <c r="D229" t="inlineStr">
        <is>
          <t>linkedin</t>
        </is>
      </c>
      <c r="E229">
        <f>HYPERLINK("https://www.linkedin.com/jobs/view/4365121086", "https://www.linkedin.com/jobs/view/4365121086")</f>
        <v/>
      </c>
      <c r="F229" t="inlineStr"/>
      <c r="G229" t="inlineStr">
        <is>
          <t>Mundelein, IL</t>
        </is>
      </c>
      <c r="H229" t="inlineStr"/>
      <c r="I229" t="inlineStr">
        <is>
          <t>**About Us:** 
 Lyndex\-Nikken is a global organization that manufactures and supplies precision toolholders, rotary tables, and other accessories for machining. For 45 years, our products have been relied upon in industries including automotive, aerospace, energy, medical devices, and more.
 The Lyndex\-Nikken brand represents high quality and accuracy, working seamlessly to improve the efficiency and precision of CNC machining processes. Our workplace culture is one of excellence and dedication to our team’s personal and professional development.
 Lyndex\-Nikken is deeply confident in our product value and with 20 consecutive years of profitability, we remain committed to significant organizational growth. We are expanding our North American sales team and currently have an opening for a Regional Sales Engineer. If you are a driven professional with a passion for providing high\-quality solutions, please consider joining us to take your career to the next level.
**Job Summary:** 
 The primary responsibility of the Product Manager – Lathes, Live \&amp; Static Tooling is to provide strategic leadership and oversight for the entire product line related to lathes and tooling solutions, ensuring its success across design, development, pricing, promotion, distribution, and lifecycle management. This role reports directly to the Vice President and is accountable for aligning the product strategy with company objectives while driving growth and market success within the lathe and tooling sectors.
* **Product Lifecycle Management** 
 \- Oversee all stages of the product development lifecycle from ideation to launch and post\-launch optimization, specifically for lathes, live tooling, and static tooling products. Collaborate closely with engineering, design, and operations teams to ensure product timelines and quality standards are met for all tooling solutions.
* **Vendor and Stakeholder Management** 
 \- Cultivate and manage strong relationships with vendors, ensuring alignment on product specifications, timelines, and cost structures. Maintain a comprehensive understanding of supplier capabilities to ensure product performance and cost\-effectiveness.
* **Market Research and Competitive Analysis** 
 \- Lead market research efforts to define customer needs, market trends, and competitive landscapes. Analyze pricing strategies, customer feedback, and competitor offerings to recommend product enhancements and new features.
* **Marketing \&amp; Sales Support \-** 
 Assist in creating and enhancing marketing materials (e.g., brochures, websites, catalogs) and work cross\-functionally with marketing and sales teams to drive product launches and promote new tooling solutions. Provide product knowledge and sales training for internal teams and partners to ensure clear, effective communication regarding the product lines.
* **Inventory and Demand Planning** 
 \- Collaborate with sales and operations teams to forecast demand, optimize inventory, and ensure product availability at all times.
* **Continuous Innovation and Customer Focus** 
 \- Regularly monitor product performance and customer feedback to drive continuous improvement and innovation, particularly around tooling efficiency and performance. Support the sales team in strategic product opportunities and ensure a customer\-centric approach to decision\-making.
**Required Knowledge:** 
* In\-depth knowledge of lathe machinery, live tooling, static tooling, and machining processes is essential.
* A strong understanding of the competitive landscape and customer needs within the lathe and tooling market is required.
**Required Abilities:** 
* Must be able to develop and execute both short\-term and long\-term product roadmaps aligned with company strategy and market needs for tooling products.
* Strong financial acumen for budgeting, cost control, and profitability analysis.
**Required Experience and Training:** 
 Bachelor’s degree in Engineering, Business, Marketing, or a related field. A minimum of 5 years of product management or marketing experience, ideally within machine tools, lathes, and tooling solutions. Additional experience in cross\-functional team leadership, strategic planning, and vendor management is highly preferred.
**Desired Skills and Competencies:** 
* Strong leadership, communication, and interpersonal skills with the ability to collaborate across departments and manage external relationships with tooling suppliers.
* Excellent problem\-solving and decision\-making abilities, particularly in fast\-paced or complex environments.
* Proficient in using product management tools, data analysis software, and project management tools to track and manage product lifecycles.
* Experience with purchasing, market research and analysis, pricing strategies, and budget management.
* Knowledge of lathe operations, live tooling, and static tooling is highly preferred.
* Familiarity with Agile or other product development methodologies is a plus.
**Salary:** 
 The salary for these positions ranges from
 **$80,000 to $150,000** 
 (including salary, bonus, and commission). Pay may vary based on individual expertise and regional factors. We believe in pay transparency and are committed to offering competitive compensation based on your qualifications and the market value for the role.
**Benefits:** 
 In return for experience and results, Lyndex\-Nikken. provides competitive compensation and bonus along with:
* Credit card for business expenses
* Computer and phone
* 401K with eligibility for company match
* Paid floating holidays, vacation and sick days
* Subsidized health and dental insurance for employee and dependents
* Long\-term disability, travel and accident insurance, life insurance
**Equal Opportunity Statement:** 
 Lyndex\-Nikken is an equal\-opportunity employer. We are committed to providing a work environment that is free from discrimination and harassment and where all employees and applicants are treated with respect and dignity. We do not discriminate against any employee or applicant on the basis of race, color, religion, sex, gender identity, sexual orientation, national origin, disability, age, or any other characteristic protected by applicable federal, state, or local laws.
 Lyndex\-Nikken is committed to taking affirmative action to ensure that all applicants are given equal opportunity in all aspects of employment, including hiring, promotion, compensation, and training. We value diversity and encourage all individuals to apply, including women, minorities, veterans, and individuals with disabilities.
 If you require assistance or accommodations due to a disability during the application or interview process, please contact our team at recruiting@felixglobal.com.</t>
        </is>
      </c>
    </row>
    <row r="230">
      <c r="A230" t="inlineStr">
        <is>
          <t>li-4373972782</t>
        </is>
      </c>
      <c r="B230" t="inlineStr">
        <is>
          <t>Principal Program Manager REMOTE</t>
        </is>
      </c>
      <c r="C230" t="inlineStr">
        <is>
          <t>Jobgether</t>
        </is>
      </c>
      <c r="D230" t="inlineStr">
        <is>
          <t>linkedin</t>
        </is>
      </c>
      <c r="E230">
        <f>HYPERLINK("https://www.linkedin.com/jobs/view/4373972782", "https://www.linkedin.com/jobs/view/4373972782")</f>
        <v/>
      </c>
      <c r="F230" t="inlineStr"/>
      <c r="G230" t="inlineStr">
        <is>
          <t>Massachusetts, United States</t>
        </is>
      </c>
      <c r="H230" t="inlineStr"/>
      <c r="I230" t="inlineStr">
        <is>
          <t>This position is posted by Jobgether on behalf of a partner company. We are currently looking for a Principal Technical Program Manager. In this role, you will shape the future of project initiatives at our partner's organization, bringing clarity to complex challenges while collaborating with diverse teams. Your leadership will guide engineering and product teams to drive innovation and operational maturity, directly influencing the strategic direction of advanced technologies. As you work on high\-impact programs, your contributions will enhance workflows and integrate AI capabilities, fostering a culture of excellence and creativity within the framework of ongoing transformations. Your presence in this role is vital for cultivating strong partnerships and ensuring program success across the board.
**Accountabilities**
* Define and drive strategic initiatives and technical investments across multiple engineering teams.
* Collaborate with leaders and cross\-functional partners to translate business objectives into clear technical programs.
* Serve as the connective tissue across engineering, product, design, operations, and customer support.
* Partner with engineering and technical leaders to influence architectural direction and identify risks.
* Lead program execution from concept through delivery while anticipating risks and enabling teams.
* Drive process improvements that enhance visibility and strengthen platform reliability.
* Champion AI adoption by identifying opportunities to incorporate AI into products and workflows.
* Mentor TPMs and other program leaders, sharing best practices to scale program leadership.
**Requirements**
* 8\+ years of Technical Program Management experience in complex, multi\-team engineering initiatives.
* Strong technical fluency across modern engineering practices and software development lifecycle.
* Demonstrated ability to partner with engineering leaders to influence technical strategy.
* Proven track record of driving clarity and alignment in high\-ambiguity environments.
* Skilled at translating ambiguous requirements into structured, measurable programs.
* Exceptional communication skills to engage senior leaders confidently and concisely.
* Experience using AI tools to accelerate productivity and decision\-making processes.
**Benefits**
* Competitive base salary and eligibility for equity awards.
* Flexible work environment with remote work options.
* Opportunities for professional growth and mentorship.
* Inclusive company culture that values diverse experiences and perspectives.
* Access to the latest tools and technologies to enhance work efficiency.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31">
      <c r="A231" t="inlineStr">
        <is>
          <t>li-4373966757</t>
        </is>
      </c>
      <c r="B231" t="inlineStr">
        <is>
          <t>Sr. Technical Program Manager</t>
        </is>
      </c>
      <c r="C231" t="inlineStr">
        <is>
          <t>Lensa</t>
        </is>
      </c>
      <c r="D231" t="inlineStr">
        <is>
          <t>linkedin</t>
        </is>
      </c>
      <c r="E231">
        <f>HYPERLINK("https://www.linkedin.com/jobs/view/4373966757", "https://www.linkedin.com/jobs/view/4373966757")</f>
        <v/>
      </c>
      <c r="F231">
        <f>HYPERLINK("https://lensa.com/cgw/17dfc72367d94c0ba4318029ffbaff99tjo1?jpsi=directemployers&amp;publisher_preference=easier_apply&amp;utm_campaign=Top%20Executives&amp;utm_medium=slot&amp;utm_source=linkedin&amp;utm_term=jse&amp;urlHash=ZQ2B", "https://lensa.com/cgw/17dfc72367d94c0ba4318029ffbaff99tjo1?jpsi=directemployers&amp;publisher_preference=easier_apply&amp;utm_campaign=Top%20Executives&amp;utm_medium=slot&amp;utm_source=linkedin&amp;utm_term=jse&amp;urlHash=ZQ2B")</f>
        <v/>
      </c>
      <c r="G231" t="inlineStr">
        <is>
          <t>Los Angeles, CA</t>
        </is>
      </c>
      <c r="H231" t="inlineStr"/>
      <c r="I23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What You’ll Do
* Own the end to end delivery of multiple concurrent technical programs, ensuring initiatives are well planned, funded, and delivered on schedule
* Develop and maintain integrated program roadmaps aligned to business and technology objectives
* Lead cross functional planning and execution across engineering, product, infrastructure, and business teams
* Coordinate milestones, dependencies, risks, and resource needs across multiple teams and workstreams
* Establish operating rhythms including status reporting, executive readouts, risk reviews, and stakeholder communications
* Own program budgets, forecasts, and financial reporting with a focus on transparency and accountability
* Provide clear, timely communication to senior leadership to support informed decision making and issue escalation
* Partner with senior leaders to align teams around shared goals and measurable outcomes
* Continuously identify and implement improvements to delivery processes, planning practices, and cross team collaboration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HR@insightglobal.com.To learn more about how we collect, keep, and process your private information, please review Insight Global's Workforce Privacy Policy: https://insightglobal.com/workforce\-privacy\-policy/.
**Skills And Requirements**
 What We’re Looking For
* 7 or more years of experience in Technical Program Management or Program Management within a technology environment
* Proven experience leading large, complex, cross\-team programs with multiple dependencies
* Strong planning and execution discipline with the ability to bring structure to ambiguous environments
* High level of technical fluency and the ability to work effectively with engineering, architecture, and platform teams
* Experience presenting program status, risks, and recommendations to senior leadership and executive stakeholders
* Demonstrated experience managing program budgets, forecasting, and financial tracking
* Highly organized, results oriented, and detail focused
* Clear, proactive communicator capable of translating complex technical concepts for diverse audiences
* Familiarity with Agile delivery methodologies such as Scrum or Kanban and experience working in iterative development environments
* Familiarity with tools such as Jira, Confluence, Azure DevOps, or similar program and delivery platforms Nice to Have
* Background in custom software development with familiarity across the full software development lifecycle
* Experience supporting engineering, platform, or digital product organizations
* Experience working in large scale enterprise environments such as travel, hospitality, ecommerce, or entertainment
 If you have questions about this posting, please contact support@lensa.com</t>
        </is>
      </c>
    </row>
    <row r="232">
      <c r="A232" t="inlineStr">
        <is>
          <t>li-4371985136</t>
        </is>
      </c>
      <c r="B232" t="inlineStr">
        <is>
          <t>Sr. Technical Program Manager, PinCompute</t>
        </is>
      </c>
      <c r="C232" t="inlineStr">
        <is>
          <t>Ladders</t>
        </is>
      </c>
      <c r="D232" t="inlineStr">
        <is>
          <t>linkedin</t>
        </is>
      </c>
      <c r="E232">
        <f>HYPERLINK("https://www.linkedin.com/jobs/view/4371985136", "https://www.linkedin.com/jobs/view/4371985136")</f>
        <v/>
      </c>
      <c r="F232" t="inlineStr"/>
      <c r="G232" t="inlineStr"/>
      <c r="H232" t="inlineStr"/>
      <c r="I232" t="inlineStr">
        <is>
          <t>For our client, we are seeking a Sr Technical Program Manager Pincompute to join the team of a leader in the Consumer Technology space. You’ll play a key role delivering outcomes for customers and stakeholders in the Consumer Technology space. You’ll collaborate cross\-functionally and take ownership of priorities. This role offers visibility, growth, and impact.
 Location: Remote \- US based candidates only, no visa sponsorship available
 Compensation: $123,684 – $254,644 annually.
**Responsibilities**
* Identify and champion key strategic projects cross\-engineering
* Drive complex decisions across multiple teams with technical domain owners
* Translate and execute strategic ideas into actionable plans
* Understand broad company goals while managing detailed execution
* Influence product roadmap during annual and quarterly planning
* Collaborate across departments to transform opportunities into outcomes
* Establish new processes for improved stakeholder collaboration
**Qualifications**
* 5\+ years of experience as a technical program manager or in a related role
* Proven track record of leading complex multi\-year initiatives across teams
* Strong understanding of cloud architectures, DevOps, and systems engineering
* Ability to thrive in ambiguity with an entrepreneurial mindset
* Strong analytical, problem\-solving, and risk mitigation skills
**Benefits**
* Flexible work model with remote options and occasional in\-office collaboration
* Commitment to an equitable, inclusive, and inspiring workplace
* Access to professional development opportunities
* Participation in a culture that celebrates unique experiences
 Our client is an equal opportunity employer. We encourage you to apply even if you don’t meet every qualification—your background could be exactly what this team needs.</t>
        </is>
      </c>
    </row>
    <row r="233">
      <c r="A233" t="inlineStr">
        <is>
          <t>li-4373972254</t>
        </is>
      </c>
      <c r="B233" t="inlineStr">
        <is>
          <t>IC6 Product Manager - Core DB Security</t>
        </is>
      </c>
      <c r="C233" t="inlineStr">
        <is>
          <t>Lensa</t>
        </is>
      </c>
      <c r="D233" t="inlineStr">
        <is>
          <t>linkedin</t>
        </is>
      </c>
      <c r="E233">
        <f>HYPERLINK("https://www.linkedin.com/jobs/view/4373972254", "https://www.linkedin.com/jobs/view/4373972254")</f>
        <v/>
      </c>
      <c r="F233">
        <f>HYPERLINK("https://lensa.com/cgw/fe86a5e40792460d94f67b6264c5dd83tjo1?jpsi=directemployers&amp;publisher_preference=easier_apply&amp;utm_campaign=Other%20Management%20Occupations&amp;utm_medium=slot&amp;utm_source=linkedin&amp;utm_term=jse&amp;urlHash=PaXm", "https://lensa.com/cgw/fe86a5e40792460d94f67b6264c5dd83tjo1?jpsi=directemployers&amp;publisher_preference=easier_apply&amp;utm_campaign=Other%20Management%20Occupations&amp;utm_medium=slot&amp;utm_source=linkedin&amp;utm_term=jse&amp;urlHash=PaXm")</f>
        <v/>
      </c>
      <c r="G233" t="inlineStr">
        <is>
          <t>Oklahoma City, OK</t>
        </is>
      </c>
      <c r="H233" t="inlineStr"/>
      <c r="I23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**Job Description**
 We are seeking an experienced Product Manager to own the strategy, roadmap, and execution for
 **core database security capabilities** 
 across enterprise and cloud environments. In this role, you will drive product direction for secure connectivity, authentication integrations, and cryptography\-related requirements that are foundational to protecting customer data at scale.
 This is a highly technical PM role suited for someone with a
 **strong database administration background** 
 who can translate deep security and infrastructure concepts into clear product requirements and customer value. You will work closely with engineering, security, architecture, and field teams to deliver secure, compliant, and scalable database security solutions.
**Must\-Have Background \&amp; Skills**
* Database administration experience:
* 3\+ years of hands\-on experience as a working DBA
* Strong understanding of database fundamentals, operations, and real\-world customer environments
* Cryptography fundamentals:
* Working knowledge of TLS/SSL, common cryptographic algorithms, and FIPS concepts/compliance
* Authentication fundamentals:
* Solid understanding of enterprise authentication and authorization concepts, including Kerberos, PKI/certificates, and RADIUS
* Ability to communicate complex technical concepts clearly to both technical and non\-technical audiences
* Strong product thinking with the ability to prioritize and execute in a complex, highly technical space
**Nice\-to\-Have Experience**
* Familiarity with modern cloud identity and authentication patterns , such as OAuth 2\.0 and OpenID Connect (OIDC)
* Experience integrating with enterprise identity providers (e.g., Microsoft Entra ID or similar)
* Background working with security, compliance, or infrastructure\-focused products
* Experience supporting both on\-prem and cloud\-based enterprise customers
**Why This Role**
* Own foundational security capabilities that protect customer data at enterprise scale
* Work on technically deep, high\-impact problems at the intersection of databases, security, and cloud
* Partner with experienced engineering and security teams in a highly visible product area
* Opportunity to shape long\-term database security strategy across cloud and enterprise environments
**Responsibilities**
**What You’ll Do**
* Own the product vision, roadmap, and execution for database security capabilities, including secure connectivity, authentication, and cryptographic features
* Partner closely with engineering to define requirements, prioritize backlogs, and deliver high\-quality, secure features
* Translate customer, regulatory, and operational security needs into clear product requirements
* Drive alignment across stakeholders including security, cloud infrastructure, compliance, and customer\-facing teams
* Ensure products meet enterprise security expectations and compliance requirements (e.g., FIPS\-related considerations)
* Act as the subject matter expert for database security topics, supporting internal teams and strategic customer discussions
* Balance usability, performance, and security in product decisions across on\-prem and cloud deployments
**Disclaimer**
**Certain US customer or client\-facing roles may be required to comply with applicable requirements, such as immunization and occupational health mandates.**
 Oracle uses Artificial Intelligence in our recruiting process. Read more about it in our Recruiting Privacy Policy (https://www.oracle.com/legal/privacy/recruiting\-privacy\-policy/) .
**Range and benefit information provided in this posting are specific to the stated locations only**
 CA: Hiring Range in CAD from: $136,900 to $224,900 per annum.
 US: Hiring Range in USD from: $139,400 to $291,800 per annum.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IC6
 Vacancy Type \- New Position
 This role will be working on a regular basis with colleagues around the world. To support this collaboration, knowledge of English is required for this role. Proficiency in French is required for candidates residing in Quebec, otherwise it is considered an asset.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234">
      <c r="A234" t="inlineStr">
        <is>
          <t>li-4373982317</t>
        </is>
      </c>
      <c r="B234" t="inlineStr">
        <is>
          <t>Sr. Technical Program Manager (Remote)</t>
        </is>
      </c>
      <c r="C234" t="inlineStr">
        <is>
          <t>Jobgether</t>
        </is>
      </c>
      <c r="D234" t="inlineStr">
        <is>
          <t>linkedin</t>
        </is>
      </c>
      <c r="E234">
        <f>HYPERLINK("https://www.linkedin.com/jobs/view/4373982317", "https://www.linkedin.com/jobs/view/4373982317")</f>
        <v/>
      </c>
      <c r="F234" t="inlineStr"/>
      <c r="G234" t="inlineStr">
        <is>
          <t>Michigan, United States</t>
        </is>
      </c>
      <c r="H234" t="inlineStr"/>
      <c r="I234" t="inlineStr">
        <is>
          <t>This position is posted by Jobgether on behalf of a partner company. We are currently looking for a Principal Technical Program Manager. In this role, you will shape the future of project initiatives at our partner's organization, bringing clarity to complex challenges while collaborating with diverse teams. Your leadership will guide engineering and product teams to drive innovation and operational maturity, directly influencing the strategic direction of advanced technologies. As you work on high\-impact programs, your contributions will enhance workflows and integrate AI capabilities, fostering a culture of excellence and creativity within the framework of ongoing transformations. Your presence in this role is vital for cultivating strong partnerships and ensuring program success across the board.
**Accountabilities**
* Define and drive strategic initiatives and technical investments across multiple engineering teams.
* Collaborate with leaders and cross\-functional partners to translate business objectives into clear technical programs.
* Serve as the connective tissue across engineering, product, design, operations, and customer support.
* Partner with engineering and technical leaders to influence architectural direction and identify risks.
* Lead program execution from concept through delivery while anticipating risks and enabling teams.
* Drive process improvements that enhance visibility and strengthen platform reliability.
* Champion AI adoption by identifying opportunities to incorporate AI into products and workflows.
* Mentor TPMs and other program leaders, sharing best practices to scale program leadership.
**Requirements**
* 8\+ years of Technical Program Management experience in complex, multi\-team engineering initiatives.
* Strong technical fluency across modern engineering practices and software development lifecycle.
* Demonstrated ability to partner with engineering leaders to influence technical strategy.
* Proven track record of driving clarity and alignment in high\-ambiguity environments.
* Skilled at translating ambiguous requirements into structured, measurable programs.
* Exceptional communication skills to engage senior leaders confidently and concisely.
* Experience using AI tools to accelerate productivity and decision\-making processes.
**Benefits**
* Competitive base salary and eligibility for equity awards.
* Flexible work environment with remote work options.
* Opportunities for professional growth and mentorship.
* Inclusive company culture that values diverse experiences and perspectives.
* Access to the latest tools and technologies to enhance work efficiency.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35">
      <c r="A235" t="inlineStr">
        <is>
          <t>li-4354519603</t>
        </is>
      </c>
      <c r="B235" t="inlineStr">
        <is>
          <t>Principal Product Manager-Tech, Selling Parter Trust &amp; Compliance</t>
        </is>
      </c>
      <c r="C235" t="inlineStr">
        <is>
          <t>Amazon</t>
        </is>
      </c>
      <c r="D235" t="inlineStr">
        <is>
          <t>linkedin</t>
        </is>
      </c>
      <c r="E235">
        <f>HYPERLINK("https://www.linkedin.com/jobs/view/4354519603", "https://www.linkedin.com/jobs/view/4354519603")</f>
        <v/>
      </c>
      <c r="F235">
        <f>HYPERLINK("https://www.amazon.jobs/jobs/3128361/principal-product-managertech-selling-parter-trust\u002d\u002dcompliance?cmpid=SPLICX0248M&amp;utm_source=linkedin.com&amp;utm_campaign=cxro&amp;utm_medium=social_media&amp;utm_content=job_posting&amp;ss=paid&amp;urlHash=7MXv", "https://www.amazon.jobs/jobs/3128361/principal-product-managertech-selling-parter-trust\u002d\u002dcompliance?cmpid=SPLICX0248M&amp;utm_source=linkedin.com&amp;utm_campaign=cxro&amp;utm_medium=social_media&amp;utm_content=job_posting&amp;ss=paid&amp;urlHash=7MXv")</f>
        <v/>
      </c>
      <c r="G235" t="inlineStr">
        <is>
          <t>Seattle, WA</t>
        </is>
      </c>
      <c r="H235" t="inlineStr"/>
      <c r="I235" t="inlineStr">
        <is>
          <t>**Description**
 Are you looking to lead radical innovation that creates value for millions of customers while building a new billion dollar business? Do you want to work at a company where you are encouraged to build and have the autonomy to push boundaries?
 Sellers’ trust in Amazon is our top priority and in this role, you will be tasked with building that trust over time by launching new products and developing novel means to measure our progress over time. Invention has become second nature at Amazon, and the pace of innovation is only accelerating. Amazon’s growth requires leaders who move fast, have an entrepreneurial spirit to create new products, have an unrelenting tenacity to get things done, and are capable of breaking down and solving complex problems.
 From Day 1, Product Managers are given ownership of large products, the autonomy to think strategically and make data driven decisions, and the ability to drive significant impact to the customer experience and the business. Over their careers, successful product managers will be exposed to multiple businesses/products, and pushed to grow into senior level general managers that independently run large business segments and organizations. This is a global role that will include interaction with teams in countries outside of the United States, requiring a strong ability to communicate effectively and understand the different needs of global customers. Your decisions are not only fundamental to the viability and attractiveness of our offering for Sellers, but they will in turn drive selection, revenue and growth of our overall business.
 We are seeking a Principal Product Manager \- Tech to lead our efforts to simplify the experience for selling partners WW, as by thinking strategically about scaling systems and tooling across various selling partner cohorts and simplifying their experience for managing account health and compliance to regulatory requirements. This role owns the vision and long\-term roadmap in this regard, and will be a successful influencer in terms of driving teams to execute on that vision. The Principal Product Manager \- Tech is responsible for setting the direction for the portfolio of products/offerings, defining goals, prioritizing features according to impact/risk, and preparing launch \&amp; GTM strategies.
 The Principal Product Manager\-Tech is a bar\-raising communicator, both verbally as well as in writing. As a Principal, they serve as a role model for other product owners in the space, and need to be able to influence across stakeholder teams and senior leaders to drive alignment strategically. This role requires clear articulation of complex problems and proposed solutions, and requires high judgement to ensure the right leaders are involved in decisions and regularly informed on progress. This role aligns teams towards clear priorities and advocates for investment delivering large, complex business initiatives, with clear mechanisms that audit progress towards shared goals and regularly reports results to ensure long\-term business success. This leader collaborates across various VP\-level organizations.
 Key job responsibilities
 Identify opportunities to improve the Selling Partner experience on Amazon and translate those opportunities into products and features
 Work with our tech partners and draw upon your experience to make the right trade\-offs, unblock them when needed, and build synergies between multiple tech and product teams
 Be responsible for communicating our innovations to our stakeholder teams and broader selling community, when necessary
 Work with internal customers to understand their use cases and their existing solutions
 Clarify and drive project commitments as well as establish and maintain clear chains of accountability (i.e. goals and standard reporting mechanisms)
 Have the ability to query and analyze data, and come up with insightful findings out of data
 Mentor and guide the product managers in our organization and hold us to a high standard of product, technical rigor, and excellence
 A day in the life
 Work with internal customers to identify and understand their pain points and desired outcomes.
 Define and prioritize requirements and manage product roadmap.
 Use your technical judgment and understanding to test assumptions.
 Think big to build durable products that anticipate future pain points.
 Address bottlenecks, identify inefficiencies, anticipate and make tradeoffs; balance the business and customers’ needs versus technical constraints
 Deliver products on time with the right feature set and high quality.
 Evangelize product benefits, simplify onboarding and usability, and drive adoption
**About The Team**
 As a part of WW Selling Partner Services (SPS), Selling Partner Trust and Compliance strives to both a) ensure Selling Partners feel confident in growing their business with Amazon, and b) equip Selling Partners with the tools and information they need to maintain compliance with mandated regulatory requirements and adherence to Amazon policies. We build best\-in class experiences for Selling Partners to sell in our store, understand and manage their business health, and remain compliant with Amazon’s policies and external regulations.
**Basic Qualifications**
* Bachelor's degree
* Experience owning/driving roadmap strategy and definition
* Experience with feature delivery and tradeoffs of a product
* Experience technical product management
**Preferred Qualifications**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A3128361</t>
        </is>
      </c>
    </row>
    <row r="236">
      <c r="A236" t="inlineStr">
        <is>
          <t>li-4373953979</t>
        </is>
      </c>
      <c r="B236" t="inlineStr">
        <is>
          <t>Principal Technical Program Manager</t>
        </is>
      </c>
      <c r="C236" t="inlineStr">
        <is>
          <t>Lensa</t>
        </is>
      </c>
      <c r="D236" t="inlineStr">
        <is>
          <t>linkedin</t>
        </is>
      </c>
      <c r="E236">
        <f>HYPERLINK("https://www.linkedin.com/jobs/view/4373953979", "https://www.linkedin.com/jobs/view/4373953979")</f>
        <v/>
      </c>
      <c r="F236" t="inlineStr"/>
      <c r="G236" t="inlineStr">
        <is>
          <t>Redmond, WA</t>
        </is>
      </c>
      <c r="H236" t="inlineStr"/>
      <c r="I23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Microsoft Corporation. Clicking "Apply Now" or "Read more" on Lensa redirects you to the job board/employer site. Any information collected there is subject to their terms and privacy notice.
**Overview**
 The Microsoft AI Monetization team is responsible for driving innovative monetization strategies across Microsoft's AI products including Copilot, Bing, Edge, and Microsoft Advertising. We focus on delivering highly relevant and engaging experiences for consumers while maximizing value for advertisers and partners.
 We are seeking an accomplished Principal Technical Program Manager to drive critical monetization initiatives for Bing Search. This execution\-focused role requires a seasoned leader who can orchestrate complex, cross\-organizational programs involving multiple CVPs, finance partners, and engineering teams to unlock new revenue opportunities while delivering exceptional user experiences.
 The ideal candidate will bring deep expertise in monetization and experimentation and analysis, with proven ability to drive results across highly matrixed organizations. You will build end\-to\-end user experiences across platforms and lead data\-driven experimentation to improve relevance, engagement, and overall product performance. Experience with Search and Ads ecosystems is highly valued.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Own end\-to\-end execution of large\-scale monetization programs, driving delivery against aggressive timelines and measurable business outcomes.
* Define execution strategy, milestones, and success metrics for complex technical programs across ad delivery, AI/ML\-driven targeting and bidding, traffic optimization, whole\-page monetization, and cross\-platform user experiences.
* Orchestrate execution across multiple engineering, product, and partner teams, proactively managing dependencies, risks, and tradeoffs in highly matrixed environments.
* Establish solid operational rigor through clear review cadences, executive\-level communication, and cross\-team alignment to maintain velocity and quality at scale.
* Partner closely with Finance, Product, Engineering, Data Science, and Design to model revenue impact, track performance, and translate technical complexity into business\-aligned outcomes.
* Lead data\-driven experimentation and analysis to validate monetization hypotheses, measure incremental impact, and inform prioritization across initiatives.
* Apply deep understanding of the Search and Ads ecosystem\-including SERP rendering, ad marketplaces, ranking systems, and monetization infrastructure\-to guide technical and product decisions.
* Influence senior stakeholders across Bing, Microsoft Advertising, AI Platform, and partner organizations to drive alignment, unblock decisions, and deliver cohesive solutions.
**Qualifications**
**Required Qualifications:**
* Bachelor's Degree AND 6\+ years experience in engineering, product/technical program management, data analysis, or product development
* OR equivalent experience.
* 3\+ years of experience managing cross\-functional and/or cross\-team projects.
**Additional Or Preferred Qualifications**
* Bachelor's Degree AND 12\+ years experience engineering, product/technical program management, data analysis, or product development
* OR equivalent experience.
* Experience with Search and Ads ecosystems including search engines (Bing, Google), advertising platforms (Microsoft Advertising, Google Ads), ad serving systems, or related technologies.
* 8\+ years of experience managing cross\-functional and/or cross\-team projects.
* 1\+ year(s) of experience reading and/or writing code (e.g., sample documentation, product demos)
 \#MicrosoftAI \#MAI
 Technical Program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(https://careers.microsoft.com/v2/global/en/accessibility.html)
 If you have questions about this posting, please contact support@lensa.com</t>
        </is>
      </c>
    </row>
    <row r="237">
      <c r="A237" t="inlineStr">
        <is>
          <t>li-4373955901</t>
        </is>
      </c>
      <c r="B237" t="inlineStr">
        <is>
          <t>Principal Technical Program Manager</t>
        </is>
      </c>
      <c r="C237" t="inlineStr">
        <is>
          <t>Lensa</t>
        </is>
      </c>
      <c r="D237" t="inlineStr">
        <is>
          <t>linkedin</t>
        </is>
      </c>
      <c r="E237">
        <f>HYPERLINK("https://www.linkedin.com/jobs/view/4373955901", "https://www.linkedin.com/jobs/view/4373955901")</f>
        <v/>
      </c>
      <c r="F237" t="inlineStr"/>
      <c r="G237" t="inlineStr">
        <is>
          <t>Denver, CO</t>
        </is>
      </c>
      <c r="H237" t="inlineStr"/>
      <c r="I23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**Job Description**
 Manage the development and implementation process of a specific company product.
 Manage the development and implementation process of a specific company product involving departmental or cross\-functional teams focused on the delivery of new or existing products. Plan and direct schedules and monitor budget/spending. Monitor the project from initiation through delivery. Organize the interdepartmental activities ensuring completion of the project/product on schedule and within budget constraints. Assign and monitor work of systems analysis and program staff, providing technical support and direction.
 Provide leadership and expertise in the development of new products/services/processes, frequently operating at the leading edge of technology. Recommends and justifies major changes to existing products/services/processes. BS or MS degree or equivalent experience relevant to functional area. Ten or more years of project management, product design or related experience needed.
**Responsibilities**
 We are specifically looking for an experienced Technical Program Manager with depth getting things done at scale. Think working with cross functional teams across large organizations, moving folks towards a unified goal and north star. You drive results, not just facilitate. You possess high judgement and are a "roll your sleeve up" person with a bias for action. You possess strong ownership and a strong ability to collaborate. Within this role, you will be responsible for managing complex, cross\- organizational/functional programs that impact both product and business.
 You will partner with every team in OCI to make these programs happen. The space is fun, agile, cross cutting and complex. We work on true critical programs to the customer and that means support, help, partnership and alignment in the investment.
**Candidate Profile**
* 6 years' experience developing and implementing strategy, then executing against, large cross cutting programs.
* You display a demonstrated ability to think broadly and strategically.
* You possess a technology background that enables you to understand the complexities of cloud architecture.
* You possess and exemplify maturity, judgment, negotiation/influence skills, analytical skills, and leadership skills.
* You can work well with senior leaders within all of Oracle (from engineering to business) to drive results for core business initiatives.
* You work well in ambiguity, can work with your team to dive into a problem and create a solution
* Knowledge of Data Center GPU architecture and operations.
* Familiarity and knowledge of AI workloads and SW stack.
* Experience in a customer facing role in a tech company. Experience with AI and HPC end customers is a big plus. Manage the development and implementation process of a specific company product involving departmental or cross\-functional teams focused on the delivery of new or existing products. Plan and direct schedules and monitor budget/spending. Monitor the project from initiation through delivery. Organize the interdepartmental activities ensuring completion of the project/product on schedule and within budget constraints. Assign and monitor work of systems analysis and program staff, providing technical support and direction.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$90,100 to $199,500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238">
      <c r="A238" t="inlineStr">
        <is>
          <t>li-4371984776</t>
        </is>
      </c>
      <c r="B238" t="inlineStr">
        <is>
          <t>Logistics/Product Manager Support, Sr PR - 1351</t>
        </is>
      </c>
      <c r="C238" t="inlineStr">
        <is>
          <t>PE Systems, Inc.</t>
        </is>
      </c>
      <c r="D238" t="inlineStr">
        <is>
          <t>linkedin</t>
        </is>
      </c>
      <c r="E238">
        <f>HYPERLINK("https://www.linkedin.com/jobs/view/4371984776", "https://www.linkedin.com/jobs/view/4371984776")</f>
        <v/>
      </c>
      <c r="F238">
        <f>HYPERLINK("https://PESYSTEMS.rec.pro.ukg.net/PES1500PESI/JobBoard/5a42d85e-9441-49a1-abc5-9c376d3716c7/OpportunityDetail?opportunityId=e01f8810-f58c-44cc-b531-08ea19523245&amp;source=LinkedIn&amp;urlHash=WaHp", "https://PESYSTEMS.rec.pro.ukg.net/PES1500PESI/JobBoard/5a42d85e-9441-49a1-abc5-9c376d3716c7/OpportunityDetail?opportunityId=e01f8810-f58c-44cc-b531-08ea19523245&amp;source=LinkedIn&amp;urlHash=WaHp")</f>
        <v/>
      </c>
      <c r="G238" t="inlineStr">
        <is>
          <t>Ohio, United States</t>
        </is>
      </c>
      <c r="H238" t="inlineStr"/>
      <c r="I238" t="inlineStr">
        <is>
          <t>PE Systems, Inc. has a great opportunity for a Logistics/Product Manager Support, Senior in the Electronic System Directorate at Wright Patterson Airforce Base, OH. The mission of the Electronic System Directorate is to Deliver sensing capabilities to deter, defend, and win at home and abroad with our Joint Forces and Allies.
 PE Systems, Inc. genuinely cares about their employees. We bring together the best people and the best careers.  Our family of talented and focused professionals enjoy PE Systems’ generous PTO and Holidays, great benefits and great pay.
 Voted Best Places to Work in Dayton since 2022!
**General Function**
* Provide product support to the PM and PSM across all phases of the system life cycle.
* Assist in planning and managing logistics for development, production, and deployment activities using DoD and USAF policies.
* Support the preparation, review, and revision of ILSPs, PMPs, CDRLs, SOWs, and capability documents.
* Participate in program reviews and provide updates on project status and decisions.
* Help develop integrated logistics and readiness support requirements and conduct life cycle cost and warranty analyses.
* Contribute to total life cycle supportability from concept through disposal, including problem analysis and reporting.
* Perform logistic studies, readiness assessments, cost/benefit analyses, and resource requirement evaluations.
* Support Life Cycle Logistics Management (LCLM) through analysis, reporting, and recommendations.
* Assist in developing product support strategies using ILS, PBL, and Public Private Partnering concepts.
* Provide input on program strategies, depot/Contractor performance, and logistics support elements.
* Conduct supportability analyses, evaluate trade\-offs, and assess logistics support data quality.
* Support development of logistics documentation and identification of support requirements for equipment and training.
* Evaluate Logistics Management Information (LMI) deliverables and summaries.
* Assist in Life\-Cycle Cost Management (LCCM) and Design\-to\-Cost (DTC) studies and cost modeling.
* Analyze and assess the cost impact of modifications, and validate methodologies for cost estimation.
* Use Instructional Systems Development methods to create training programs on ILS/Product Support and sustainment topics.
* Conduct training courses related to logistics and warranty\-related subjects.
* Recognized as highly skilled with advanced knowledge and experience in their technical/professional field, with the ability to apply relevant standards, procedures, and practices.
* Oversees and guides junior and journeyman personnel, providing expert support across Program Office, Enterprise, and Staff\-level interfaces.
**Qualifications**
**Education/Certifications/Experience/Skills:**
* MA/MS Degree with 10 years of directly related experience or BA/BS with 12 years of directly related experience or 15 years of directly related experience to this discipline.
* Must possess and maintain a government security clearance at the Secret Level.
* Must be proficient in the use of Microsoft Office Applications and other standard applications.
**PE Systems, Inc. is an Equal Opportunity/Affirmative Action Employer. All qualified applicants will receive consideration for Employment without regard to race/ethnicity, color, religion, sex, nation origin, ancestry, age, sexual orientation, gender identity, genetic information, marital status and disability (including physical or mental disability as well as pregnancy) veteran status or any other status protected by the Federal, State or local law.**
**\#cj**</t>
        </is>
      </c>
    </row>
    <row r="239">
      <c r="A239" t="inlineStr">
        <is>
          <t>li-4350243741</t>
        </is>
      </c>
      <c r="B239" t="inlineStr">
        <is>
          <t>Sr. Technical Program Manager</t>
        </is>
      </c>
      <c r="C239" t="inlineStr">
        <is>
          <t>Electronic Arts (EA)</t>
        </is>
      </c>
      <c r="D239" t="inlineStr">
        <is>
          <t>linkedin</t>
        </is>
      </c>
      <c r="E239">
        <f>HYPERLINK("https://www.linkedin.com/jobs/view/4350243741", "https://www.linkedin.com/jobs/view/4350243741")</f>
        <v/>
      </c>
      <c r="F239">
        <f>HYPERLINK("https://jobs.ea.com/en_US/careers/JobDetail/Sr-Technical-Program-Manager/211396?source=LinkedIn&amp;urlHash=N1UW", "https://jobs.ea.com/en_US/careers/JobDetail/Sr-Technical-Program-Manager/211396?source=LinkedIn&amp;urlHash=N1UW")</f>
        <v/>
      </c>
      <c r="G239" t="inlineStr">
        <is>
          <t>Orlando, FL</t>
        </is>
      </c>
      <c r="H239" t="inlineStr"/>
      <c r="I239"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Operations
 Central Technology Operations exists to empower innovation and enable scalability for teams across our organization. We strive for operational excellence to foster data\-driven decision\-making and enable teams to focus on transformative creativity. Joining Operations means working with strategic partners in world\-class technology teams, opportunities to streamline processes and eliminate barriers, and telling stories that support the evolution of interactive entertainment.
* (Hybrid Role)
 The Role
 As a Senior Technical Program Manager, you will join EA’s Central Technology Operations Team and lead large\-scale technology programs that enable seamless collaboration across product teams and departments. Reporting to the Director of Operations, you will drive operational excellence, optimize processes, and deliver strategic technology initiatives. This role requires strong technical expertise and focuses on driving technological innovation within EA’s gaming ecosystem.
 The Operations team serves as a cross\-functional partner, fostering efficiency and innovation. As a Senior Technical Program Manager, your expertise in technical program delivery, stakeholder management, and strategic planning will be vital in solving complex problems and advancing our technological capabilities.
 What You'll Do
* Lead Technical Programs: Build and lead technically\-focused programs and initiatives aimed at supporting EA’s innovation goals.
* Facilitate Collaboration: Senior leaders, product teams, engineering, and cross\-functional partners to define, plan, and execute technology programs aligned with organizational goals, ensuring technical requirements are met.
* Drive Alignment: Develop and maintain strong relationships with stakeholders; facilitate alignment and transparency on program goals, progress, risks, and dependencies.
* Communicate Effectively: Provide concise, data\-driven updates to stakeholders and leadership, adapting communication for technical and non\-technical audiences.
* Measure progress: Define, track, and analyze key performance indicators (KPIs), success criteria, and feedback mechanisms to evaluate program effectiveness and continuous improvement.
* Manage Change: Manage change initiatives to ensure smooth adoption of new processes or technologies, minimizing resistance and maximizing strategic value.
 What You'll Bring
* 8\+ years of experience in program or project management within technical or engineering environments.
* Technical acumen with experience working closely with software development, or technical operations teams.
* Exceptional stakeholder management skills with the ability to influence, challenge, and build consensus across organizational levels.
* Demonstrated leadership in managing multiple priorities, navigating ambiguity, and driving results independently.
* Expertise in change management, with the ability to facilitate organizational and technological transitions smoothly.
* Excellent communication skills, capable of translating technical details for diverse audiences.
* Self\-motivated, proactive, and resourceful, with a collaborative mindset and a passion for delivering impactful results.
 We want to connect you with job opportunities that align with your interests, skills, and expertise. When you create an EA Careers Account and are logged into the portal, you can click “Get Recommendations” to view a curated list of job openings. These recommendations are enhanced by automated processing, including artificial intelligence, and take into account your skills and experience. However, all employment decisions are made by our hiring teams, not by automated systems.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\*$130,800 \- $183,000 CAD
 Pay is just one part of the overall compensation at EA.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240">
      <c r="A240" t="inlineStr">
        <is>
          <t>li-4373030091</t>
        </is>
      </c>
      <c r="B240" t="inlineStr">
        <is>
          <t>- Remote - Senior Product Owner - AWS Connect Migration</t>
        </is>
      </c>
      <c r="C240" t="inlineStr">
        <is>
          <t>Jobs via Dice</t>
        </is>
      </c>
      <c r="D240" t="inlineStr">
        <is>
          <t>linkedin</t>
        </is>
      </c>
      <c r="E240">
        <f>HYPERLINK("https://www.linkedin.com/jobs/view/4373030091", "https://www.linkedin.com/jobs/view/4373030091")</f>
        <v/>
      </c>
      <c r="F240">
        <f>HYPERLINK("https://click.appcast.io/t/gCczrWxs8JU8aRRom0sj5iaWrLfkFDjj9-PO9v5Hzig=&amp;urlHash=ZzXz", "https://click.appcast.io/t/gCczrWxs8JU8aRRom0sj5iaWrLfkFDjj9-PO9v5Hzig=&amp;urlHash=ZzXz")</f>
        <v/>
      </c>
      <c r="G240" t="inlineStr">
        <is>
          <t>Missouri, United States</t>
        </is>
      </c>
      <c r="H240" t="inlineStr"/>
      <c r="I240" t="inlineStr">
        <is>
          <t>Dice is the leading career destination for tech experts at every stage of their careers. Our client, Octans Group LLC, is seeking the following. Apply via Dice today!
**Job Title: Senior Product Owner AWS Connect**
**Job Description:**
 We are seeking a Senior Product Owner to lead AWS Connect Telephony Migration \&amp; Modernization from legacy systems (Avaya) to AWS Connect for a large healthcare client. The ideal candidate must have strong Product Owner experience with Amazon (AWS) environment and hands\-on contact center migration expertise.
**Must Have:**
* 10\+ years in Product Management / Contact Center Transformation
* Strong experience with AWS Connect \&amp; telephony migration (Avaya to AWS Connect)
* Contact Center \&amp; Cloud Telephony expertise (IVR, ACD, WFM, CRM integrations)
* Healthcare domain experience (preferred)
* Experience defining KPIs, roadmap, and leading Agile teams
* Strong stakeholder management and cross\-functional collaboration skills required.
 You can also apply with your updated resume at
 Full Name:
 Current Location:
 Work Authorization:
 Availability:</t>
        </is>
      </c>
    </row>
    <row r="241">
      <c r="A241" t="inlineStr">
        <is>
          <t>li-4374119304</t>
        </is>
      </c>
      <c r="B241" t="inlineStr">
        <is>
          <t>Senior Program Manager</t>
        </is>
      </c>
      <c r="C241" t="inlineStr">
        <is>
          <t>HSP Group</t>
        </is>
      </c>
      <c r="D241" t="inlineStr">
        <is>
          <t>linkedin</t>
        </is>
      </c>
      <c r="E241">
        <f>HYPERLINK("https://www.linkedin.com/jobs/view/4374119304", "https://www.linkedin.com/jobs/view/4374119304")</f>
        <v/>
      </c>
      <c r="F241" t="inlineStr"/>
      <c r="G241" t="inlineStr"/>
      <c r="H241" t="inlineStr"/>
      <c r="I241" t="inlineStr">
        <is>
          <t>**About Us** 
 HSP Group is the premier provider of global expansion services, helping companies simplify the complex challenges of operating internationally. We deliver a seamless experience across
 **legal entity setup, global HR, payroll, compliance, tax, and advisory** 
 , enabling our clients to scale faster, stay compliant, and reduce risk in every market they enter. 
 With scale\-up organizations and innovative technology firms expanding at unprecedented speed, HSP is uniquely positioned to become their trusted global partner. 
**Job Description** 
**This is a remote role.** 
 As a 
 **Sr. Program Manager** 
 , you will primarily lead Project Consulting initiatives customer projects.
 You will be accountable for meeting your annual billable target, which will be communicated by your line manager.
 Success in this role requires 
 **proactivity, diligence, accurate and timely reporting** 
  (both customer\-facing and internal), and deep expertise in key service lines: 
 **Accounting \&amp; Tax, Legal Entity Management, HR and Payroll** 
 .
 Serving as the primary point of contact for both customers and HSP partners, you must demonstrate exceptional 
 **customer\-facing skills, relationship management, and strong project and program management capabilities** 
 .
 Additionally, you will contribute to departmental processes and deliverables and may also be asked to support related tasks requiring your expertise and collaboration.
**Responsibilities:** 
 * Creation of Project Plans, rollout/transition plans, RAIDS logs, SteerCo reporting.
* Forecasting of Go Live dates in to ensure your projects Go Live on time and in budget.
* Liaising with local HSP experts, maintaining good relationships and open communication.
* Be a Single Point of Contact (SPOC) for your customers. Lead recurring customer status update calls.
* Ensure smooth handovers to BAU operations.
* Partner with Sales, Marketing and Operations leadership to identify sales productivity gaps \&amp; prioritize work on key initiatives across the global sales team such as process improvements sales pitch training/toolkits, ongoing enablement/learning, sales playbook creation.
* Creation of processes and GAP analysis for your customers.
* when supporting Onboarding: Onboard portfolio of clients to HSP. These projects can be varied and include, although not limited to, Payroll, Accounting, Entity Management, HR, amongst others.
* Additional duties as assigned.
**Qualifications:** 
* Bachelor’s or master’s degree in business or a related field.
* 5\+ years of proven experience in program and/or project management.
* Demonstrated expertise in stakeholder management and Change Management.
* Proven experience leading and managing teams.
* Strong proficiency in Microsoft Office applications (Word, Excel, Outlook).
* Industry experience in Payroll is a requirement. Knowledge of Accounting, EOR and/or Entity Management, with technical knowledge related to international expansion is a plus.
* Knowledge of ADP Solutions, their methodologies, and applications are essential for this role. Knowledge of Cloudpay and other Payroll vendors platforms are a plus.
* Strong problem\-solving skills and ability to work independently.
* Exceptional verbal and written communication skills
**Skills and Competencies** 
* Exceptional verbal and written communication skills.
* Reliable, proactive, and consistent performer with a positive attitude and strong collaboration skills.
* Excellent communication abilities with senior stakeholders, both internal and external.
* Assertive yet tactful, capable of managing multiple business relationships effectively.
* Highly self\-motivated, detail\-oriented, and skilled at prioritizing and executing tasks under tight deadlines in a fast\-paced, dynamic environment.
* Strong ability to coordinate across multiple projects, ensuring alignment with overall business objectives.
* Skilled at fostering transparent communication with stakeholders regarding project issues and service decisions.
* Proficient in producing accurate, timely program status reports throughout the project lifecycle.
* Adept at analysing program risks and implementing mitigation strategies.
* Team\-oriented contributor who works well in collaborative environments.
 If you’re a driven individual who wants to make your mark in the heart of the innovation economy, we’d love to meet you. Join our 
 **\#HSPGlobalSolutionTeam** 
  and help us power the next wave of global growth.</t>
        </is>
      </c>
    </row>
    <row r="242">
      <c r="A242" t="inlineStr">
        <is>
          <t>li-4373952966</t>
        </is>
      </c>
      <c r="B242" t="inlineStr">
        <is>
          <t>Principal Customer Experience Program Manager</t>
        </is>
      </c>
      <c r="C242" t="inlineStr">
        <is>
          <t>Lensa</t>
        </is>
      </c>
      <c r="D242" t="inlineStr">
        <is>
          <t>linkedin</t>
        </is>
      </c>
      <c r="E242">
        <f>HYPERLINK("https://www.linkedin.com/jobs/view/4373952966", "https://www.linkedin.com/jobs/view/4373952966")</f>
        <v/>
      </c>
      <c r="F242" t="inlineStr"/>
      <c r="G242" t="inlineStr">
        <is>
          <t>Redmond, WA</t>
        </is>
      </c>
      <c r="H242" t="inlineStr"/>
      <c r="I24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Microsoft Corporation. Clicking "Apply Now" or "Read more" on Lensa redirects you to the job board/employer site. Any information collected there is subject to their terms and privacy notice.
**Overview**
 Are you a customer\-obsessed, AI\-curious problem\-solver who thrives in an inclusive, collaborative global team? Join Engineering Operations (EngOps) – the organization driving operational excellence across the Microsoft Cloud to strengthen quality, reliability, security, and customer trust. As part of EngOps, you’ll design solutions that prevent issues before they happen, embed AI\-powered automation, and turn signals into actions that deliver measurable customer impact. Our culture of empowerment, inclusion, and growth mindset defines how we work.
 You will have ample opportunities to participate in all stages of our engineering lifecycle \- from initial research and discovery, quick iteration on promising concepts, solution prototyping, and development, all the way through successful service rollout and Live Site support.
 Every day, customers stake their business and reputation on our cloud. You can help EngOps keep them secure, resilient, and ready.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Develop and execute Supportability strategic and roadmap to make Azure the most stable, reliable, and performant cloud.
* Influence product investment in Supportability and provide technical leadership for engineers across multiple teams.
* Define what success looks like, how we measure it, and how we get there.
* Drive continuous improvement to customer and engineer experience via empowerment and accountability leading executive reviews.
* Apply systems thinking and standards approach to solve problems at scale, and through automation.
* Foster a healthy and inclusive team environment.
* Embody our Culture and Values.
**Qualifications**
**Required Qualifications:**
* Bachelor's Degree in Computer Science, Engineering, Data Science, Math, Business, or related field AND 6\+ years experience in engineering, product/technical program management, data analysis, or product development
* OR equivalent experience.
* 1\+ years of experience reading or writing code (e.g., sample applications, learning projects, product demonstrations, documentation).
* 3\+ years experience managing cross\-functional and/or cross\-team projects
**Other Qualifications**
 Ability to meet Microsoft, customer and / 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 / transfer and every two years thereafter.
**Preferred Qualifications**
* Familiarity with Large Language Models (LLMs), agent development, model evaluation techniques, or human‑in‑the‑loop workflows.
* Experience designing and delivering solutions using modern software engineering practices and cloud technologies in ways that support accessibility, scalability, and customer needs.
* Effective communication and inclusive leadership skills, enabling clear partnership with diverse teams, stakeholders, and customers.
* Commitment to continuous learning, including exploring emerging technologies and applying them to address business and customer challenges.
* Familiarity with program‑management practices across different software development services, methodologies, and delivery models.
* Understanding of engineering best practices used in cloud‑based services.
* Experience applying structured problem‑solving approaches, including pilots, prototypes, experimentation frameworks, or iterative testing.
* Experience implementing Supportability‑by‑Design principles to enhance customer experience and support service reliability.
 Customer Experience Program Mgmt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(https://careers.microsoft.com/v2/global/en/accessibility.html)
 If you have questions about this posting, please contact support@lensa.com</t>
        </is>
      </c>
    </row>
    <row r="243">
      <c r="A243" t="inlineStr">
        <is>
          <t>li-4373988921</t>
        </is>
      </c>
      <c r="B243" t="inlineStr">
        <is>
          <t>Account Program Manager</t>
        </is>
      </c>
      <c r="C243" t="inlineStr">
        <is>
          <t>Meador Staffing Services</t>
        </is>
      </c>
      <c r="D243" t="inlineStr">
        <is>
          <t>linkedin</t>
        </is>
      </c>
      <c r="E243">
        <f>HYPERLINK("https://www.linkedin.com/jobs/view/4373988921", "https://www.linkedin.com/jobs/view/4373988921")</f>
        <v/>
      </c>
      <c r="F243" t="inlineStr"/>
      <c r="G243" t="inlineStr">
        <is>
          <t>Webster, TX</t>
        </is>
      </c>
      <c r="H243" t="inlineStr"/>
      <c r="I243" t="inlineStr">
        <is>
          <t>Meador an Openwork Company is currently engaged in a search to find
 **a direct hire ACCOUNT PROGRAM MANAGER** 
 in the
 **Clear Lake area** 
 that is eager to learn.
 In this exciting role, you will be responsible for ownership of all assigned customer programs and ensure the successful execution of the program.
**As an ACCOUNT PROGRAM MANAGER you’ll be responsible for:** 
* Develop and manage project plans, timelines, budgets, and resource allocation.
* Coordinate cross\-functional teams (engineering, procurement, quality control) to ensure alignment and progress.
* Develop, maintain, and communicate detailed program schedules.
* Interface with customer and internal teams during all phases of assigned projects.
* Identify project risks and develop mitigation strategies to ensure smooth execution.
* Act as the primary point of contact throughout the program lifecycle.
* Ensure the customer requirements and expectations are clearly defined and met.
* Monitor key performance metrices to effectively measure project status.
* Work with internal departments to ensure we are meeting the customer needs.
* Track costs throughout the project lifecycle and adjust plans to maintain profitability.
* Oversee the successful rollout of products to customers using the NPI or MRR procedure and track completion of actions prior to the start of manufacturing.
* Collect and review customer feedback to drive improvements for future product iterations.
* Prepare inventory reports to customer and understand contract coverage to work with customer on reducing excess inventory.
* Resolve obstacles to completing customer projects/orders \- find alternative parts, use industry resources, etc.
* Follow\-up on completed projects/orders to ensure satisfaction and gather feedback.
* Ability to communicate with key customers (phone, email, in\-person)
**What you’ll need:** 
* A bachelor’s degree in program management or business ed field
 preferred
 .
* At least three years’ experience in electronic manufacturing required.
* Experience in multiple functional areas (engineering, quality, operations, supply chain, project, program management) preferred.
* Familiarity with manufacturing technologies, ERP systems, and project management tools
* Proficient in Excel (VLOOKUP, Pivot Tables and Charts/Graphs).
* Proven experience with managing special orders/projects in manufacturing for customized high volume items.
* Ability to understand and discuss technical aspects of order \- doesn't need to be an engineer but needs to be smart/tactful in communication.
**Perks** 
 :
* $75K\-$90K
* Flexible schedule
 Click on
 *Apply Now* 
 to be considered for this
 **ACCOUNT PROGRAM MANAGER** 
 job in
 **Clear Lake, TX** 
 , or visit our website
 www.openwork.com
 to search for other opportunities that are currently available. Please contact the lead recruiter,
 **Lauren Treadaway** 
 , at
 ltreadaway@meador.com
 with any questions
*About Meador Staffing:* 
*Meador Staffing is a talent\-first staffing company on a mission to bring ease and thoughtfulness to an industry we’ve held a footing in for 50\+ years. We believe there’s more to life than livelihood, but that finding your dream career or team is a really good place to start. Our family of companies also includes
 Openwork
 ,
 Openwork Health
 , and
 Aerospace Solutions*
 .
 *Looking for your dream job or hire? Visit us to say hello and start building your future, together.* 
 EOE</t>
        </is>
      </c>
    </row>
    <row r="244">
      <c r="A244" t="inlineStr">
        <is>
          <t>li-4324421394</t>
        </is>
      </c>
      <c r="B244" t="inlineStr">
        <is>
          <t>Program Manager II (Rails)</t>
        </is>
      </c>
      <c r="C244" t="inlineStr">
        <is>
          <t>SWBC</t>
        </is>
      </c>
      <c r="D244" t="inlineStr">
        <is>
          <t>linkedin</t>
        </is>
      </c>
      <c r="E244">
        <f>HYPERLINK("https://www.linkedin.com/jobs/view/4324421394", "https://www.linkedin.com/jobs/view/4324421394")</f>
        <v/>
      </c>
      <c r="F244">
        <f>HYPERLINK("https://swbc.wd1.myworkdayjobs.com/swbccareers/job/Remote-Site\u002d\u002d-TX/Program-Manager-II\u002d\u002dRails-_R0014195-2?source=LinkedIn&amp;urlHash=gBpS", "https://swbc.wd1.myworkdayjobs.com/swbccareers/job/Remote-Site\u002d\u002d-TX/Program-Manager-II\u002d\u002dRails-_R0014195-2?source=LinkedIn&amp;urlHash=gBpS")</f>
        <v/>
      </c>
      <c r="G244" t="inlineStr">
        <is>
          <t>Texas, United States</t>
        </is>
      </c>
      <c r="H244" t="inlineStr"/>
      <c r="I244" t="inlineStr">
        <is>
          <t>SWIVEL is seeking a talented individual to drive operational excellence and build appropriate workstreams to deliver programmatic excellence for our customers and business partners.
**Why You'll Love This Role**
 You have a passion for excellence and quality of execution. You have solid experience in business program management with a focus on operations. You love the challenge of conquering audacious goals and leading others. You see opportunities when others see failures. You are a great communicator, who enjoys sharing findings, successes, and opportunities for improvement. You are a strategic thinker (big picture) with ability to connect the dots and create a shared vision. You are a meticulous program manager, knowing end\-to\-end process flows for how your programs work and understanding how the business needs to be executed operationally.
**Essential Duties Include The Following**
* Be an expert Program Manager II in a matrixed organization, supporting the money movement and payment processing business unit within SWIVEL.
* Ability to operate with no day\-to\-day direction or oversight and can successfully operate under a high level of ambiguity and pace of change.
* Mentor more junior Program Managers in an ambiguous environment, providing mentorship on their initiatives.
* Effectively explain strategy and higher\-level concepts to the program management team, cross\-functional organizations, and senior\-level executives.
* Represent the program management team in cross\-functional conversations.
* Ensures the program management team’s strategy is consistent by global vertical, horizontal, and market level.
* Overcome roadblocks and escalate issues effectively as they arise by independently thinking through potential execution challenges from end\-to\-end (e.g., requirements not sufficiently understood or documented, ineffective cross\-team collaboration, insufficient stakeholder review, etc.) identifying and mitigating risks before they become roadblocks.
* Demonstrate thought leadership for the program management functional area helping to set standards for various pieces of team artifacts such as project documentation, executive level communication, status reports, business reviews, team KPIs, and process flow documentation.
* Develop and own communication plans for program status updates, issues, and risk management, and effectively and proactively communicate to influencing stakeholders.
* Create project documentation, including executive level communications, dashboards, project plans and status reports. Keep stakeholders informed about project progress, milestones, and potential risks.
* Provide feedback and recommendations for improvement on the program management team’s documentation, dashboards, KPIs, and status reports.
* Define and track metrics such as key quality and performance indicators and drive cross functional execution of deliverables. Develop, implement, and govern KPI reporting for a portfolio of programs, providing visibility to the milestones, and performance across all projects. Proactively and independently analyze information to identify specific trends and opportunities for improvement, recommending appropriate and relevant tactical improvements and anticipating future business needs.
* Drive internal and external process improvements across multiple teams and functions including reducing the manual efforts through automation.
* Partner with functional leaders to understand their roadmap/initiatives and impact to roadmap due to projects and resource availability. Collaborate with stakeholders and product owners to define program requirements, set priorities, and establish scope. Confidently and constructively challenge priorities or directions of projects as needed, identifying areas where we can reprioritize resources.
* Collaborate with stakeholders and product owners to define program requirements, set priorities, and establish scope. Confidently and constructively challenge priorities or directions of projects as needed, identifying areas where we can reprioritize resources.
* Create and maintain process flows and procedures to ensure operational readiness and efficiencies. Create project charters that define objectives, in\-scope and out\-of\-scope items, and estimations of effort by resource type.
**Serious Candidates Will Possess The Minimum Qualifications**
* Bachelor’s degree from an accredited four\-year college or university and minimum of five (5\) years of experience in a similar role (SaaS environment) required.
* Minimum of five (5\) years of relevant business experience within SaaS, Operations, Program Management or Project Management.
* Minimum three (3\) years experience working in money movement, payment processing, financial services industry, card/automated clearing house (ACH) payments.
* Experience working in financial services industry, card/automated clearing house (ACH) payments preferred.
* Strong verbal and written communication, negotiation, data analysis, leadership, and presentation skills.
* Experience leading highly complex initiatives across large functional groups with ability to influence partners and leaders.
* Experience mentoring junior Program Managers preferred.
* Strong problem solving and critical thinking skills.
* Excellent time management skills and willingness to take responsibilities for meeting goals, objectives, and project deadlines.
* High level of expertise with Microsoft office products; including Microsoft Project.
***SWBC offers\*:***
* Competitive overall compensation package
* Work/Life balance
* Employee engagement activities and recognition awards
* Years of Service awards
* Career enhancement and growth opportunities
* Leadership Academy and Mentor Program
* Continuing education and career certifications
* Variety of healthcare coverage options
* Traditional and Roth 401(k) retirement plans
* Lucrative Wellness Program
* Based upon employee eligibility
**Additional Information**
 SWBC is a Substance\-Free Workplace and requires pre\-employment drug testing.
 Please note, SWBC does not hire tobacco users as allowed by law.
 To learn more about SWBC, visit our website at www.SWBC.com. If interested, please click the appropriate apply button.</t>
        </is>
      </c>
    </row>
    <row r="245">
      <c r="A245" t="inlineStr">
        <is>
          <t>li-4374110511</t>
        </is>
      </c>
      <c r="B245" t="inlineStr">
        <is>
          <t>Program Manager, Competitive Intelligence</t>
        </is>
      </c>
      <c r="C245" t="inlineStr">
        <is>
          <t>Salesforce</t>
        </is>
      </c>
      <c r="D245" t="inlineStr">
        <is>
          <t>linkedin</t>
        </is>
      </c>
      <c r="E245">
        <f>HYPERLINK("https://www.linkedin.com/jobs/view/4374110511", "https://www.linkedin.com/jobs/view/4374110511")</f>
        <v/>
      </c>
      <c r="F245" t="inlineStr"/>
      <c r="G245" t="inlineStr">
        <is>
          <t>Atlanta, GA</t>
        </is>
      </c>
      <c r="H245" t="inlineStr"/>
      <c r="I245" t="inlineStr">
        <is>
          <t>*To get the best candidate experience, please consider applying for a maximum of 3 roles within 12 months to ensure you are not duplicating efforts.*
 Job Category
 Product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**Overview Of The Role**
 The Salesforce Competitive Intelligence (CI) team is seeking a dynamic, organized, and execution\-driven Program Manager to help scale our most critical competitive initiatives across multiple Operating Units (OUs). This individual will serve as the connective tissue across the CI team—designing and operationalizing programs that help Salesforce win against our biggest competitors through coordinated, data\-driven, and repeatable actions.
 This is not a traditional research role. Instead, it’s a high\-impact programs role that turns insights into action—building cross\-OU initiatives, driving consistency in execution, and ensuring our field teams have the competitive strategies and tools they need to win. The ideal candidate thrives in ambiguity, connects dots across complex organizations, and brings a structured approach to driving results at scale.
**Responsibilities**
*Program Strategy \&amp; Execution*
* Design, launch, and operationalize programs that accelerate Salesforce’s competitive motion across multiple OUs. Examples include competitive sales program, win room, enablements.
* Translate complex insights and ideas into scalable, repeatable programs with measurable business impact.
* Drive end\-to\-end program delivery—from design through execution, measurement, and iteration.
*Cross\-Functional Leadership*
* Act as the connective tissue between CI team, Sales Programs, \&amp; Enablement, to ensure alignment and coordinated execution on top competitive priorities.
* Partner across the CI team to identify gaps, prioritize focus areas, and drive unified execution across teams.
* Influence without authority and collaborate across senior stakeholders to drive accountability and impact.
*Project Management and Operations*
* Build structured workback plans and manage project timelines to ensure on\-time delivery across multiple workstreams.
* Drive operational rigor by tracking milestones, dependencies, and risks, and escalating where needed to keep projects on course.
* Maintain clear accountability across teams—ensuring roles, deliverables, and deadlines are understood and met.
* Provide regular updates and performance readouts to leadership, summarizing progress, impact, and next steps.
* Use data to measure program effectiveness, and refine strategies over time.
**Required Skills**
* Program Management / Sales Programs experience
* Fluent in English
* Have strong communication and presentation skills.
* Display strong leadership, networking, relationship\-building and influencing skills.
* Ability to work both independently and in a larger team setting.
* High sense of urgency to respond to critical business questions.
* Curious, analytical, innovative, and wildly creative — with the execution skills to make it happen.
**Education / Experience**
* Must have 3\+ years experience within the distribution org. Knowledge of sales programs \&amp; salesforce reporting preferred.
* BS in Computer Science, Information Management, Business Management, or equivalent work experience.
* Internal understanding of Salesforce’s current data/reporting/governance tools and sales processes are preferred.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t>
        </is>
      </c>
    </row>
    <row r="246">
      <c r="A246" t="inlineStr">
        <is>
          <t>li-4373031027</t>
        </is>
      </c>
      <c r="B246" t="inlineStr">
        <is>
          <t>Program Manager- USC/ Remote</t>
        </is>
      </c>
      <c r="C246" t="inlineStr">
        <is>
          <t>Jobs via Dice</t>
        </is>
      </c>
      <c r="D246" t="inlineStr">
        <is>
          <t>linkedin</t>
        </is>
      </c>
      <c r="E246">
        <f>HYPERLINK("https://www.linkedin.com/jobs/view/4373031027", "https://www.linkedin.com/jobs/view/4373031027")</f>
        <v/>
      </c>
      <c r="F246">
        <f>HYPERLINK("https://click.appcast.io/t/Yt-7rXDamO1RrTMU_tatpCGOdpH6gV1-2z-u3eNSCsk=&amp;urlHash=-lBA", "https://click.appcast.io/t/Yt-7rXDamO1RrTMU_tatpCGOdpH6gV1-2z-u3eNSCsk=&amp;urlHash=-lBA")</f>
        <v/>
      </c>
      <c r="G246" t="inlineStr"/>
      <c r="H246" t="inlineStr"/>
      <c r="I246" t="inlineStr">
        <is>
          <t>Dice is the leading career destination for tech experts at every stage of their careers. Our client, Yakshna Solutions, Inc., is seeking the following. Apply via Dice today!
**Job Title:** 
 Program Manager
**Location:** 
 Washington DC (Onsite)
**Status:** 
 Full\-time
**Yakshna Solutions, Inc., (YSI)** 
 is a CMMI Level 3 assessed, ISO 9001, 20000:1, 27001 certified, woman\-owned small business enterprises, headquartered in Herndon, Virginia, USA. YSI provides professional IT solutions and services to business corporations and government organizations. YSI is committed to serve its business communities as a leading IT vendor providing innovative, quality, and cost\-effective IT business solutions and services.
 YSI offers a competitive benefits package that includes the following: 401(k), health, dental, and vision insurance, Life insurance, short\-term and long\-term disability insurance, paid time off, training, and professional development assistance.
**YSI is seeking a Program Manager. The ideal candidate will be responsible for the following:**
* Manage to assist projects
* Design programs that align with organization goals and mission.
* Responsible for organizing project tasks and reporting daily status.
* Extensive knowledge in department processes.
* Works in complex projects.
**Required Skills And Experience**
* Bachelor's degree in relative field.
* 8 years of experience in Program or Project Management
* Professional Management Professional (PMP) preferred</t>
        </is>
      </c>
    </row>
    <row r="247">
      <c r="A247" t="inlineStr">
        <is>
          <t>li-4372890919</t>
        </is>
      </c>
      <c r="B247" t="inlineStr">
        <is>
          <t>Program Manager</t>
        </is>
      </c>
      <c r="C247" t="inlineStr">
        <is>
          <t>AppleOne Technical Staffing</t>
        </is>
      </c>
      <c r="D247" t="inlineStr">
        <is>
          <t>linkedin</t>
        </is>
      </c>
      <c r="E247">
        <f>HYPERLINK("https://www.linkedin.com/jobs/view/4372890919", "https://www.linkedin.com/jobs/view/4372890919")</f>
        <v/>
      </c>
      <c r="F247" t="inlineStr"/>
      <c r="G247" t="inlineStr">
        <is>
          <t>Minneapolis, MN</t>
        </is>
      </c>
      <c r="H247" t="inlineStr"/>
      <c r="I247" t="inlineStr">
        <is>
          <t>**Water \&amp; Natural Resources Program Manager (Multiple Openings)** 
**Location:** 
 Hybrid / Remote (Minnesota\-based)
**Employment Type:** 
 Direct Hire
**Compensation:** 
 $100,000–$150,000 base salary \+ performance bonus
**Benefits:** 
 Paid time off, health benefits, retirement plan
**About the Opportunity** 
 A growing water and natural resources management consulting firm is hiring
 **multiple Water \&amp; Natural Resources Program Managers** 
 to support expanding public\-sector and environmental programs. These roles focus on
 **program leadership, client partnership, and delivery of complex water resource initiatives** 
 across regulatory compliance, watershed planning, and public\-sector project management.
 This posting represents
 **three similar Program Manager openings** 
 , each with a different program emphasis. Candidates may be aligned to one or more focus areas based on experience.
**Core Responsibilities (All Roles)** 
* Serve as the primary client contact, providing strategic guidance and building long\-term partnerships
* Lead planning and execution of complex programs and projects, including scope, schedule, budget, and deliverables
* Manage and mentor multidisciplinary project teams
* Oversee financial performance, invoicing, and resource allocation
* Identify and mitigate project risks while maintaining quality and regulatory compliance
* Contribute to business development through proposal support and client expansion
* Drive continuous improvement across project delivery and internal processes
**Program Focus Areas (Assigned Based on Experience)** 
 One or more of the following:
**Stormwater \&amp; Environmental Compliance** 
* MS4 program development, TMDL implementation, and NPDES permitting
* NEPA/MEPA documentation and agency coordination
* Stormwater monitoring and audit readiness
**Watershed Planning \&amp; Stakeholder Engagement** 
* One Watershed One Plan (1W1P), SWMP, LWMP, and WRAPS development
* Facilitation of stakeholder groups, advisory committees, and public engagement
* Plan adoption support and funding readiness
**Public\-Sector Project Management Services** 
* Embedded or on\-call project management for municipalities and watershed districts
* Oversight of capital improvement programs and implementation initiatives
* Board, council, and agency presentations on behalf of clients
**Qualifications** 
**Required** 
* Bachelor’s degree in water resources, environmental studies, planning, engineering, landscape architecture, or related field
* 10\+ years of relevant water resources, environmental, planning, or public\-sector project experience
* Proven client\-facing and program leadership experience
* Valid driver’s license and ability to attend off\-site meetings as needed
**Preferred** 
* Experience in the A/E or environmental consulting industry
* Staff and project management experience
* Professional certifications such as PMP, AICP, ENV SP, QEP, CPESC, or similar
* Experience with Deltek Ajera and/or EOS</t>
        </is>
      </c>
    </row>
    <row r="248">
      <c r="A248" t="inlineStr">
        <is>
          <t>li-4374144009</t>
        </is>
      </c>
      <c r="B248" t="inlineStr">
        <is>
          <t>Security Contract Program Manager</t>
        </is>
      </c>
      <c r="C248" t="inlineStr">
        <is>
          <t>BAI Inc - Meeting Client Challenges with Vision and Innovation</t>
        </is>
      </c>
      <c r="D248" t="inlineStr">
        <is>
          <t>linkedin</t>
        </is>
      </c>
      <c r="E248">
        <f>HYPERLINK("https://www.linkedin.com/jobs/view/4374144009", "https://www.linkedin.com/jobs/view/4374144009")</f>
        <v/>
      </c>
      <c r="F248" t="inlineStr"/>
      <c r="G248" t="inlineStr">
        <is>
          <t>Washington, DC</t>
        </is>
      </c>
      <c r="H248" t="inlineStr"/>
      <c r="I248" t="inlineStr">
        <is>
          <t>BAI is currently seeking a
 **Security Contract Program Manager** 
 for a program based at
 **Joint Base Anacostia\-Bolling** 
 . In this role, you will have the opportunity to utilize your existing security experience in managing a team of Security Professionals, as well as gain new skills in a dynamic environment. Read the requirements below to see if this mission critical opportunity is the right fit for you.
**Role:**
* Manage a team of approximately 15 personnel providing administrative security services to a large U.S. Navy Aviation Program at Joint Base Anacostia Bolling (JBAB)
* Provide leadership for security support at multiple locations across the U.S.
* Have CPSO experience necessary to provide leadership to six separate CPSOs serving at different locations
* Assist Government Program Security Officers (PSOs) to ensure the facilities under contract purview are ready for annual inspections
* Implement contract requirements including monitoring of expenditures, ensuring deliverable schedules and directing day\-to\-day customer contract security requirements
* Oversee all security functions for the Program Management Office (PMO) including personnel security, facility physical security, security education and training, security technical assessments, and security policy implementation and management
* Provide day\-to\-day assistance with JADE database entry, giving program indoctrination briefing and debriefings, and conducing annual refresher training
* Assist in writing, review and approval or SCI and SAP Standard Operating Procedures (SOPs), Registry Procedures, and OPSEC Plans for cognizant facilities
* Provide oversight of the Security Registry responsible for classified document control, visit certifications, and media control
 Requirements:
* Proven leadership experience guiding a team of security professionals
* 10 years experience supporting customers with outstanding personnel interaction skills
* Program Management Certification a plus
* Bachelor’s Degree (Masters Degree preferred).
* 10 years’ Special Access Program Experience with DODM 5205\.07 Volumes I\-IV Special Access Program Implementation
* Knowledge of SAP PERSEC, physical security, OPSEC, and SCI security implementation
* Security Certification such as SPED SFPC
* Knowledge of ICD\-705 SCIF construction requirements
* TS/SCI eligible security clearance
 Powered by JazzHR
 1xNgwdSYzm</t>
        </is>
      </c>
    </row>
    <row r="249">
      <c r="A249" t="inlineStr">
        <is>
          <t>li-4372889222</t>
        </is>
      </c>
      <c r="B249" t="inlineStr">
        <is>
          <t>Program Manager</t>
        </is>
      </c>
      <c r="C249" t="inlineStr">
        <is>
          <t>Celestica</t>
        </is>
      </c>
      <c r="D249" t="inlineStr">
        <is>
          <t>linkedin</t>
        </is>
      </c>
      <c r="E249">
        <f>HYPERLINK("https://www.linkedin.com/jobs/view/4372889222", "https://www.linkedin.com/jobs/view/4372889222")</f>
        <v/>
      </c>
      <c r="F249" t="inlineStr"/>
      <c r="G249" t="inlineStr">
        <is>
          <t>California, United States</t>
        </is>
      </c>
      <c r="H249" t="inlineStr"/>
      <c r="I249" t="inlineStr">
        <is>
          <t>**Summary:** 
 Celestica enables the world’s best brands. Through our unrivalled customer\-centric approach, we partner with leading companies in numerous markets to deliver solutions for their most complex challenges. A leader in design, manufacturing, hardware platform and supply chain solutions, Celestica brings global expertise and insight at every stage of product development – from the drawing board to full\-scale production and after\-market services.
 The Customer Program Manager position acts as the primary interface to the customer for the purpose of managing specific programs and projects on behalf of the customer account to achieve the planned revenue and profits. They will manage large hyperscaler customer accounts. The main areas of responsibility are Program Mgmt., Cost and P\&amp;L mgmt., Business Development, Development support, NPI coordination, Customer Satisfaction, Customer Business Processes set up , Communications Mgmt., and performance reporting and planning. The program manager is key team leader for the customer account and coordinates the teams interface with the customer and other internal Celestica groups.
 The preferred candidate will be based in the Bay Area. Travel requirements dependent on candidate location but anticipated to be up to 25%.
**Responsibilities Include:** 
* Acts as the primary interface between the customer and the company for managing specific programs to achieve planned revenue and profits.
* Manages day\-to\-day activities of customer programs to ensure that product deliveries are on time and that projects/programs are on schedule.
* Coordinates and hosts regular program tracking meetings with the customer and internal account team members to ensure ongoing communication
* With guidance from more experienced team members, manages current and planned programs to achieve planned revenue.
* Develops plans to meet commitments and schedules for customers.
* Supports Global Customer Business Unit (GCBU) with contents required for customer communications and business reviews
* Develops action plans to correct out\-of\-plan conditions.
* Communicates frequently with customer to help ensure satisfaction with the company and the products.
* Solicits performance feedback and communicates information to internal teams and departments.
* Receives and resolves customer issues and complaints. Acts as a customer advocate to drive prioritization of projects and responses to problems/issues.
* Manages customer account profitability.
* Participates in forecasting, planning and monitoring of efficiency and execution of account strategies.
* Participates in the pricing/bid preparation process and contract development and management
* Provides performance reporting and analysis for monthly customer performance reviews.
* Plays a key role in developing account sales strategies and in this capacity works directly with GCBU to implement with the customer.
**Knowledge/Skills/Competencies** 
* Relationship Management
* Sales Process and Business Development Management
* Industry, Market \&amp; Technology Knowledge
* Financial and Business Acumen
* Understanding of Data Analytics
* Ability to learn internal IT tools
* Commercial Skills \- Contracts, Financials, Quotations
* High degree of computer literacy, with proficiency in Microsoft Office and Google Workplace applications
* Leadership, communication and teamwork skills, collaboration, conflict resolution, and leading without authority
* Able to lead and navigate cross functional teams in a matrix organization
* Excellent understanding of Celestica capabilities, offerings, sites and key functional teams
**Typical Experience** 
* Nine plus years of relevant experience
**Physical Demands** 
* Duties of this position are performed in a normal office environment
* Duties may require extended periods of sitting and sustained visual concentration on a computer monitor or on numbers and other detailed data
* Repetitive manual movements are frequently required (e.g. data entry, using a computer mouse, using a calculator, etc)
**Typical Education** 
* Bachelor's degree in related field, or consideration of an equivalent combination of education and experience.
**Notes** 
* This job description is not intended to be an exhaustive list of all duties and responsibilities of the position. Employees are held accountable for all duties of the job. Job duties and the % of time identified for any function are subject to change at any time.
**Salary** 
* 123K \- 170K. The salary range described in this posting is an estimate by the Company, and may change based on several factors, including by not limited to a change in the duties covered by the job posting, or the credentials, experience or geographic jurisdiction of the successful candidate.
 Celestica is an Equal Opportunity Employer. All qualified applicants will receive consideration for employment without regard to race, color, religion, sex, sexual orientation, gender identity, national origin, age, pregnancy, genetic information, disability, status as a protected veteran, or any other protected category under applicable federal, state, and local laws.
 This policy applies to hiring, promotion, discharge, pay, fringe benefits, job training, classification, referral and other aspects of employment and also states that retaliation against a person who files a charge of discrimination, participates in a discrimination proceeding, or otherwise opposes an unlawful employment practice will not be tolerated. All information will be kept confidential according to EEO guidelines. Celestica is an E\-Verify employer.
 Location: This is a remote position, with travel as necessary. We are open to considering candidates close to any of our US locations in Massachusetts, Pennsylvania, Minnesota, Texas, Arizona, Oregon or California as well as locations near major airports such as the Northeast, Southeast, Midwest and Pacific Coast.
**COMPANY OVERVIEW:** 
 Celestica (NYSE, TSX: CLS) enables the world’s best brands. Through our recognized customer\-centric approach, we partner with leading companies in Aerospace and Defense, Communications, Enterprise, HealthTech, Industrial, Capital Equipment and Energy to deliver solutions for their most complex challenges. As a leader in design, manufacturing, hardware platform and supply chain solutions, Celestica brings global expertise and insight at every stage of product development – from drawing board to full\-scale production and after\-market services for products from advanced medical devices, to highly engineered aviation systems, to next\-generation hardware platform solutions for the Cloud. Headquartered in Toronto, with talented teams spanning 40\+ locations in 13 countries across the Americas, Europe and Asia, we imagine, develop and deliver a better future with our customers.
 Celestica would like to thank all applicants, however, only qualified applicants will be contacted.
 Celestica does not accept unsolicited resumes from recruitment agencies or fee based recruitment services.</t>
        </is>
      </c>
    </row>
    <row r="250">
      <c r="A250" t="inlineStr">
        <is>
          <t>li-4373977060</t>
        </is>
      </c>
      <c r="B250" t="inlineStr">
        <is>
          <t>Senior Customer Operations / Program Manager</t>
        </is>
      </c>
      <c r="C250" t="inlineStr">
        <is>
          <t>Lensa</t>
        </is>
      </c>
      <c r="D250" t="inlineStr">
        <is>
          <t>linkedin</t>
        </is>
      </c>
      <c r="E250">
        <f>HYPERLINK("https://www.linkedin.com/jobs/view/4373977060", "https://www.linkedin.com/jobs/view/4373977060")</f>
        <v/>
      </c>
      <c r="F250">
        <f>HYPERLINK("https://lensa.com/cgw/c2b006191d544a188a50cbfdfe73ebf3tjo1?jpsi=directemployers_no_redirect&amp;publisher_preference=easier_apply&amp;utm_campaign=Sales%20Representatives%2C%20Services&amp;utm_medium=slot&amp;utm_source=linkedin&amp;utm_term=jse&amp;urlHash=NdI4", "https://lensa.com/cgw/c2b006191d544a188a50cbfdfe73ebf3tjo1?jpsi=directemployers_no_redirect&amp;publisher_preference=easier_apply&amp;utm_campaign=Sales%20Representatives%2C%20Services&amp;utm_medium=slot&amp;utm_source=linkedin&amp;utm_term=jse&amp;urlHash=NdI4")</f>
        <v/>
      </c>
      <c r="G250" t="inlineStr">
        <is>
          <t>Fort Worth, TX</t>
        </is>
      </c>
      <c r="H250" t="inlineStr"/>
      <c r="I25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GE Aerospace. Clicking "Apply Now" or "Read more" on Lensa redirects you to the job board/employer site. Any information collected there is subject to their terms and privacy notice.
**Job Description Summary**
 The Customer Operations Manager (COM) will be responsible for the successful fulfilment of the LEAP shop visits within the OWS site at Dallas\-Fort Worth, Texas, as it relates to contract requirements including, but not limited to quality, cost and turn\-around time (TAT). This role will be tasked with commercial and operational responsibility for assigned customers.
 Includes activities such as processing transactions, managing processes, material management, services contract execution, operations, and support of shop functions in engine repair \&amp; redelivery. Impacts quality, efficiency and effectiveness of the local team. Has significant input into priorities. Guided by professional practices and policies that are shaped by the role. The role has moderate autonomy, requiring high levels of operational judgment.
**Job Description**
**Roles and Responsibilities**
* Responsible for the daily coordination of fulfillment issues related to Customer Service Agreements, Time and Material, Component Repair and Accessory shops. Work closely with the shop to resolve issues, represent customers in production meetings, and communicate status to the customer. Review business options for impacts on profit, for compliance with contracts, policies, and procedures, and for innovative ways to achieve customer satisfaction. Complete customer and internal paperwork. Coordinate shop and/or program reviews and customer visits at the site as necessary.
* Developing specialized knowledge in their discipline. Serves as best practice/quality resource. Has awareness of latest technical developments in own area. Contributes towards strategy and policy development, and ensure delivery within area of responsibility.
* Has in\-depth knowledge of best practices and how own area integrates with others; has working knowledge of competition and the factors that differentiate them in the market
* Uses judgment to make decisions or solve moderately complex tasks or problems in areas of operational/product management, manufacturing, technology or engineering. Takes new perspective on existing solutions. Uses technical experience and expertise for data analysis to support recommendations. Uses multiple internal and limited external sources outside of own function to arrive at decisions.
* Acts as a resource for colleagues with less experience. May lead small projects with moderate risks and resource requirements. Explains difficult or sensitive information; works to build consensus. Developing persuasion skills required to influence others on topics within field.
**Required Qualifications**
* Bachelor''s degree from an accredited university or college (or a high school diploma / GED
* At least 5 years of experience in manufacturing / engineering / operational environment, preferably in Aerospace industry
**Desired Characteristics**
* Strong oral and written communication skills.
* Strong interpersonal and leadership skills. Demonstrated ability to analyze and resolve problems.
* Demonstrated ability to lead programs / projects.
* Ability to document, plan, market, and execute programs.
* Established project management skills.
* Humble: respectful, receptive, agile, eager to learn
* Transparent: shares critical information, speaks with candor, contributes constructively
* Focused: quick learner, strategically prioritizes work, committed
* Leadership ability: strong communicator, decision\-maker, collaborative
* Problem solver: analytical\-minded, challenges existing processes, critical thinker
* Relevant experience in the services and customer operations.
* Experience in Aviation or with Gas Turbine will be an added advantage
* Able to read/understand services contracts in order to execute them per the requirements .
 GE Aerospace offers a great work environment, professional development, challenging careers, and competitive compensation. GE Aerospace is an Equal Opportunity Employer (https://www.eeoc.gov/sites/default/files/2022\-10/22\-088\_EEOC\_KnowYourRights\_10\_20\.pdf) . Employment decisions are made without regard to race, color, religion, national or ethnic origin, sex, sexual orientation, gender identity or expression, age, disability, protected veteran status or other characteristics protected by law.
 GE Aerospace will only employ those who are legally authorized to work in the United States for this opening. Any offer of employment is conditioned upon the successful completion of a drug screen (as applicable).
**Relocation Assistance Provided:** 
 Yes
 GE Aerospace is an Equal Opportunity Employer. Employment decisions are made without regard to race, color, religion, national or ethnic origin, sex, sexual orientation, gender identity or expression, age, disability, protected veteran status or other characteristics protected by law.
 If you have questions about this posting, please contact support@lensa.com</t>
        </is>
      </c>
    </row>
    <row r="251">
      <c r="A251" t="inlineStr">
        <is>
          <t>li-4371973557</t>
        </is>
      </c>
      <c r="B251" t="inlineStr">
        <is>
          <t>Program Manager of Customer Operations (Lab Instruments)</t>
        </is>
      </c>
      <c r="C251" t="inlineStr">
        <is>
          <t>Thermo Fisher Scientific</t>
        </is>
      </c>
      <c r="D251" t="inlineStr">
        <is>
          <t>linkedin</t>
        </is>
      </c>
      <c r="E251">
        <f>HYPERLINK("https://www.linkedin.com/jobs/view/4371973557", "https://www.linkedin.com/jobs/view/4371973557")</f>
        <v/>
      </c>
      <c r="F251" t="inlineStr"/>
      <c r="G251" t="inlineStr">
        <is>
          <t>Massachusetts, United States</t>
        </is>
      </c>
      <c r="H251" t="inlineStr"/>
      <c r="I251" t="inlineStr">
        <is>
          <t>**Work Schedule**
 Standard (Mon\-Fri)
**Environmental Conditions**
 Adherence to all Good Manufacturing Practices (GMP) Safety Standards, Office, Warehouse
 The Program Manager of Customer Operations (Lab Instruments) is a central role in Thermo Fisher Scientific's Asset Management Services. In this role, you will act as the account manager for a Strategic Account and will handle client relationships, ensuring customer satisfaction, and driving financial performance. Additionally, the Customer Site Manager works closely with internal teams, including customer service, technical support, and Engineering, to ensure the timely and effective delivery of ULS services.
**Territory/Travel:**
 The ideal candidate will be based in the US Northeast region, with strong preference for the Andover/Cambridge, MA area. There is regular travel (up to 50%) to customer sites in Andover/Cambridge, MA; Groton, CT; St Louis, MO; Pearl River, NY; and other select locations around the U.S.
**Key Tasks and Responsibilities:**
 In this role you will be leading a team of Site Supervisors and other team members focused on driving successful operations in all aspects of the Asset Management activities:
* Accountable for the delivery of a successful Asset Management Services program ensuring that operational metrics and SLAs meet or exceed customer expectations according to the statement of work.
* Develop and maintain positive and professional working relationships with clients, service suppliers and Thermo Fisher staff in a dynamic, cross\-functional network of people with different backgrounds and areas of expertise.
* Responsible for compliance and performance of service suppliers ensuring customer requirements are met.
* Drive issue and complaint resolution, removing roadblocks and barriers to execution until effectively resolved.
* Accountable for the financial performance and annual targets for revenues and profitability are met or exceeded.
 Team management
* Establish effective leadership and be accountable to train and develop direct reports.
* Ensures team's safety and well\-being living up to high ethical standards and in compliance with laws and regulations.
 What does a successful profile look like?
**Minimum Requirements**
* Bachelor's degree or a combination of equivalent experience and education in a related field.
* 7\+ years of experience in a customer\-centric leadership role. Preferably in one or more of the following areas: Pharma, Biotech, Medical\- and/or Chemical Laboratories, Healthcare or Facilities.
* 5\+ years of direct people management experience with ability to influence and communicate effectively.
* A combination of education and relevant industry experience will be considered.
* Previous demonstrated experience with customer\-facing role. Proficiency in driving customer allegiance and growing existing customer base.
* Build collaborative relationship with business partners across different levels, functions and regions with high motivation, drive and positive demeanor.
* Embrace a continuous improvement mentality! Be part of the solution!
* Travel domestically up to 50%. Occasional international travel may be required.
 Thermo Fisher Scientific is an EEO/Affirmative Action Employer and does not discriminate on the basis of race, color, religion, sex, sexual orientation, gender identity, national origin, protected veteran status, disability or any other legally protected status.
**Compensation And Benefits**
 The salary range estimated for this position based in Massachusetts is $103,100\.00–$154,700\.00\.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252">
      <c r="A252" t="inlineStr">
        <is>
          <t>li-4374111782</t>
        </is>
      </c>
      <c r="B252" t="inlineStr">
        <is>
          <t>Program Manager, Network Expansion &amp; Optimization</t>
        </is>
      </c>
      <c r="C252" t="inlineStr">
        <is>
          <t>Spreetail</t>
        </is>
      </c>
      <c r="D252" t="inlineStr">
        <is>
          <t>linkedin</t>
        </is>
      </c>
      <c r="E252">
        <f>HYPERLINK("https://www.linkedin.com/jobs/view/4374111782", "https://www.linkedin.com/jobs/view/4374111782")</f>
        <v/>
      </c>
      <c r="F252" t="inlineStr"/>
      <c r="G252" t="inlineStr">
        <is>
          <t>Greenwood, IN</t>
        </is>
      </c>
      <c r="H252" t="inlineStr"/>
      <c r="I252" t="inlineStr">
        <is>
          <t>Spreetail propels brands to increase their ecommerce market share across the globe while improving their operational costs. Learn how we are building one of the fastest\-growing ecommerce companies in history: www.spreetail.com .
**Work Your Way**
 At Spreetail, we believe in empowering our employees to work in the way that suits them best through our Work Your Way approach. Each team member has the flexibility to choose where they work most effectively each week—whether that's from home, a coffee shop, or the office. While flexibility is key, we also value the power of in\-person connection. That’s why we bring our corporate team together in Lincoln each quarter for a week of intentional collaboration, team building, community engagement, and our All\-Hands meeting. It’s the best of both worlds: the freedom to work your way, with meaningful opportunities to connect and grow together. Please scroll to the bottom of the job posting to confirm that your state qualifies for the Work Your Way program.
 We are seeking a data\-driven
 **Industrial Engineer / Program Manage** 
 r to redefine the limits of our operational efficiency. In this role, you won’t just manage space—you will engineer it. From scoping multi\-million\-dollar automation projects to utilizing CAD and Power BI for layout overhauls, you will be the architect of a high\-velocity, tech\-enabled warehouse network. If you have a passion for maximizing density and a track record of deploying network\-wide process improvements, we want to hear from you.
**How You Will Achieve Success**
* FC Launch \&amp; Network Expansion: Oversee facility construction and equipment installation, ensuring adherence to timelines, budgets, and quality standards in partnership with external contractors and internal stakeholders.
* Storage Capacity \&amp; Utilization: Evaluate and implement improvements to rack and bin elevations, ensuring optimal use of vertical and horizontal storage spaces while maintaining safety and operational standards.
* Operational Design: Utilize CAD tools and data analytics to redesign warehouse layouts, focusing on efficient space utilization and alignment with inventory turnover rates and operational demands.
* Performance Monitoring \&amp; Reporting: Develop and maintain performance metrics dashboards using tools like SQL and Power BI to track the impact of optimization initiatives and identify further opportunities for improvement.
* Project Management: Manage and coordinate projects involving third\-party vendors and contractors, ensuring all deliverables are completed on time and within budget. Take ownership of project outcomes by overseeing cross\-functional collaboration and effectively managing resources to meet project goals.
**What Experiences Will Help You In This Role**
* Education: Background in Industrial Engineering preferred.
* Experience: 1\+ years in supply chain, industrial engineering, network planning, logistics, or project management (2\+ years preferred).
* Project Leadership: Proven track record managing multi\-million\-dollar capital projects and deploying network\-wide process improvements.
* Technical Skills: Proficiency in warehouse design software (e.g., SketchUp), alongside strong SQL and PowerBI skills for data analysis and reporting.
 $60,000 \- $100,000 a year
 Our compensation reflects the cost of labor across several US geographic markets. The base pay for this position ranges from 60,000/year to $100,000/year. Pay is based on a number of factors including geographic market location and may vary depending on job\-related knowledge, skills, and experience. Spreetail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https://client.acrisure.com/spreetail/2025/homepage . This position will remain posted until filled. Applicants should apply via our external career site.
 In an effort to Make Spreetail Better, we hire people that are aligned with our values and are passionate about pursuing ecommerce excellence. We believe the right person can learn what is needed to succeed in their role, so we encourage job applicants to apply even if you don't meet all the qualifications listed. We are looking for diverse backgrounds and perspectives, so we don’t require college degrees and welcome non\-linear career paths. If this role highlights your experience and gets you excited – please apply!
**What You Can Expect From Us**
* We provide the flexibility to take care of yourself. Spreetail operates in a work culture that promotes results and encourages taking time off when needed. In addition to a generous vacation policy, we also offer paid time\-off for your wedding week, paid parental leave and support for parents of growing families.
* We celebrate accomplishments. Each year at Spreetail is a milestone with the opportunity to receive special gifts, swag store credit, or donations to a nonprofit of your choice. We also recognize people pursuing impacts with Spreetail Spotlight Awards.
* We care about your Health \&amp; Wellness. Spreetail works hard to enhance the employee experience through benefit programs and perks that provide meaningful support. We offer affordable medical, dental and vision plans with coast\-to\-coast coverage. We also provide free telehealth and on\-demand mental health resources. Learn more about our benefits \&amp; perks package .
* We create the opportunity to revolutionize your community. We encourage Spreetailers to give back and make a social impact, and we offer paid time off to do it.
 Spreetail is committed to a diverse and inclusive workplace. Spreetail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email \[email protected] .
 To qualify for
 *Work Your Way* 
 , eligible applicants must reside in one of the following states:
 Alabama, Alaska, Arizona, Arkansas, Colorado, Delaware, District of Columbia, Florida, Georgia, Hawaii, Idaho, Illinois, Indiana, Iowa, Kansas, Kentucky, Louisiana, Maine, Massachusetts, Mississippi, Montana, Nebraska, Nevada, New Hampshire, New Jersey, New Mexico, North Dakota, Ohio, Pennsylvania, Rhode Island, South Dakota, Tennessee, Texas, Utah, Vermont, Washington, West Virginia, or Wyoming.
**Please be aware of scammers.** 
 Spreetail will only contact you through Lever or the spreetail.com domain. Spreetail will never ask candidates for money during the recruitment process. Please reach out to \[email protected] directly if you have any concerns.
 **Emails from @spreetailjobs.com are fraudulent.**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53">
      <c r="A253" t="inlineStr">
        <is>
          <t>li-4373014355</t>
        </is>
      </c>
      <c r="B253" t="inlineStr">
        <is>
          <t>Program Manager Ecommerce Logistics</t>
        </is>
      </c>
      <c r="C253" t="inlineStr">
        <is>
          <t>Jobs via Dice</t>
        </is>
      </c>
      <c r="D253" t="inlineStr">
        <is>
          <t>linkedin</t>
        </is>
      </c>
      <c r="E253">
        <f>HYPERLINK("https://www.linkedin.com/jobs/view/4373014355", "https://www.linkedin.com/jobs/view/4373014355")</f>
        <v/>
      </c>
      <c r="F253">
        <f>HYPERLINK("https://click.appcast.io/t/alZgHT73p3bnwydCgRCLBmbKfTP1DcaalzzwRO4F5WY=&amp;urlHash=2AHg", "https://click.appcast.io/t/alZgHT73p3bnwydCgRCLBmbKfTP1DcaalzzwRO4F5WY=&amp;urlHash=2AHg")</f>
        <v/>
      </c>
      <c r="G253" t="inlineStr">
        <is>
          <t>San Francisco, CA</t>
        </is>
      </c>
      <c r="H253" t="inlineStr"/>
      <c r="I253" t="inlineStr">
        <is>
          <t>Dice is the leading career destination for tech experts at every stage of their careers. Our client, Photon interactive UK limited, is seeking the following. Apply via Dice today!
**Program Manager Ecommerce Logistics
 Locations: SFO, CA / Rocklin, CA / San Jose, CA / Memphis, TN**
**Requirements:**
* Recent retail experience is a must.
* Prefer candidates with deep experience in Logistics, Manufacturing, Final mile and related technologies
* Strong Planning skills and not just technical experience in these areas
**Detailed JD:**
 Uses established project management methodologies/tools to develop and execute Technology project plans.
**Specific Responsibilities**
 Performs all of the senior project manager duties plus:
 Using established project management methodology/tools, develops project plans for highly complex projects of strategic importance which include work plans, schedules, budgets, needed skills and resources, project scope and deliverable/responsibility matrices
 Performs variance analysis (including schedule, costs vs. budgets, resources and changes to scope). Makes trade\-offs with sponsor, as necessary
 Performs project risk assessment quantification, response planning and control
 Communicates risks to clients and/or IT management, project sponsors \&amp; vendors
 Develops and executes mitigation strategies
 Validates client and functional requirements for sponsor
 Determines the impact on current/existing technologies and communicates impact to clients, sponsor, IT management and vendor
 Makes recommendations on existing application products that could address client requirements
 Evaluates alternative operational efficiencies /business process change
 Makes presentations to IT management, sponsors, and/or vendors
 Accountable for pre and post implementation plans
 Provides work direction to project managers
 Works on complex issues where analysis of situations or data requires an in\-depth evaluation of variable factors
 Exercises strong judgment in selecting methods, techniques and evaluation criteria for obtaining results
 Orchestrates and recommends Program strategy
 Able to discern and clearly articulate how program decisions impact the big picture and vice versa
 Frequently interacts with customers, and/or functional peer group IC'S/managers, normally involving matters between functional areas or internal customers
 May interact with business leadership at all levels
 Networks with key contacts outside own area of expertise
 Coaches, mentors, and trains as appropriate
 Contributes to performance appraisals for team members
 Assists in conducting team building/development activities
 Receives limited instruction in determining methods and procedures on new assignments, and coordinates activities of other associates in group</t>
        </is>
      </c>
    </row>
    <row r="254">
      <c r="A254" t="inlineStr">
        <is>
          <t>li-4372879530</t>
        </is>
      </c>
      <c r="B254" t="inlineStr">
        <is>
          <t>Program Manager - Residential IDD Services (Waiver Focused)</t>
        </is>
      </c>
      <c r="C254" t="inlineStr">
        <is>
          <t>Gray Residential Services</t>
        </is>
      </c>
      <c r="D254" t="inlineStr">
        <is>
          <t>linkedin</t>
        </is>
      </c>
      <c r="E254">
        <f>HYPERLINK("https://www.linkedin.com/jobs/view/4372879530", "https://www.linkedin.com/jobs/view/4372879530")</f>
        <v/>
      </c>
      <c r="F254" t="inlineStr"/>
      <c r="G254" t="inlineStr">
        <is>
          <t>Indianapolis, IN</t>
        </is>
      </c>
      <c r="H254" t="inlineStr"/>
      <c r="I254" t="inlineStr">
        <is>
          <t>**IMMEDIATE HIRE: CALL OR TEXT "PM" TO 812\-530\-6901 TO SCHEDULE YOUR INTERVIEW TODAY!** 
***Join a premier, high\-standard agency where your leadership is valued and supported. We are looking for a powerhouse "Go\-Getter" to join our elite team!***
 Gray Residential Services is seeking an elite "Go\-Getter"
 **Program Manager** 
 to lead residential operations across Indianapolis, Noblesville, and Greenwood. This is not a "desk job"—we are looking for a visible leader who ensures our clients receive the highest quality person\-centered care while maintaining rigorous state compliance. You will be the primary bridge between direct care staff, families, and state consultants. You must be a master of Indiana Medicaid Waiver compliance while possessing the grit to work directly alongside your team in the field.
**CORE LEADERSHIP STANDARDS** 
* **Field\-First Mentality:** 
 You must work a
 **minimum of 2 full shifts per week in the field as a DSP** 
 . This ensures you are personally connected to client needs and staff performance.
* **On\-Call Accountability:** 
 You are the primary point of contact for your sites. You must have the flexibility to handle after\-hours staffing crises or clinical emergencies.
* **Proactive Initiative:** 
 We need a leader who identifies a problem during a site audit and fixes it immediately before it reaches the Director level.
**FULL RESPONSIBILITIES** 
**1\. Operational Leadership \&amp; Excellence** 
* **Caseload Management:** 
 Oversee all daily operations for residential sites, ensuring 24/7 coverage, staffing stability, and a "Zero\-Gap" master schedule.
* **Mentorship:** 
 Directly mentor Team Leads and DSPs to follow agency policies and procedures.
* **Site Environment:** 
 Conduct weekly site visits to ensure total site cleanliness and that the home is "audit\-ready" at all times.
**2\. Regulatory Compliance \&amp; Medicaid Auditing** 
* **Zero\-Deficiency Standards:** 
 Ensure 100% adherence to
 **460 IAC 6 (Indiana Medicaid Waiver)** 
 and DDRS guidelines. Prepare for and lead state audits/surveys.
* **Clinical Auditing:** 
 Conduct weekly site visits to audit
 **Paper Medication Administration Records (MARs)** 
 , Financial Folders, and Daily Service Records (DSRs) with 100% precision.
* **Administrative Reporting:** 
 Submit weekly accountability checklists to the Director. Audit all staff timecards daily and ensure all monthly site reports are submitted by the 12th of each month.
**3\. Person\-Centered Planning \&amp; Clinical Advocacy** 
* **Meeting Leadership:** 
 Facilitate all IST and Quarterly meetings. Act as the professional liaison between the agency, families, medical providers, and state consultants.
* **Goal Tracking:** 
 Translate PCISP goals into actionable daily data tracking for DSP staff, ensuring goals are tracked with clinical precision.
**4\. Staff Accountability \&amp; Performance Management** 
* **Performance Tracking:** 
 You are directly responsible for the performance of your DSPs. You must document
 **all** 
 staff interactions (call\-offs, tardies, successes, or errors) in the Provide system.
* **Disciplinary Action:** 
 Issue formal
 **Letters of Correction (LOCs)** 
 and conduct immediate on\-site retraining for any documentation errors or performance issues.
**5\. Financial Management** 
* **Financial Integrity:** 
 Manage house budgets and client personal funds. Oversee checkbook balancing and financial summaries with 100% transparency and zero errors.
**QUALIFICATIONS** 
* **Experience:** 
 Minimum 2\-3 years of management experience in an Indiana Waiver/Residential setting is
 **mandatory** 
 .
* **Education:** 
 BS in Psychology, Human Services, or related field preferred.
* **Mindset:** 
 A "Go\-Getter" who takes initiative and works independently.
* **Initiative:** 
 Proven track record of taking initiative without constant supervision.
* **Technical:** 
 Proficiency in Microsoft Office, SharePoint, and electronic documentation systems.
* **Mobility:** 
 Valid DL, active insurance, and a reliable vehicle for travel between Indy, Noblesville, and Greenwood.
 Company Description
 Gray Residential Services is a premier provider of residential support for individuals with intellectual and developmental disabilities throughout Central Indiana. We operate with a clear mission: Quality Service with Vision. Unlike "big box" agencies, we focus on high\-acuity clinical excellence and person\-centered advocacy. We pride ourselves on a "Zero\-Error" standard of compliance and a culture of professional respect. At Gray Residential, we don't just provide care; we provide a high\-standard living environment where clinical accuracy, community integration, and the dignity of our residents are the top priorities. We are a "team\-first" organization where leadership is visible, management is supportive, and every employee is treated as a professional healthcare partner.</t>
        </is>
      </c>
    </row>
    <row r="255">
      <c r="A255" t="inlineStr">
        <is>
          <t>li-4374111742</t>
        </is>
      </c>
      <c r="B255" t="inlineStr">
        <is>
          <t>Technical Program Manager - HERCULES</t>
        </is>
      </c>
      <c r="C255" t="inlineStr">
        <is>
          <t>Helion</t>
        </is>
      </c>
      <c r="D255" t="inlineStr">
        <is>
          <t>linkedin</t>
        </is>
      </c>
      <c r="E255">
        <f>HYPERLINK("https://www.linkedin.com/jobs/view/4374111742", "https://www.linkedin.com/jobs/view/4374111742")</f>
        <v/>
      </c>
      <c r="F255">
        <f>HYPERLINK("https://jobs.ashbyhq.com/helion/dbf521f9-711d-42b7-9060-57c1c755fdaa?utm_source=nDRVoAzkJb&amp;urlHash=-gGO", "https://jobs.ashbyhq.com/helion/dbf521f9-711d-42b7-9060-57c1c755fdaa?utm_source=nDRVoAzkJb&amp;urlHash=-gGO")</f>
        <v/>
      </c>
      <c r="G255" t="inlineStr">
        <is>
          <t>Everett, WA</t>
        </is>
      </c>
      <c r="H255" t="inlineStr"/>
      <c r="I255" t="inlineStr">
        <is>
          <t>**About Helion**
 We are a fusion power company based in Everett, WA, with the mission to build the world's first fusion power plant, enabling a future with unlimited clean electricity. Our vision is a world with clean, reliable, and affordable energy for everyone.
 Since Helion's founding in 2013, we have raised over $1 billion from long\-time investors such as Sam Altman, Mithril, and Capricorn Investment Group as well as new investors SoftBank and Lightspeed to propel us forward. Our last prototype, Trenta, completed 10,000 high\-power pulses and reached plasma temperatures of 100 million degrees Celsius (9 keV). We are now operating Polaris, our next prototype on the path to the world's first fusion power plant.
 This is a pivotal time to join Helion. You will tackle real\-world challenges with a team that prizes urgency, rigor, ownership, and a commitment to delivering hard truths – values essential to achieving what no one has before. Together, we will change the future of energy, because the world can't wait.
**What You Will Be Doing**
 You will be the Technical Project Manager for projects on the Nuclear Science team, including
 *HERCULES – the Helion External Research Collaboration for Universities, Labs, and Enterprise Scientists* 
 . Through HERCULES, Helion will fund impactful research at universities, national labs, and research companies, totaling over $20M over three years in a phased approach. As administrator for this program, you will review proposals, work with Helion's business teams and the awardee to go from proposal to funded project, then guide the technical work in partnership with internal PIs through the lifecycle of the project. Your superpower will be technical breadth, ensuring scientific alignment with Helion's objectives. This is an onsite role that reports directly to Director of Nuclear Science at our Everett, WA office.
**You Will**
* Lead the HERCULES program, totaling over $20M over three years
* Work on the cutting edge of research, contributing to the breadth of Helion's science and R\&amp;D spanning nuclear, materials, fuel, and pulsed power science. You will partner with internal PIs across all of Helion's technical teams
* Evaluate proposal submissions, quickly navigate contracts, disperse funds to research partners, guide technical work, and ensure on\-track deliverables
* Communicate externally to potential partners to advertise the program, and internally to leaders and executives on progress and impact. You will be the bridge between Helion leadership, PIs, and business units, and those of our partners
* Teach our partners how to move fast and accelerate. You will find their largest blockers – supply chain, legal, and technical and solve them
* Jump in and ensure the delivery of internal Nuclear Science projects in parallel to external projects
**Required Skills**
* Research Experience: you have a PhD in science or engineering, or equivalent experience delivering impactful research through the scientific lifecycle in an academic or national lab setting
* Technical breadth: as the leader of this program, you have the technical skillset to understand projects spanning nuclear science, materials science, chemical engineering, experimental and computational plasma physics, and electrical engineering (pulsed power). This will be demonstrated by the delivery of multidisciplinary projects and/or publications spanning multiple discipline
* Communication: you can talk to scientists and business executives. You can condense information into short memos, understand key information from technical reports, and communicate business value to leaders and executives. For any project, you can always explain the “why” and how it connects to the organization's mission. This will be demonstrated via presentations at program review meetings and/or program review reports
* Project Management: you have experience managing multi\-year budgets totaling over $1M, regularly reporting progress to stakeholders, driving schedule, and accelerating projects. You have managed multiple projects, keeping an eye on both the big picture and the details
* Proven delivery: you have brought a product from technological readiness level (TRL) 3 to TRL 6 on an accelerated timeline
**Benefits**
 Our total compensation package includes benefits, including but not limited to:
* Medical, Dental, and Vision plans for employees and their families
* 31 Days of PTO (21 vacation days and 10 sick days)
* 10 Paid holidays, plus company\-wide winter break
* Up to 5% employer 401(k) match
* Short term disability, long term disability, and life insurance
* Paid parental leave and support (up to 16 weeks)
* Annual wellness stipend
*Helion is an equal opportunity employer and value diversity at our company. We do not discriminate based on race, religion, color, national origin, gender, sexual orientation, age, marital status, veteran status, or disability status. If you need assistance or an accommodation during the interview process, please let us know.*</t>
        </is>
      </c>
    </row>
    <row r="256">
      <c r="A256" t="inlineStr">
        <is>
          <t>li-4374137483</t>
        </is>
      </c>
      <c r="B256" t="inlineStr">
        <is>
          <t>Senior Program Manager</t>
        </is>
      </c>
      <c r="C256" t="inlineStr">
        <is>
          <t>Moog Inc.</t>
        </is>
      </c>
      <c r="D256" t="inlineStr">
        <is>
          <t>linkedin</t>
        </is>
      </c>
      <c r="E256">
        <f>HYPERLINK("https://www.linkedin.com/jobs/view/4374137483", "https://www.linkedin.com/jobs/view/4374137483")</f>
        <v/>
      </c>
      <c r="F256" t="inlineStr"/>
      <c r="G256" t="inlineStr">
        <is>
          <t>Buffalo, NY</t>
        </is>
      </c>
      <c r="H256" t="inlineStr"/>
      <c r="I256" t="inlineStr">
        <is>
          <t>Moog is a performance culture that empowers people to achieve great things. Our people enjoy solving interesting technical challenges in a culture where everyone trusts each other to do the right thing. For you, working with us can mean deeper job satisfaction, better rewards, and a great quality of life inside and outside of work.
**Job Title**
 Senior Program Manager
**Reporting To**
 Manager, Sctr Business Execution
**Work Schedule**
 Onsite – Buffalo, NY
**Moog Space and Defense Group** 
 is seeking a
 **Senior Program Manager** 
 in our
 **Missile Systems Business Unit** 
 to support our growing presence in the global defense market. This individual will play a pivotal role in guiding programs through all phases of their lifecycle, including design and development, Low\-Rate Initial Production (LRIP), and transition to full\-rate production.
 The ideal candidate will be a self\-driven professional with exceptional communication skills, a strong sense of initiative, and a proven ability to lead projects. They will embody the culture and values that are core to Moog’s Defense Sector, contributing both technically and ethically to the success of the organization.
 This position is based onsite at our East Aurora, NY, Plant 20 facility, and offers the opportunity to make a meaningful impact in a dynamic and expanding business environment.
**Senior Program Manager**
 he Senior Program Manager is responsible for overseeing multiple production or development initiatives, typically valued between $1–$12 million. This role encompasses developing comprehensive plans for each assigned program and directing execution through Moog’s functional departments to ensure fulfillment of contractual requirements, as well as achievement of performance and profitability objectives. Serving as the primary point of contact for the customer, the Senior Program Manager manages all program\-related communications, delivers required reports to both the client and Moog leadership, and coordinates internal updates to ensure alignment and transparency across the organization.
**As a Senior Program Manager, you will…**
* Develop program plans and schedules to ensure coordination between all program elements. Monitor the status of cost, schedule, and task completion to ensure compliance with program plans.
* Coordinate with functional management to ensure the assignment of program resources.
* Conduct day‑to‑day communications with the customer to resolve outstanding issues in a timely manner.
* Coordinate and manage all program activities to ensure compliance with contract requirements.
* Plan, coordinate and manage the preparation of presentation materials for internal and customer meetings and reviews. Manage the conduct of such meetings and reviews.
* Prepare regular status reports, for management and the customer, which provide visibility for program issues and risks.
* Assist in the preparation of proposals and change orders, and support fact\-­finding and negotiations to ensure completeness from a program management viewpoint.
* Travel up to 10%
**Here’s what you’ll need to bring with you:**
* Bachelor’s degree in a business or technical field, preferably Engineering. Master’s in mechanical engineering highly preferred.
* 5 years of prior experience in engineering, supply chain, or operations or similar in the manufacturing of products for the aerospace or defense industries or other highly engineered manufacturing environments.
* Prior experience as a program or project engineer for multiple missile systems programs.
* Lead, organize, and influence people through outstanding communication and facilitation skills; all while demonstrating strong awareness of emotional intelligence.
* Ability to efficiently present program information to customers and internal management; ability to navigate high pressure situations.
* Proficiency with MS Project required.
* Experience managing multiple programs simultaneously preferred.
* Experience managing Development Programs is a plus.
* Knowledge of project management tools including Earned Value Management is a plus.
* Experience working with DoD customers; knowledge of DoD contractual terms, conditions and requirements a plus.
* PMI PMP certification is a plus.
**How We Care For You**
* Financial Rewards: great compensation package, annual profit sharing, matching 401k and the ability to participate in Employee Stock Purchase Plan, Flexible Spending and Health Savings Accounts
* Work/Life Balance: Flexible paid time off, holidays and parental leave program, relocation assistance
* Health \&amp; Welfare: Comprehensive insurance coverage including medical, dental, vision, life, disability, onsite wellness center, pharmacy and vision center, Employee Assistance Plan (“EAP”) and other supplemental benefit coverages
* Professional Skills Development: Tuition Assistance, mentorship and coaching opportunities, leadership development and other personal growth programs
* Collaborative and Welcoming Workplace: Inclusive culture rooted in our values, enhanced by Employee Resource Groups, and team\-building activities.
* Nature trails on campus
**Salary Range Transparency**
 Buffalo, NY $115,000\.00–$155,000\.00 Annually
**Salary Range Disclaimer**
 The base salary range represents the low and high end of the Moog salary range for this position in the given work location. Actual salaries will vary depending on factors including but not limited to location, experience, and performance. The range(s) listed is just one component of Moog's total compensation package for employees. Other rewards may include annual bonuses, employee stock purchase plan, an open paid time off policy, and many region\-specific benefits.
 This position requires access to U.S. export\-controlled information.
 EOE/AA Minority/Female/Sexual Orientation/Gender Identity/Disability/Veteran
*Moog is an Equal Opportunity Employer, and as such affirms the right of every person to participate in all aspects of employment without regard to race, religion, color, national origin, citizenship, sex, sexual orientation, gender identity, age, veteran status, disability, genetic information, or any other protected characteristic. If you are interested in applying for employment and need special assistance or an accommodation to apply for a posted position, contact our Human Resources department via phone at 844\-367\-5787\.*
 No unsolicited agency submittals please. Agency partners must be invited to participate in a search by our Talent Acquisition Team and have signed terms in place prior to any submittal. Absent compliance with these pre\-conditions resumes submitted directly to any Moog Inc. employee or affiliate will not qualify for fee payment, and therefore become the property of Moog Inc.</t>
        </is>
      </c>
    </row>
    <row r="257">
      <c r="A257" t="inlineStr">
        <is>
          <t>li-4373971429</t>
        </is>
      </c>
      <c r="B257" t="inlineStr">
        <is>
          <t>Senior Energy Operations Program Manager</t>
        </is>
      </c>
      <c r="C257" t="inlineStr">
        <is>
          <t>Lensa</t>
        </is>
      </c>
      <c r="D257" t="inlineStr">
        <is>
          <t>linkedin</t>
        </is>
      </c>
      <c r="E257">
        <f>HYPERLINK("https://www.linkedin.com/jobs/view/4373971429", "https://www.linkedin.com/jobs/view/4373971429")</f>
        <v/>
      </c>
      <c r="F257">
        <f>HYPERLINK("https://lensa.com/cgw/39dafc6865d24f4dafe59d533e5736betjo1?jpsi=directemployers&amp;publisher_preference=easier_apply&amp;utm_campaign=Other%20Management%20Occupations&amp;utm_medium=slot&amp;utm_source=linkedin&amp;utm_term=jse&amp;urlHash=MgFd", "https://lensa.com/cgw/39dafc6865d24f4dafe59d533e5736betjo1?jpsi=directemployers&amp;publisher_preference=easier_apply&amp;utm_campaign=Other%20Management%20Occupations&amp;utm_medium=slot&amp;utm_source=linkedin&amp;utm_term=jse&amp;urlHash=MgFd")</f>
        <v/>
      </c>
      <c r="G257" t="inlineStr">
        <is>
          <t>Tampa, FL</t>
        </is>
      </c>
      <c r="H257" t="inlineStr"/>
      <c r="I25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McKinstry. Clicking "Apply Now" or "Read more" on Lensa redirects you to the job board/employer site. Any information collected there is subject to their terms and privacy notice.
**Senior Energy Operations Program Manager**
 Location
 **FL \- Tampa**
 Job Family
 **Technical Services**
 Apply Now (https://phg.tbe.taleo.net/phg02/ats/careers/v2/applyRequisition?org\=MCKINSTRY\&amp;cws\=41\&amp;rid\=9327\)
**Build the future, spark innovation and align your career with purpose.**
 McKinstry is innovating the waste and climate harm out of the built environment and creating lasting impact. Together, we’re building a thriving planet.
 Buildings Are a Leading Contributor To The Climate Crisis, Generating Nearly 40% Of Total Global Energy\-related Carbon Emissions. We’re Making a Lasting Impact On Our Industry And Within Our Communities By Addressing The Climate, Affordability And Equity Crises Through
* renewables and energy services
* engineering and design
* construction and facility services
 To get where we’re going, we need big thinkers, problem solvers and collaborative mindsets. Does that sound like you?
**The Opportunity with McKinstry**
**Responsibilities**
 We are adding a
 **Senior Energy Operations Program Manager** 
 to our dynamic team growing our ActiveOps work in Tampa, FL. The Senior Energy Operations Program Manager will lead technical project delivery across complex multi\-offering projects within the Technical Services business. In this role, you will influence cross functional teams in the planning, discovery, and implementation of ActiveOps services for clients to improve energy, commissioning, maintenance, and operational efficiency of facilities. This position will play a key role in the ActiveOps program evolution and provides subject matter expertise support to business development. Additional responsibilities include:
* Ensure effective project delivery from initial project opportunity identification through stabilization of ActiveOps services.
* Plan program and project milestones and schedule for implementation.
* Establish program goals and Key Performance Indicators to meet client needs.
* Ensure client satisfaction with project and program transitions.
* Oversee program and project evaluation, collecting feedback to incorporate into best practices and program evolution.
* Own project performance through the turnover of operations.
* Serves as a primary point of contact with the customer during project implementation.
* Acts as a steward of all company policies and procedures.
* Responds to stakeholders with accurate and timely information to facilitate company decision\-making.
* Exercises global decision making by considering other departments within the company such as project management, sales and estimating, accounting, purchasing, etc.
* Ensures projects are completed on schedule.
* Works with a large client base including the owner and business leaders for the company.
* Takes ownership of projects as assigned by Operations Director.
**What You Need To Succeed At McKinstry**
* 10\-15 years of relevant experience with commissioning, mechanical systems, and construction management.
* Expertise in achieving successful owner outcomes through program and project management.
* Expertise in communication/teaming/internal and external stakeholder engagement.
* Bachelor’s Degree in Mechanical Engineering or equivalent work experience.
**PeopleFirst Benefits**
**When it comes to the basics, we have you covered:**
* Competitive pay
* 401(k) with employer match and profit\-sharing plan
* Paid time off and holidays
* Comprehensive medical, prescription, dental, and vision with low or zero deductible options and low out of pocket maximums
**People come first at McKinstry, and we go beyond the basic benefits with:**
* Family formation benefits, including adoption and IVF assistance
* Up to 16 weeks paid parental leave
* Transgender inclusive benefits
* Commuter benefits
* Pet insurance
* “Building Good” paid community service time
* Learning and advancement opportunities via McKinstry University
* McKinstry Moves onsite gyms or reimbursement for remote workers
 See benefit plan documents for complete details.
**If you’re driven by our vision to build a thriving planet together, McKinstry is the place to build your career.**
*The pay range for this position is $114,210 \- $173,610 per year; however, base pay offered may vary depending on job\-related knowledge, skills, and experience. Base pay information is based on market location. A bonus may be provided as part of the compensation package, in addition to a full range of medical, financial, and/or other benefits, dependent on the position offered.*
*The McKinstry group of companies are equal opportunity employers. We are committed to providing equal employment opportunities to all employees and qualified applicants without regard to sex, gender identity, sexual orientation, age, race, color, creed, marital status, national origin, disability, veteran status, genetic information or any other basis protected by law. This policy applies to all terms and conditions of employment including, but not limited to employment, advancement, assignment, and training. This commitment to Equal Employment Opportunity is made equally as a social responsibility and as an economic and business necessity.*
*McKinstry is a drug\-free workplace. Employment is* 
 \_ \_
 *contingent upon successfully passing a pre\-employment drug and alcohol test, complying with the requirements of the Immigration Reform and Control Act and a Confidentiality Agreement, in addition to successful outcomes of background and reference checks.*
*Applicants for this role will only be considered if they possess current US Work Authorization, and do not require employer\-sponsored VISA support to begin or remain in this role.*
 If you have questions about this posting, please contact support@lensa.com</t>
        </is>
      </c>
    </row>
    <row r="258">
      <c r="A258" t="inlineStr">
        <is>
          <t>li-4365862701</t>
        </is>
      </c>
      <c r="B258" t="inlineStr">
        <is>
          <t>Program Manager – Custody / SEI</t>
        </is>
      </c>
      <c r="C258" t="inlineStr">
        <is>
          <t>RSM US LLP</t>
        </is>
      </c>
      <c r="D258" t="inlineStr">
        <is>
          <t>linkedin</t>
        </is>
      </c>
      <c r="E258">
        <f>HYPERLINK("https://www.linkedin.com/jobs/view/4365862701", "https://www.linkedin.com/jobs/view/4365862701")</f>
        <v/>
      </c>
      <c r="F258" t="inlineStr"/>
      <c r="G258" t="inlineStr">
        <is>
          <t>New York, NY</t>
        </is>
      </c>
      <c r="H258" t="inlineStr"/>
      <c r="I258" t="inlineStr">
        <is>
          <t>We are the leading provider of professional services to the middle market globally, our purpose is to instill confidence in a world of change, empowering our clients and people to realize their full potential. Our exceptional people are the key to our unrivaled, culture and talent experience and our ability to be compelling to our clients. You’ll find an environment that inspires and empowers you to thrive both personally and professionally. There’s no one like you and that’s why there’s nowhere like RSM.
 Program Manager – Custody / SEI
 Location: Jersey City, NJ (Hybrid / Onsite as required)
**Role Overview**
 RSM is seeking a Director\-level Temporary Program Manager to support Wealth Management initiatives focused on Custody and Asset Servicing. This role will manage defined programs or major workstreams related to custodial platforms, integrations, and operational change within a regulated banking environment.
**Key Responsibilities**
* Manage custody\-related programs or workstreams, including platform enhancements, integrations, and process changes
* Coordinate execution across Operations, Technology, Risk, Compliance, and vendor teams
* Support integration with SEI custodial platforms and downstream systems
* Track milestones, risks, issues, and dependencies; escalate as appropriate
* Ensure custody processes align with regulatory, control, and asset\-safekeeping requirements
* Prepare program status updates and materials for senior stakeholders
**Required Qualifications**
* 8\+ years of program or project management experience in Banking or Wealth Management
* Strong Custody / Asset Servicing domain knowledge
* Hands\-on experience with SEI custodial platforms
* Experience delivering initiatives in regulated financial services environments
* Strong organizational, communication, and stakeholder management skills
 At RSM, we offer a competitive benefits and compensation package for all our people. We offer flexibility in your schedule, empowering you to balance life’s demands, while also maintaining your ability to serve clients. Learn more about our total rewards at https://rsmus.com/careers/working\-at\-rsm/benefits.
 All applicants will receive consideration for employment as RSM does not tolerate discrimination and/or harassment based on race; color; creed; sincerely held religious beliefs, practices or observances; sex (including pregnancy or disabilities related to nursing); gender; sexual orientation; HIV Status; national origin; ancestry; familial or marital status; age; physical or mental disability; citizenship; political affiliation; medical condition (including family and medical leave); domestic violence victim status; past, current or prospective service in the US uniformed service; US Military/Veteran status; pre\-disposing genetic characteristics or any other characteristic protected under applicable federal, state or local law.
 Accommodation for applicants with disabilities is available upon request in connection with the recruitment process and/or employment/partnership. RSM is committed to providing equal opportunity and reasonable accommodation for people with disabilities. If you require a reasonable accommodation to complete an application, interview, or otherwise participate in the recruiting process, please call us at 800\-274\-3978 or send us an email at careers@rsmus.com.
 RSM does not intend to hire entry level candidates who will require sponsorship now OR in the future (i.e. F\-1 visa holders). If you are a recent U.S. college / university graduate possessing 1\-2 years of progressive and relevant work experience in a same or similar role to the one for which you are applying, excluding internships, you may be eligible for hire as an experienced associate.
 RSM will consider for employment qualified applicants with arrest or conviction records. For those living in California or applying to a position in California, please click here for additional information.
 At RSM, an employee’s pay at any point in their career is intended to reflect their experiences, performance, and skills for their current role. The salary range (or starting rate for interns and associates) for this role represents numerous factors considered in the hiring decisions including, but not limited to, education, skills, work experience, certifications, location, etc. As such, pay for the successful candidate(s) could fall anywhere within the stated range.
 Compensation Range: $86 \- $128 per hour</t>
        </is>
      </c>
    </row>
    <row r="259">
      <c r="A259" t="inlineStr">
        <is>
          <t>li-4374127107</t>
        </is>
      </c>
      <c r="B259" t="inlineStr">
        <is>
          <t>Enterprise Infrastructure Service Delivery Program Manager</t>
        </is>
      </c>
      <c r="C259" t="inlineStr">
        <is>
          <t>DMI</t>
        </is>
      </c>
      <c r="D259" t="inlineStr">
        <is>
          <t>linkedin</t>
        </is>
      </c>
      <c r="E259">
        <f>HYPERLINK("https://www.linkedin.com/jobs/view/4374127107", "https://www.linkedin.com/jobs/view/4374127107")</f>
        <v/>
      </c>
      <c r="F259" t="inlineStr"/>
      <c r="G259" t="inlineStr"/>
      <c r="H259" t="inlineStr"/>
      <c r="I259" t="inlineStr">
        <is>
          <t>DMI is a leading provider of digital services and technology solutions, headquartered in Tysons Corner, VA. With a focus on end\-to\-end managed IT services, including managed mobility, cloud, cybersecurity, network operations, and application development, DMI supports public sector agencies and commercial enterprises around the globe. Recognized as a Top Workplace, DMI is committed to delivering secure, efﬁcient, and cost\-effective solutions that drive measurable results. Learn more at www.dminc.com
**About The Opportunity**
**Program Manager \- Enterprise Infrastructure Service Delivery**
**Location: Remote, US**
**Company: DMI, LLC**
 DMI is seeking an experienced and results\-driven Enterprise Infrastructure Service Delivery Program Manager to lead large\-scale, mission\-critical infrastructure operations supporting more than 6,000 end users across multiple locations.
 This is a senior leadership role responsible for overseeing enterprise data centers, servers, storage, networking, and disaster recovery operations while ensuring high\-performing service delivery across a complex, distributed environment.
**Role Overview**
 The Enterprise Infrastructure Service Delivery Program Manager provides executive oversight and day\-to\-day leadership for enterprise infrastructure operations. This role is responsible for ensuring SLA performance, managing large technical teams, driving operational excellence, and aligning infrastructure capabilities with program objectives.
 Reporting directly to the Senior Program Manager, this leader will determine resource requirements, guide infrastructure strategy, and oversee service delivery across multiple mission\-critical programs.
**Key Responsibilities**
* Provide day\-to\-day leadership and accountability for enterprise infrastructure operations
* Oversee Network Engineering, Network Operations Center (NOC), Servers and Storage, and Disaster Recovery teams
* Ensure SLA performance is achieved, analyzed, and reported to leadership
* Manage large\-scale infrastructure teams delivering enterprise support services
* Determine and acquire staffing and resource requirements to support assigned scope
* Oversee IT systems implementation and solution development initiatives
* Coordinate across multiple infrastructure disciplines and stakeholder groups
* Manage escalations and resolve complex infrastructure issues
* Drive continuous improvement, service optimization, and operational excellence initiatives
* Provide leadership, mentorship, and direction to infrastructure management staff
**Qualifications**
**Required Experience**
* Minimum 8 years of related management experience with emphasis on Data Centers, Servers, Storage, and Network programs and/or projects
* Experience managing mission\-critical infrastructure programs and IT systems implementations
* Minimum 5 years managing programs with 100\+ personnel
* Experience delivering enterprise infrastructure services across multi\-site environments
* Demonstrated program management and service delivery leadership capabilities
**Education \&amp; Substitutions**
 Bachelor’s degree from an accredited institution or equivalent professional experience.
**Education Substitutions Accepted Per Contract Guidelines**
* No Degree: 2 additional years of experience
* Associate’s Degree: 1 additional year of experience
* Bachelor’s Degree: Meets baseline requirement
* Master’s Degree or PhD: No additional experience required
**Preferred Skills**
* PMP (Project Management Professional) certification
* ITIL Expert or ITIL Strategic Leader certification
* Experience managing large federal IT infrastructure contracts
* Strong leadership and strategic planning capabilities
* Excellent stakeholder management and executive communication skills
* Experience supporting complex multi\-site infrastructure environments
**Background Requirements**
* Successful completion of a Public Trust background investigation and/or ability to obtain Public Trust clearance
**Additional Requirements**
* Must be a U.S. Citizen
* No physical requirements
* Location: Remote (United States)
**Working at DMI**
 DMI Is a Diverse, Prosperous, And Rewarding Place To Work. Our Culture Is Shaped By Five Core Values That Guide How We Work, Grow, And Succeed Together
* Do What’s Right – We lead with honesty and integrity.
* Own the Outcome – We take responsibility and deliver.
* Deliver for Our Customers – We are relentless about delivering value.
* Think Bold, Act Smart – We innovate with purpose.
* Win Together – We collaborate and celebrate our success.
 These values aren’t just ideals—they show up in how we support every part of your well\-being:
* Convenience/Concierge – Virtual health visits, commuter perks, pet insurance, and entertainment discounts that make life easier.
* Development – Annual performance reviews, tuition assistance, and internal career growth opportunities to help you thrive.
* Financial – Generous 401(k) matches, life and disability insurance, and financial wellness tools to support your future.
* Recognition – Annual awards, service anniversaries, referral bonuses, and peer\-to\-peer shoutouts that spotlight your achievements.
* Wellness – Healthcare coverage, wellness programs, flu shots, and biometric screenings to support your health.
 DMI values employees for their talents and contributions, and we take pride in helping our customers achieve their goals. Because when we live our values, we all win together.
* No Agencies Please \*\*\*\*\*\*\*\*\*\*\*\*\*\*\*\*\*
 Applicants selected may be subject to a government security investigation and must meet eligibility requirements for access to classified information. US citizenship may be required for some positions.
**Job ID:** 
 2026\-28528</t>
        </is>
      </c>
    </row>
    <row r="260">
      <c r="A260" t="inlineStr">
        <is>
          <t>li-4373020321</t>
        </is>
      </c>
      <c r="B260" t="inlineStr">
        <is>
          <t>Program Manager - Envestnet</t>
        </is>
      </c>
      <c r="C260" t="inlineStr">
        <is>
          <t>Jobs via Dice</t>
        </is>
      </c>
      <c r="D260" t="inlineStr">
        <is>
          <t>linkedin</t>
        </is>
      </c>
      <c r="E260">
        <f>HYPERLINK("https://www.linkedin.com/jobs/view/4373020321", "https://www.linkedin.com/jobs/view/4373020321")</f>
        <v/>
      </c>
      <c r="F260" t="inlineStr"/>
      <c r="G260" t="inlineStr">
        <is>
          <t>Cleveland, OH</t>
        </is>
      </c>
      <c r="H260" t="inlineStr"/>
      <c r="I260" t="inlineStr">
        <is>
          <t>Dice is the leading career destination for tech experts at every stage of their careers. Our client, Photon interactive UK limited, is seeking the following. Apply via Dice today!
 Hello,
 Job title \- Program Manager
 Location \- Cleveland, OH
 100% Onsite, C2C
**Candidate should have basic knowledge on Envestnet.**
**Job Summary**
 The Program Manager manages a set of interrelated projects to deliver against a common set of business objectives using business acumen, critical thinking, and relationship skills. Responsible for managing cross\-functional project\-level or program\-level requirements and scope, resource planning, finances and benefit realization, risks and issues, quality, organizational change management, communications, and reporting.
 The Program Manager works with constituent Project Managers to monitor cost, schedule, and technical performance of component projects; identify and manage dependencies and escalate program risks and issues as appropriate to the program owner to ensure the ultimate success of the program. Responsible for internal stakeholder management, which may include stakeholders external to the organization. Reports program metrics to the program owner and business owners.
**Essential Functions**
* Leads one or more programs in a fast\-paced, dynamic environment, which may include directing third party resources as well as virtual teams. These programs impact multiple Lines of Business (LOB), multiple functional areas, are large in scale and complex, may span multiple years, usually involve senior\-level sponsorship (and sometimes executive level sponsorship) and may include a steering committee.
* Develops and grows partnerships and foster relationships with senior functional managers and their management teams to prioritize projects and set/ receive direction to achieve business objectives
* Supports business case development; performs project registration/consolidation/prioritization as required; creates funding plan; and administers project pipeline checkpoints to drive delivery and mitigate/resolve bottlenecks
* Defines and manages program scope, scope changes, objectives, requirements, deliverables, and value proposition that support the diverse business goals and interests of multiple stakeholders
* Develops integrated program plan; identifies and manages program dependencies and critical paths; and tracks/reports program milestones as well as status
* Ensures potential impacts to external client experience are addressed in project solution/plan
* Estimates resources needed to achieve program goals; tracks utilization; determines and assesses need for additional staff and/or vendors; manages on/off boarding; and monitors/manages vendor performance on labor resources
* Drafts and submits program budget proposals and recommends subsequent budget changes where necessary; conducts cost forecasting and actual tracking as well as variance reporting
* Identifies, tracks, escalates and resolves issue conflicts; performs impact analysis and prioritization; manages dependencies and track/monitors; and escalates risk with corrective/ mitigating actions
* Tailors methods and metrics; administers configuration management/version control; adheres to project policies/ standards; performs project assessments; coach/ mentors teams; and manages deliverable reviews and signoffs
* Leads communication planning, execution and reporting with program team members; liaises with stakeholders
* Supports development of change management planning, design and implementation including communication and training
* Manages documentation and the knowledge transfer to the business as usual functions; conducts lesson\-learned reviews
* Manages the execution of vendor contract(s) and ensures adherence to contract provisions, where applicable
* Performs other duties as assigned; duties, responsibilities and/or activities may change, or new ones may be assigned at any time with or without notice
* Complies with all client policies and procedures, including without limitation, always acting professionally, conducting business ethically, avoiding conflicts of interest, and acting in the best interests of all stakeholders.
**Education**
* Bachelor's Degree (preferred)
* OR equivalent experience (required)
**Work Experience**
* 5\+ years of complex project or program management experience (required)
**Licenses and Certifications**
* Project Management Professional (PMP) Certification or equivalent (preferred)
* Change Management certification or equivalent (preferred)
* Scrum Master Certification (preferred)
**Skills**
* Works autonomously with proven demonstration of leadership competencies; organized, self\-disciplined; influences \&amp; challenges broadly across the organization; makes tough decisions in a timely manner
* Strategic thinker; ability to see the big picture ; assists in developing and implementing strategies across the organization; applies expert problem solving and conflict management skills; proven track record of successful complex project/program execution across the enterprise, consistently meeting budget, schedule, scope \&amp; risk targets; manages the execution of vendor contracts
* Integrated, cross\-functional understanding of the business strategy to corporate goals \&amp; strategy, including financial \&amp; risk impacts of program delivery
* Possess Executive/ Leadership\-level written, verbal, and presentation skills; ability to adjust communication to audience
* Clearly articulates vision of programs future state impact to business \&amp; enterprise strategy
* Assesses \&amp; coaches cross\-functional team members to both strengths and developmental needs; fosters and encourages open \&amp; honest feedback; learns from feedback to drive personal and team development; mentors staff
* Proactively manages risks to minimize occurrence of issues; comfortable in an environment of risk and uncertainty; performs impact analysis and prioritization; identifies corrective/ mitigating actions; demonstrated ability to escalate risks/issues timely and motivate others to resolve; provides effective reporting of impact and status; identifies and manages project dependencies and/or program interdependencies</t>
        </is>
      </c>
    </row>
    <row r="261">
      <c r="A261" t="inlineStr">
        <is>
          <t>li-4374115441</t>
        </is>
      </c>
      <c r="B261" t="inlineStr">
        <is>
          <t>Senior Program Manager - Seaward Services - NSWC</t>
        </is>
      </c>
      <c r="C261" t="inlineStr">
        <is>
          <t>Hornblower Group</t>
        </is>
      </c>
      <c r="D261" t="inlineStr">
        <is>
          <t>linkedin</t>
        </is>
      </c>
      <c r="E261">
        <f>HYPERLINK("https://www.linkedin.com/jobs/view/4374115441", "https://www.linkedin.com/jobs/view/4374115441")</f>
        <v/>
      </c>
      <c r="F261">
        <f>HYPERLINK("https://jobs.dayforcehcm.com/en-GB/hornblower/CANDIDATEPORTAL/jobs/51?source=LinkedIn&amp;urlHash=dcxA", "https://jobs.dayforcehcm.com/en-GB/hornblower/CANDIDATEPORTAL/jobs/51?source=LinkedIn&amp;urlHash=dcxA")</f>
        <v/>
      </c>
      <c r="G261" t="inlineStr">
        <is>
          <t>Norfolk, VA</t>
        </is>
      </c>
      <c r="H261" t="inlineStr"/>
      <c r="I261" t="inlineStr">
        <is>
          <t>**Hornblower Group** 
 is a global leader in experiences and transportation. Spanning a 100\-year history, Hornblower Group’s portfolio of international offerings includes water\-based experiences (dining and sightseeing cruises), land\-based experiences (walking and food tours) and ferry and transportation services. City Experiences, Hornblower Group’s premier experience division, offers land\- and water\-based experiences as well as ferry and transportation services. Hornblower Group’s subsidiaries include Hornblower Marine, which provides vessel outhaul and maintenance services at Bridgeport Boatworks in Bridgeport, Connecticut, and Seaward Services, Inc., a marine services company specializing in the operation, maintenance and repair of government and privately owned vessels. Additionally, Anchor Operating System, LLC, a Hornblower Group subsidiary and independent entity, provides reservation, ticketing and website integration services for clients in the transportation, tourism and entertainment industries. Today, Hornblower Group’s global portfolio covers over 10 countries, over 50 U.S. cities and serves more than 20 million guests annually. Headquartered in Orlando, Florida, Hornblower Group’s additional corporate offices reside in San Francisco, California; Boston, Massachusetts; Chicago, Illinois; London, United Kingdom; New York, New York; Dublin, Ireland; and across Ontario, Canada. For more information, visit hornblowercorp.com.
**Position Summary**
 The Senior Program Manager oversees all aspects of waterfront operational support under this contract, providing leadership, coordination, and executive\-level management of personnel, resources, and mission activities. This role ensures efficient execution of daily waterfront operations, maintenance support, logistics coordination, and readiness across all vessels and associated facilities. The Senior Program Manager serves as the primary interface with the Government, ensuring all contract objectives, deliverables, schedules, safety standards, and performance requirements are met. The position integrates planning, risk management, reporting, and continuous improvement processes to support safe, compliant, and effective waterfront operations. Role upon award of contract.
**Duties And Responsibilities**
* Provide overall leadership and management of program execution in accordance with contract requirements, company policies, and performance objectives.
* Serve as the primary point of contact for the Government, coordinating schedules, priorities, and operational requirements.
* Plan, organize, direct, and control program resources to meet contract objectives and mission needs.
* Oversee staffing, logistics, maintenance support, and daily operational activities across piers, docks, vessels, and waterfront facilities.
* Monitor program cost, schedule, performance, and risks; ensure compliance with safety and environmental standards.
* Prepare and deliver reports, briefs, and program updates to Government stakeholders.
* Implement process improvements to enhance operational readiness, efficiency, and mission support effectiveness.
* Additional job duties as assigned.
**Requirements \&amp; Qualifications**
* Minimum of 7 years of experience in program management required.
* Two (2\) years of experience with small military watercraft preferred.
* Project Management Professional (PMP) certification preferred (must possess and maintain).
* Bachelor’s degree from an accredited educational institution in a technical or managerial field.
* Experience planning, organizing, directing, and controlling programs to meet objectives.
* Experience working with U.S. government organizations, or project management experience on a contracted effort values at $500k per year or more.
* Strong knowledge of safety regulations, environmental compliance, and hazard assessment.
* Ability to analyze incidents, implement corrective actions, and prevent workplace hazards.
* Proficiency in Microsoft Office Suite or similar software for reporting and documentation.
* Effective communication skills for training personnel and coordinating with leadership.
* Authorized to work in the United States.
* Ability to obtain and maintain a U.S. Government security clearance
 \#SeawardServices
 The
 **RESPECT** 
 Service System embodies our mission, vision, values and operating principles. By creating a company culture that puts
 **RESPECT** 
 at its core, we believe it will drive us to achieve our goal of becoming a Global Experiences and Transportation Leader.
 EEO / Disabled / Protected Veteran Employer. Hornblower is proud to be an Equal Employment Opportunity employer. We offer equal employment opportunities to all qualified individuals and prohibit discrimination and/or harassment of any type, including but not limited to discrimination and or harassment based upon race, religion, religious creed, color, national origin, ancestry, citizenship, sex, sexual orientation, gender, gender identity, gender expression, age, pregnancy or relation medical conditions, childbirth, breastfeeding, parental status, veteran and/or military status, disability (physical or mental), medical condition, genetic information or characteristics, political affiliation, domestic violence survivor status, marital status, or other characteristics prohibited by federal, state, or local law. Additionally, as a federal, state, and local contractor, Hornblower complies with government regulations, including affirmative action responsibilities for qualified individuals, where and as they apply. The company also participates in the E\-Verify program in certain locations.</t>
        </is>
      </c>
    </row>
    <row r="262">
      <c r="A262" t="inlineStr">
        <is>
          <t>li-4313544198</t>
        </is>
      </c>
      <c r="B262" t="inlineStr">
        <is>
          <t>System Sepsis Program Manager</t>
        </is>
      </c>
      <c r="C262" t="inlineStr">
        <is>
          <t>ECU Health</t>
        </is>
      </c>
      <c r="D262" t="inlineStr">
        <is>
          <t>linkedin</t>
        </is>
      </c>
      <c r="E262">
        <f>HYPERLINK("https://www.linkedin.com/jobs/view/4313544198", "https://www.linkedin.com/jobs/view/4313544198")</f>
        <v/>
      </c>
      <c r="F262" t="inlineStr"/>
      <c r="G262" t="inlineStr">
        <is>
          <t>Greenville, NC</t>
        </is>
      </c>
      <c r="H262" t="inlineStr"/>
      <c r="I262" t="inlineStr">
        <is>
          <t>**Position Summary**
 The Sepsis Program Manager is responsible for the strategic planning, implementation, and oversight of the sepsis management program across the ECU Health System. This role ensures the delivery of high\-quality care, compliance with national guidelines, and continuous improvement in sepsis\-related outcomes.
**Responsibilities**
 Responsibilities include planning, coordination, education, and ongoing evaluation of the sepsis patient care continuum for ECU Health.
 Serves as Co\-Chair along with the Sepsis medical chair in monthly sepsis committee meetings for ECU Health.
 Collaborate with ECU Health's emergency department and inpatient leadership teams to discuss sepsis measures including data review, action planning and resource extension.
 Monitors and analyzes sepsis\-related data to identify trends, measure outcomes, and report findings to hospital leadership.
 Provides ongoing education and training to clinical staff on sepsis recognition, treatment protocols, and best practices.
 Works closely with multidisciplinary teams, including physicians, nurses, and quality improvement staff, to ensure cohesive and effective sepsis management.
 Provides ongoing calculation of the Return on Investment (ROI) for ECU health system's sepsis program, assessing both the financial and clinical benefits of the program.
**Minimum Requirements**
 Masters degree in applicable field or higher is required.
 Current, unencumbered license to practice as a Registered Nurse (RN) or equivalent.
 5 to 8 years of experience in an acute hospital setting.
 Experience in Quality Improvement, data analysis, and project management.
 Strong leadership, communication, and interpersonal skills.
**ECU Health**
**About ECU Health Medical Center**
 ECU Health Medical Center, one of four academic medical centers in North Carolina, is the 974\-bed flagship hospital for ECU Health and serves as the primary teaching hospital for The Brody School of Medicine at East Carolina University. ECU Health Medical Center has achieved Magnet® designation twice and provides acute and intermediate care, rehabilitation and outpatient health services to a 29\-county region that is home to more than 1\.4 million people.
**General Statement**
 It is the goal of ECU Health and its entities to employ the most qualified individual who best matches the requirements for the vacant position.
 Offers of employment are subject to successful completion of all pre\-employment screenings, which may include an occupational health screening, criminal record check, education, reference, and licensure verification.
 We value diversity and are proud to be an equal opportunity employer. Decisions of employment are made based on business needs, job requirements and applicant’s qualifications without regard to race, color, religion, gender, national origin, disability status, protected veteran status, genetic information and testing, family and medical leave, sexual orientation, gender identity or expression or any other status protected by law. We prohibit retaliation against individuals who bring forth any complaint, orally or in writing, to the employer, or against any individuals who assist or participate in the investigation of any complaint.</t>
        </is>
      </c>
    </row>
    <row r="263">
      <c r="A263" t="inlineStr">
        <is>
          <t>li-4345294134</t>
        </is>
      </c>
      <c r="B263" t="inlineStr">
        <is>
          <t>Senior Product Manager (AI/ML Model Development)</t>
        </is>
      </c>
      <c r="C263" t="inlineStr">
        <is>
          <t>SmarterDx</t>
        </is>
      </c>
      <c r="D263" t="inlineStr">
        <is>
          <t>linkedin</t>
        </is>
      </c>
      <c r="E263">
        <f>HYPERLINK("https://www.linkedin.com/jobs/view/4345294134", "https://www.linkedin.com/jobs/view/4345294134")</f>
        <v/>
      </c>
      <c r="F263">
        <f>HYPERLINK("https://job-boards.greenhouse.io/smarterdx/jobs/5004750007?gh_src=XeQUeH&amp;urlHash=X7N1", "https://job-boards.greenhouse.io/smarterdx/jobs/5004750007?gh_src=XeQUeH&amp;urlHash=X7N1")</f>
        <v/>
      </c>
      <c r="G263" t="inlineStr"/>
      <c r="H263" t="inlineStr"/>
      <c r="I263" t="inlineStr">
        <is>
          <t>SmarterDx, a Smarter Technologies company, builds clinical AI that is transforming how hospitals translate care into payment. Founded by physicians in 2020, our platform connects clinical context with revenue intelligence, helping health systems recover millions in missed revenue, improve quality scores, and appeal every denial. Become a Smartian and help optimize the way the healthcare system works for everyone. Learn more at smarterdx.com/careers.
**Sr. Product Manager, Model Development**
**Role**
 As a Senior Product Manager for SmarterDx, you will play a pivotal role in the strategy, development, and enhancement of SmarterDx’s product offerings. Your role involves deeply understanding both users and existing architecture and collaborating across teams (engineering, data engineering, data science, etc.) to maximize the velocity of solving important user problems, enhancing decision\-making, and solving business challenges. You will work to understand how our products generate recommendations, and form hypotheses on ways we can meaningfully improve both our technical output and user workflows and overall experience, collaborating with our technology teams to test their validity. In addition to providing value to our current clients, you will be expected to form a strategic vision for how our underlying Data Science and Machine Learning models can improve our broader product offerings, creating and maintaining a product roadmap to support future development.
* This role is fully remote within the US\*\*
**What You’ll Do**
* Gain a deep understanding of the SmarterDx user and buyer market.
* Prioritize and evaluate cutting edge research and experimentation against product and business goals.
* Engage with customers to understand their workflow needs, gather feedback, and identify opportunities for product improvements.
* Write, standardize, and maintain product and technical documentation and role\-model strong project management practices.
* Define, track, and report on key success metrics to measure product performance and adoption.
* Develop a roadmap of product enhancements, features, and solutions to continue to innovate and evolve the product.
* Identify opportunities to enable teams to move more quickly by understanding constraints and trade\-offs
* Lead cross functional team of engineers, data scientists, and designers through the product development lifecycle from inception to launch of new features.
* Communicate your strategic vision for the product to cross functional stakeholders, working closely with leadership to ensure alignment.
* Understand interactions and impact between multiple simultaneous experiments, discern outcomes, and decide the best strategic path forward.
**What You Bring**
* 2\-3\+ years of product management experience
* Experience building tools and features that serve a single product and scale effectively to a full product suite
* Ability to translate highly technical work and requirements into business goals and impact, and vice versa
* Experience working at an early\-stage company or similarly fast\-paced environment
* 2\-3\+ years of experience working within the healthtech space, ideally in RCM and/or B2B products
* Experience working cross\-functionally with engineering, data science, and other technical teams to drive product success.
* Experience managing both external and internal (Customer Success, Implementations, etc.) stakeholders
**Nice To Haves**
* Experience as a software engineer, data engineer, or equivalent
* Proficiency in SQL
**Compensation**
*$200k to $220k base \+ benefits*
**Benefits**
* Medical, Dental \&amp; Vision – Comprehensive plans with leading insurance providers, covering 75% of your premiums, depending on the plan.
* Paid Parental Leave – Generous paid leave to support families through birth or adoption: Up to 12 weeks for parents.
* Remote\-First Team – Work from anywhere in the U.S.
* Unlimited PTO \&amp; 10 Holidays – So you can relax and recharge.
* 401(k) with Traditional \&amp; Roth Options – Tax\-advantaged retirement savings through Fidelity with a 4% match.
* Minimal Bureaucracy – A fast\-moving, high\-impact environment where you can focus on what matters.
* Incredible Teammates! – Work alongside smart, supportive, and mission\-driven colleagues.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2026-02-17T19:51:32Z</dcterms:created>
  <dcterms:modified xsi:type="dcterms:W3CDTF">2026-02-17T19:51:32Z</dcterms:modified>
</cp:coreProperties>
</file>