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in-e25dfbe32b72babd</t>
        </is>
      </c>
      <c r="B2" t="inlineStr">
        <is>
          <t>Supervisory Program Manager</t>
        </is>
      </c>
      <c r="C2" t="inlineStr">
        <is>
          <t>US Defense Health Agency</t>
        </is>
      </c>
      <c r="D2" t="inlineStr">
        <is>
          <t>indeed</t>
        </is>
      </c>
      <c r="E2" t="inlineStr"/>
      <c r="F2" t="inlineStr"/>
      <c r="G2" t="inlineStr">
        <is>
          <t>Rosslyn, VA, US</t>
        </is>
      </c>
      <c r="H2" s="1" t="n">
        <v>46087</v>
      </c>
      <c r="I2" t="inlineStr">
        <is>
          <t>**Summary**
-----------
**About the Position:** This position is located at Rosslyn, Virginia.
* Student Loan Repayment: May be Authorized
* Advanced In\-Hire: May be Authorized
* Recruitment Incentive: May be Authorized
* Advanced Leave Accrual: May be Authorized
This is a Direct Hire Solicitation
**This job is open to**
-----------------------
### **The public**
U.S. Citizens, Nationals or those who owe allegiance to the U.S.
**Duties**
----------
* Plan, analyze, and review major programs associated with the acquisition of capabilities involving information technology, services, Electronic healthcare record, medical devices, pharmaceuticals, facilities, etc., within the Military Health System.
* Plan and carry out assignments for complete projects that entail a variety of complicating and interacting factors, relationships with other specializations and in consideration of the complete development cycle.
* Anticipate technological trends, direction of change in workload and workload growth allowances, and changes in regulatory requirements, in order to accommodate future changes efficiently and effectively.
* Conduct pre\-implementation evaluations of existing systems to determine cost, configuration compliance, performance, adequacy, and assess potential problems
* Review requirements, identify project scope and processes, review specific issues, oversee tests and analyses, interfaces, information flaws, interfacing requirements, and whether advancements in information technology should be incorporated.
* Supervise in regard to assignment of projects and tasks; interviewing and selecting candidates for vacancies, standards, and evaluations; counseling employees; corrective and disciplinary actions; hearing and resolving serious complaints.
* Leadership in regard to determining training; ensuring implementation of employee incentive systems; assuring adherence to EEO principles and priorities; promote team building and improved business practices.
**Requirements**
----------------
### **Conditions of employment**
* Approximately 25% travel may be required. Travel may involve local, remote and or overnight.
* Selectees must sign an AAC written tenure agreement to remain in the Federal service in this position for at least three years.
* This position requires the incumbent be able to obtain and maintain a determination of eligibility for a Secret security clearance or access for the duration of employment. A background investigation and credit check are required.
* This position requires you to submit a Public Financial Disclosure Report (OGE 278\) or a Confidential Financial Disclosure Report (OGE450\) upon entry, and annually thereafter.
* Advanced (formerly Level III): This is a DOD Acquisition, Logistics and Technology Workforce position. Selectee must meet position requirements for Program Management certification within 48 months as of entrance on duty.
* One\-year supervisory probationary period required. A one\-year probationary period is required if the selectee has not previously met this requirement.
* This position is designated as a Critical Acquisition Position (CAP). The incumbent will be required to sign a Tenure Agreement which requires the incumbent to remain in this position for a minimum of 3 years.
* Incumbent may be required to complete a one year probationary period.
### **Qualifications**
**Who May Apply: US Citizens**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Supervisory Program Manager NH\-0340\-04:**  
Specialized Experience: One year of specialized experience which includes (1\) Manage the acquisition of a portfolio of medical information systems, devices, pharmaceuticals, or other medical products; (2\) Develop long and short\-term financial plans for an acquisition\-based program; AND (3\) Advise executive leadership on Acquisition policies. This definition of specialized experience is typical of work performed at the second lower grade/level position in the federal service (NH\-03\).  
\*\*Defense Acquisition Workforce Improvement Active Career Field. DOD Position Certification Level and Training Requirements. All Acquisition Workforce Positions Mandated in Title 10, USC, Section 1723\. DoD 5000\.52\-M, DOD Acquisition Career Development Program contains specific requirements for acquisition categories and grade/level. Current requirement are available at Back to Basics \- Helpful Resources (dau.edu)  
\*\*This is a Defense Acquisition Workforce position. The employee must meet the DODI 5000\.66 requirements applicable to the Career Category/Functional Area and the Career Level Certification assigned on the sequenced position Conditions of Employment data filed in the header of the PD/PRD.
Advanced(formerly Level III):  
Back to Basics Update: This is a DOD Acquisition, Logistics and Technology Workforce position. Selectee must meet position requirements for Program Management certification within 48 months as of entrance on duty.
Information on Army Acquisition, Logistics, and Technology Workforce and AAC membership may be found at https://asc.army.mil/. Individuals with questions may contact an Acquisition Career Manager (ACM) for Assistance.  
Some federal jobs allow you to substitute your education for the required experience in order to qualify. For this job, you must meet the qualification requirement using experience alone\-no substitution of education for experience is permitted.
### **Education**
N/A
### **Additional information**
* Male applicants born after December 31, 1959 must complete a Pre\-Employment Certification Statement for Selective Service Registration.
* You will be required to provide proof of U.S. Citizenship.
* One year probationary period may be required.
* Direct Deposit of Pay is required.
* Selection is subject to restrictions resulting from Department of Defense referral system for displaced employees.
* Multiple positions may be filled from this announcement.
* Salary includes applicable locality pay or Local Market Supplement.
* When you perform a Civilian Permanent Change of Station (PCS) with the government, the Internal Revenue Service (IRS) considers the majority of your entitlements to be taxable. Visit https://www.dfas.mil/civilianemployees/civrelo/Civilian\-Moving\-Expenses\-Tax\-Deduction/ for more information.
* If you are unable to apply online or need to fax a document you do not have in electronic form, view the following link for information regarding an Alternate Application.
* If you have retired from federal service and you are interested in employment as a reemployed annuitant, see the information in the Reemployed Annuitant information sheet.
* Permanent Change of Station (PCS) allowances is not authorized, subject to the provisions of the Joint Travel Regulations and an agency determination that a PCS move is in the Government Interest.
* Advanced (formerly Level III): Back to Basics Update: This is a DOD Acquisition, Logistics and Technology Workforce position. Selectee must meet position requirements for Program Management certification within 48 months as of entrance on duty.
Candidates should be committed to improving the efficiency of the Federal government, passionate about the ideals of our American republic, and committed to upholding the rule of law and the United States Constitution.
Benefits
========
Review our benefits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Please follow all instructions carefully when applying, errors or omissions may affect your eligibility.  
If, after reviewing your resume and/or supporting documentation, a determination is made that you have inflated your qualifications and/or experience, you may lose consideration for this position.  
Veterans and Military Spouses will be considered along with all other candidates.
**Required Documents**
----------------------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Your resume must be **two pages or less** and must support the specialized experience described in this announcement. Resumes exceeding two pages will be removed from consideration.
* For each relevant work experience, make sure you include the employer's name, job title, start and end dates (include month and year), for qualifications purposes, the number of hours worked per week, and a brief description that show you can perform the tasks at the required level listed in the job announcement. If your resume does not contain this information, your application may be marked as incomplete, and you may not receive consideration for this position.
* Use plain language. Avoid using acronyms and terms that are not easily understood. The hiring agency will not make assumptions about what's in your resume.
* If your resume includes a photograph or other inappropriate material or content, it will not be used to make eligibility and qualification determinations, and you may not be considered for this vacancy.
* For additional information, to include formatting tips, see: What to include in your resume.
**2\. Other supporting documents:**
* Cover Letter, optional
* Most recent Performance Appraisal, if applicable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**How to Apply**
----------------
To apply for this position, you must complete the online questionnaire and submit the documentation specified in the Required Documents section below.
* The complete application package must be submitted by 11:59 PM (EST) on 03/11/2026*to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(https://apply.usastaffing.gov/ViewQuestionnaire/12902698*).*
* Follow the prompts to **select your resume and/or other supporting documents** to be included with your application package. As a reminder, your resume must be **two pages or less** and must support the specialized experience described in this announcement. Resumes exceeding two pages will be removed from consideration. For additional information, refer to the 'Required Documents' section.
*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**Your resume selected in USAJOBS will be included, but you must re\-select other documents from your USAJOBS account or your application may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
To verify the status of your application, log into your USAJOBS account (https://www.usajobs.gov/applicant/profile/dashboard/), all of your applications will appear on the Welcome screen. The Application Status will appear along with the date your application was last updated. For information on what each Application Status means, visit: https://help.usajobs.gov/how\-to/application/status.  
### **Agency contact information**
Army Applicant Help Desk
Website
https://portal.chra.army.mil/hr\_public?id\=app\_inq
Address
*KF\-DDAAFC DHA HQs*  
*DO NOT MAIL*  
*Falls Church, VA 22042*  
*US*###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**Overview**
------------
Accepting applications
Open \&amp; closing dates
03/07/2026 to 03/11/2026
Salary
$143,913 to \- $197,200 per year
Pay scale \&amp; grade
NH 4
Location
1 vacancy in the following location:
Rosslyn, VA
Remote job
No
Telework eligible
Yes—Eligible for situational telework only, including emergency and OPM prescribed.
Travel Required
25% or less \- You may be expected to travel for this position.
Relocation expenses reimbursed
Yes—You may qualify for reimbursement of relocation expenses in accordance with agency policy.
Appointment type
Permanent
Work schedule
Full\-time
Service
Competitive
Promotion potential
None
Job family (Series)
* 0340 Program Management
Supervisory status
Yes
Security clearance
Secret
Drug test
No
Position sensitivity and risk
Noncritical\-Sensitive (NCS)/Moderate Risk
Trust determination process
* Suitability/Fitness
Financial disclosure
Yes
Bargaining unit status
No
Announcement number
HQKF\-26\-12902698\-DHA
Control number
860123800</t>
        </is>
      </c>
    </row>
    <row r="3">
      <c r="A3" t="inlineStr">
        <is>
          <t>in-ae07ca3d77de7ef1</t>
        </is>
      </c>
      <c r="B3" t="inlineStr">
        <is>
          <t>Digital/Technical Product Manager Lead (Strategy &amp; Integration)</t>
        </is>
      </c>
      <c r="C3" t="inlineStr">
        <is>
          <t>USAA</t>
        </is>
      </c>
      <c r="D3" t="inlineStr">
        <is>
          <t>indeed</t>
        </is>
      </c>
      <c r="E3" t="inlineStr"/>
      <c r="F3" t="inlineStr"/>
      <c r="G3" t="inlineStr">
        <is>
          <t>San Antonio, TX, US</t>
        </is>
      </c>
      <c r="H3" s="1" t="n">
        <v>46086</v>
      </c>
      <c r="I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**Digital/Technical Product Manager Lead**, the candidate selected for this opportunity will shepherd highly complex, highly integrated, and strategic Digital or Technology product and experience opportunities from idea to market validation through collaboration with all relevant stakeholders and SMEs (Business, UX, Technology, Ops, Marketing, etc.). Ideal candidate will have a strong background in driving and quantifying Digital and Technical product investments through strategic alignment, solutioning, business case artifacts, and hypotheses and be highly skilled at the assessment and creation of value proposition for digital products and experiences. Requires cross\-channel and multi\-product knowledge with ability to lead through influence in order to advance digital experiences.
This candidate also leads the discovery, delivery, and performance of digital and technology products and their experiences for USAA and its members. Collaborates with internal stakeholders and partners to tackle complex and challenging problems to optimize the customers’ (internal/external) experience with market offerings. Designs and drives implementation of multi\-platform technology and digital solutions. Optimizes and improves existing products and experiences across delivery channels and platforms to drive Key Performance Indicators (KPIs) and Key Risk Indicators (KRIs). Employs User Centered Design and Design Thinking methodologies to bring world\-class Digital and/or Technology driven products to market. Develops the product strategy, vision, and goals and justifies decision\-making related to the balance and mix of innovation types and investments for Digital and Technology products of complex and significant scope (portfolio level or enterprise reach). Ensures strategic alignment across the product and its stakeholders, suppliers, and customers.
We offer a flexible work environment that requires an individual to be **in the office 4 days per week.** This position can be based in one of the following locations: San Antonio, TX, Plano, TX, Phoenix, AZ, Colorado Springs, CO, Chesapeake, VA or Tampa, FL.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Leads team and stakeholders to envision, define, and translate Digital or Technology product and experience opportunities (customer “needs” and “wants” as well as all other input forms into problems, gaps, etc.) into initiatives (i.e., requirements, epics, features) and drives execution strategy.
* Shepherds highly complex, highly integrated, and strategic Digital or Technology product and experience opportunities from idea to market validation through collaboration with all relevant stakeholders and SMEs (Business, UX, Technology, Ops, Marketing, etc.).
* Drives, quantifies, and defends Digital and Technology product and experience investments through Business Case artifacts and hypotheses, communicating the value proposition of Digital or Technology products and experiences.
* Continuously leverages expert data\-driven problem\-solving techniques and analytical rigor to understand and report on product and experience performance against KPIs/KRIs; shares best practices with team members.
* Guides team to generate meaningful insights through a variety of tools and resources to uncover areas of opportunity to inform Digital or Technology product and experience improvements; follows through to ensure applicable improvements are implemented.
* Sets the standard for preparing compelling presentations, and other forms of communication to communicate complex concepts to a diverse audience, including senior leadership, and facilitates Digital or Technology product definition, concept and collaboration sessions to coordinate discovery, development, delivery, and validation activities, as well as to mitigate risks and dependencies.
* Conducts internal and external research and conducts situational analysis to identify and apply industry best practices and trends to increase effectiveness of Digital or Technology products.
* Actively manages ambiguity, influences others to bring in “big picture” thinking and drives clarity, solutions, and execution plan among team and stakeholders.
* Maintains and applies expert knowledge of the business, technology, UX, and relevant experiences and processes and an expert understanding of Product Management.
* Consistently provides guidance and mentoring to team members and acts as an escalation point and ensures issues are resolved.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Comprehensive knowledge of Technology/Digital products and emerging technology platforms, applications data analysis and research techniques and standards.
* Proven track record to effectively develop, influence, present and communicate highly complex business, digital, or technology concepts to cross\-functional teams, non\-technical users and senior leadership.
**What sets you apart:**
* Deep digital technology experience focused on P\&amp;C insurance, with emphasis on supporting Claims.
* Strong experience in planning and product management, including knowledge of design and solution principles and the agile delivery model.
* Demonstrated history of coordinating across multiple products and managing strategic priorities.
* Experience in financial business casing and value generation in alignment with portfolio standards.
* Expert understanding of digital contact center and emerging channel capabilities and relevant competitive landscape.
* Experience with establishing and driving digital strategies and priorities while building confidence and trust with leaders across and outside the team in a highly matrixed environment.
* Able to demonstrate experience preparing compelling presentations, and other forms of communication to aggregate insights and communicate complex concepts to a diverse audience, including senior executives.
**Compensation range:** The salary range for this position is: $143,320 \- $273,930**.**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4">
      <c r="A4" t="inlineStr">
        <is>
          <t>in-20bf074432375c47</t>
        </is>
      </c>
      <c r="B4" t="inlineStr">
        <is>
          <t>Product Manager</t>
        </is>
      </c>
      <c r="C4" t="inlineStr">
        <is>
          <t>Edward Jones</t>
        </is>
      </c>
      <c r="D4" t="inlineStr">
        <is>
          <t>indeed</t>
        </is>
      </c>
      <c r="E4" t="inlineStr"/>
      <c r="F4" t="inlineStr"/>
      <c r="G4" t="inlineStr">
        <is>
          <t>Tempe, AZ, US</t>
        </is>
      </c>
      <c r="H4" s="1" t="n">
        <v>46086</v>
      </c>
      <c r="I4" t="inlineStr">
        <is>
          <t>**There's power in partnership.**  
Your passion. Our purpose. We can make an impact together. Join a team that empowers you to shape the future of client service. Everything we do is focused on helping clients achieve what's most important to them, all while giving you the opportunity to innovate, collaborate and grow.  
What you do every day helps people achieve and protect their financial goals. You'll have access to cutting\-edge tools, continuous learning programs, mentorship from experienced leaders, and a culture that values every voice and idea.  
**Job Overview**  
**Position Schedule:** Full\-Time  
This job posting is anticipated to remain open for 30 days, from 06\-Mar\-2026\. The posting may close early due to the volume of applicants.  
Product Manager \- Protection Products  
Are you energized by helping deliver product solutions and processes that support clients' financial wellness goals?  
Do you enjoy building strong partner relationships and contributing to business decisions?  
Are you looking for a role where you can collaborate across teams to enhance product experiences for clients and branch teams?  
If so, this Product Manager opportunity may be the right next step for you.  
Opportunity Overview  
The Protection Products area manages Edward Jones' protection product line, inclusive of life insurance, long‑term care, and disability income insurance and protection referral services. The team leads and coordinates the firm's protection product and distribution strategy, manages product and distribution partner relationships, and ensures branch teams have a consistent supply of high‑quality insurance solutions and external wholesaling support. Through innovation and deep subject‑matter expertise, the team ensures clients receive high‑quality product options that align with the firm's advice and guidance philosophy.  
The Product Manager plays a critical role in advancing this strategy through cross\-team collaboration, partner relationship management, and delivery of initiatives that enhance both branch team and client experiences.  
What You'll Do  
* Execute the firm's Protection strategy to ensure branch teams have high‑quality product solutions and support needed to help clients reach their financial goals.
* Design and develop innovative solutions by gathering insights, conducting advanced analysis, and collaborating with internal and external stakeholders.
* Actively manage partner relationships of moderate to high complexity, collaborating on business planning, shaping product design and portfolio decisions, resolving issues, and maintaining strong ongoing engagement with partner contacts.
* Ensure product literature and wholesaling support are effective, compliant, and aligned with key firm messages.
* Collaborate on the design, development, and execution of integrated platforms, systems, tools, and processes that enhance client and branch team experiences.
* Serve as a subject\-matter expert on assigned partner offerings, including features, pricing, benefits, and competitive positioning.
* Monitor tax, legal, and regulatory developments impacting the product line and help the team respond appropriately.
* Represent the product line through cross‑divisional initiatives, partner events, and additional team responsibilities such as recruiting, training, or wholesaler coordination.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**Hiring Minimum:** $101700  
**Hiring Maximum:** $173200  
Read More About Job Overview  
**Skills/Requirements**  
Position Requirements  
What Experience You'll Need  
* Bachelor's degree required; quantitative disciplines preferred (finance, economics, accounting, mathematics, engineering, actuarial science, etc.).
* Series 7, 66, and life/health license required within 12 months of hire.
* Progress toward an advanced degree or relevant industry designation(s) preferred.
* 7\+ years of relevant financial services experience, with insurance experience preferred.
Read More About Skills/Requirements  
**Awards \&amp; Accolades**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Read More About Awards \&amp; Accolades  
**About Us**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Edward Jones does not discriminate on the basis of race, color, gender, religion, national origin, age, disability, sexual orientation, pregnancy, veteran status, genetic information or any other basis prohibited by applicable law.  
\#LI\-HO</t>
        </is>
      </c>
    </row>
    <row r="5">
      <c r="A5" t="inlineStr">
        <is>
          <t>in-10b015ec2d9630e4</t>
        </is>
      </c>
      <c r="B5" t="inlineStr">
        <is>
          <t>Product Manager</t>
        </is>
      </c>
      <c r="C5" t="inlineStr">
        <is>
          <t>Edward Jones</t>
        </is>
      </c>
      <c r="D5" t="inlineStr">
        <is>
          <t>indeed</t>
        </is>
      </c>
      <c r="E5" t="inlineStr"/>
      <c r="F5" t="inlineStr"/>
      <c r="G5" t="inlineStr">
        <is>
          <t>St. Louis, MO, US</t>
        </is>
      </c>
      <c r="H5" s="1" t="n">
        <v>46086</v>
      </c>
      <c r="I5" t="inlineStr">
        <is>
          <t>**There's power in partnership.**  
Your passion. Our purpose. We can make an impact together. Join a team that empowers you to shape the future of client service. Everything we do is focused on helping clients achieve what's most important to them, all while giving you the opportunity to innovate, collaborate and grow.  
What you do every day helps people achieve and protect their financial goals. You'll have access to cutting\-edge tools, continuous learning programs, mentorship from experienced leaders, and a culture that values every voice and idea.  
**Job Overview**  
**Position Schedule:** Full\-Time  
This job posting is anticipated to remain open for 30 days, from 06\-Mar\-2026\. The posting may close early due to the volume of applicants.  
Product Manager \- Protection Products  
Are you energized by helping deliver product solutions and processes that support clients' financial wellness goals?  
Do you enjoy building strong partner relationships and contributing to business decisions?  
Are you looking for a role where you can collaborate across teams to enhance product experiences for clients and branch teams?  
If so, this Product Manager opportunity may be the right next step for you.  
Opportunity Overview  
The Protection Products area manages Edward Jones' protection product line, inclusive of life insurance, long‑term care, and disability income insurance and protection referral services. The team leads and coordinates the firm's protection product and distribution strategy, manages product and distribution partner relationships, and ensures branch teams have a consistent supply of high‑quality insurance solutions and external wholesaling support. Through innovation and deep subject‑matter expertise, the team ensures clients receive high‑quality product options that align with the firm's advice and guidance philosophy.  
The Product Manager plays a critical role in advancing this strategy through cross\-team collaboration, partner relationship management, and delivery of initiatives that enhance both branch team and client experiences.  
What You'll Do  
* Execute the firm's Protection strategy to ensure branch teams have high‑quality product solutions and support needed to help clients reach their financial goals.
* Design and develop innovative solutions by gathering insights, conducting advanced analysis, and collaborating with internal and external stakeholders.
* Actively manage partner relationships of moderate to high complexity, collaborating on business planning, shaping product design and portfolio decisions, resolving issues, and maintaining strong ongoing engagement with partner contacts.
* Ensure product literature and wholesaling support are effective, compliant, and aligned with key firm messages.
* Collaborate on the design, development, and execution of integrated platforms, systems, tools, and processes that enhance client and branch team experiences.
* Serve as a subject\-matter expert on assigned partner offerings, including features, pricing, benefits, and competitive positioning.
* Monitor tax, legal, and regulatory developments impacting the product line and help the team respond appropriately.
* Represent the product line through cross‑divisional initiatives, partner events, and additional team responsibilities such as recruiting, training, or wholesaler coordination.
Edward Jones' compensation and benefits package includes medical and prescription drug, dental, vision, voluntary benefits (such as accident, hospital indemnity, and critical illness), short\- and long\-term disability, basic life, and basic AD\&amp;D coverage. Short\- and long\-term disability, basic life, and basic AD\&amp;D coverage are provided at no cost to associates. Edward Jones offers a 401k retirement plan, and tax\-advantaged accounts: health savings account, and flexible spending account. Edward Jones observes ten paid holidays and provides 15 days of vacation for new associates beginning on January 1 of each year, as well as sick time, personal days, and a paid day for volunteerism. Associates may be eligible for bonuses and profit sharing. All associates are eligible for the firm's Employee Assistance Program. For more information on the Benefits available to Edward Jones associates, please visit our benefits page.  
**Hiring Minimum:** $101700  
**Hiring Maximum:** $173200  
Read More About Job Overview  
**Skills/Requirements**  
Position Requirements  
What Experience You'll Need  
* Bachelor's degree required; quantitative disciplines preferred (finance, economics, accounting, mathematics, engineering, actuarial science, etc.).
* Series 7, 66, and life/health license required within 12 months of hire.
* Progress toward an advanced degree or relevant industry designation(s) preferred.
* 7\+ years of relevant financial services experience, with insurance experience preferred.
Read More About Skills/Requirements  
**Awards \&amp; Accolades**  
At Edward Jones, we are building a place where everyone feels like they belong. We're proud of our associates' contributions to the firm and the recognitions we have received.  
Check out our U.S. awards and accolades: Insights \&amp; Information Blog Postings about Edward Jones  
Check out our Canadian awards and accolades: Insights \&amp; Information Blog Postings about Edward Jones  
Read More About Awards \&amp; Accolades  
**About Us**  
Join a financial services firm where your contributions are valued. Edward Jones is a Fortune 500¹ company where people come first. With over 9 million clients and 20,000 financial advisors across the U.S. and Canada, we're proud to be privately\-owned, placing the focus on our clients rather than shareholder returns.  
Behind everything we do is our purpose: We partner for positive impact to improve the lives of our clients and colleagues, and together, better our communities and society. We are an innovative, flexible, and inclusive organization that attracts, develops, and inspires performance excellence and a sense of belonging.
People are at the center of our partnership. Edward Jones associates are seen, heard, respected, and supported. This is what we believe makes us the best place to start or build your career.
View our Purpose, Inclusion and Citizenship Report.  
¹Fortune 500, published June 2024, data as of December 2023\. Compensation provided for using, not obtaining, the rating.  
Edward Jones does not discriminate on the basis of race, color, gender, religion, national origin, age, disability, sexual orientation, pregnancy, veteran status, genetic information or any other basis prohibited by applicable law.  
\#LI\-HO</t>
        </is>
      </c>
    </row>
    <row r="6">
      <c r="A6" t="inlineStr">
        <is>
          <t>in-5bda7b12e0a1a2b3</t>
        </is>
      </c>
      <c r="B6" t="inlineStr">
        <is>
          <t>Water Infrastructure Program Manager</t>
        </is>
      </c>
      <c r="C6" t="inlineStr">
        <is>
          <t>Arcadis</t>
        </is>
      </c>
      <c r="D6" t="inlineStr">
        <is>
          <t>indeed</t>
        </is>
      </c>
      <c r="E6" t="inlineStr"/>
      <c r="F6" t="inlineStr"/>
      <c r="G6" t="inlineStr">
        <is>
          <t>Los Angeles, CA, US</t>
        </is>
      </c>
      <c r="H6" s="1" t="n">
        <v>46086</v>
      </c>
      <c r="I6"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Arcadis is seeking an accomplished **Water Infrastructure** **Program Manager** to lead transformative water programs across the southwest. The role will also be critical in development and strategic positioning for a range of client programs. This includes 20\+ billion flagship initiatives aimed at enhancing southern California’s regional water resilience, sustainability, and public health by expanding potable reuse infrastructure and operations for a prominent municipal department.
The Program Manager will lead complex programs that involve multiple phases, each requiring detailed technical evaluation, siting studies, and rigorous environmental review to optimize water program delivery. The Program Manager will oversee all phases of planning, design, construction, stakeholder engagement, and delivery, ensuring alignment with regulatory requirements, budgetary constraints, and strategic objectives. Additionally, they will provide leadership to a large, multidisciplinary team and ensure successful delivery in alignment with client goals.
**Role Accountabilities:**
The Water Infrastructure Program Manager will lead the delivery of a large\-scale water infrastructure initiative, implementing best\-in\-class program management practices while developing and communicating a clear program vision, objectives, and roadmap. This role requires navigating a complex utility organization and fostering a collaborative, safety\-focused, and innovative team culture. Responsibilities include strategic planning across all project phases, aligning program goals with organizational priorities and sustainability targets, and integrating multiple workstreams for timely and budget\-conscious execution.
The Water Infrastructure Program Manager will build and mentor a multidisciplinary team, define roles and expectations, and promote a positive, high\-performance environment. Stakeholder engagement is key, with the manager serving as the primary liaison to clients, regulators, community groups, and partners, ensuring transparent communication and proactive issue resolution. Resource coordination involves optimizing personnel, funding, and technology across the program, identifying gaps, and implementing solutions. Performance management includes monitoring progress, managing risks, and establishing governance frameworks and KPIs for benchmarking. The role also champions continuous improvement by enhancing processes and integrating lessons learned, while maintaining robust reporting systems to provide timely updates and ensure accountability.
**Key Attributes:**
The ideal Water Infrastructure Program Manager brings extensive experience managing large complex infrastructure or water sector programs with a strong background in environmental impact assessments, permitting, and regulatory compliance across federal, state, and local levels. You are well\-versed in digital project management tools, real\-time monitoring systems, and data\-driven decision\-making. With expert knowledge of program management methodologies, you demonstrate superior leadership, communication, and stakeholder engagement skills. Experience working with public sector clients or major municipal infrastructure projects is highly preferred. This leader excels in building consensus among diverse stakeholders—including regulatory agencies, municipal partners, elected officials, and community groups—and is adept at translating technical information for varied audiences. Proven success in managing large multidisciplinary teams and significant program budgets rounds out their profile.
**Qualifications \&amp; Experience:**
**Required Qualifications:**
* Bachelor’s degree in engineering, project management, or a related field
**Preferred Qualifications:**
* Advanced degree
* Professional Engineer (PE) license
* Project Management Professional (PMP) certification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20 days PTO that accrue per year. This position is eligible for participating in a company bonus program. The salary range for this position is $157,227\-$257,203\. Actual salaries will vary on several factors such as experience, education, budget, internal equity, project, and location.
\#Resilience\-ANA  
\#Water\-ANA  
\#LI\-RC2</t>
        </is>
      </c>
    </row>
    <row r="7">
      <c r="A7" t="inlineStr">
        <is>
          <t>in-57241f309dd02550</t>
        </is>
      </c>
      <c r="B7" t="inlineStr">
        <is>
          <t>Program Manager 3</t>
        </is>
      </c>
      <c r="C7" t="inlineStr">
        <is>
          <t>Northrop Grumman</t>
        </is>
      </c>
      <c r="D7" t="inlineStr">
        <is>
          <t>indeed</t>
        </is>
      </c>
      <c r="E7" t="inlineStr"/>
      <c r="F7" t="inlineStr"/>
      <c r="G7" t="inlineStr">
        <is>
          <t>Bossier City, LA, US</t>
        </is>
      </c>
      <c r="H7" s="1" t="n">
        <v>46085</v>
      </c>
      <c r="I7" t="inlineStr">
        <is>
          <t>RELOCATION ASSISTANCE: No relocation assistance available
CLEARANCE REQUIRED FOR START: Yes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Aeronautics Systems sector has an opening for **Program Manager 3** to join our team of qualified, diverse individuals in **Bossier City, LA.**
Primary interface between Northrop Grumman and Global Strike Command and other organizations at Barksdale AFB La. An understanding of US Government acquisition, budgeting and requirements processes is essential. Equally important is a thorough understanding of Global Strike Command's role as Air Force lead to develop and provide combat\-ready forces for deterrence and global strike operations in support of national security objectives. Maintains a continual liaison with all appropriate levels with the external and internal customer. The individual will assist the business areas as required with external customer priorities, initiatives and challenges. Arrange meetings/interactions both formal and informal between the appropriate level of customers to support the correct information exchange to win new business and keep our existing business sold. They will serve on capture, color and strategy teams to assist the business areas successfully achieve business objectives and priorities. Travel as necessary to other government/Northrop facilities to maintain customer contact and consistent messaging. Also, travel as necessary to support relevant training and business development activities.
The successful candidate must have a record of achieving successful outcomes by leading diverse technical teams, navigating internal processes, communicating with customers, creating a work environment that engages our employees, managing suppliers, bringing clarity and clear direction to ambiguous situations, excelling in the fundamentals of program management and perceptive use of predictive metrics.
Our Leaders at Northrop Grumman live our values daily and encourage our teams to do the same. **We do the right thing:** 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degree and 10 years of related experience as defined below **OR** a Masters degree and 8 years of related experience as defined below
	+ **OR** Bachelor of Science in STEM and 9 years of related experience as defined below
	+ **OR** Master of Science in STEM and 7 years of related experience as defined below
* Related experience includes professional and/or military experience to include a background in project management, program management, and operations
* Prior Project and/or Program Management experience
* Must have an active DoD Top Secret Clearance
* The ability to obtain/maintain Special Program Access within a reasonable amount of time as determined by business needs
* Experience in low observability tactics and technology, military strategy, and employment of low observable aircraft
**Preferred Qualifications**
* Special Program Access Clearance
* 20 years’ Air Force experience
* Detailed understanding of Air Force Global Strike Command's mission, responsibilities and processes
* Thorough knowledge of DoD military structure, plans, policies, strategies and budgeting process and programming for Deterrence Systems
* Working knowledge of weapons; current and future requirements
* Prior B\-2A Operations and or Maintenance experience
Primary Level Salary Range: $158,000\.00 \- $237,000\.00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8">
      <c r="A8" t="inlineStr">
        <is>
          <t>in-d3617ec7ac0d965c</t>
        </is>
      </c>
      <c r="B8" t="inlineStr">
        <is>
          <t>Program Manager 3</t>
        </is>
      </c>
      <c r="C8" t="inlineStr">
        <is>
          <t>Northrop Grumman</t>
        </is>
      </c>
      <c r="D8" t="inlineStr">
        <is>
          <t>indeed</t>
        </is>
      </c>
      <c r="E8" t="inlineStr"/>
      <c r="F8" t="inlineStr"/>
      <c r="G8" t="inlineStr">
        <is>
          <t>El Segundo, CA, US</t>
        </is>
      </c>
      <c r="H8" s="1" t="n">
        <v>46084</v>
      </c>
      <c r="I8" t="inlineStr">
        <is>
          <t>RELOCATION ASSISTANCE: Relocation assistance may be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**Program Manager 3** to join our team of qualified, diverse individuals within the F/A\-18, F\-5, T\-38, A\-10 Program Management organization. This leadership role is an **onsite** opportunity located in **El Segundo, CA**.
The Program Manager 3 will report to the F/A\-18, F\-5, T\-38, A\-10 Operating Unit Director and be responsible for managing the F/A\-18 Modifications portfolio, including Service Life Modification (SLM), Modification Line Site Support, and Retrofit Development and Kits. They will be responsible through all phases of program life cycle; proposal development, negotiation, startup, execution, and completion (contract closeout). This individual will lead a cross\-functional organization aligned to common program performance goals. The primary objective will be the delivery of all contractual requirements on cost and on schedule, while achieving all technical requirements and creating customer intimacy to support value creation strategies and actions.
We offer flexible work arrangements, 9/80 work schedule with every other Friday off, phenomenal learning opportunities, exposure to a wide variety of projects and customers, and a very friendly team environment. We are looking for self\-motivated, proactive, and goal\-oriented people to help us grow our services and become even better at what we do.
Our Leaders at Northrop Grumman live our values daily and encourage our teams to do the same. **We do the right thing:** 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**Key Responsibilities**
Primary responsibilities are included but not limited to:
* Leading cross\-function Integrated Program Teams (IPTs) to meet program cost, schedule and technical performance objectives
* Development and adherence to budget baselines utilizing Earned Value Management (EVM)
* Cultivating customer relationships and intimacy to develop future opportunities within the customer community
* Managing suppliers to meet program and customer objectives
* Measuring and reporting program performance during Program Management Reviews
* Conducting risk, issue and opportunity management practices including identification, mitigation and realization
* Driving common process improvements within scope of business to improve supplier and program performance
**Basic Qualifications**
* Bachelors degree and 10 years of related experience as defined below **OR** a Masters degree and 8 years of related experience as defined below
	+ **OR** Bachelor of Science in STEM and 9 years of related experience as defined below
	+ **OR** Master of Science in STEM and 7 years of related experience as defined below
* Related experience includes professional and/or military experience to include a background in technical project management, program management, business management, global supply chain, engineering
* Must have previous experience leading/managing teams
* Must have knowledge of Earned Value Management
**Preferred Qualifications**
* Experience in engineering change proposal development and logistics support
* Experience in aircraft modification support with focus on engineering disposition of non\-conformances, material management, and touch labor support staffing
* Technical experience in the field of vehicle engineering
* Experience interfacing with external customers
* Experience managing suppliers and/or subcontracts
* Familiarity with existing Northrop Grumman AS processes
* Strong understanding of technical, cost and schedule impacts on a program
* Ability to apply knowledge of business and financial concepts to the benefit of program decisions and performance
* Ability to travel approximately 10% of the time
* Ability to obtain a secret security clearance (either existing or new application)
Primary Level Salary Range: $193,000\.00 \- $289,600\.00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
      <c r="A9" t="inlineStr">
        <is>
          <t>in-2805453ae220c3da</t>
        </is>
      </c>
      <c r="B9" t="inlineStr">
        <is>
          <t>Sr. Supply Chain Program Manager, Global Field Operations Supply Chain</t>
        </is>
      </c>
      <c r="C9" t="inlineStr">
        <is>
          <t>Amazon.com</t>
        </is>
      </c>
      <c r="D9" t="inlineStr">
        <is>
          <t>indeed</t>
        </is>
      </c>
      <c r="E9" t="inlineStr"/>
      <c r="F9" t="inlineStr"/>
      <c r="G9" t="inlineStr">
        <is>
          <t>Arlington, VA, US</t>
        </is>
      </c>
      <c r="H9" s="1" t="n">
        <v>46041</v>
      </c>
      <c r="I9"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0">
      <c r="A10" t="inlineStr">
        <is>
          <t>in-9a0bee0653c412a7</t>
        </is>
      </c>
      <c r="B10" t="inlineStr">
        <is>
          <t>Sr. Supply Chain Program Manager, Global Field Operations Supply Chain</t>
        </is>
      </c>
      <c r="C10" t="inlineStr">
        <is>
          <t>Amazon.com</t>
        </is>
      </c>
      <c r="D10" t="inlineStr">
        <is>
          <t>indeed</t>
        </is>
      </c>
      <c r="E10" t="inlineStr"/>
      <c r="F10" t="inlineStr"/>
      <c r="G10" t="inlineStr">
        <is>
          <t>Seattle, WA, US</t>
        </is>
      </c>
      <c r="H10" s="1" t="n">
        <v>46041</v>
      </c>
      <c r="I10" t="inlineStr">
        <is>
          <t>**DESCRIPTION**
---------------
Global Field Operations is a dynamic team within AWS that manages all cloud infrastructure deployments outside of AWS Data Centers. We are looking for the right individual who will continue the work of building supply chain processes that delight our diverse customer base. In the role, the Supply Chain PM will work with vendors, internal customers and peer teams to identify areas to improve, create high\-impact/large\-scope plans and drive execution of the plans. The Supply Chain PM has global impact in their work supporting customer deployments in over 60 countries around the world.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In this role, the PM will be responsible for the following:  
* Developing, and implementing, plans to improve the efficiency and scalability of the GFO supply chain
* Working with internal and external stakeholders to determine the root cause and resolution of problems, and proactively prevent future issues
* Document, and share, best practices for GFO supply chain
* Create robust standard work for their role, enabling program growth
A day in the life  
A typical day for a GFO Supply Chain PM consists of two parts:  
1\. Monitoring relevant metrics for their role to ensure seamless delivery for our customers. Where there are issues, they quickly react to contain and correct issues to prevent recurrence.  
2\. Building a roadmap to improve the processes they own to deliver better performance for our customers. This can come in many forms; from small process improvements to full\-scale redesigns.  
About the team  
The Global Field Operations (GFO) Supply Chain team manages all supply chain activities from hardware production through field spares. Within the team are also PMs that manage projects like integrating new programs into GFO, driving improved automation and coordinating with other teams on launching new types of hardware. Because of the breadth of GFO Supply Chain's responsibilities, our PMs have the opportunity to work on varied projects that challenge them to be creative to optimize processes for our customers.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Bachelor's degree in Supply Chain, Business, Engineering, or a related field
* 5\+ years of program, project or product management, or leading product implementation experience
* 8\+ years of data analysis using tools such as Excel, Pivot Tables, SQL, Tableau, or equivalent experience
* 8\+ years of high volume manufacturing operations or sourcing environments experience
* 5\+ years of 3rd party management (suppliers, logistics or similar)
**PREFERRED QUALIFICATIONS**
----------------------------
* Experience in data centers, infrastructure service providers, or related technology companies
* Experience in procurement practices working with engineering, supply chain and Tier 1 OEM partners
* Experience in global supply chain management, managing cross\-functional teams in a fast\-paced consumer electronics product company
* Experience in negotiations with global suppliers with a proven track record in cost reduction
* Experience practicing best\-in\-class procurement processes (category management, benchmarking, should\-cost models, RFX, reverse auction, contracting, or equivalent)
* Experience in global inventory management, including stocking levels logic, in\-bound / out\-bound, forecast creation and supplier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\- 147,900\.00 \- 200,100\.00 USD annually  
USA, VA, Herndon \- 147,900\.00 \- 200,100\.00 USD annually  
USA, WA, Bellevue \- 147,900\.00 \- 200,100\.00 USD annually  
USA, WA, Seattle \- 147,900\.00 \- 200,100\.00 USD annually</t>
        </is>
      </c>
    </row>
    <row r="11">
      <c r="A11" t="inlineStr">
        <is>
          <t>in-0afdc28b7a0df546</t>
        </is>
      </c>
      <c r="B11" t="inlineStr">
        <is>
          <t>Senior Product Manager-Tech , Fire TV - Partner-Branded TVs</t>
        </is>
      </c>
      <c r="C11" t="inlineStr">
        <is>
          <t>Amazon.com</t>
        </is>
      </c>
      <c r="D11" t="inlineStr">
        <is>
          <t>indeed</t>
        </is>
      </c>
      <c r="E11" t="inlineStr"/>
      <c r="F11" t="inlineStr"/>
      <c r="G11" t="inlineStr">
        <is>
          <t>Minneapolis, MN, US</t>
        </is>
      </c>
      <c r="H11" s="1" t="n">
        <v>46036</v>
      </c>
      <c r="I11"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12">
      <c r="A12" t="inlineStr">
        <is>
          <t>in-d8527797071e0cbb</t>
        </is>
      </c>
      <c r="B12" t="inlineStr">
        <is>
          <t>Senior Product Manager-Tech , Fire TV - Partner-Branded TVs</t>
        </is>
      </c>
      <c r="C12" t="inlineStr">
        <is>
          <t>Amazon.com</t>
        </is>
      </c>
      <c r="D12" t="inlineStr">
        <is>
          <t>indeed</t>
        </is>
      </c>
      <c r="E12" t="inlineStr"/>
      <c r="F12" t="inlineStr"/>
      <c r="G12" t="inlineStr">
        <is>
          <t>Austin, TX, US</t>
        </is>
      </c>
      <c r="H12" s="1" t="n">
        <v>46036</v>
      </c>
      <c r="I12"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13">
      <c r="A13" t="inlineStr">
        <is>
          <t>in-4dc58fb8312f203d</t>
        </is>
      </c>
      <c r="B13" t="inlineStr">
        <is>
          <t>Principal Product Manager - Tech, Personalization and Discovery Systems, Fire TV Experience</t>
        </is>
      </c>
      <c r="C13" t="inlineStr">
        <is>
          <t>Amazon.com</t>
        </is>
      </c>
      <c r="D13" t="inlineStr">
        <is>
          <t>indeed</t>
        </is>
      </c>
      <c r="E13" t="inlineStr"/>
      <c r="F13" t="inlineStr"/>
      <c r="G13" t="inlineStr">
        <is>
          <t>Sunnyvale, CA, US</t>
        </is>
      </c>
      <c r="H13" s="1" t="n">
        <v>46032</v>
      </c>
      <c r="I13"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14">
      <c r="A14" t="inlineStr">
        <is>
          <t>in-214782577dc0489e</t>
        </is>
      </c>
      <c r="B14" t="inlineStr">
        <is>
          <t>Principal Product Manager - Tech, Personalization and Discovery Systems, Fire TV Experience</t>
        </is>
      </c>
      <c r="C14" t="inlineStr">
        <is>
          <t>Amazon.com</t>
        </is>
      </c>
      <c r="D14" t="inlineStr">
        <is>
          <t>indeed</t>
        </is>
      </c>
      <c r="E14" t="inlineStr"/>
      <c r="F14" t="inlineStr"/>
      <c r="G14" t="inlineStr">
        <is>
          <t>Seattle, WA, US</t>
        </is>
      </c>
      <c r="H14" s="1" t="n">
        <v>46032</v>
      </c>
      <c r="I14"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15">
      <c r="A15" t="inlineStr">
        <is>
          <t>in-0dedf45421844f96</t>
        </is>
      </c>
      <c r="B15" t="inlineStr">
        <is>
          <t>Sr Program Manager, Devices Trade Compliance</t>
        </is>
      </c>
      <c r="C15" t="inlineStr">
        <is>
          <t>Amazon.com</t>
        </is>
      </c>
      <c r="D15" t="inlineStr">
        <is>
          <t>indeed</t>
        </is>
      </c>
      <c r="E15" t="inlineStr"/>
      <c r="F15" t="inlineStr"/>
      <c r="G15" t="inlineStr">
        <is>
          <t>Sunnyvale, CA, US</t>
        </is>
      </c>
      <c r="H15" s="1" t="n">
        <v>46030</v>
      </c>
      <c r="I15"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16">
      <c r="A16" t="inlineStr">
        <is>
          <t>in-e91bb99f826ec689</t>
        </is>
      </c>
      <c r="B16" t="inlineStr">
        <is>
          <t>Sr Program Manager, Devices Trade Compliance</t>
        </is>
      </c>
      <c r="C16" t="inlineStr">
        <is>
          <t>Amazon.com</t>
        </is>
      </c>
      <c r="D16" t="inlineStr">
        <is>
          <t>indeed</t>
        </is>
      </c>
      <c r="E16" t="inlineStr"/>
      <c r="F16" t="inlineStr"/>
      <c r="G16" t="inlineStr">
        <is>
          <t>Seattle, WA, US</t>
        </is>
      </c>
      <c r="H16" s="1" t="n">
        <v>46030</v>
      </c>
      <c r="I16"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17">
      <c r="A17" t="inlineStr">
        <is>
          <t>in-00eaf798a237908f</t>
        </is>
      </c>
      <c r="B17" t="inlineStr">
        <is>
          <t>Sr. Technical Program Manager , Prime Video Sports Linear and News</t>
        </is>
      </c>
      <c r="C17" t="inlineStr">
        <is>
          <t>Amazon.com</t>
        </is>
      </c>
      <c r="D17" t="inlineStr">
        <is>
          <t>indeed</t>
        </is>
      </c>
      <c r="E17" t="inlineStr"/>
      <c r="F17" t="inlineStr"/>
      <c r="G17" t="inlineStr">
        <is>
          <t>Arlington, VA, US</t>
        </is>
      </c>
      <c r="H17" s="1" t="n">
        <v>46030</v>
      </c>
      <c r="I17"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8">
      <c r="A18" t="inlineStr">
        <is>
          <t>in-bcad1a6098cd34e8</t>
        </is>
      </c>
      <c r="B18" t="inlineStr">
        <is>
          <t>Sr. Technical Program Manager , Prime Video Sports Linear and News</t>
        </is>
      </c>
      <c r="C18" t="inlineStr">
        <is>
          <t>Amazon.com</t>
        </is>
      </c>
      <c r="D18" t="inlineStr">
        <is>
          <t>indeed</t>
        </is>
      </c>
      <c r="E18" t="inlineStr"/>
      <c r="F18" t="inlineStr"/>
      <c r="G18" t="inlineStr">
        <is>
          <t>Culver City, CA, US</t>
        </is>
      </c>
      <c r="H18" s="1" t="n">
        <v>46030</v>
      </c>
      <c r="I18"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9">
      <c r="A19" t="inlineStr">
        <is>
          <t>in-12cfb3673bc866e6</t>
        </is>
      </c>
      <c r="B19" t="inlineStr">
        <is>
          <t>Sr. Technical Program Manager , Prime Video Sports Linear and News</t>
        </is>
      </c>
      <c r="C19" t="inlineStr">
        <is>
          <t>Amazon.com</t>
        </is>
      </c>
      <c r="D19" t="inlineStr">
        <is>
          <t>indeed</t>
        </is>
      </c>
      <c r="E19" t="inlineStr"/>
      <c r="F19" t="inlineStr"/>
      <c r="G19" t="inlineStr">
        <is>
          <t>Austin, TX, US</t>
        </is>
      </c>
      <c r="H19" s="1" t="n">
        <v>46030</v>
      </c>
      <c r="I19"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0">
      <c r="A20" t="inlineStr">
        <is>
          <t>in-a4a105100da1a940</t>
        </is>
      </c>
      <c r="B20" t="inlineStr">
        <is>
          <t>Sr. Technical Program Manager , Prime Video Sports Linear and News</t>
        </is>
      </c>
      <c r="C20" t="inlineStr">
        <is>
          <t>Amazon.com</t>
        </is>
      </c>
      <c r="D20" t="inlineStr">
        <is>
          <t>indeed</t>
        </is>
      </c>
      <c r="E20" t="inlineStr"/>
      <c r="F20" t="inlineStr"/>
      <c r="G20" t="inlineStr">
        <is>
          <t>Seattle, WA, US</t>
        </is>
      </c>
      <c r="H20" s="1" t="n">
        <v>46030</v>
      </c>
      <c r="I20"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21">
      <c r="A21" t="inlineStr">
        <is>
          <t>in-f99d300ce95e880b</t>
        </is>
      </c>
      <c r="B21" t="inlineStr">
        <is>
          <t>Sr. Product Manager - Technical, CS Intelligence, AWS Specialist and Partner Organization</t>
        </is>
      </c>
      <c r="C21" t="inlineStr">
        <is>
          <t>Amazon Web Services</t>
        </is>
      </c>
      <c r="D21" t="inlineStr">
        <is>
          <t>indeed</t>
        </is>
      </c>
      <c r="E21" t="inlineStr"/>
      <c r="F21" t="inlineStr"/>
      <c r="G21" t="inlineStr">
        <is>
          <t>San Francisco, CA, US</t>
        </is>
      </c>
      <c r="H21" s="1" t="n">
        <v>46002</v>
      </c>
      <c r="I21"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2">
      <c r="A22" t="inlineStr">
        <is>
          <t>in-827ead824dea5569</t>
        </is>
      </c>
      <c r="B22" t="inlineStr">
        <is>
          <t>Sr. Product Manager - Technical, CS Intelligence, AWS Specialist and Partner Organization</t>
        </is>
      </c>
      <c r="C22" t="inlineStr">
        <is>
          <t>Amazon Web Services</t>
        </is>
      </c>
      <c r="D22" t="inlineStr">
        <is>
          <t>indeed</t>
        </is>
      </c>
      <c r="E22" t="inlineStr"/>
      <c r="F22" t="inlineStr"/>
      <c r="G22" t="inlineStr">
        <is>
          <t>Mountain View, CA, US</t>
        </is>
      </c>
      <c r="H22" s="1" t="n">
        <v>46002</v>
      </c>
      <c r="I22"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3">
      <c r="A23" t="inlineStr">
        <is>
          <t>in-2b686e26f465bd5f</t>
        </is>
      </c>
      <c r="B23" t="inlineStr">
        <is>
          <t>Sr. Product Manager - Technical, CS Intelligence, AWS Specialist and Partner Organization</t>
        </is>
      </c>
      <c r="C23" t="inlineStr">
        <is>
          <t>Amazon Web Services</t>
        </is>
      </c>
      <c r="D23" t="inlineStr">
        <is>
          <t>indeed</t>
        </is>
      </c>
      <c r="E23" t="inlineStr"/>
      <c r="F23" t="inlineStr"/>
      <c r="G23" t="inlineStr">
        <is>
          <t>Seattle, WA, US</t>
        </is>
      </c>
      <c r="H23" s="1" t="n">
        <v>46002</v>
      </c>
      <c r="I23"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4">
      <c r="A24" t="inlineStr">
        <is>
          <t>in-03e7daaaf12cc439</t>
        </is>
      </c>
      <c r="B24" t="inlineStr">
        <is>
          <t>Sr. Product Manager - Technical, CS Intelligence, AWS Specialist and Partner Organization</t>
        </is>
      </c>
      <c r="C24" t="inlineStr">
        <is>
          <t>Amazon Web Services</t>
        </is>
      </c>
      <c r="D24" t="inlineStr">
        <is>
          <t>indeed</t>
        </is>
      </c>
      <c r="E24" t="inlineStr"/>
      <c r="F24" t="inlineStr"/>
      <c r="G24" t="inlineStr">
        <is>
          <t>Sunnyvale, CA, US</t>
        </is>
      </c>
      <c r="H24" s="1" t="n">
        <v>46002</v>
      </c>
      <c r="I24"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5">
      <c r="A25" t="inlineStr">
        <is>
          <t>in-8139ad6d2ea327bb</t>
        </is>
      </c>
      <c r="B25" t="inlineStr">
        <is>
          <t>Global Signage &amp; Wayfinding Designer Program Manager, Workplace Design &amp; Construction (WD&amp;C)</t>
        </is>
      </c>
      <c r="C25" t="inlineStr">
        <is>
          <t>Amazon.com</t>
        </is>
      </c>
      <c r="D25" t="inlineStr">
        <is>
          <t>indeed</t>
        </is>
      </c>
      <c r="E25" t="inlineStr"/>
      <c r="F25" t="inlineStr"/>
      <c r="G25" t="inlineStr">
        <is>
          <t>Arlington, VA, US</t>
        </is>
      </c>
      <c r="H25" s="1" t="n">
        <v>45998</v>
      </c>
      <c r="I25"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in-52d565c51db9db50</t>
        </is>
      </c>
      <c r="B26" t="inlineStr">
        <is>
          <t>Global Signage &amp; Wayfinding Designer Program Manager, Workplace Design &amp; Construction (WD&amp;C)</t>
        </is>
      </c>
      <c r="C26" t="inlineStr">
        <is>
          <t>Amazon.com</t>
        </is>
      </c>
      <c r="D26" t="inlineStr">
        <is>
          <t>indeed</t>
        </is>
      </c>
      <c r="E26" t="inlineStr"/>
      <c r="F26" t="inlineStr"/>
      <c r="G26" t="inlineStr">
        <is>
          <t>Seattle, WA, US</t>
        </is>
      </c>
      <c r="H26" s="1" t="n">
        <v>45998</v>
      </c>
      <c r="I26"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in-ad1ee08e058f8408</t>
        </is>
      </c>
      <c r="B27" t="inlineStr">
        <is>
          <t>Technical Infrastructure Program Manager, Data Center Planning &amp; Delivery</t>
        </is>
      </c>
      <c r="C27" t="inlineStr">
        <is>
          <t>Amazon.com</t>
        </is>
      </c>
      <c r="D27" t="inlineStr">
        <is>
          <t>indeed</t>
        </is>
      </c>
      <c r="E27" t="inlineStr"/>
      <c r="F27" t="inlineStr"/>
      <c r="G27" t="inlineStr">
        <is>
          <t>Seattle, WA, US</t>
        </is>
      </c>
      <c r="H27" s="1" t="n">
        <v>45995</v>
      </c>
      <c r="I27"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28">
      <c r="A28" t="inlineStr">
        <is>
          <t>in-c63fc2ce7a5244fb</t>
        </is>
      </c>
      <c r="B28" t="inlineStr">
        <is>
          <t>Technical Infrastructure Program Manager, Data Center Planning &amp; Delivery</t>
        </is>
      </c>
      <c r="C28" t="inlineStr">
        <is>
          <t>Amazon.com</t>
        </is>
      </c>
      <c r="D28" t="inlineStr">
        <is>
          <t>indeed</t>
        </is>
      </c>
      <c r="E28" t="inlineStr"/>
      <c r="F28" t="inlineStr"/>
      <c r="G28" t="inlineStr">
        <is>
          <t>Berwick, PA, US</t>
        </is>
      </c>
      <c r="H28" s="1" t="n">
        <v>45995</v>
      </c>
      <c r="I28"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29">
      <c r="A29" t="inlineStr">
        <is>
          <t>in-9113a57be32b93c1</t>
        </is>
      </c>
      <c r="B29" t="inlineStr">
        <is>
          <t>Technical Infrastructure Program Manager, Data Center Planning &amp; Delivery</t>
        </is>
      </c>
      <c r="C29" t="inlineStr">
        <is>
          <t>Amazon.com</t>
        </is>
      </c>
      <c r="D29" t="inlineStr">
        <is>
          <t>indeed</t>
        </is>
      </c>
      <c r="E29" t="inlineStr"/>
      <c r="F29" t="inlineStr"/>
      <c r="G29" t="inlineStr">
        <is>
          <t>Herndon, VA, US</t>
        </is>
      </c>
      <c r="H29" s="1" t="n">
        <v>45995</v>
      </c>
      <c r="I29"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30">
      <c r="A30" t="inlineStr">
        <is>
          <t>in-bfe99ecd173f7347</t>
        </is>
      </c>
      <c r="B30" t="inlineStr">
        <is>
          <t>Senior Product Manager, Ads</t>
        </is>
      </c>
      <c r="C30" t="inlineStr">
        <is>
          <t>Amazon.com</t>
        </is>
      </c>
      <c r="D30" t="inlineStr">
        <is>
          <t>indeed</t>
        </is>
      </c>
      <c r="E30" t="inlineStr"/>
      <c r="F30" t="inlineStr"/>
      <c r="G30" t="inlineStr">
        <is>
          <t>Los Angeles, CA, US</t>
        </is>
      </c>
      <c r="H30" s="1"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in-df7b9059895002bc</t>
        </is>
      </c>
      <c r="B31" t="inlineStr">
        <is>
          <t>Senior Product Manager, Ads</t>
        </is>
      </c>
      <c r="C31" t="inlineStr">
        <is>
          <t>Amazon.com</t>
        </is>
      </c>
      <c r="D31" t="inlineStr">
        <is>
          <t>indeed</t>
        </is>
      </c>
      <c r="E31" t="inlineStr"/>
      <c r="F31" t="inlineStr"/>
      <c r="G31" t="inlineStr">
        <is>
          <t>San Francisco, CA, US</t>
        </is>
      </c>
      <c r="H31" s="1"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in-243085b7ec6625f9</t>
        </is>
      </c>
      <c r="B32" t="inlineStr">
        <is>
          <t>Senior Product Manager, Ads</t>
        </is>
      </c>
      <c r="C32" t="inlineStr">
        <is>
          <t>Amazon.com</t>
        </is>
      </c>
      <c r="D32" t="inlineStr">
        <is>
          <t>indeed</t>
        </is>
      </c>
      <c r="E32" t="inlineStr"/>
      <c r="F32" t="inlineStr"/>
      <c r="G32" t="inlineStr">
        <is>
          <t>Irvine, CA, US</t>
        </is>
      </c>
      <c r="H32" s="1"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in-c930cc5224c8244e</t>
        </is>
      </c>
      <c r="B33" t="inlineStr">
        <is>
          <t>Senior Product Manager, Ads</t>
        </is>
      </c>
      <c r="C33" t="inlineStr">
        <is>
          <t>Amazon.com</t>
        </is>
      </c>
      <c r="D33" t="inlineStr">
        <is>
          <t>indeed</t>
        </is>
      </c>
      <c r="E33" t="inlineStr"/>
      <c r="F33" t="inlineStr"/>
      <c r="G33" t="inlineStr">
        <is>
          <t>Seattle, WA, US</t>
        </is>
      </c>
      <c r="H33" s="1"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in-f8c3fd05f9da7602</t>
        </is>
      </c>
      <c r="B34" t="inlineStr">
        <is>
          <t>Senior Product Manager, Ads</t>
        </is>
      </c>
      <c r="C34" t="inlineStr">
        <is>
          <t>Amazon.com</t>
        </is>
      </c>
      <c r="D34" t="inlineStr">
        <is>
          <t>indeed</t>
        </is>
      </c>
      <c r="E34" t="inlineStr"/>
      <c r="F34" t="inlineStr"/>
      <c r="G34" t="inlineStr">
        <is>
          <t>New York, NY, US</t>
        </is>
      </c>
      <c r="H34" s="1"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in-96a96a5b3689b59e</t>
        </is>
      </c>
      <c r="B35" t="inlineStr">
        <is>
          <t>Technical Program Manager - Music Growth Tech, Amazon Music Marketing and Growth Tech</t>
        </is>
      </c>
      <c r="C35" t="inlineStr">
        <is>
          <t>Amazon.com</t>
        </is>
      </c>
      <c r="D35" t="inlineStr">
        <is>
          <t>indeed</t>
        </is>
      </c>
      <c r="E35" t="inlineStr"/>
      <c r="F35" t="inlineStr"/>
      <c r="G35" t="inlineStr">
        <is>
          <t>Culver City, CA, US</t>
        </is>
      </c>
      <c r="H35" s="1" t="n">
        <v>45988</v>
      </c>
      <c r="I35"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36">
      <c r="A36" t="inlineStr">
        <is>
          <t>in-91c05d7571d1d8a1</t>
        </is>
      </c>
      <c r="B36" t="inlineStr">
        <is>
          <t>Technical Program Manager - Music Growth Tech, Amazon Music Marketing and Growth Tech</t>
        </is>
      </c>
      <c r="C36" t="inlineStr">
        <is>
          <t>Amazon.com</t>
        </is>
      </c>
      <c r="D36" t="inlineStr">
        <is>
          <t>indeed</t>
        </is>
      </c>
      <c r="E36" t="inlineStr"/>
      <c r="F36" t="inlineStr"/>
      <c r="G36" t="inlineStr">
        <is>
          <t>Seattle, WA, US</t>
        </is>
      </c>
      <c r="H36" s="1" t="n">
        <v>45988</v>
      </c>
      <c r="I36"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37">
      <c r="A37" t="inlineStr">
        <is>
          <t>in-ec288a6de6092b15</t>
        </is>
      </c>
      <c r="B37" t="inlineStr">
        <is>
          <t>Sr. Technical Program Manager, ASIC</t>
        </is>
      </c>
      <c r="C37" t="inlineStr">
        <is>
          <t>Amazon.com</t>
        </is>
      </c>
      <c r="D37" t="inlineStr">
        <is>
          <t>indeed</t>
        </is>
      </c>
      <c r="E37" t="inlineStr"/>
      <c r="F37" t="inlineStr"/>
      <c r="G37" t="inlineStr">
        <is>
          <t>Sunnyvale, CA, US</t>
        </is>
      </c>
      <c r="H37" s="1" t="n">
        <v>45986</v>
      </c>
      <c r="I37"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in-35f00271b8535d4e</t>
        </is>
      </c>
      <c r="B38" t="inlineStr">
        <is>
          <t>Sr. Technical Program Manager, ASIC</t>
        </is>
      </c>
      <c r="C38" t="inlineStr">
        <is>
          <t>Amazon.com</t>
        </is>
      </c>
      <c r="D38" t="inlineStr">
        <is>
          <t>indeed</t>
        </is>
      </c>
      <c r="E38" t="inlineStr"/>
      <c r="F38" t="inlineStr"/>
      <c r="G38" t="inlineStr">
        <is>
          <t>Redmond, WA, US</t>
        </is>
      </c>
      <c r="H38" s="1" t="n">
        <v>45986</v>
      </c>
      <c r="I38"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team is looking for a Sr. Technical Program Manager with experience in complex ASIC/SOC development of managing various phases of pre\-silicon such as architecture, front end design, pre\-silicon verification, FPGA prototyping, Emulation, Physical design, BROM, FW, substrate and package design, Tapeout; and post\-silicon phases such as silicon manufacturing with foundry and OSAT, silicon bring\-up, functional and system validation, embedded FW/SW, ATE, Reliability, Qual, and NPI. The role will interface with cross\-functional engineering and program/product management teams to develop ASIC/SOCs solutions that will go into Satellites and Ground equipment/terminals. Join us and make a difference in the lives of people around the world.  
Key job responsibilities  
Key job responsibilities  
In this role you will:  
* Collaborate with engineering leaders (ASIC/SOC leads) to create project execution plans for ASIC/SOC development considering all criteria to design products the meet the power/performance and functional specs for all use conditions.
* Work with ASIC, communication system, EE, and software teams to define ASIC bring\-up readiness and test plans.
* Work with product/program management lead to ensure that ASIC/SOC development meets schedule, cost, and quality requirements.
* Drive engineering project execution, make technical trade\-off recommendations, understand the technical challenges, enable solutions, track and report on status, and resolve blocking issues.
* Collaborate with Architecture, hardware, software, firmware, packaging and PCB teams on ensuring cross\-functional deliverables are identified and tracked.
* Work with external IP, Fabs, OSAT silicon services and partners to complete the execution of projects in time.
Export Control Requirement:  
Due to applicable export control laws and regulations, candidates must be a U.S. citizen or national, U.S. permanent resident (i.e., current Green Card holder), or lawfully admitted into the U.S. as a refugee or granted asylum.  
A day in the life  
You must be fully competent in a variety of project management tools, SOC/IP design methodologies and techniques for all phases of the project life\-cycle and exhibit demonstrated proficiency in core project management disciplines including scope, schedule, budget, resources, quality and risk management, reporting and metric development/tracking. In addition, the candidate needs to drive ASIC bring\-up readiness (HW/SW) and ASIC bring\-up plan. Lastly, the candidate should have the experience of working through the various design phases of Silicon development from architecture definition, RTL design, Verification, IP design, Physical design, silicon bring up, test, characterization, quality, reliability and post silicon management.  
About the team**BASIC QUALIFICATIONS**
------------------------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in-c5fec87e08898d52</t>
        </is>
      </c>
      <c r="B39" t="inlineStr">
        <is>
          <t>Sr. Product Manager</t>
        </is>
      </c>
      <c r="C39" t="inlineStr">
        <is>
          <t>Amazon.com</t>
        </is>
      </c>
      <c r="D39" t="inlineStr">
        <is>
          <t>indeed</t>
        </is>
      </c>
      <c r="E39" t="inlineStr"/>
      <c r="F39" t="inlineStr"/>
      <c r="G39" t="inlineStr">
        <is>
          <t>Seattle, WA, US</t>
        </is>
      </c>
      <c r="H39" s="1" t="n">
        <v>45979</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in-15499100b7d0b65c</t>
        </is>
      </c>
      <c r="B40" t="inlineStr">
        <is>
          <t>Sr. Product Manager</t>
        </is>
      </c>
      <c r="C40" t="inlineStr">
        <is>
          <t>Amazon.com</t>
        </is>
      </c>
      <c r="D40" t="inlineStr">
        <is>
          <t>indeed</t>
        </is>
      </c>
      <c r="E40" t="inlineStr"/>
      <c r="F40" t="inlineStr"/>
      <c r="G40" t="inlineStr">
        <is>
          <t>San Francisco, CA, US</t>
        </is>
      </c>
      <c r="H40" s="1" t="n">
        <v>45979</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in-f802d704b45fc2f8</t>
        </is>
      </c>
      <c r="B41" t="inlineStr">
        <is>
          <t>Sr. Product Manager</t>
        </is>
      </c>
      <c r="C41" t="inlineStr">
        <is>
          <t>Amazon.com</t>
        </is>
      </c>
      <c r="D41" t="inlineStr">
        <is>
          <t>indeed</t>
        </is>
      </c>
      <c r="E41" t="inlineStr"/>
      <c r="F41" t="inlineStr"/>
      <c r="G41" t="inlineStr">
        <is>
          <t>Irvine, CA, US</t>
        </is>
      </c>
      <c r="H41" s="1" t="n">
        <v>45979</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in-8996b0d7ddd97030</t>
        </is>
      </c>
      <c r="B42" t="inlineStr">
        <is>
          <t>Sr. Product Manager</t>
        </is>
      </c>
      <c r="C42" t="inlineStr">
        <is>
          <t>Amazon.com</t>
        </is>
      </c>
      <c r="D42" t="inlineStr">
        <is>
          <t>indeed</t>
        </is>
      </c>
      <c r="E42" t="inlineStr"/>
      <c r="F42" t="inlineStr"/>
      <c r="G42" t="inlineStr">
        <is>
          <t>Los Angeles, CA, US</t>
        </is>
      </c>
      <c r="H42" s="1" t="n">
        <v>45979</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in-4336283150f46781</t>
        </is>
      </c>
      <c r="B43" t="inlineStr">
        <is>
          <t>Sr. Product Manager</t>
        </is>
      </c>
      <c r="C43" t="inlineStr">
        <is>
          <t>Amazon.com</t>
        </is>
      </c>
      <c r="D43" t="inlineStr">
        <is>
          <t>indeed</t>
        </is>
      </c>
      <c r="E43" t="inlineStr"/>
      <c r="F43" t="inlineStr"/>
      <c r="G43" t="inlineStr">
        <is>
          <t>New York, NY, US</t>
        </is>
      </c>
      <c r="H43" s="1" t="n">
        <v>45979</v>
      </c>
      <c r="I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in-2ae22485ccf4fb6f</t>
        </is>
      </c>
      <c r="B44" t="inlineStr">
        <is>
          <t>Senior Program Manager, Content Design, Learning and Development</t>
        </is>
      </c>
      <c r="C44" t="inlineStr">
        <is>
          <t>Amazon.com</t>
        </is>
      </c>
      <c r="D44" t="inlineStr">
        <is>
          <t>indeed</t>
        </is>
      </c>
      <c r="E44" t="inlineStr"/>
      <c r="F44" t="inlineStr"/>
      <c r="G44" t="inlineStr">
        <is>
          <t>Bellevue, WA, US</t>
        </is>
      </c>
      <c r="H44" s="1" t="n">
        <v>45972</v>
      </c>
      <c r="I44"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5">
      <c r="A45" t="inlineStr">
        <is>
          <t>in-b17f55043a32e464</t>
        </is>
      </c>
      <c r="B45" t="inlineStr">
        <is>
          <t>Senior Program Manager, Content Design, Learning and Development</t>
        </is>
      </c>
      <c r="C45" t="inlineStr">
        <is>
          <t>Amazon.com</t>
        </is>
      </c>
      <c r="D45" t="inlineStr">
        <is>
          <t>indeed</t>
        </is>
      </c>
      <c r="E45" t="inlineStr"/>
      <c r="F45" t="inlineStr"/>
      <c r="G45" t="inlineStr">
        <is>
          <t>Nashville, TN, US</t>
        </is>
      </c>
      <c r="H45" s="1" t="n">
        <v>45972</v>
      </c>
      <c r="I45"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6">
      <c r="A46" t="inlineStr">
        <is>
          <t>in-60794ca06e6299ef</t>
        </is>
      </c>
      <c r="B46" t="inlineStr">
        <is>
          <t>Senior Program Manager, Content Design, Learning and Development</t>
        </is>
      </c>
      <c r="C46" t="inlineStr">
        <is>
          <t>Amazon.com</t>
        </is>
      </c>
      <c r="D46" t="inlineStr">
        <is>
          <t>indeed</t>
        </is>
      </c>
      <c r="E46" t="inlineStr"/>
      <c r="F46" t="inlineStr"/>
      <c r="G46" t="inlineStr">
        <is>
          <t>Arlington, VA, US</t>
        </is>
      </c>
      <c r="H46" s="1" t="n">
        <v>45972</v>
      </c>
      <c r="I46"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7">
      <c r="A47" t="inlineStr">
        <is>
          <t>in-4092a5564a3f29e8</t>
        </is>
      </c>
      <c r="B47" t="inlineStr">
        <is>
          <t>Program Manager, Executive Content and Programs, Global Executive Marketing</t>
        </is>
      </c>
      <c r="C47" t="inlineStr">
        <is>
          <t>Amazon Web Services</t>
        </is>
      </c>
      <c r="D47" t="inlineStr">
        <is>
          <t>indeed</t>
        </is>
      </c>
      <c r="E47" t="inlineStr"/>
      <c r="F47" t="inlineStr"/>
      <c r="G47" t="inlineStr">
        <is>
          <t>Arlington, VA, US</t>
        </is>
      </c>
      <c r="H47" s="1" t="n">
        <v>45970</v>
      </c>
      <c r="I4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in-ebc7fc75005538cb</t>
        </is>
      </c>
      <c r="B48" t="inlineStr">
        <is>
          <t>Program Manager, Executive Content and Programs, Global Executive Marketing</t>
        </is>
      </c>
      <c r="C48" t="inlineStr">
        <is>
          <t>Amazon Web Services</t>
        </is>
      </c>
      <c r="D48" t="inlineStr">
        <is>
          <t>indeed</t>
        </is>
      </c>
      <c r="E48" t="inlineStr"/>
      <c r="F48" t="inlineStr"/>
      <c r="G48" t="inlineStr">
        <is>
          <t>Seattle, WA, US</t>
        </is>
      </c>
      <c r="H48" s="1" t="n">
        <v>45970</v>
      </c>
      <c r="I4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in-9c9a0a5a0ded279f</t>
        </is>
      </c>
      <c r="B49" t="inlineStr">
        <is>
          <t>Sr Product Manager – Technical, Amazon Leo for Government</t>
        </is>
      </c>
      <c r="C49" t="inlineStr">
        <is>
          <t>Amazon.com</t>
        </is>
      </c>
      <c r="D49" t="inlineStr">
        <is>
          <t>indeed</t>
        </is>
      </c>
      <c r="E49" t="inlineStr"/>
      <c r="F49" t="inlineStr"/>
      <c r="G49" t="inlineStr">
        <is>
          <t>Arlington, VA, US</t>
        </is>
      </c>
      <c r="H49" s="1" t="n">
        <v>45951</v>
      </c>
      <c r="I4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in-d52b18b6336a8a24</t>
        </is>
      </c>
      <c r="B50" t="inlineStr">
        <is>
          <t>Sr Product Manager – Technical, Amazon Leo for Government</t>
        </is>
      </c>
      <c r="C50" t="inlineStr">
        <is>
          <t>Amazon.com</t>
        </is>
      </c>
      <c r="D50" t="inlineStr">
        <is>
          <t>indeed</t>
        </is>
      </c>
      <c r="E50" t="inlineStr"/>
      <c r="F50" t="inlineStr"/>
      <c r="G50" t="inlineStr">
        <is>
          <t>Redmond, WA, US</t>
        </is>
      </c>
      <c r="H50" s="1" t="n">
        <v>45951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in-991254c7883a1a0d</t>
        </is>
      </c>
      <c r="B51" t="inlineStr">
        <is>
          <t>Sr Product Manager – Technical, Amazon Leo for Government</t>
        </is>
      </c>
      <c r="C51" t="inlineStr">
        <is>
          <t>Amazon.com</t>
        </is>
      </c>
      <c r="D51" t="inlineStr">
        <is>
          <t>indeed</t>
        </is>
      </c>
      <c r="E51" t="inlineStr"/>
      <c r="F51" t="inlineStr"/>
      <c r="G51" t="inlineStr">
        <is>
          <t>El Segundo, CA, US</t>
        </is>
      </c>
      <c r="H51" s="1" t="n">
        <v>45951</v>
      </c>
      <c r="I5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in-7ec70d2356a60ab8</t>
        </is>
      </c>
      <c r="B52" t="inlineStr">
        <is>
          <t>Principal Product Manager-Tech, World Wide Grocery Store Tech</t>
        </is>
      </c>
      <c r="C52" t="inlineStr">
        <is>
          <t>Amazon.com</t>
        </is>
      </c>
      <c r="D52" t="inlineStr">
        <is>
          <t>indeed</t>
        </is>
      </c>
      <c r="E52" t="inlineStr"/>
      <c r="F52" t="inlineStr"/>
      <c r="G52" t="inlineStr">
        <is>
          <t>Austin, TX, US</t>
        </is>
      </c>
      <c r="H52" s="1" t="n">
        <v>45948</v>
      </c>
      <c r="I52"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3">
      <c r="A53" t="inlineStr">
        <is>
          <t>in-dbbc5a0eec89dc4f</t>
        </is>
      </c>
      <c r="B53" t="inlineStr">
        <is>
          <t>Principal Product Manager-Tech, World Wide Grocery Store Tech</t>
        </is>
      </c>
      <c r="C53" t="inlineStr">
        <is>
          <t>Amazon.com</t>
        </is>
      </c>
      <c r="D53" t="inlineStr">
        <is>
          <t>indeed</t>
        </is>
      </c>
      <c r="E53" t="inlineStr"/>
      <c r="F53" t="inlineStr"/>
      <c r="G53" t="inlineStr">
        <is>
          <t>Seattle, WA, US</t>
        </is>
      </c>
      <c r="H53" s="1" t="n">
        <v>45948</v>
      </c>
      <c r="I53"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4">
      <c r="A54" t="inlineStr">
        <is>
          <t>in-26169c62200b8662</t>
        </is>
      </c>
      <c r="B54" t="inlineStr">
        <is>
          <t>Sr. EHS Program Manager, Safety Learning and Development</t>
        </is>
      </c>
      <c r="C54" t="inlineStr">
        <is>
          <t>Amazon.com</t>
        </is>
      </c>
      <c r="D54" t="inlineStr">
        <is>
          <t>indeed</t>
        </is>
      </c>
      <c r="E54" t="inlineStr"/>
      <c r="F54" t="inlineStr"/>
      <c r="G54" t="inlineStr">
        <is>
          <t>Bellevue, WA, US</t>
        </is>
      </c>
      <c r="H54" s="1" t="n">
        <v>45910</v>
      </c>
      <c r="I5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in-1bb97b26abb2e2a9</t>
        </is>
      </c>
      <c r="B55" t="inlineStr">
        <is>
          <t>Sr. EHS Program Manager, Safety Learning and Development</t>
        </is>
      </c>
      <c r="C55" t="inlineStr">
        <is>
          <t>Amazon.com</t>
        </is>
      </c>
      <c r="D55" t="inlineStr">
        <is>
          <t>indeed</t>
        </is>
      </c>
      <c r="E55" t="inlineStr"/>
      <c r="F55" t="inlineStr"/>
      <c r="G55" t="inlineStr">
        <is>
          <t>Nashville, TN, US</t>
        </is>
      </c>
      <c r="H55" s="1" t="n">
        <v>45910</v>
      </c>
      <c r="I5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in-cf6aa744a3824666</t>
        </is>
      </c>
      <c r="B56" t="inlineStr">
        <is>
          <t>Principal Product Manager - Technical, Alexa Communications</t>
        </is>
      </c>
      <c r="C56" t="inlineStr">
        <is>
          <t>Amazon.com</t>
        </is>
      </c>
      <c r="D56" t="inlineStr">
        <is>
          <t>indeed</t>
        </is>
      </c>
      <c r="E56" t="inlineStr"/>
      <c r="F56" t="inlineStr"/>
      <c r="G56" t="inlineStr">
        <is>
          <t>Seattle, WA, US</t>
        </is>
      </c>
      <c r="H56" s="1" t="n">
        <v>45993</v>
      </c>
      <c r="I5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7">
      <c r="A57" t="inlineStr">
        <is>
          <t>in-e324091e24a1b3b4</t>
        </is>
      </c>
      <c r="B57" t="inlineStr">
        <is>
          <t>Principal Product Manager - Technical, Alexa Communications</t>
        </is>
      </c>
      <c r="C57" t="inlineStr">
        <is>
          <t>Amazon.com</t>
        </is>
      </c>
      <c r="D57" t="inlineStr">
        <is>
          <t>indeed</t>
        </is>
      </c>
      <c r="E57" t="inlineStr"/>
      <c r="F57" t="inlineStr"/>
      <c r="G57" t="inlineStr">
        <is>
          <t>Irvine, CA, US</t>
        </is>
      </c>
      <c r="H57" s="1" t="n">
        <v>45993</v>
      </c>
      <c r="I5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8">
      <c r="A58" t="inlineStr">
        <is>
          <t>in-c8a942873d257f05</t>
        </is>
      </c>
      <c r="B58" t="inlineStr">
        <is>
          <t>Principal Product Manager - Technical, Alexa Communications</t>
        </is>
      </c>
      <c r="C58" t="inlineStr">
        <is>
          <t>Amazon.com</t>
        </is>
      </c>
      <c r="D58" t="inlineStr">
        <is>
          <t>indeed</t>
        </is>
      </c>
      <c r="E58" t="inlineStr"/>
      <c r="F58" t="inlineStr"/>
      <c r="G58" t="inlineStr">
        <is>
          <t>Sunnyvale, CA, US</t>
        </is>
      </c>
      <c r="H58" s="1" t="n">
        <v>45993</v>
      </c>
      <c r="I5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9">
      <c r="A59" t="inlineStr">
        <is>
          <t>in-384f509b5a343a72</t>
        </is>
      </c>
      <c r="B59" t="inlineStr">
        <is>
          <t>Principal Product Manager - Tech, Recommender Systems, Prime Video Personalization &amp; Discovery</t>
        </is>
      </c>
      <c r="C59" t="inlineStr">
        <is>
          <t>Amazon.com</t>
        </is>
      </c>
      <c r="D59" t="inlineStr">
        <is>
          <t>indeed</t>
        </is>
      </c>
      <c r="E59" t="inlineStr"/>
      <c r="F59" t="inlineStr"/>
      <c r="G59" t="inlineStr">
        <is>
          <t>Seattle, WA, US</t>
        </is>
      </c>
      <c r="H59" s="1" t="n">
        <v>45753</v>
      </c>
      <c r="I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in-4941ed554ed11340</t>
        </is>
      </c>
      <c r="B60" t="inlineStr">
        <is>
          <t>Principal Product Manager - Tech, Recommender Systems, Prime Video Personalization &amp; Discovery</t>
        </is>
      </c>
      <c r="C60" t="inlineStr">
        <is>
          <t>Amazon.com</t>
        </is>
      </c>
      <c r="D60" t="inlineStr">
        <is>
          <t>indeed</t>
        </is>
      </c>
      <c r="E60" t="inlineStr"/>
      <c r="F60" t="inlineStr"/>
      <c r="G60" t="inlineStr">
        <is>
          <t>Washington, DC, US</t>
        </is>
      </c>
      <c r="H60" s="1" t="n">
        <v>45753</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in-7aeb3dfde556d0e5</t>
        </is>
      </c>
      <c r="B61" t="inlineStr">
        <is>
          <t>ABA Program Manager/Behavior Technician</t>
        </is>
      </c>
      <c r="C61" t="inlineStr">
        <is>
          <t>Comprehensive Care ABA</t>
        </is>
      </c>
      <c r="D61" t="inlineStr">
        <is>
          <t>indeed</t>
        </is>
      </c>
      <c r="E61">
        <f>HYPERLINK("https://www.indeed.com/viewjob?jk=7aeb3dfde556d0e5", "https://www.indeed.com/viewjob?jk=7aeb3dfde556d0e5")</f>
        <v/>
      </c>
      <c r="F61">
        <f>HYPERLINK("http://www.indeed.com/job/aba-program-managerbehavior-technician-7aeb3dfde556d0e5", "http://www.indeed.com/job/aba-program-managerbehavior-technician-7aeb3dfde556d0e5")</f>
        <v/>
      </c>
      <c r="G61" t="inlineStr">
        <is>
          <t>San Jose, CA, US</t>
        </is>
      </c>
      <c r="H61" s="2" t="n">
        <v>46088</v>
      </c>
      <c r="I61" t="inlineStr">
        <is>
          <t>Comprehensive Care ABA is a small, personable company that provides direct treatment to clients with a diagnosis of ASD. We are looking for an experienced Program Manager or Behavior Technician that is available to start part\-time and is willing to grow alongside us. The Program Manager/Behavior Technician must be energetic, warm, and fun to be around.
This is specifically for a part\-time position: Mon\-Fri Afternoons around after 3pm.
**Direct treatment responsibilities:**
The Program Manager/Behavior Technician will be responsible for providing direct ABA treatment to the client at their home/community. You will have a small caseload of clients to work with (start with 1 client), which gives you more opportunities to bond with the family.
**Requirements:**
* Experience in working with children (ages 3\-12\) with **autism** for at least one year
* Physically fit to move around, get up and down on the floor, and overall physical play with excitable children
* Driver's license with a functioning car
* Master's degree required for Program Manager
* Registered Behavior Technician is required. If you don't have one, you must be willing to obtain it within 90 days of hire.
**Benefits:**
* Behavior Technician pay starts at $28 per hour
* Program Manager pay starts at $40/hour depending on expertise and certification
* Raises are given every 6 months depending on client satisfaction/performance
Job Type: Part\-time
Pay: $28\.00 \- $40\.00 per hour
Benefits:
* Professional development assistance
Work Location: In person</t>
        </is>
      </c>
    </row>
    <row r="62">
      <c r="A62" t="inlineStr">
        <is>
          <t>in-a5e65a2887d20d67</t>
        </is>
      </c>
      <c r="B62" t="inlineStr">
        <is>
          <t>Technical Program Manager, Infrastructure Semiconductor</t>
        </is>
      </c>
      <c r="C62" t="inlineStr">
        <is>
          <t>Tesla</t>
        </is>
      </c>
      <c r="D62" t="inlineStr">
        <is>
          <t>indeed</t>
        </is>
      </c>
      <c r="E62">
        <f>HYPERLINK("https://www.indeed.com/viewjob?jk=a5e65a2887d20d67", "https://www.indeed.com/viewjob?jk=a5e65a2887d20d67")</f>
        <v/>
      </c>
      <c r="F62">
        <f>HYPERLINK("https://www.tesla.com/careers/search/job/263922?source=Indeed", "https://www.tesla.com/careers/search/job/263922?source=Indeed")</f>
        <v/>
      </c>
      <c r="G62" t="inlineStr">
        <is>
          <t>Austin, TX, US</t>
        </is>
      </c>
      <c r="H62" s="2" t="n">
        <v>46088</v>
      </c>
      <c r="I62" t="inlineStr">
        <is>
          <t>**What to Expect**
In this role, you'll own end\-to\-end program scoping—including multidisciplinary engineering integration, utility planning, and factory design/construction from concept through execution, ramp\-up, and production readiness. The ideal candidate brings a strong background in technical program management, semiconductor facility engineering, multidisciplinary design leadership, value engineering, capacity modeling, and cross\-functional execution for large\-scale programs.  
**What You'll Do*** Program approval and funding through executive alignment and business case development
* Own the plan of record, scope definition, approval, strategy, and execution for onsite/offsite technical infrastructure programs by integrating, negotiating, and aligning with key stakeholders including factory engineering, design teams, construction, procurement, finance, facilities operations, and project customers
* Oversee all project phases: conceptual/detailed design, permitting, EPC execution, tool installation (IQ/OQ/PQ), and production qualification
* Manage budgets, schedules, risks, and changes using tools like Primavera P6 or EVMS
* Coordinate large cross\-functional teams, vendors, contractors, and regulators for seamless delivery
* Communicate progress to C\-suite, resolve technical issues, and scale for future nodes
**What You'll Bring*** Degree in Electrical, Mechanical, Chemical, or Industrial Engineering
* 10\+ years in program/project management, including 5\+ years in semiconductor/high\-tech manufacturing
* Proven track record leading \&gt;$100M\+ capex projects with EPC experience
* Certifications: PMP or equivalent; strong in risk management, budgeting, and stakeholder alignment preferred
* Technical foundation in fab processes (litho, etch, dep) and infrastructure (cleanrooms, HVAC, ultrapure systems)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63">
      <c r="A63" t="inlineStr">
        <is>
          <t>in-7468806edffe8a08</t>
        </is>
      </c>
      <c r="B63" t="inlineStr">
        <is>
          <t>Part Time Program Manager</t>
        </is>
      </c>
      <c r="C63" t="inlineStr">
        <is>
          <t>WiseLite LLC</t>
        </is>
      </c>
      <c r="D63" t="inlineStr">
        <is>
          <t>indeed</t>
        </is>
      </c>
      <c r="E63">
        <f>HYPERLINK("https://www.indeed.com/viewjob?jk=7468806edffe8a08", "https://www.indeed.com/viewjob?jk=7468806edffe8a08")</f>
        <v/>
      </c>
      <c r="F63">
        <f>HYPERLINK("http://www.indeed.com/job/part-time-program-manager-7468806edffe8a08", "http://www.indeed.com/job/part-time-program-manager-7468806edffe8a08")</f>
        <v/>
      </c>
      <c r="G63" t="inlineStr">
        <is>
          <t>Hampton, VA, US</t>
        </is>
      </c>
      <c r="H63" s="2" t="n">
        <v>46088</v>
      </c>
      <c r="I63" t="inlineStr">
        <is>
          <t>**Job Summary**  
We are seeking an energetic and detail\-oriented Part Time Program Manager to lead and coordinate multiple projects within our organization. This role offers a dynamic opportunity to drive program development, implement process improvements, and ensure successful project execution across various teams. The ideal candidate will possess strong leadership skills, expertise in project management methodologies, and a passion for fostering continuous improvement. As a key contributor, you will manage project scopes, timelines, budgets, and stakeholder communication to deliver impactful results while supporting organizational goals.
**Duties**
* Lead the planning, execution, and closure of multiple projects within the program management lifecycle, ensuring alignment with organizational objectives.
* Facilitate requirements gathering sessions and develop comprehensive business process models to support project scope and deliverables.
* Apply Agile, Waterfall, or Lean Six Sigma methodologies to optimize project workflows and improve overall efficiency.
* Conduct root cause analysis and risk management activities to proactively address potential issues impacting project success.
* Manage project schedules using tools such as Jira, Microsoft Project, or Smartsheet; monitor progress through earned value management and scope management techniques.
* Collaborate with cross\-functional teams to develop program design strategies, implement process mapping initiatives, and support continuous improvement efforts like Kaizen.
* Oversee vendor management, contract negotiations, and resource allocation to ensure cost control and quality standards are met.
* Facilitate meetings with stakeholders at all levels to communicate project status, resolve conflicts, and negotiate priorities effectively.
* Utilize data analysis skills for performance measurement and reporting; prepare technical documentation and presentations for leadership review.
**Requirements**
* Proven experience supervising teams in a project or program management environment with a focus on IT infrastructure or business process improvement.
* Strong knowledge of project management methodologies including PMBOK, SAFe (Scaled Agile Framework), and PMP standards.
* Expertise in change management practices, requirements analysis, scope management, and risk mitigation strategies.
* Proficiency with project management software such as Jira, Trello, Confluence, SharePoint, Primavera P6 or similar tools.
* Familiarity with Lean Six Sigma principles, process management techniques, and tools like Visio or SAP for process modeling.
* Excellent organizational skills with the ability to manage multiple projects simultaneously while maintaining attention to detail.
* Exceptional communication skills for effective meeting facilitation, stakeholder engagement, and technical writing.
* Ability to analyze complex data sets using SAS or similar data collection tools; experience in vendor management is preferred.
* Demonstrated leadership qualities with the capacity to motivate teams and foster a collaborative work environment. Join us as a Part Time Program Manager and be part of an innovative team dedicated to delivering excellence through strategic project execution!
Job Type: Part\-time
Pay: $2,000\.00 \- $4,500\.00 per month
Work Location: In person</t>
        </is>
      </c>
    </row>
    <row r="64">
      <c r="A64" t="inlineStr">
        <is>
          <t>in-8afa10469fa08397</t>
        </is>
      </c>
      <c r="B64" t="inlineStr">
        <is>
          <t>Technical Program Manager – Factory Launch</t>
        </is>
      </c>
      <c r="C64" t="inlineStr">
        <is>
          <t>Foundation Robotics Labs Inc.</t>
        </is>
      </c>
      <c r="D64" t="inlineStr">
        <is>
          <t>indeed</t>
        </is>
      </c>
      <c r="E64">
        <f>HYPERLINK("https://www.indeed.com/viewjob?jk=8afa10469fa08397", "https://www.indeed.com/viewjob?jk=8afa10469fa08397")</f>
        <v/>
      </c>
      <c r="F64">
        <f>HYPERLINK("https://ats.rippling.com/foundation-robotics/jobs/48ff2bc6-1907-4cab-b792-c82df81e608e?jobSite=Indeed", "https://ats.rippling.com/foundation-robotics/jobs/48ff2bc6-1907-4cab-b792-c82df81e608e?jobSite=Indeed")</f>
        <v/>
      </c>
      <c r="G64" t="inlineStr">
        <is>
          <t>San Francisco, CA, US</t>
        </is>
      </c>
      <c r="H64" s="2" t="n">
        <v>46088</v>
      </c>
      <c r="I64" t="inlineStr">
        <is>
          <t>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**Who should join:**
* You like working in person with a team in San Francisco.
* You deeply believe that this is the most important mission for humanity and needs to happen yesterday.
* You are highly technical \- regardless of the role you are in. We are building technology; you need to understand technology well.
* You care about aesthetics and design inside out. If it's not the best product ever, it bothers you, and you need to “fix” it.
* You don't need someone to motivate you; you get things done**.**
As the **Technical Program Manager for Factory Launch**, you will own the execution of a new humanoid robot manufacturing plant—from facility readiness through production ramp and staged automation deployment.
You will coordinate engineering, operations, automation, and supply chain teams to bring the factory online and scale production quickly. The work is complex, fast\-paced, and highly cross\-functional. Success requires strong technical judgment, relentless execution, and the ability to solve problems in real time.
This role sits at the center of one of the most critical programs in the company: **bringing large\-scale humanoid robot manufacturing online.**
 **What You’ll Do**
### **Own Factory Launch Execution**
Lead the end\-to\-end execution of a new manufacturing plant launch, including:
* Factory readiness
* Equipment installation
* Production line bring\-up
* Pilot builds
* Production ramp
Develop and maintain the **master launch schedule** and drive teams to meet aggressive milestones.
### **Drive Cross\-Functional Alignment**
Coordinate work across multiple technical teams:
* Manufacturing Engineering
* Process / Industrial Engineering
* Automation \&amp; Controls
* Facilities Engineering
* Supply Chain
* Quality Engineering
* Operations
Ensure dependencies are managed and blockers are resolved quickly.
### **Enable Production Ramp**
Support the execution of the **production ramp plan**, including:
* Initial production launch
* Staged automation deployment
* Capacity expansion phases
Work closely with engineering and operations teams to ensure the manufacturing system reaches **stable, repeatable output**.
### **Manage Program Risk**
Identify program risks early and drive mitigation actions.
Maintain clear visibility of:
* Schedule
* Program risks
* Critical path activities
Launch readiness  
Communicate progress and risks to leadership with clarity and urgency.
### **Execute with Speed**
Factory launches involve ambiguity and constant change. You will be expected to:
* Make decisions quickly
* Solve complex problems cross\-functionally
Remove obstacles that slow execution  
**What We’re Looking For**
* 8\+ years of experience managing complex technical programs
* Strong understanding of **manufacturing systems or production engineering**
* Experience leading **large cross\-functional engineering programs**
* Ability to drive teams through ambiguity and aggressive timelines
Strong technical judgment combined with exceptional execution  
**Ideal Background**
* Manufacturing plant launches
* Robotics, EV, aerospace, or complex electromechanical products
* Automation deployment and production ramp
* Hardware development programs
 **Foundation Hardcore Requirements**
Foundation operates with a **hardcore execution culture**. This role requires individuals who are comfortable working in an environment where speed, ownership, and accountability are essential.
You must be someone who:
* Takes **full ownership of program outcomes**
* Moves fast and makes decisions with incomplete information
* Solves problems directly instead of escalating them
* Works effectively under pressure and tight deadlines
* Is willing to step outside defined roles to get the job done
* Prioritizes **execution and results over process**
This environment is demanding, but it enables us to move significantly faster than traditional manufacturing organizations.
**Benefits:**
We provide market standard benefits (health, vision, dental, 401k, etc.). Join us for the culture and the mission, not for the benefits.
**Salary**:
The annual compensation is expected to be between $145,000\+. Exact compensation may vary based on skills, experience, and location.</t>
        </is>
      </c>
    </row>
    <row r="65">
      <c r="A65" t="inlineStr">
        <is>
          <t>in-a06fe1195d59a9be</t>
        </is>
      </c>
      <c r="B65" t="inlineStr">
        <is>
          <t>Residential Program Manager</t>
        </is>
      </c>
      <c r="C65" t="inlineStr">
        <is>
          <t>HELPIN HANDS LLC</t>
        </is>
      </c>
      <c r="D65" t="inlineStr">
        <is>
          <t>indeed</t>
        </is>
      </c>
      <c r="E65">
        <f>HYPERLINK("https://www.indeed.com/viewjob?jk=a06fe1195d59a9be", "https://www.indeed.com/viewjob?jk=a06fe1195d59a9be")</f>
        <v/>
      </c>
      <c r="F65">
        <f>HYPERLINK("http://www.indeed.com/job/residential-program-manager-a06fe1195d59a9be", "http://www.indeed.com/job/residential-program-manager-a06fe1195d59a9be")</f>
        <v/>
      </c>
      <c r="G65" t="inlineStr">
        <is>
          <t>Maple Heights, OH, US</t>
        </is>
      </c>
      <c r="H65" s="2" t="n">
        <v>46088</v>
      </c>
      <c r="I65" t="inlineStr">
        <is>
          <t>Helpin Hands LLC is seeking a **strong, reliable** Residential Program Manager **/ Lead DSP** to oversee daily operations in our residential homes supporting individuals with developmental disabilities. This position requires **leadership experience, flexibility, professionalism, and a positive attitude**.
This is a **hands\-on management role** where you will work directly with both **clients and staff**, ensuring high\-quality care while maintaining compliance with **DODD regulations and agency policies**.
**Availability Requirement (Very Important)**
This role **requires OPEN availability**. Managers must be able to work **1st, 2nd, and 3rd shifts as needed**, including **weekends and holidays**, to ensure proper staffing coverage.
If you **do not have open availability**, please **do not apply**.
**Key Responsibilities**
* Supervise and support Direct Support Professionals (DSPs)
* Ensure staff follow all **DODD regulations and Helpin Hands policies**
* Assist with scheduling and shift coverage when necessary
* Administer and oversee **medication administration**
* Support individuals with daily living skills, hygiene, and community activities
* Maintain a safe, clean, and structured home environment
* Communicate with management regarding incidents, staffing issues, and client needs
* Ensure documentation is completed accurately and on time
**Minimum Requirements (All Required)**
✔ **Management or supervisory experience (REQUIRED)**  
✔ Valid **Driver’s License**  
✔ **Reliable personal vehicle** with insurance  
✔ **Medication Administration Certification**  
✔ **CPR / First Aid Certification**  
✔ **DODD required trainings**  
✔ Ability to **pass background check**  
✔ Experience working with individuals with developmental disabilities preferred
**What We Are Looking For**
* **Positive attitude and strong leadership skills**
* Professional, dependable, and organized
* Ability to manage staff and resolve problems effectively
* Strong communication and documentation skills
* Ability to remain calm and professional in challenging situations
**About Helpin Hands LLC**
Helpin Hands LLC provides **homecare and adult day support services** for individuals with developmental disabilities. Our mission is to support individuals in living **safe, independent, and meaningful lives** while providing high\-quality care and support.
**How to Apply**
Apply through **Indeed** or send your resume to:
**office@helpinhandsllc.com**
Pay: $18\.00 \- $20\.00 per hour
Benefits:
* 401(k)
* 401(k) matching
* Paid orientation
* Paid time off
Work Location: In person</t>
        </is>
      </c>
    </row>
    <row r="66">
      <c r="A66" t="inlineStr">
        <is>
          <t>in-9abef1b5e2e226e6</t>
        </is>
      </c>
      <c r="B66" t="inlineStr">
        <is>
          <t>Program Manager I - OPG/Age Wise*</t>
        </is>
      </c>
      <c r="C66" t="inlineStr">
        <is>
          <t>San Bernardino County</t>
        </is>
      </c>
      <c r="D66" t="inlineStr">
        <is>
          <t>indeed</t>
        </is>
      </c>
      <c r="E66">
        <f>HYPERLINK("https://www.indeed.com/viewjob?jk=9abef1b5e2e226e6", "https://www.indeed.com/viewjob?jk=9abef1b5e2e226e6")</f>
        <v/>
      </c>
      <c r="F66">
        <f>HYPERLINK("https://www.governmentjobs.com/careers/sanbernardino/jobs/5243657/program-manager-i-opg-age-wise", "https://www.governmentjobs.com/careers/sanbernardino/jobs/5243657/program-manager-i-opg-age-wise")</f>
        <v/>
      </c>
      <c r="G66" t="inlineStr">
        <is>
          <t>San Bernardino, CA, US</t>
        </is>
      </c>
      <c r="H66" s="2" t="n">
        <v>46087</v>
      </c>
      <c r="I66" t="inlineStr">
        <is>
          <t>**The Job**
-----------
The **Department of Aging and Adult Services \- Public Guardian** is recruiting for **Program Manager I\*** for the **Age Wise Program**. The **Age Wise Program** is a seven\-time national award\-winning behavioral health and wellness program that serves the older adult community throughout San Bernardino County. The **Program Manager** is responsible for managing a key program component and assisting in planning and organizing a comprehensive behavioral health program; preparing, monitoring and enforcing contracts with behavioral health service providers; and providing clinical and/or administrative supervision. ***A vacancy currently exists in the Department of Aging and Adult Services \- Public Guardian's Age Wise Program.*** *The resulting eligible list will only be used to fill vacancies within the Department of Aging and Adult Services \- Public Guardian.*
 **EXCELLENT BENEFITS**
To review job\-specific, benefits, refer to:**Summary of Benefits****Memorandum of Understanding (MOU)*** ***Official title:*** *Mental Health Program Manager I*.
For more detailed information, refer to the Mental Health Program Manager I job description.**CONDITIONS OF EMPLOYMENT**
**Background Investigation:** Applicants must pass a background investigation, which includes fingerprinting, credit check, and/or medical exam, prior to appointment.
**Travel:** Travelthroughout the County may be required. Employees may be required to make provision for transportation and to use personal vehicles (mileage reimbursement is available). At the time of hire, a valid California Class C driver license and proof of automobile liability insurance must be produced and maintained for the individual providing the transportation.
**License:** Position requires licensure as a Clinical Social Worker. Applicants must provide license information on the supplemental questionnaire to be considered.
**Training:** Incumbents must complete forty (40\) units of CA State Association of Public Administrators, Public Guardian, and Public Conservators training within a four (4\) year period.
**Sponsorship****:** Please note San Bernardino County is not able to consider candidates who will require visa sponsorship at the time of application or in the future.**Work Location:** Incumbents will be assigned to work at the Office of the Public Guardian (OPG) located at 686 E. Mill St. San Bernardino, CA 92415\-0647\. Office location may change due to space and department operational needs.  
**Minimum Requirements**
------------------------
**License:** Position requires licensure as a Licensed Clinical Social Worker (LCSW). *Applicants must provide license information on the supplemental questionnaire to be considered.*  
**\-AND\-**  
**Education**: Bachelor's degree or equivalent in behavioral or social science, healthcare administration, human services, public/business administration, legal studies, or related field of study.  
**\-AND\-**  
**Experience**: Two (2\) years of full\-time professional\-level administrative, clinical, and/or supervisory experience, **which includes** one (1\) year working within a mental health system with responsibilities in one or more of the following areas: development and monitoring of programs, policies and procedures; compliance/quality management; data/legislative analysis; monitoring contracts; or budget/fiscal administration. *Clerical* *and/or routine accounting experience is not considered qualifying.*  
*A Master's degree in a qualifying field may substitute for up to one (1\) year of the required experience, with one (1\) year of experience working within a mental health system.*
**Desired Qualifications**
--------------------------
The ideal candidate will possess a Master’s degree in a qualifying field and at least one (1\) year of experience supervising a behavioral health or other governmental program. The candidate should demonstrate public speaking experience, including preparing and delivering presentations to stakeholders. Excellent oral and written communication skills, strong management abilities, and knowledge of the public behavioral health system are highly desirable.
**Selection Process**
---------------------
There will be a **competitive evaluation** of qualifications based on the information provided in the application and the Supplemental Questionnaire. You are encouraged to include detailed descriptions of your qualifying experience and skills, as only the most highly qualified applicants will be referred to the Department.  
Please complete and submit the online employment application and supplemental questionnaire by **5:00pm, Friday, March 20, 2026**. *Resumes will not be accepted in lieu of the application and/or supplemental questionnaires.*  
To ensure timely and successful submission of your online application, please allow ample time to complete and submit your application before the posted filing deadline. Applicants will be automatically logged\-out if they have not submitted the application and all required materials prior to the posted deadline. Once your application has been successfully submitted you will receive an onscreen confirmation and an email. We recommend that you save and/or print these for your records.  
If you require **technical assistance**, please follow this link to review the Government Jobs online application guide, or contact their Toll\-Free Applicant Support line at (855\) 524\-5627\. Please note that Human Resources is not responsible for any issues or delays caused by the internet connection, computer or browser used to submit the application. **EEO/ADA:** San Bernardino County is an Equal Employment Opportunity (EEO)and Americans with Disabilities Act (ADA) compliant employer, committed to providing equal employment opportunity to all employees and applicants.  
**ADA Accommodation:** If you have a disability and require accommodations in the testing process, submit the Special Testing Accommodations Request Form within one week of a recruitment filing deadline.  
**Veterans’ Preference:** Eligible veterans and their spouse or widow(er) who are not current County employees may be awarded additional Veterans’ Preference points. For details and instructions on how to request these points, please refer to the Veterans' Preference Information.  
For more important details, **review the Applicant Information and County Employment Process**.</t>
        </is>
      </c>
    </row>
    <row r="67">
      <c r="A67" t="inlineStr">
        <is>
          <t>in-3df0769fb3ebda06</t>
        </is>
      </c>
      <c r="B67" t="inlineStr">
        <is>
          <t>Program Manager - Mobile Crisis Response Program</t>
        </is>
      </c>
      <c r="C67" t="inlineStr">
        <is>
          <t>A Village Youth &amp; Family Services</t>
        </is>
      </c>
      <c r="D67" t="inlineStr">
        <is>
          <t>indeed</t>
        </is>
      </c>
      <c r="E67">
        <f>HYPERLINK("https://www.indeed.com/viewjob?jk=3df0769fb3ebda06", "https://www.indeed.com/viewjob?jk=3df0769fb3ebda06")</f>
        <v/>
      </c>
      <c r="F67">
        <f>HYPERLINK("https://avyfs.bamboohr.com/careers/219?source=indeed&amp;src=indeed&amp;postedDate=2026-03-07", "https://avyfs.bamboohr.com/careers/219?source=indeed&amp;src=indeed&amp;postedDate=2026-03-07")</f>
        <v/>
      </c>
      <c r="G67" t="inlineStr">
        <is>
          <t>Richmond, VA, US</t>
        </is>
      </c>
      <c r="H67" s="2" t="n">
        <v>46087</v>
      </c>
      <c r="I67" t="inlineStr">
        <is>
          <t>Village Behavioral Health (VBH) is a licensed behavioral health organization providing residential facilities and mobile crisis intervention services. Our mission is rooted in the belief that "**it takes a village"** to foster healing, stability, and recovery. We are dedicated to delivering high\-quality, person\-centered, trauma\-informed care to individuals experiencing behavioral health crises throughout Region 4 of Virginia.
The **Program Manager \- Mobile Crisis Services** serves as a vital role to our Comprehensive Mobile Crisis Response Program overseeing compliance, documentation, staffing, SOP development and implementation, high\-risk escalations, and administrative support.
Hybrid \- In Office, Field, Remote
25\-50% Travel Required  
**Salary Range: 65,000 \- 70,000 USD (DOE)**
**Core Responsibilities:**
* Ensures all components of the Mobile Crisis Response Program meet compliance standards in accordance with federal/state laws, DBHDS licensing \&amp; contracting requirements, \&amp; agency policies.
* Provide supervision to program staff (licensed/non\-licensed professionals and interns) including interviewing, scheduling, training, performance evaluation, and coaching.
* Provide 24/7 on\-call support to MCR team.
* Develop, implement, and update crisis response procedures and safety protocols.
* Conduct trainings for new \&amp; existing employees on MCR program SOPs, resources \&amp; tools (including documentation, EHR systems, etc.)
* Develop \&amp; maintain a trauma\-informed care environment that adheres to agency overall objectives, standards, mission, \&amp; values.
* Collaborate with law enforcement, medical staff, regional CSBs, and community partners.
* Monitor response coverage, response times, and service quality to identity areas of opportunity.
* Partner with company stakeholders to identify risks, budget needs, trends, etc. for transparency and optimizing the effectiveness of business decisions.
* Lead recurring team meetings as a basis of communication for program updates, team goals/expectations, team building, etc.
* Develop strategy to expand program coverage areas and improve service delivery.
* Develop \&amp; maintain detailed recording systems for all components of the program's data for reporting and audit purposes.
* Contribute to overall development of policies and standard procedures to meet agency objectives and standards.
**Required Qualifications:**
* Master's degree in Human Service, Social Work, Psychology, or similar discipline.
* 6\+ years' experience in behavioral health crisis intervention field.
* 3\+ years' experience in leadership role within behavioral health field.
* Experience with Mobile Crisis Response programs.
* Ability to be on call 24/7 (with exclusion of PTO days)
* Expert working knowledge of behavioral health crisis intervention practices, federal/state laws, Commonwealth of Virginia DBHDS regulations, and HIPPA laws.
* Valid Driver's License with acceptable driving record and reliable transportation.
* Ability to be an agile team player and serve various functions of program demands.
* Proficient with Microsoft Office 365 and computer/mobile device functions
* Effective written and verbal communication skills amongst various demographics
* Ability to obtain CPR/First\-Aid Certificate, MCR Certificate, and Crisis De\-escalation Certificate
* Experience and/or ability to manage and train employees on EHR systems
**Preferred Qualifications:**
* 10\+ years in behavioral heath crisis intervention services
* 6\+ years leadership experience in behavioral health/crisis intervention field
We offer all full\-time employees the opportunity to enroll in our comprehensive benefits package (including medical, dental, and vision coverage, life insurance, \&amp; 401k), PTO including paid holidays, \&amp; professional development assistance.
Village Behavioral Health is an equal opportunity employer.</t>
        </is>
      </c>
    </row>
    <row r="68">
      <c r="A68" t="inlineStr">
        <is>
          <t>in-cde45d98bd7ae2b9</t>
        </is>
      </c>
      <c r="B68" t="inlineStr">
        <is>
          <t>Program Manager (Strategic Revenue Management)</t>
        </is>
      </c>
      <c r="C68" t="inlineStr">
        <is>
          <t>Nestlé USA</t>
        </is>
      </c>
      <c r="D68" t="inlineStr">
        <is>
          <t>indeed</t>
        </is>
      </c>
      <c r="E68">
        <f>HYPERLINK("https://www.indeed.com/viewjob?jk=cde45d98bd7ae2b9", "https://www.indeed.com/viewjob?jk=cde45d98bd7ae2b9")</f>
        <v/>
      </c>
      <c r="F68">
        <f>HYPERLINK("https://jobdetails.nestle.com/job/Bridgewater-Program-Manager-%28Strategic-Revenue-Management%29-NJ-08807/1291090401/?feedId=392933&amp;utm_source=Indeed", "https://jobdetails.nestle.com/job/Bridgewater-Program-Manager-%28Strategic-Revenue-Management%29-NJ-08807/1291090401/?feedId=392933&amp;utm_source=Indeed")</f>
        <v/>
      </c>
      <c r="G68" t="inlineStr">
        <is>
          <t>Bridgewater, NJ, US</t>
        </is>
      </c>
      <c r="H68" s="2" t="n">
        <v>46087</v>
      </c>
      <c r="I68" t="inlineStr">
        <is>
          <t>At Nestlé Health Science, we believe that nutrition, science, and wellness must merge, not collide. Here, we embrace the intrinsic connections of these three pillars, harnessing their collective strength to empower healthier lives. Our broad product portfolio includes renowned brands like Garden of Life®, Nature's Bounty®, Vital Proteins®, Orgain®, Nuun®, BOOST®, Carnation Breakfast Essentials®, Peptamen®, Compleat Organic Blends®, and more. We also have extensive pharmaceutical expertise, offering innovative medicines that aim to prevent, manage, and treat gastrointestinal and metabolic\-related diseases.
At Nestlé Health Science, we bring our best for better lives. Our people are challenged to bring fresh, diverse views and make bold moves to empower healthier lives through nutrition. We know brilliant ideas can come from anyone, anywhere. Here we embrace the entrepreneurial spirit and collaborate with teams that champion focused and forward thinking. We are committed to fostering professional growth and celebrating the achievements of our people along the way. We offer dynamic career paths, robust development, opportunities to learn from talented colleagues around the globe, and benefits that support physical, financial, and emotional wellbeing.
Join us to innovate for impact and reimagine the future of health and nutrition for patients and consumers.
 **POSITION OVERVIEW:**
The SRM Program Manager leads and coordinates complex, cross functional programs that deploy and mature SRM (Strategic Revenue Management) practices across the organization. This role ensures SRM initiatives are aligned with divisional and enterprise goals, driving measurable business outcomes through structured program leadership, data driven insights, and best in class change management.  
You will partner closely with commercial, brand, finance, and technical teams to embed SRM capabilities into business processes—supported by strong digital enablement and organizational adoption strategies. The ideal candidate brings deep program management experience, CPG acumen, and the ability to influence across diverse stakeholder groups. **KEY RESPONSIBITIES:*** Lead the planning, execution, and delivery of SRM programs, ensuring alignment with business objectives and SRM vision.
* Partner with the SRM Lead to define program scope, objectives, success metrics, and governance structures.
* Develop integrated program plans across multiple SRM projects including budgets, resources, timelines, and interdependencies.
* Maintain all project documentation, reporting, risks, and communication protocols.
* Establish strong governance frameworks, integrating agile practices where applicable.
* Partner with divisional leaders, brand/category teams, sales, finance, and other functions to ensure timely delivery of SRM projects.
* Facilitate collaboration between SRM, commercial, digital, and technical teams to embed SRM processes into workflows and operating models.
* Serve as the primary point of contact for all SRM program activities, ensuring consistent engagement and alignment.
* Oversee deployment of SRM levers across divisions and channels (Price, Promo, PPA, Mix/Assortment).
* Drive capability building by socializing SRM standards, frameworks, best practices, and digital tools.
* Monitor execution quality, refresh feedback loops, and drive post implementation optimization.
* Support SRM capability, brand initiatives, and digital tool adoption.
* Conduct deep analysis of SRM program performance and translate insights into actionable recommendations.
* Track, measure, and report financial impact of SRM initiatives—including KPIs, levers, and business drivers.
* Use data tools (Excel, PowerBI, analytics platforms) to support storytelling, decision making, and reporting.
* Lead change management activities to drive adoption of SRM methods, tools, and processes across commercial planning teams.
* Develop communication, stakeholder engagement, training, and readiness plans to support SRM deployment.
* Anticipate risks and resistance; design mitigation strategies to ensure sustained adoption.
* Conduct readiness assessments and adapt change plans based on feedback and effectiveness metrics.
* Facilitate workshops, training, and engagement sessions to build SRM awareness and capabilities.
* Mentor and develop team members and project teams to strengthen SRM, program, and change capabilities.
* Promote a culture of continuous improvement and operational excellence.
* Support the development of SRM\-related systems, digital solutions, and process enhancements.
 **EXPERIENCE AND EDUCATION REQUIREMENTS:*** At least 5 to 7 years of program management / project management experience in Consumer Packaged Goods or related industry is strongly preferred.
* Bachelor’s Degree in Business, Information Systems, or related field is required.
* PMP, Prosci, or other related certifications are preferred.
* Proven track record in leading complex, cross\-functional programs and managing multiple projects simultaneously.
* Strong commercial acumen, with experience in sales, marketing, or finance.
* Advanced analytical skills; ability to transform data and insights into compelling program strategies.
* Prior experience driving change management and organizational adoption in matrixed environments.
* Experience with Agile, PMP, or program management frameworks and tools (Excel, PowerBI, PowerPoint).
* Familiarity with syndicated, consumer, and financial data sources.
 **This position will be either a remote or hybrid role based on the selected candidate’s geographic location. Preference will be given to applicants who live within a commutable distance of Bridgewater, NJ.**  
The approximate pay range for this position is $105,000 to $140,000\. Please note that the pay range provided is a good faith estimate for the position at the time of posting. Final compensation may vary based on factors including but not limited to knowledge, skills and abilities as well as geographic location.  
Nestlé offers performance\-based incentives and a competitive total rewards package, which includes a 401k with company match, healthcare coverage and a broad range of other benefits. Incentives and/or benefit packages may vary depending on the position. Learn more at About Us \| Nestlé Careers (nestlejobs.com).  
\#LI\-EF1  
It is our business imperative to remain a very inclusive workplace.  
To our veterans and separated service members, you're at the forefront of our minds as we recruit top talent to join Nestlé. The skills you've gained while serving our country, such as flexibility, agility, and leadership, are much like the skills that will make you successful in this role. In addition, with our commitment to an inclusive work environment, we recognize the exceptional engagement and innovation displayed by individuals with disabilities. Nestlé seeks such skilled and qualified individuals to share our mission where you’ll join a cohort of others who have chosen to call Nestlé home.
The Nestlé Companies are equal employment opportunity employers. All applicants will receive consideration for employment without regard to race, color, religion, sex, sexual orientation, gender identity, national origin, disability, or veteran status or any other characteristic protected by applicable law. Prior to the next step in the recruiting process, we welcome you to inform us confidentially if you may require any special accommodations in order to participate fully in our recruitment experience. Contact us at accommodations@nestle.com or please dial 711 and provide this number to the operator: 1\-800\-321\-6467\.
This position is not eligible for Visa Sponsorship.
Review our applicant privacy notice before applying at https://www.nestlejobs.com/privacy.
Job Requisition: 387575</t>
        </is>
      </c>
    </row>
    <row r="69">
      <c r="A69" t="inlineStr">
        <is>
          <t>in-3d811edadd2483e1</t>
        </is>
      </c>
      <c r="B69" t="inlineStr">
        <is>
          <t>Undergraduate Advisor &amp; Program Manager</t>
        </is>
      </c>
      <c r="C69" t="inlineStr">
        <is>
          <t>University of Indianapolis</t>
        </is>
      </c>
      <c r="D69" t="inlineStr">
        <is>
          <t>indeed</t>
        </is>
      </c>
      <c r="E69">
        <f>HYPERLINK("https://www.indeed.com/viewjob?jk=3d811edadd2483e1", "https://www.indeed.com/viewjob?jk=3d811edadd2483e1")</f>
        <v/>
      </c>
      <c r="F69">
        <f>HYPERLINK("https://jobs.keldair.com/jobs/96960?token=weMfgG67J0XmYa/WHPy8A", "https://jobs.keldair.com/jobs/96960?token=weMfgG67J0XmYa/WHPy8A")</f>
        <v/>
      </c>
      <c r="G69" t="inlineStr">
        <is>
          <t>Indianapolis, IN, US</t>
        </is>
      </c>
      <c r="H69" s="2" t="n">
        <v>46087</v>
      </c>
      <c r="I69" t="inlineStr">
        <is>
          <t>**Job Description**
-------------------
The Undergraduate Academic Advisor provides comprehensive academic advising and student support services to prospective, admitted, and enrolled undergraduate students. The Advisor guides students through academic planning, degree requirements, institutional policies, and personal challenges that impact academic success. The‌ ‌Academic‌ ‌Advisor‌ ‌is‌ ‌committed‌ ‌to‌ ‌being‌ ‌accessible‌ ‌to‌ ‌ students,‌ especially‌ ‌during‌ ‌peak‌ ‌advising‌ ‌cycles. This position plays a critical role in student retention, progression, and graduation by fostering informed decision\-making and maintaining a student\-centered approach aligned with University goals and values. **Priority will be given to applications received by February 15\.**
 **REQUIREMENTS/MINIMUM QUALIFICATIONS:**
*Required Qualifications*
* Bachelor’s degree required.
* Demonstrated commitment to student success and inclusive excellence.
* Excellent communication, interpersonal, and collaboration skills, with the ability to work effectively with faculty, staff, administrators, and external partners.
* Strong organizational and project\-management abilities, with the capacity to manage multiple priorities and meet deadlines in a dynamic environment.
* Commitment to supporting the success of students from diverse backgrounds.
* Demonstrated success in project and time management.
 *Preferred Qualifications*
* Master’s degree in Higher Education, Counseling, or a related field preferred.
* Prior experience in academic advising, student services, higher education, or a related field preferred.
* Strong understanding of undergraduate student recruitment, matriculation, and retention processes, especially within business programs.
* Evidence of successful student engagement programming, such as coordinating co\-curricular activities, applied learning initiatives, student organizations, or similar efforts.
* Experience in a business school or college of business, specifically in academic advising.
* Demonstrated success in new\-student initiatives, such as yield strategies, orientation programming, or first\-year experience design.
* Experience developing and executing student engagement initiatives, including applied business learning, case competitions, student events, and co\-curricular programming.
* Knowledge of enrollment management strategies, student data analytics, or CRM systems supporting recruitment and retention.
* Experience collaborating with campus units, such as admissions, academic advising, career services, and student affairs.
* Ability to build community and industry partnerships that support experiential learning, networking, and student success.
* Record of professional engagement or leadership within business education or higher\-education organizations.
 **SUPERVISORY RESPONSIBILITIES:**
* Will manage projects and supervise the work of student employees and graduate assistant(s).
 **ESSENTIAL FUNCTIONS:**
**Academic Advising \&amp; Student Support**
* Meet daily with prospective students, accepted students, and currently enrolled students to provide academic guidance and support.
* Advise students on a wide range of academic, personal, and institutional issues, working one\-on\-one to resolve situations in a manner that supports student success while balancing University policies and stakeholder needs.
* Ensure students are progressing toward degree completion and maintaining minimum academic standards, including required grades and GPA.
* Track, monitor, and support students on academic probation, including documentation, intervention planning, and follow\-up.
* Perform degree audits for all assigned cohort students to ensure eligibility for graduation and release of diplomas.
* Assist in coordination of applied projects and experiential learning opportunities for students.
 **Orientation, Admissions \&amp; Recruitment Support**
* Plan, coordinate, and execute all aspects of new student orientation, including scheduling, content development, and collaboration with campus partners.
* Meet with prospective and admitted students to explain academic programs, degree pathways, and institutional expectations.
* Work collaboratively with the Admissions Office, as needed, to coordinate campus tours, meetings with Admissions Counselors, and recruitment\-related activities.
* Assist with prospective student events like (e.g. School of Business Day), new student orientation and New Hounds Days.
 **Administrative \&amp; Compliance Responsibilities**
* Maintain accurate and timely student records in advising, student information, and degree audit systems.
* Ensure confidential student and faculty records are protected and not compromised.
* Prepare reports, correspondence, and documentation related to advising, academic progress, and student outcomes.
* Support institutional policies, procedures, accreditation requirements, and compliance standards.
**Collaboration \&amp; Institutional Support**
* Collaborate with faculty, staff, and administrators to support student success and resolve complex academic situations.
* Participate in meetings, training, and professional development activities.
* Contribute as a member of the University community toward advancing the mission, goals, and values of the institution.
 **Other Expectations**
* Ability to work occasional evenings or weekends for recruitment events, student programming, or special initiatives.
* Demonstrated capacity to lead collaboratively, communicate transparently, and promote an inclusive and student\-centered culture.
* Follow the guidance and direction of supervisor(s).
* Demonstrate respectful, ethical, responsible behavior.
* Abide by the University’s policies, procedures, and rules.
* Perform employee responsibilities as detailed in employee handbooks and policies.
* Demonstrate regular and predictable attendance and punctuality.
* Other duties, including special projects, as required or assigned.
 **COMPETENCIES/OTHER CHARACTERISTICS:**
**Professionalism, Ethics \&amp; Confidentiality**
* Maintains confidentiality and responds effectively to the most sensitive inquiries and complaints.
* Ensures confidential student and faculty records are not compromised.
* Demonstrates sound judgment, accuracy, and discretion in decision\-making.
**Customer Service \&amp; Interpersonal Skills**
* Manages difficult or emotional student situations with professionalism and empathy.
* Responds promptly to student needs and requests for service or assistance.
* Demonstrates strong interpersonal skills and the ability to foster a cooperative work environment.
* Works effectively with a wide range of constituencies in a diverse academic community.
**Attendance, Reliability \&amp; Work Ethic**
* Maintains regular, predictable attendance.
* Demonstrates punctuality; arrives consistently on time to work, meetings, and appointments.
* Dependable and accountable; meets commitments and follows instructions and management direction.
**Adaptability \&amp; Initiative**
* Adapts effectively to frequent change, delays, or unexpected events.
* Displays initiative, originality, and creativity in problem\-solving.
* Meets challenges with resourcefulness and pursues self\-development opportunities.
* Asks for and offers assistance when appropriate.
**Organizational, Business \&amp; Time Management Skills**
* Manages multiple priorities while consistently meeting deadlines.
* Prioritizes and plans work activities effectively.
* Uses time and organizational resources efficiently.
* Understands the business and operational implications of decisions.
**Communication Skills**
* Oral Communication: Communicates effectively with students, faculty, staff, and external constituents; demonstrates group presentation skills and active participation in meetings.
* Written Communication: Writes clearly and informatively; edits work for accuracy, grammar, and clarity; presents facts, recommendations, and numerical data effectively.
* Language Skills: Ability to read, analyze, interpret, and prepare business correspondence, reports, policies, and procedural documentation in English.
**Analytical, Reasoning \&amp; Problem\-Solving Skills**
* Ability to define problems, collect and analyze data, establish facts, and draw valid conclusions.
* Organizes work effectively, conceptualizes objectives, and resolves problems in a timely manner.
* Uses intuition and professional experience to complement data\-driven decision\-making.
* Exercises a high degree of creativity, latitude, and independent judgment in accomplishing goals.
**Technical \&amp; Mathematical Skills**
* Ability to calculate figures and amounts relevant to academic records and reporting.
* Strong attention to detail and ability to work accurately with databases, spreadsheets, and student information systems.
**Safety \&amp; Organizational Support**
* Observes University safety and security procedures.
* Actively supports the University’s mission, values, and strategic goals.
**Company Description**
-----------------------
Thank you for your interest in the University of Indianapolis! The University is a private, liberal arts university located on 65 acres just minutes from downtown Indianapolis. With more than 700 faculty and staff, it is a place where you can become part of a close\-knit campus community that emphasizes the importance of community partnerships in the future growth of the University.
UIndy’s mission is to prepare its graduates for effective, responsible, and articulate membership in the complex societies in which they live and serve and for excellence and leadership in their personal and professional lives. The motto of "Education for Service" provides the foundation for our work to better our communities, both near and far.
As University employees, we know the work we do is important to our students and our communities. To accomplish our mission, we welcome talented, civic\-minded, and diverse individuals from all career levels to help maintain our high standards of excellence and quality. If you want to join our dynamic environment and experience hard work, creativity, and teamwork, we welcome your application!  
*The University of Indianapolis is an equal opportunity employer. All qualified applicants will receive consideration for employment without regard to race, sex, age, color, religion, national origin, disability, citizenship status, military status, marital status, sexual orientation, gender identity, or gender expression. The University of Indianapolis does not discriminate on the basis of sex in its educational programs and activities, including employment and admission as required by Title IX.*
**Benefits**
------------
* Medical Insurance
* Vision Insurance
* Dental Insurance
* Life Insurance
* Tuition Discount
* Retirement Savings Plan \- 403B
* Paid Vacation and Sick Time Accruals
* Paid Holiday time and additional University days off
* Employee Discounts \&amp; Services
* Free Parking
* Onsite Health \&amp; Wellness Center
For more information about the benefits of being a staff member at UIndy, visit our Benefits site.</t>
        </is>
      </c>
    </row>
    <row r="70">
      <c r="A70" t="inlineStr">
        <is>
          <t>in-036850f27342d8e6</t>
        </is>
      </c>
      <c r="B70" t="inlineStr">
        <is>
          <t>ABA Clinical Supervisor (Sr. Program Manager) | BCBA Hours Available</t>
        </is>
      </c>
      <c r="C70" t="inlineStr">
        <is>
          <t>Autism Learning Partners</t>
        </is>
      </c>
      <c r="D70" t="inlineStr">
        <is>
          <t>indeed</t>
        </is>
      </c>
      <c r="E70">
        <f>HYPERLINK("https://www.indeed.com/viewjob?jk=036850f27342d8e6", "https://www.indeed.com/viewjob?jk=036850f27342d8e6")</f>
        <v/>
      </c>
      <c r="F70">
        <f>HYPERLINK("https://olivia.paradox.ai/co/AutismLearningPartners/Job?job_id=PDX_ALP_28A2DD78-D813-4ED5-9640-754D35BB14DA_21954090&amp;source=indeed", "https://olivia.paradox.ai/co/AutismLearningPartners/Job?job_id=PDX_ALP_28A2DD78-D813-4ED5-9640-754D35BB14DA_21954090&amp;source=indeed")</f>
        <v/>
      </c>
      <c r="G70" t="inlineStr">
        <is>
          <t>Costa Mesa, CA, US</t>
        </is>
      </c>
      <c r="H70" s="2" t="n">
        <v>46087</v>
      </c>
      <c r="I70" t="inlineStr">
        <is>
          <t>Join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2 years!*
 **The Basics of this opportunity**:
* **Total 1st year Earning Potential:** Equivalent to $75,000 in your first year including productivity bonuses!
* **Hourly Rate: $31\.00 \- $37\.50** per hour based on experience, skills, and geography
* **Bonus:** Attainable monthly/quarterly bonus opportunity ($35,000\+ in your first three years)!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An org chart of nothing but BCBAs between you and the CEO, Dr. Gina Chang, BCBA\-D.
* A clear path to make values\-based clinical decisions based entirely on what is best for your client and family
* Generous health insurance package, 401(k) Retirement Program with employer match, and employer paid short\-term disability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For any new BCBA certificants – we offer the 8\-hour supervision course as approved by the BACB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Motivate and mentor behavior technicians, coordinate client visits, and offer coaching and clinical support to enhance service quality.
* **Champion Accountability:** Ensure clients receive full clinical prescriptions, maintain accurate records of billable hours, and deliver timely progress reports and treatment plans.
* **Adapt and Thrive:** Balance direct intervention with supervisory responsibilities, embrace new challenges, prioritize tasks effectively, and remain flexible to manage a dynamic caseload.
* **Motivate and Elevate:** Support staff productivity, assist in performance evaluations, and provide crucial support to parents and technicians during urgent situations.
**What We’re Looking For:**
* Master’s degree in Psychology, Child Development, Special Education, Applied Behavioral Analysis, or related program, required
* Enrolled in a BCBA program and/or obtaining hours towards certification, preferred
* At least one year of experience providing clinical program management (under the supervision of a BCBA)
Please note that this position is subject to fingerprinting, TB test, Pre\-employment Physical Exam, and have or receive immunities to MMR/ VZV during our onboarding, which we will pay for  
* 
We’re dedicated to the science of Applied Behavior Analysis (ABA). We believe in the power of our science to transform the lives of children and their families touched by Autism and related disorders through the oversight of clinical supervisors such as a BCBA and Senior Program Manager. As a passionate team of clinicians (BCBA) and clinical supervisors, we are committed to delivering best practices, providing hope, support and progress through both home and clinic\-based services. We provide unparalleled levels of personal care, proven ABA science, world\-class business support, and professionalism.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*ALPCOCPMCR102*</t>
        </is>
      </c>
    </row>
    <row r="71">
      <c r="A71" t="inlineStr">
        <is>
          <t>in-bf70e349473404d4</t>
        </is>
      </c>
      <c r="B71" t="inlineStr">
        <is>
          <t>Global Tax and Legal - Project and Program Manager</t>
        </is>
      </c>
      <c r="C71" t="inlineStr">
        <is>
          <t>Deloitte</t>
        </is>
      </c>
      <c r="D71" t="inlineStr">
        <is>
          <t>indeed</t>
        </is>
      </c>
      <c r="E71">
        <f>HYPERLINK("https://www.indeed.com/viewjob?jk=bf70e349473404d4", "https://www.indeed.com/viewjob?jk=bf70e349473404d4")</f>
        <v/>
      </c>
      <c r="F71">
        <f>HYPERLINK("https://ars2.equest.com/?response_id=6abbdd7bb2aa1d99ca733a64d4780efe", "https://ars2.equest.com/?response_id=6abbdd7bb2aa1d99ca733a64d4780efe")</f>
        <v/>
      </c>
      <c r="G71" t="inlineStr">
        <is>
          <t>Cleveland, OH, US</t>
        </is>
      </c>
      <c r="H71" s="2" t="n">
        <v>46087</v>
      </c>
      <c r="I71"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2">
      <c r="A72" t="inlineStr">
        <is>
          <t>in-ee7ee2cdeb00cd92</t>
        </is>
      </c>
      <c r="B72" t="inlineStr">
        <is>
          <t>Global Tax and Legal - Project and Program Manager</t>
        </is>
      </c>
      <c r="C72" t="inlineStr">
        <is>
          <t>Deloitte</t>
        </is>
      </c>
      <c r="D72" t="inlineStr">
        <is>
          <t>indeed</t>
        </is>
      </c>
      <c r="E72">
        <f>HYPERLINK("https://www.indeed.com/viewjob?jk=ee7ee2cdeb00cd92", "https://www.indeed.com/viewjob?jk=ee7ee2cdeb00cd92")</f>
        <v/>
      </c>
      <c r="F72">
        <f>HYPERLINK("https://ars2.equest.com/?response_id=cb4e538e39e6e5a7b29b1789ba45e571", "https://ars2.equest.com/?response_id=cb4e538e39e6e5a7b29b1789ba45e571")</f>
        <v/>
      </c>
      <c r="G72" t="inlineStr">
        <is>
          <t>Grand Rapids, MI, US</t>
        </is>
      </c>
      <c r="H72" s="2" t="n">
        <v>46087</v>
      </c>
      <c r="I72"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3">
      <c r="A73" t="inlineStr">
        <is>
          <t>in-9216cf2cd722906b</t>
        </is>
      </c>
      <c r="B73" t="inlineStr">
        <is>
          <t>Global Tax and Legal - Project and Program Manager</t>
        </is>
      </c>
      <c r="C73" t="inlineStr">
        <is>
          <t>Deloitte</t>
        </is>
      </c>
      <c r="D73" t="inlineStr">
        <is>
          <t>indeed</t>
        </is>
      </c>
      <c r="E73">
        <f>HYPERLINK("https://www.indeed.com/viewjob?jk=9216cf2cd722906b", "https://www.indeed.com/viewjob?jk=9216cf2cd722906b")</f>
        <v/>
      </c>
      <c r="F73">
        <f>HYPERLINK("https://ars2.equest.com/?response_id=098ee3a0edc0305325c97c7d5d475b49", "https://ars2.equest.com/?response_id=098ee3a0edc0305325c97c7d5d475b49")</f>
        <v/>
      </c>
      <c r="G73" t="inlineStr">
        <is>
          <t>Pittsburgh, PA, US</t>
        </is>
      </c>
      <c r="H73" s="2" t="n">
        <v>46087</v>
      </c>
      <c r="I73"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4">
      <c r="A74" t="inlineStr">
        <is>
          <t>in-32fe93c259166018</t>
        </is>
      </c>
      <c r="B74" t="inlineStr">
        <is>
          <t>Global Tax and Legal - Project and Program Manager</t>
        </is>
      </c>
      <c r="C74" t="inlineStr">
        <is>
          <t>Deloitte</t>
        </is>
      </c>
      <c r="D74" t="inlineStr">
        <is>
          <t>indeed</t>
        </is>
      </c>
      <c r="E74">
        <f>HYPERLINK("https://www.indeed.com/viewjob?jk=32fe93c259166018", "https://www.indeed.com/viewjob?jk=32fe93c259166018")</f>
        <v/>
      </c>
      <c r="F74">
        <f>HYPERLINK("https://ars2.equest.com/?response_id=ba30b5ec53a2c11f9e6bdb50f25d35de", "https://ars2.equest.com/?response_id=ba30b5ec53a2c11f9e6bdb50f25d35de")</f>
        <v/>
      </c>
      <c r="G74" t="inlineStr">
        <is>
          <t>Cincinnati, OH, US</t>
        </is>
      </c>
      <c r="H74" s="2" t="n">
        <v>46087</v>
      </c>
      <c r="I74"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5">
      <c r="A75" t="inlineStr">
        <is>
          <t>in-f0c1543739c9c879</t>
        </is>
      </c>
      <c r="B75" t="inlineStr">
        <is>
          <t>Global Tax and Legal - Project and Program Manager</t>
        </is>
      </c>
      <c r="C75" t="inlineStr">
        <is>
          <t>Deloitte</t>
        </is>
      </c>
      <c r="D75" t="inlineStr">
        <is>
          <t>indeed</t>
        </is>
      </c>
      <c r="E75">
        <f>HYPERLINK("https://www.indeed.com/viewjob?jk=f0c1543739c9c879", "https://www.indeed.com/viewjob?jk=f0c1543739c9c879")</f>
        <v/>
      </c>
      <c r="F75">
        <f>HYPERLINK("https://ars2.equest.com/?response_id=c4ccb9f4f65388cd9c98d5b43b5a6d36", "https://ars2.equest.com/?response_id=c4ccb9f4f65388cd9c98d5b43b5a6d36")</f>
        <v/>
      </c>
      <c r="G75" t="inlineStr">
        <is>
          <t>San Antonio, TX, US</t>
        </is>
      </c>
      <c r="H75" s="2" t="n">
        <v>46087</v>
      </c>
      <c r="I75"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6">
      <c r="A76" t="inlineStr">
        <is>
          <t>in-ffc0d23ee4dfdd36</t>
        </is>
      </c>
      <c r="B76" t="inlineStr">
        <is>
          <t>Global Tax and Legal - Project and Program Manager</t>
        </is>
      </c>
      <c r="C76" t="inlineStr">
        <is>
          <t>Deloitte</t>
        </is>
      </c>
      <c r="D76" t="inlineStr">
        <is>
          <t>indeed</t>
        </is>
      </c>
      <c r="E76">
        <f>HYPERLINK("https://www.indeed.com/viewjob?jk=ffc0d23ee4dfdd36", "https://www.indeed.com/viewjob?jk=ffc0d23ee4dfdd36")</f>
        <v/>
      </c>
      <c r="F76">
        <f>HYPERLINK("https://ars2.equest.com/?response_id=bfd4b2b5e4d5ef84472a84208aa0e4db", "https://ars2.equest.com/?response_id=bfd4b2b5e4d5ef84472a84208aa0e4db")</f>
        <v/>
      </c>
      <c r="G76" t="inlineStr">
        <is>
          <t>Omaha, NE, US</t>
        </is>
      </c>
      <c r="H76" s="2" t="n">
        <v>46087</v>
      </c>
      <c r="I76"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7">
      <c r="A77" t="inlineStr">
        <is>
          <t>in-f495f96861b2a47e</t>
        </is>
      </c>
      <c r="B77" t="inlineStr">
        <is>
          <t>Global Tax and Legal - Project and Program Manager</t>
        </is>
      </c>
      <c r="C77" t="inlineStr">
        <is>
          <t>Deloitte</t>
        </is>
      </c>
      <c r="D77" t="inlineStr">
        <is>
          <t>indeed</t>
        </is>
      </c>
      <c r="E77">
        <f>HYPERLINK("https://www.indeed.com/viewjob?jk=f495f96861b2a47e", "https://www.indeed.com/viewjob?jk=f495f96861b2a47e")</f>
        <v/>
      </c>
      <c r="F77">
        <f>HYPERLINK("https://ars2.equest.com/?response_id=b6d4e9085c3d9ad9b3808fc3955457c1", "https://ars2.equest.com/?response_id=b6d4e9085c3d9ad9b3808fc3955457c1")</f>
        <v/>
      </c>
      <c r="G77" t="inlineStr">
        <is>
          <t>Dayton, OH, US</t>
        </is>
      </c>
      <c r="H77" s="2" t="n">
        <v>46087</v>
      </c>
      <c r="I77"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8">
      <c r="A78" t="inlineStr">
        <is>
          <t>in-9c46c45cb4173953</t>
        </is>
      </c>
      <c r="B78" t="inlineStr">
        <is>
          <t>Global Tax and Legal - Project and Program Manager</t>
        </is>
      </c>
      <c r="C78" t="inlineStr">
        <is>
          <t>Deloitte</t>
        </is>
      </c>
      <c r="D78" t="inlineStr">
        <is>
          <t>indeed</t>
        </is>
      </c>
      <c r="E78">
        <f>HYPERLINK("https://www.indeed.com/viewjob?jk=9c46c45cb4173953", "https://www.indeed.com/viewjob?jk=9c46c45cb4173953")</f>
        <v/>
      </c>
      <c r="F78">
        <f>HYPERLINK("https://ars2.equest.com/?response_id=3a5029e42b4f1a052345e084d16d1998", "https://ars2.equest.com/?response_id=3a5029e42b4f1a052345e084d16d1998")</f>
        <v/>
      </c>
      <c r="G78" t="inlineStr">
        <is>
          <t>New Orleans, LA, US</t>
        </is>
      </c>
      <c r="H78" s="2" t="n">
        <v>46087</v>
      </c>
      <c r="I78"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79">
      <c r="A79" t="inlineStr">
        <is>
          <t>in-10bcec3c3e7a9082</t>
        </is>
      </c>
      <c r="B79" t="inlineStr">
        <is>
          <t>Global Tax and Legal - Project and Program Manager</t>
        </is>
      </c>
      <c r="C79" t="inlineStr">
        <is>
          <t>Deloitte</t>
        </is>
      </c>
      <c r="D79" t="inlineStr">
        <is>
          <t>indeed</t>
        </is>
      </c>
      <c r="E79">
        <f>HYPERLINK("https://www.indeed.com/viewjob?jk=10bcec3c3e7a9082", "https://www.indeed.com/viewjob?jk=10bcec3c3e7a9082")</f>
        <v/>
      </c>
      <c r="F79">
        <f>HYPERLINK("https://ars2.equest.com/?response_id=2a9ee5f746045095be4d8a195175c76a", "https://ars2.equest.com/?response_id=2a9ee5f746045095be4d8a195175c76a")</f>
        <v/>
      </c>
      <c r="G79" t="inlineStr">
        <is>
          <t>Kansas City, MO, US</t>
        </is>
      </c>
      <c r="H79" s="2" t="n">
        <v>46087</v>
      </c>
      <c r="I79"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0">
      <c r="A80" t="inlineStr">
        <is>
          <t>in-c8b0d6c3f7779e7f</t>
        </is>
      </c>
      <c r="B80" t="inlineStr">
        <is>
          <t>Global Tax and Legal - Project and Program Manager</t>
        </is>
      </c>
      <c r="C80" t="inlineStr">
        <is>
          <t>Deloitte</t>
        </is>
      </c>
      <c r="D80" t="inlineStr">
        <is>
          <t>indeed</t>
        </is>
      </c>
      <c r="E80">
        <f>HYPERLINK("https://www.indeed.com/viewjob?jk=c8b0d6c3f7779e7f", "https://www.indeed.com/viewjob?jk=c8b0d6c3f7779e7f")</f>
        <v/>
      </c>
      <c r="F80">
        <f>HYPERLINK("https://ars2.equest.com/?response_id=f35fcebd778fa43ae018a2b36eae404f", "https://ars2.equest.com/?response_id=f35fcebd778fa43ae018a2b36eae404f")</f>
        <v/>
      </c>
      <c r="G80" t="inlineStr">
        <is>
          <t>Hermitage, TN, US</t>
        </is>
      </c>
      <c r="H80" s="2" t="n">
        <v>46087</v>
      </c>
      <c r="I80"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1">
      <c r="A81" t="inlineStr">
        <is>
          <t>in-6944725ff9b5dab9</t>
        </is>
      </c>
      <c r="B81" t="inlineStr">
        <is>
          <t>Global Tax and Legal - Project and Program Manager</t>
        </is>
      </c>
      <c r="C81" t="inlineStr">
        <is>
          <t>Deloitte</t>
        </is>
      </c>
      <c r="D81" t="inlineStr">
        <is>
          <t>indeed</t>
        </is>
      </c>
      <c r="E81">
        <f>HYPERLINK("https://www.indeed.com/viewjob?jk=6944725ff9b5dab9", "https://www.indeed.com/viewjob?jk=6944725ff9b5dab9")</f>
        <v/>
      </c>
      <c r="F81">
        <f>HYPERLINK("https://ars2.equest.com/?response_id=875b3e44d4942b74bdb360b60affd843", "https://ars2.equest.com/?response_id=875b3e44d4942b74bdb360b60affd843")</f>
        <v/>
      </c>
      <c r="G81" t="inlineStr">
        <is>
          <t>Columbus, OH, US</t>
        </is>
      </c>
      <c r="H81" s="2" t="n">
        <v>46087</v>
      </c>
      <c r="I81"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2">
      <c r="A82" t="inlineStr">
        <is>
          <t>in-ebddb4abb473d6d3</t>
        </is>
      </c>
      <c r="B82" t="inlineStr">
        <is>
          <t>Global Tax and Legal - Project and Program Manager</t>
        </is>
      </c>
      <c r="C82" t="inlineStr">
        <is>
          <t>Deloitte</t>
        </is>
      </c>
      <c r="D82" t="inlineStr">
        <is>
          <t>indeed</t>
        </is>
      </c>
      <c r="E82">
        <f>HYPERLINK("https://www.indeed.com/viewjob?jk=ebddb4abb473d6d3", "https://www.indeed.com/viewjob?jk=ebddb4abb473d6d3")</f>
        <v/>
      </c>
      <c r="F82">
        <f>HYPERLINK("https://ars2.equest.com/?response_id=d6ef54efab116de17844b835583fee44", "https://ars2.equest.com/?response_id=d6ef54efab116de17844b835583fee44")</f>
        <v/>
      </c>
      <c r="G82" t="inlineStr">
        <is>
          <t>Jacksonville, FL, US</t>
        </is>
      </c>
      <c r="H82" s="2" t="n">
        <v>46087</v>
      </c>
      <c r="I82"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3">
      <c r="A83" t="inlineStr">
        <is>
          <t>in-6521465b26fc8cb1</t>
        </is>
      </c>
      <c r="B83" t="inlineStr">
        <is>
          <t>Global Tax and Legal - Project and Program Manager</t>
        </is>
      </c>
      <c r="C83" t="inlineStr">
        <is>
          <t>Deloitte</t>
        </is>
      </c>
      <c r="D83" t="inlineStr">
        <is>
          <t>indeed</t>
        </is>
      </c>
      <c r="E83">
        <f>HYPERLINK("https://www.indeed.com/viewjob?jk=6521465b26fc8cb1", "https://www.indeed.com/viewjob?jk=6521465b26fc8cb1")</f>
        <v/>
      </c>
      <c r="F83">
        <f>HYPERLINK("https://ars2.equest.com/?response_id=f0661507e003206f431ff2ef9705cfc3", "https://ars2.equest.com/?response_id=f0661507e003206f431ff2ef9705cfc3")</f>
        <v/>
      </c>
      <c r="G83" t="inlineStr">
        <is>
          <t>Birmingham, AL, US</t>
        </is>
      </c>
      <c r="H83" s="2" t="n">
        <v>46087</v>
      </c>
      <c r="I83"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4">
      <c r="A84" t="inlineStr">
        <is>
          <t>in-de113b01237498f5</t>
        </is>
      </c>
      <c r="B84" t="inlineStr">
        <is>
          <t>Global Tax and Legal - Project and Program Manager</t>
        </is>
      </c>
      <c r="C84" t="inlineStr">
        <is>
          <t>Deloitte</t>
        </is>
      </c>
      <c r="D84" t="inlineStr">
        <is>
          <t>indeed</t>
        </is>
      </c>
      <c r="E84">
        <f>HYPERLINK("https://www.indeed.com/viewjob?jk=de113b01237498f5", "https://www.indeed.com/viewjob?jk=de113b01237498f5")</f>
        <v/>
      </c>
      <c r="F84">
        <f>HYPERLINK("https://ars2.equest.com/?response_id=2d3fb3687bc4a0b0904b722141ac7b38", "https://ars2.equest.com/?response_id=2d3fb3687bc4a0b0904b722141ac7b38")</f>
        <v/>
      </c>
      <c r="G84" t="inlineStr">
        <is>
          <t>Boise, ID, US</t>
        </is>
      </c>
      <c r="H84" s="2" t="n">
        <v>46087</v>
      </c>
      <c r="I84"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5">
      <c r="A85" t="inlineStr">
        <is>
          <t>in-e1c2e99434a3cdad</t>
        </is>
      </c>
      <c r="B85" t="inlineStr">
        <is>
          <t>Global Tax and Legal - Project and Program Manager</t>
        </is>
      </c>
      <c r="C85" t="inlineStr">
        <is>
          <t>Deloitte</t>
        </is>
      </c>
      <c r="D85" t="inlineStr">
        <is>
          <t>indeed</t>
        </is>
      </c>
      <c r="E85">
        <f>HYPERLINK("https://www.indeed.com/viewjob?jk=e1c2e99434a3cdad", "https://www.indeed.com/viewjob?jk=e1c2e99434a3cdad")</f>
        <v/>
      </c>
      <c r="F85">
        <f>HYPERLINK("https://ars2.equest.com/?response_id=e50162b6787e530ec1003085e04e75ed", "https://ars2.equest.com/?response_id=e50162b6787e530ec1003085e04e75ed")</f>
        <v/>
      </c>
      <c r="G85" t="inlineStr">
        <is>
          <t>Des Moines, IA, US</t>
        </is>
      </c>
      <c r="H85" s="2" t="n">
        <v>46087</v>
      </c>
      <c r="I85"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6">
      <c r="A86" t="inlineStr">
        <is>
          <t>in-8df3066a7254dc41</t>
        </is>
      </c>
      <c r="B86" t="inlineStr">
        <is>
          <t>Global Tax and Legal - Project and Program Manager</t>
        </is>
      </c>
      <c r="C86" t="inlineStr">
        <is>
          <t>Deloitte</t>
        </is>
      </c>
      <c r="D86" t="inlineStr">
        <is>
          <t>indeed</t>
        </is>
      </c>
      <c r="E86">
        <f>HYPERLINK("https://www.indeed.com/viewjob?jk=8df3066a7254dc41", "https://www.indeed.com/viewjob?jk=8df3066a7254dc41")</f>
        <v/>
      </c>
      <c r="F86">
        <f>HYPERLINK("https://ars2.equest.com/?response_id=4b752dbf4d6ea9c33fa9e74b1f9c6ba5", "https://ars2.equest.com/?response_id=4b752dbf4d6ea9c33fa9e74b1f9c6ba5")</f>
        <v/>
      </c>
      <c r="G86" t="inlineStr">
        <is>
          <t>Davenport, IA, US</t>
        </is>
      </c>
      <c r="H86" s="2" t="n">
        <v>46087</v>
      </c>
      <c r="I86"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7">
      <c r="A87" t="inlineStr">
        <is>
          <t>in-deb7ce6c8e2e906b</t>
        </is>
      </c>
      <c r="B87" t="inlineStr">
        <is>
          <t>Global Tax and Legal - Project and Program Manager</t>
        </is>
      </c>
      <c r="C87" t="inlineStr">
        <is>
          <t>Deloitte</t>
        </is>
      </c>
      <c r="D87" t="inlineStr">
        <is>
          <t>indeed</t>
        </is>
      </c>
      <c r="E87">
        <f>HYPERLINK("https://www.indeed.com/viewjob?jk=deb7ce6c8e2e906b", "https://www.indeed.com/viewjob?jk=deb7ce6c8e2e906b")</f>
        <v/>
      </c>
      <c r="F87">
        <f>HYPERLINK("https://ars2.equest.com/?response_id=dbf7c93cde90e17d9d387d43435b1d9a", "https://ars2.equest.com/?response_id=dbf7c93cde90e17d9d387d43435b1d9a")</f>
        <v/>
      </c>
      <c r="G87" t="inlineStr">
        <is>
          <t>Nashville, TN, US</t>
        </is>
      </c>
      <c r="H87" s="2" t="n">
        <v>46087</v>
      </c>
      <c r="I87"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8">
      <c r="A88" t="inlineStr">
        <is>
          <t>in-024b1236cdae8c56</t>
        </is>
      </c>
      <c r="B88" t="inlineStr">
        <is>
          <t>Global Tax and Legal - Project and Program Manager</t>
        </is>
      </c>
      <c r="C88" t="inlineStr">
        <is>
          <t>Deloitte</t>
        </is>
      </c>
      <c r="D88" t="inlineStr">
        <is>
          <t>indeed</t>
        </is>
      </c>
      <c r="E88">
        <f>HYPERLINK("https://www.indeed.com/viewjob?jk=024b1236cdae8c56", "https://www.indeed.com/viewjob?jk=024b1236cdae8c56")</f>
        <v/>
      </c>
      <c r="F88">
        <f>HYPERLINK("https://ars2.equest.com/?response_id=3c2fb7f4c10edb5c5b42ede137cb4ea5", "https://ars2.equest.com/?response_id=3c2fb7f4c10edb5c5b42ede137cb4ea5")</f>
        <v/>
      </c>
      <c r="G88" t="inlineStr">
        <is>
          <t>Indianapolis, IN, US</t>
        </is>
      </c>
      <c r="H88" s="2" t="n">
        <v>46087</v>
      </c>
      <c r="I88"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89">
      <c r="A89" t="inlineStr">
        <is>
          <t>in-7b2143241b6cb946</t>
        </is>
      </c>
      <c r="B89" t="inlineStr">
        <is>
          <t>Global Tax and Legal - Project and Program Manager</t>
        </is>
      </c>
      <c r="C89" t="inlineStr">
        <is>
          <t>Deloitte</t>
        </is>
      </c>
      <c r="D89" t="inlineStr">
        <is>
          <t>indeed</t>
        </is>
      </c>
      <c r="E89">
        <f>HYPERLINK("https://www.indeed.com/viewjob?jk=7b2143241b6cb946", "https://www.indeed.com/viewjob?jk=7b2143241b6cb946")</f>
        <v/>
      </c>
      <c r="F89">
        <f>HYPERLINK("https://ars2.equest.com/?response_id=56e7556548843e0301d6f6c4ab32e04d", "https://ars2.equest.com/?response_id=56e7556548843e0301d6f6c4ab32e04d")</f>
        <v/>
      </c>
      <c r="G89" t="inlineStr">
        <is>
          <t>Tulsa, OK, US</t>
        </is>
      </c>
      <c r="H89" s="2" t="n">
        <v>46087</v>
      </c>
      <c r="I89"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90">
      <c r="A90" t="inlineStr">
        <is>
          <t>in-7c2433aa51017244</t>
        </is>
      </c>
      <c r="B90" t="inlineStr">
        <is>
          <t>Global Tax and Legal - Project and Program Manager</t>
        </is>
      </c>
      <c r="C90" t="inlineStr">
        <is>
          <t>Deloitte</t>
        </is>
      </c>
      <c r="D90" t="inlineStr">
        <is>
          <t>indeed</t>
        </is>
      </c>
      <c r="E90">
        <f>HYPERLINK("https://www.indeed.com/viewjob?jk=7c2433aa51017244", "https://www.indeed.com/viewjob?jk=7c2433aa51017244")</f>
        <v/>
      </c>
      <c r="F90">
        <f>HYPERLINK("https://ars2.equest.com/?response_id=909ff447ab7cf07d79d18824fbc14735", "https://ars2.equest.com/?response_id=909ff447ab7cf07d79d18824fbc14735")</f>
        <v/>
      </c>
      <c r="G90" t="inlineStr">
        <is>
          <t>St. Louis, MO, US</t>
        </is>
      </c>
      <c r="H90" s="2" t="n">
        <v>46087</v>
      </c>
      <c r="I90"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91">
      <c r="A91" t="inlineStr">
        <is>
          <t>in-2a4d77ec3f20ccb8</t>
        </is>
      </c>
      <c r="B91" t="inlineStr">
        <is>
          <t>Global Tax and Legal - Project and Program Manager</t>
        </is>
      </c>
      <c r="C91" t="inlineStr">
        <is>
          <t>Deloitte</t>
        </is>
      </c>
      <c r="D91" t="inlineStr">
        <is>
          <t>indeed</t>
        </is>
      </c>
      <c r="E91">
        <f>HYPERLINK("https://www.indeed.com/viewjob?jk=2a4d77ec3f20ccb8", "https://www.indeed.com/viewjob?jk=2a4d77ec3f20ccb8")</f>
        <v/>
      </c>
      <c r="F91">
        <f>HYPERLINK("https://ars2.equest.com/?response_id=8fa8b5546e33b4d8ba7bdc99fccc024f", "https://ars2.equest.com/?response_id=8fa8b5546e33b4d8ba7bdc99fccc024f")</f>
        <v/>
      </c>
      <c r="G91" t="inlineStr">
        <is>
          <t>Tempe, AZ, US</t>
        </is>
      </c>
      <c r="H91" s="2" t="n">
        <v>46087</v>
      </c>
      <c r="I91"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92">
      <c r="A92" t="inlineStr">
        <is>
          <t>in-f46caddb977b1bb0</t>
        </is>
      </c>
      <c r="B92" t="inlineStr">
        <is>
          <t>Global Tax and Legal - Project and Program Manager</t>
        </is>
      </c>
      <c r="C92" t="inlineStr">
        <is>
          <t>Deloitte</t>
        </is>
      </c>
      <c r="D92" t="inlineStr">
        <is>
          <t>indeed</t>
        </is>
      </c>
      <c r="E92">
        <f>HYPERLINK("https://www.indeed.com/viewjob?jk=f46caddb977b1bb0", "https://www.indeed.com/viewjob?jk=f46caddb977b1bb0")</f>
        <v/>
      </c>
      <c r="F92">
        <f>HYPERLINK("https://ars2.equest.com/?response_id=77caf6d93c85b1a5ea4efecb291c28d7", "https://ars2.equest.com/?response_id=77caf6d93c85b1a5ea4efecb291c28d7")</f>
        <v/>
      </c>
      <c r="G92" t="inlineStr">
        <is>
          <t>Tampa, FL, US</t>
        </is>
      </c>
      <c r="H92" s="2" t="n">
        <v>46087</v>
      </c>
      <c r="I92" t="inlineStr">
        <is>
          <t>Global Tax and Legal \- Project and Program ManagerReference Code 1752
**Country:** United States (US)
**US Locations:** USA \- Birmingham; USA \- Boise; USA \- Cincinnati; USA \- Cleveland; USA \- Columbus; USA \- Davenport; USA \- Dayton; USA \- Des Moines; USA \- Grand Rapids; USA \- Hermitage; USA \- Indianapolis; USA \- Jacksonville; USA \- Kansas City; USA \- Nashville; USA \- New Orleans; USA \- Omaha; USA \- Pittsburgh; USA \- San Antonio; USA \- St. Louis; USA \- Tampa; USA \- Tempe; USA \- Tulsa
Deloitte Global is the engine of the Deloitte network. Our professionals reach across disciplines and borders to develop and lead global initiatives. We deliver strategic programs and services that unite our organization.
Work you'll do
The Intela Functional Team supports geographies in planning and preparing for Intela deployment by providing expertise on Intela features and their integration into local processes. The team offers input and guidance regarding new functionality under development, and is responsible for facilitating testing of each new release across all deployed geographies. Knowledge sharing is promoted through training sessions and demonstrations. Additionally the team executes special projects related to Intela deployment.
**Work you will do:**  
Communicate effectively with team members and stakeholders through clear verbal and written correspondence
Support in Business User Testing with each new release
Attend and participate in Business Alignment and Discovery Walkthrough calls to ensure new functionality meets stakeholders needs and to understand upcoming new functionality
Understand various tax processes and how Intela can be used across geographies and offerings
Prepare engaging and informative PowerPoint presentations to support internal and stakeholder meetings
Utilize Microsoft Office and related technologies to enhance productivity and support team initiatives
Maintain meticulous attention to detail in all tasks and deliverables
Prepare and provide demos for each new release and for ad\-hoc requests from geographies
The team
Global Tax \&amp; Legal deploys the right team of experts to address the ever\-evolving needs of our businesses around the world. Our professionals deliver superior compliance and advisory insights and guidance (local and global) to support our businesses operating in singular or multiple jurisdictions.
Qualifications
Bachelors Degree. Preferred degree in business or related degree
Deep understanding of tax\-related processes
Strong grasp of Deloitte's global service offerings is preferred
Advanced proficienty in Microsoft Office Suite
Demonstrated ability to prepare and design professional PowerPoint decks
Keen attention to detail and commitment to quality work
Ability to document process flows
Our culture
At Deloitte Global people are valued and respected for who they are \- with opportunities to bring their unique perspectives, talents and passions to business challenges. Our global workspace creates room for individuality and collaboration. Ours is an inclusive, supportive, connected culture with a focus on development, flexibility, and well\-being. This culture makes Deloitte Global one of the most rewarding places to work, and to transform your career.
Professional development
From entry\-level employees to senior leaders, we believe in investing in you, helping you identify and hone your unique strengths at every step of your career. We offer opportunities to build new skills, take on leadership opportunities, and connect and grow through mentorship. From on\-the\-job learning experiences to formal development programs, our professionals have a variety of opportunities to continue to grow throughout their career.
Benefits
At Deloitte, we value our people and offer employees a broad range of benefits. Our Total Rewards program reflects our continued commitment to lead from the front in everything we do\-that's why we take pride in offering a comprehensive variety of programs and resources to support your health and well\-being.
Recruiting for this role ends on 12/05/2025\.</t>
        </is>
      </c>
    </row>
    <row r="93">
      <c r="A93" t="inlineStr">
        <is>
          <t>in-46ac3326b62d0aaa</t>
        </is>
      </c>
      <c r="B93" t="inlineStr">
        <is>
          <t>Senior Product Manager - Identity</t>
        </is>
      </c>
      <c r="C93" t="inlineStr">
        <is>
          <t>Chewy</t>
        </is>
      </c>
      <c r="D93" t="inlineStr">
        <is>
          <t>indeed</t>
        </is>
      </c>
      <c r="E93">
        <f>HYPERLINK("https://www.indeed.com/viewjob?jk=46ac3326b62d0aaa", "https://www.indeed.com/viewjob?jk=46ac3326b62d0aaa")</f>
        <v/>
      </c>
      <c r="F93">
        <f>HYPERLINK("https://jsv3.recruitics.com/redirect?rx_cid=3476&amp;rx_jobId=R28920_1001&amp;rx_url=https%3A%2F%2Fcareers.chewy.com%2Fus%2Fen%2Fjob%2FR28920%2FSenior-Product-Manager-Identity%3Frx_a%3D0%26rx_c%3D%26rx_ch%3Djobp4p%26rx_group%3D128096%26rx_id%3Dada4cd72-1a84-11f1-a412-b72dadca632f%26rx_job%3DR28920_1001%26rx_medium%3Dcpc%26rx_paid%3D0%26rx_r%3Dnone%26rx_source%3Dindeed%26rx_ts%3D20260308T060522Z%26rx_vp%3Dcpc%26utm_campaign%3Dcpc_job_posting%26utm_medium%3Dcpc%26utm_source%3DIndeed", "https://jsv3.recruitics.com/redirect?rx_cid=3476&amp;rx_jobId=R28920_1001&amp;rx_url=https%3A%2F%2Fcareers.chewy.com%2Fus%2Fen%2Fjob%2FR28920%2FSenior-Product-Manager-Identity%3Frx_a%3D0%26rx_c%3D%26rx_ch%3Djobp4p%26rx_group%3D128096%26rx_id%3Dada4cd72-1a84-11f1-a412-b72dadca632f%26rx_job%3DR28920_1001%26rx_medium%3Dcpc%26rx_paid%3D0%26rx_r%3Dnone%26rx_source%3Dindeed%26rx_ts%3D20260308T060522Z%26rx_vp%3Dcpc%26utm_campaign%3Dcpc_job_posting%26utm_medium%3Dcpc%26utm_source%3DIndeed")</f>
        <v/>
      </c>
      <c r="G93" t="inlineStr">
        <is>
          <t>Boston, MA, US</t>
        </is>
      </c>
      <c r="H93" s="2" t="n">
        <v>46086</v>
      </c>
      <c r="I93" t="inlineStr">
        <is>
          <t>Job Description:
**Our Opportunity:**
Chewy’s mission is to be the most trusted and convenient destination for pet parents and partners everywhere.
The Identity team ensures account creation and access are frictionless, flexible, and future proof. They develop adaptive, intelligent authentication systems that evolve with our customers. These systems link every part of the customer’s journey at Chewy, including shopping and services.
Join Chewy as a **Senior Product Manager \- Identity** where you will play a pivotal role in crafting our customer experience. This outstanding opportunity will allow you to lead the vision, roadmap, and delivery of user\-focused account setup, login processes, and profile management experiences at Chewy. You will directly own how customers build accounts, sign\-in, and maintain trusted access across every Chewy surface \- from ecommerce and subscriptions to health plans, services, and partner experiences.
You will be responsible for driving the strategic direction, plan, and implementation of the customer\-facing account registration, sign\-in, and profile management experiences at Chewy. You will oversee how customers set up accounts, sign in, and preserve trusted access on every Chewy platform. Chewy platform. This covers online retail, recurring orders, health offerings, and partner interactions.
This high\-impact chance to lead one of Chewy’s key customer\-facing product domains. Your role includes evolving and improving a high\-scale service. You will also promote ongoing progress in a complex, cross\-functional setting. You will ensure access experiences are straightforward, inviting, and secure. This builds customer trust and deepens their connection with Chewy.
**What You’ll Do:**
* Own the end\-to\-end customer experience for account creation, sign\-in, recovery, and ongoing account management across all Chewy surfaces.
* Develop customer flows that are intuitive, inclusive, and accessible while meeting high standards for security, privacy, and reliability.
* Reduce friction across the customer lifecycle \- from guest to registered customer to services adopter \- while preserving trust and safety.
* Use qualitative and quantitative customer insights to find opportunities to improve access, continuity, and confidence across Chewy experiences.
* Define and evolve the long\-term product vision and strategy for identity, authentication, and account foundations.
* Balance near\-term delivery with long\-term platform health, scalability, and extensibility.
* Translate complex technical capabilities into clear, compelling narratives that align cross functional partners around priorities and trade‑offs.
* Translate strategy and insights into clear product requirements, user stories, and documentation.
* Own and prioritize the product roadmap and backlog based on customer impact, risk, and business value.
* Establish success metrics and inspection mechanisms to evaluate platform adoption, reliability, and experience quality.
* Partner closely with engineering, security, and architecture teams to deliver resilient, compliant, and future\-proof solutions.
* Proactively identify risks related to security, scale, performance, or dependency management and drive mitigation plans.
* Track post\-launch outcomes and continuously iterate based on data, feedback, and evolving business needs.
* Work cross functionally with product, engineering, user experience, security, fraud, legal/compliance, data, and downstream platform and experience teams.
* Serve as a trusted partner and advisor to cross functional teams, ensuring identity and access decisions support cohesive, trustworthy customer journeys.
* Drive alignment across highly interdependent teams in an environment with ambiguity and competing priorities.
**What You’ll Need:**
* 6\+ years of professional experience in product management or an equivalent area.
* Bachelor’s degree or equivalent experience in Computer Science, Engineering, Business, or related team.
* Proven experience owning products or platforms end\-to\-end from discovery through delivery and iteration.
* Strong ability to define strategy for platform or foundational systems, not just surface level features.
* Demonstrated success balancing customer experience, technical constraints, and long\-term architectural considerations.
* Comfort operating at multiple levels: setting vision while diving into detailed requirements and trade‑offs.
* Clear, effective communicator who can align diverse partners across teams and levels.
* Skilled at building trust, navigating healthy debate, and driving decisions in complex environments.
* Able to translate technical concepts into accessible narratives for non‑technical audiences.
* Data informed decision maker with excellent judgment in ambiguous or high\-risk problem spaces.
* Detail oriented while maintaining focus on outcomes and customer value.
* Comfortable prioritizing and delivering results in a fast paced, platform dependent ecosystem.
**Bonus:**
* Experience with identity, authentication, authorization, or account management systems.
* Familiarity with security, privacy, or compliance considerations in consumer\-facing platforms.
* Experience delivering large\-scale, customer facing identity or access experiences used by millions of users.
* Background in large‑scale consumer or e‑commerce environments.
**Work Arrangement:**
* Hub Locations: Bellevue, WA or Boston, MA
* Hybrid Model: 3\+ days in hub location per week
* Remote: This role is NOT a remote role.
The base salary range for this role is $141,000 \- $225,500\.*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94">
      <c r="A94" t="inlineStr">
        <is>
          <t>in-46b38eb67e02c79b</t>
        </is>
      </c>
      <c r="B94" t="inlineStr">
        <is>
          <t>Senior Product Manager - Identity</t>
        </is>
      </c>
      <c r="C94" t="inlineStr">
        <is>
          <t>Chewy</t>
        </is>
      </c>
      <c r="D94" t="inlineStr">
        <is>
          <t>indeed</t>
        </is>
      </c>
      <c r="E94">
        <f>HYPERLINK("https://www.indeed.com/viewjob?jk=46b38eb67e02c79b", "https://www.indeed.com/viewjob?jk=46b38eb67e02c79b")</f>
        <v/>
      </c>
      <c r="F94">
        <f>HYPERLINK("https://jsv3.recruitics.com/redirect?rx_cid=3476&amp;rx_jobId=R28920&amp;rx_url=https%3A%2F%2Fcareers.chewy.com%2Fus%2Fen%2Fjob%2FR28920%2FSenior-Product-Manager-Identity%3Frx_a%3D0%26rx_c%3D%26rx_ch%3Djobp4p%26rx_group%3D128096%26rx_id%3D88bd2b75-1a84-11f1-9a9e-15db564ea105%26rx_job%3DR28920%26rx_medium%3Dcpc%26rx_paid%3D0%26rx_r%3Dnone%26rx_source%3Dindeed%26rx_ts%3D20260308T060522Z%26rx_vp%3Dcpc%26utm_campaign%3Dcpc_job_posting%26utm_medium%3Dcpc%26utm_source%3DIndeed", "https://jsv3.recruitics.com/redirect?rx_cid=3476&amp;rx_jobId=R28920&amp;rx_url=https%3A%2F%2Fcareers.chewy.com%2Fus%2Fen%2Fjob%2FR28920%2FSenior-Product-Manager-Identity%3Frx_a%3D0%26rx_c%3D%26rx_ch%3Djobp4p%26rx_group%3D128096%26rx_id%3D88bd2b75-1a84-11f1-9a9e-15db564ea105%26rx_job%3DR28920%26rx_medium%3Dcpc%26rx_paid%3D0%26rx_r%3Dnone%26rx_source%3Dindeed%26rx_ts%3D20260308T060522Z%26rx_vp%3Dcpc%26utm_campaign%3Dcpc_job_posting%26utm_medium%3Dcpc%26utm_source%3DIndeed")</f>
        <v/>
      </c>
      <c r="G94" t="inlineStr">
        <is>
          <t>Bellevue, WA, US</t>
        </is>
      </c>
      <c r="H94" s="2" t="n">
        <v>46086</v>
      </c>
      <c r="I94" t="inlineStr">
        <is>
          <t>Job Description:
**Our Opportunity:**
Chewy’s mission is to be the most trusted and convenient destination for pet parents and partners everywhere.
The Identity team ensures account creation and access are frictionless, flexible, and future proof. They develop adaptive, intelligent authentication systems that evolve with our customers. These systems link every part of the customer’s journey at Chewy, including shopping and services.
Join Chewy as a **Senior Product Manager \- Identity** where you will play a pivotal role in crafting our customer experience. This outstanding opportunity will allow you to lead the vision, roadmap, and delivery of user\-focused account setup, login processes, and profile management experiences at Chewy. You will directly own how customers build accounts, sign\-in, and maintain trusted access across every Chewy surface \- from ecommerce and subscriptions to health plans, services, and partner experiences.
You will be responsible for driving the strategic direction, plan, and implementation of the customer\-facing account registration, sign\-in, and profile management experiences at Chewy. You will oversee how customers set up accounts, sign in, and preserve trusted access on every Chewy platform. Chewy platform. This covers online retail, recurring orders, health offerings, and partner interactions.
This high\-impact chance to lead one of Chewy’s key customer\-facing product domains. Your role includes evolving and improving a high\-scale service. You will also promote ongoing progress in a complex, cross\-functional setting. You will ensure access experiences are straightforward, inviting, and secure. This builds customer trust and deepens their connection with Chewy.
**What You’ll Do:**
* Own the end\-to\-end customer experience for account creation, sign\-in, recovery, and ongoing account management across all Chewy surfaces.
* Develop customer flows that are intuitive, inclusive, and accessible while meeting high standards for security, privacy, and reliability.
* Reduce friction across the customer lifecycle \- from guest to registered customer to services adopter \- while preserving trust and safety.
* Use qualitative and quantitative customer insights to find opportunities to improve access, continuity, and confidence across Chewy experiences.
* Define and evolve the long\-term product vision and strategy for identity, authentication, and account foundations.
* Balance near\-term delivery with long\-term platform health, scalability, and extensibility.
* Translate complex technical capabilities into clear, compelling narratives that align cross functional partners around priorities and trade‑offs.
* Translate strategy and insights into clear product requirements, user stories, and documentation.
* Own and prioritize the product roadmap and backlog based on customer impact, risk, and business value.
* Establish success metrics and inspection mechanisms to evaluate platform adoption, reliability, and experience quality.
* Partner closely with engineering, security, and architecture teams to deliver resilient, compliant, and future\-proof solutions.
* Proactively identify risks related to security, scale, performance, or dependency management and drive mitigation plans.
* Track post\-launch outcomes and continuously iterate based on data, feedback, and evolving business needs.
* Work cross functionally with product, engineering, user experience, security, fraud, legal/compliance, data, and downstream platform and experience teams.
* Serve as a trusted partner and advisor to cross functional teams, ensuring identity and access decisions support cohesive, trustworthy customer journeys.
* Drive alignment across highly interdependent teams in an environment with ambiguity and competing priorities.
**What You’ll Need:**
* 6\+ years of professional experience in product management or an equivalent area.
* Bachelor’s degree or equivalent experience in Computer Science, Engineering, Business, or related team.
* Proven experience owning products or platforms end\-to\-end from discovery through delivery and iteration.
* Strong ability to define strategy for platform or foundational systems, not just surface level features.
* Demonstrated success balancing customer experience, technical constraints, and long\-term architectural considerations.
* Comfort operating at multiple levels: setting vision while diving into detailed requirements and trade‑offs.
* Clear, effective communicator who can align diverse partners across teams and levels.
* Skilled at building trust, navigating healthy debate, and driving decisions in complex environments.
* Able to translate technical concepts into accessible narratives for non‑technical audiences.
* Data informed decision maker with excellent judgment in ambiguous or high\-risk problem spaces.
* Detail oriented while maintaining focus on outcomes and customer value.
* Comfortable prioritizing and delivering results in a fast paced, platform dependent ecosystem.
**Bonus:**
* Experience with identity, authentication, authorization, or account management systems.
* Familiarity with security, privacy, or compliance considerations in consumer\-facing platforms.
* Experience delivering large\-scale, customer facing identity or access experiences used by millions of users.
* Background in large‑scale consumer or e‑commerce environments.
**Work Arrangement:**
* Hub Locations: Bellevue, WA or Boston, MA
* Hybrid Model: 3\+ days in hub location per week
* Remote: This role is NOT a remote role.
The base salary range for this role is $141,000 \- $225,500\.*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li-4379652440</t>
        </is>
      </c>
      <c r="B2" t="inlineStr">
        <is>
          <t>Product Manager</t>
        </is>
      </c>
      <c r="C2" t="inlineStr">
        <is>
          <t>The Walt Disney Company</t>
        </is>
      </c>
      <c r="D2" t="inlineStr">
        <is>
          <t>linkedin</t>
        </is>
      </c>
      <c r="E2" t="inlineStr"/>
      <c r="F2" t="inlineStr"/>
      <c r="G2" t="inlineStr">
        <is>
          <t>Celebration, FL</t>
        </is>
      </c>
      <c r="H2" t="inlineStr"/>
      <c r="I2" t="inlineStr">
        <is>
          <t>Our team creates world\- class immersive digital experiences for the Company’s premier vacation brands including Disney’s Parks \&amp; Resorts worldwide, Disney Cruise Line, Aulani, A Disney Resort \&amp; Spa, and Disney Vacation Club.
 This is a blended role, serving as a key member of the product team responsible for Storyliving by Disney as well as DXT Cast Events \&amp; Communications. Reporting jointly to the Senior Manager, Product Management and dotted line to Lead Product Manager, DSE.
**Responsibilities**
* Define and deliver against guest and business needs.
* Serve as a business facing contact for cross\-functional partners on the Storyliving by Disney business.
* Collaborate with other Disney Experiences Tech \&amp; Digital teams to ensure alignment with product standards.
* Stay abrest of the latest technology trends find strategic opportunities to use innovation to solve business problems.
* Collaborate cross\-functionally with technology and business leaders to establish commercial strategies using technology to drive the business.
* Define the product strategy, creating outcome\-based roadmaps and developing requirements.
* Provide product and scorecard updates to business and technology leadership.
* Negotiate through blockers.
* Serve as part of squad on projects, assisting with their successful completion.
* Work with development teams to ensure they have a deep understanding of the product objectives and priority, and help teams translate the product concepts into user stories, epics and other appropriate product deliverables
* Support the team with documentation, industry research, reporting/analytics, project logistics, testing, and general coordination of feature launches/enhancements
* Plan and execute recognition events \&amp; engaging communications that help create a workplace where Cast feel valued, seen, and inspired
* Have an understanding of how to use product management models and technology to create an exceptional guest experience, support business operations and optimize Cast in a financially constrained and rapidly changing environment.
**Qualifications**
* Bachelor’s degree in a related field
* 3\+ years combined business and digital experience
* Served as the lead on small to medium digital and technology projects, including collaborating on estimates, scope, and plans
* Experience with technical, user and business issues in a digital organization.
* Identify and articulate the impact of the latest industry trends on our business.
* Work collaboratively across large matrixed organizations
* Experience collaborating with and achieve applicable results through others and the capability to interact within all levels
* Experience with Agile software development methodology
* Ability to work within a diverse and cross\-functional teams in a meaningful way to produce quality results.
* Demonstrated proficiency in strategy development and day\-to\-day opertions aligning with business priorities bringing the concepts to reality.
* Excellent communication and negotiation skills and proven experience driving alignment across multiple stakeholders and mediums.
* Understanding of the latest product management frameworks and theories and how to apply them to create impactful experiences.
* A understanding of current Disney Experience capabilities as it relates to converging technology seamlessly into the Guest experience.
* Out of the box thinking, ability to broker creative solutions with internal and external teams to overcome roadblocks and move projects forward.
* Executes on data driven strategies and staying abrest of the latest business and market trends while also monitoring guest behavior through analytics and consumer testing to track against KPI’s.
**Preferred Qualifications**
* Entrepreneurial mindset, proactive thinker with the ability to thrive in an often ambiguous, fast paced environment.
* Cultivate and maintain strong relationships with key stakeholders across the organization
* Working knowledge of markets, products, and competitive landscape (including ability to predict and explain current/future trends), and the ability to translate (both verbally and in writing) technologies into business value.
* Strong analytical and financial skills.
* Graduate degree preferred.</t>
        </is>
      </c>
    </row>
    <row r="3">
      <c r="A3" t="inlineStr">
        <is>
          <t>li-4195258177</t>
        </is>
      </c>
      <c r="B3" t="inlineStr">
        <is>
          <t>Product Manager</t>
        </is>
      </c>
      <c r="C3" t="inlineStr">
        <is>
          <t>Glean</t>
        </is>
      </c>
      <c r="D3" t="inlineStr">
        <is>
          <t>linkedin</t>
        </is>
      </c>
      <c r="E3" t="inlineStr"/>
      <c r="F3" t="inlineStr"/>
      <c r="G3" t="inlineStr">
        <is>
          <t>Palo Alto, CA</t>
        </is>
      </c>
      <c r="H3" t="inlineStr"/>
      <c r="I3"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As a Product Manager, you’ll help solve a ubiquitous problem that all knowledge workers in the world struggle with on a daily basis. You’ll deliver best\-in\-class products for finding, curating, sharing, discovering, and managing knowledge. We’ve only taken the first step towards our long\-term vision of an intelligent work assistant, and we need great product leaders to take us the rest of the way.
 We’re currently a very lean product team, so you’ll have an outsized role in shaping both the product roadmap and the product team itself. You’ll collaborate closely with our stellar Design, Engineering, Sales, Marketing, and Success partners to understand our customers and build category\-defining tools. You’ll wear many hats and gain both breadth and depth of experience.
**You Will**
* Spending a lot of time with our customers to deeply understand their knowledge needs
* Developing key parts of our product roadmap, marrying customers’ needs with our product vision
* Empowering your team by giving context, setting direction, and building alignment
* Driving customer\-focused decisions, clear prioritization, and efficient execution
* Coordinating cross\-functionally with with leadership, go\-to\-market teams, and other key stakeholders across the company
* Building processes that will scale as our team and company go through rapid growth
**About You**
* You have 6\+ years of experience as a product manager at a B2B SaaS company. Experience working on collaboration, productivity, or ML/ranking tools is a plus.
* You have a strong technical background and excel at analytical thinking
* You are an excellent written and verbal communicator
* You have a proven track record of taking ownership, taking initiative, and delivering results
* You collaborate effectively with cross\-functional partners
* You have a learning and growth mindset
* You are mission\-first and understand that your success is measured by your product and team’s success
**Location:**
* This role is hybrid (3\-4 days a week in one of our SF Bay Area offices)
**Compensation \&amp; Benefits**
 The standard base salary range for this position is $105,000 \- $240,000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4">
      <c r="A4" t="inlineStr">
        <is>
          <t>li-4291847536</t>
        </is>
      </c>
      <c r="B4" t="inlineStr">
        <is>
          <t>Product Manager</t>
        </is>
      </c>
      <c r="C4" t="inlineStr">
        <is>
          <t>Picarro</t>
        </is>
      </c>
      <c r="D4" t="inlineStr">
        <is>
          <t>linkedin</t>
        </is>
      </c>
      <c r="E4" t="inlineStr"/>
      <c r="F4" t="inlineStr"/>
      <c r="G4" t="inlineStr">
        <is>
          <t>Santa Clara, CA</t>
        </is>
      </c>
      <c r="H4" t="inlineStr"/>
      <c r="I4" t="inlineStr">
        <is>
          <t>Location: Santa Clara (Picarro HQ) / Remote
 Job Term: Full\-Time
**The Opportunity:**
 Picarro is looking for an experienced and versatile Product Manager to drive both the strategic direction and tactical execution of our innovative environmental monitoring solutions. In this dynamic role, you'll bridge the gap between market needs and engineering development projects, ensuring our products not only meet technical excellence but also deliver significant value to customers across diverse industry segments.
**Responsibilities:**
 Product Strategy \&amp; Roadmap Management:
* Define and execute the product strategy, roadmap, and lifecycle management, integrating market insights, customer feedback, and competitive analysis.
* Prioritize features and requirements to deliver impactful solutions addressing critical environmental challenges, including Ethylene Oxide (EtO) sterilization and Volatile Organic Compound (VOC) emission monitoring.
 Market \&amp; Customer Insight:
* Conduct comprehensive market research, analyzing industry trends, competitor activities, and regulatory landscapes.
* Engage directly with customers and stakeholders to understand their challenges and translate feedback into actionable product requirements.
 Technical Leadership \&amp; Collaboration:
* Collaborate closely with engineering teams to translate market requirements into detailed product specifications and project plans.
* Manage product development processes, from ideation through launch, ensuring alignment across engineering, quality assurance, manufacturing, and customer support teams.
 Product Launch \&amp; Go\-To\-Market:
* Develop and implement go\-to\-market strategies, including product positioning, messaging frameworks, and sales enablement materials.
* Partner with marketing and sales teams to drive successful product launches, ensuring clear value propositions and targeted communication to diverse customer segments.
 Performance Measurement \&amp; Optimization:
* Define, track, and analyze key performance indicators (KPIs) related to product adoption, customer satisfaction, and financial goals.
* Continuously refine product strategies based on data\-driven insights and market feedback.
 Regulatory Expertise \&amp; Thought Leadership:
* Maintain a deep understanding of evolving environmental and compliance standards, including EPA regulations related to EtO sterilization and VOC emissions.
* Leverage regulatory expertise to guide product development and position Picarro as a thought leader in environmental compliance.
**Qualifications:**
* Bachelor’s degree in Engineering, Environmental Science, Business, or a related technical field.
* 5\+ years of product management experience, ideally in environmental monitoring technology, regulatory compliance, environmental services and consulting, or related fields.
* Demonstrated success managing products through the entire product lifecycle, from concept to launch and growth.
* Exceptional ability to communicate complex technical concepts clearly and effectively to both technical and non\-technical stakeholders.
* Proven ability to collaborate cross\-functionally with engineering, sales, marketing, and customer success teams.
* Strong analytical skills with experience in data\-driven decision\-making and market analysis.
**Bonus Points:**
* Familiarity with Industrial and Environmental Health and Safety.
* Familiarity with agile product development methodologies and tools.
* Prior experience managing products, solutions or processes related to EtO sterilization or VOC emission monitoring.
**Salary \&amp; Benefits:**
 The base salary range for this full\-time position is $130\-160k, commensurate with experience, qualifications, and location.
 We offer a comprehensive benefits package including:
* Medical, Dental, and Vision insurance
* Flexible Spending Account (FSA) and Health Savings Account (HSA) plans
* Life, Short\-Term Disability, and Long\-Term Disability Insurance
* Flexible Vacation Policy and Paid Holidays
* Employee Referral Program
* 401K
* Social events (summer picnic, holiday party, team lunches, etc.)
* On\-site Health \&amp; Wellness programs (fitness challenges, outdoor bootcamp, flu\-shots, etc.)
**About Picarro:**
 We are the global leader in delivering timely, trusted, and actionable data through enhanced optical spectroscopy. Our solutions serve diverse applications including natural gas leak detection, ethylene oxide emissions monitoring, semiconductor fabrication, pharmaceutical, petrochemical, atmospheric science, air quality, greenhouse gas measurements, food safety, hydrology, and ecology. Headquartered in Santa Clara, California, our products are trusted in over 90 countries and supported by over 65 patents related to cavity ring\-down spectroscopy (CRDS) technology.
 Picarro, Inc. is an Equal Opportunity Employer committed to creating a diverse workforce.</t>
        </is>
      </c>
    </row>
    <row r="5">
      <c r="A5" t="inlineStr">
        <is>
          <t>li-4333061974</t>
        </is>
      </c>
      <c r="B5" t="inlineStr">
        <is>
          <t>Senior Product Manager</t>
        </is>
      </c>
      <c r="C5" t="inlineStr">
        <is>
          <t>Metropolis Technologies</t>
        </is>
      </c>
      <c r="D5" t="inlineStr">
        <is>
          <t>linkedin</t>
        </is>
      </c>
      <c r="E5" t="inlineStr"/>
      <c r="F5" t="inlineStr"/>
      <c r="G5" t="inlineStr">
        <is>
          <t>New York, NY</t>
        </is>
      </c>
      <c r="H5" t="inlineStr"/>
      <c r="I5" t="inlineStr">
        <is>
          <t>**Who We Are**
 The real world is the next frontier, and at Metropolis, we are creating the artificial intelligence to make it responsive. We are pioneering the Recognition Economy — a future where mundane repetition disappears and being known unlocks access, comfort and belonging everywhere you go. From transforming parking into a seamless drive\-in, drive\-out experience for millions of Members to expanding our intelligence layer across retail and hospitality, we are building a world that feels instinctive and magical. The future isn’t coming; it’s here, and we need builders, innovators and problem solvers to help us create it.
**Who You Are**
 Metropolis is seeking a Senior Product Manager to lead initiatives that are foundational to delivering seamless, intelligent, and scalable experiences across our growing network of locations. You will own core parts of our platform that power critical growth drivers of our business \- from novel consumer experiences to core infrastructure that ensure smooth operations and deliver values to our operators. We are looking for a systems thinker who can operate across both product strategy and technical execution. You thrive in ambiguous environments, can translate complex operational or technical needs into clear product requirements, and are motivated by solving problems that blend software, hardware, and physical space.
**What You'll Do**
* Define and drive the product vision for core platform capabilities that enable a seamless and scalable experience across the Metropolis ecosystem
* Translate business and operational goals into clear, prioritized roadmaps and measurable outcomes
* Partner with cross\-functional stakeholders to identify bottlenecks and opportunities to improve performance, reliability, and scalability
* Lead product discovery and delivery using data, experimentation, and user feedback
* Define clear product requirements, documentation, and success metrics to align stakeholders and guide execution
* Work with Engineering to ensure product design is efficient, maintainable, and aligned with long\-term architecture
* Partner with Operations to monitor real\-world performance, resolve issues, and continuously improve site and system health
* Manage launches end\-to\-end, from QA and testing to rollout and adoption
* Define, monitor, and drive key metrics that push our business forward
**What we're looking for**
* Bachelor’s degree or equivalent experience
* 5\+ years of product management experience
* Proven ability to drive large, cross\-functional projects from concept through delivery
* Strong analytical and problem\-solving skills; adept at interpreting data and identifying actionable insights
* Excellent written and verbal communication skills, with the ability to simplify complex ideas for diverse audiences
* Experience collaborating closely with engineering and operations teams
* High attention to detail and ability to prioritize effectively
**While not required, these are a plus:**
* SQL skills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$200,000\.00 USD to $220,000\.00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6">
      <c r="A6" t="inlineStr">
        <is>
          <t>li-4323546267</t>
        </is>
      </c>
      <c r="B6" t="inlineStr">
        <is>
          <t>Principal Product Manager - AI Applications</t>
        </is>
      </c>
      <c r="C6" t="inlineStr">
        <is>
          <t>Five9</t>
        </is>
      </c>
      <c r="D6" t="inlineStr">
        <is>
          <t>linkedin</t>
        </is>
      </c>
      <c r="E6" t="inlineStr"/>
      <c r="F6" t="inlineStr"/>
      <c r="G6" t="inlineStr"/>
      <c r="H6" t="inlineStr"/>
      <c r="I6"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We’re looking for a visionary product leader who combines deep technical expertise with exceptional strategic thinking to lead the development of several strategic AI/LLM powered product areas, including but not limited to:
* AI Insights – LLM\-powered Conversation Intelligence that transforms voice\-of\-customer data into actionable CX intelligence.
* Agent Assist – Equip agents with real\-time RAG knowledge, LLM\-powered guidance and coaching
* GenAI Studio – Advanced LLM Ops and observability for enterprise\-scale deployments
 This position is based in the US. You will lead and collaborate with a global team spanning the United States, Portugal, and India.
**Responsibilities:**
* Set the Vision: Define and communicate a bold product strategy that aligns with market trends and customer needs
* Own the Roadmap: Build and maintain a clear, prioritized roadmap that drives differentiation and growth
* Lead with Data: Conduct deep competitive and market analysis, identifying emerging trends in Conversation Intelligence and Agent Assistance to inform decisions and validate direction
* Drive Execution: Distill high\-level strategic thinking into detailed product requirements and intuitive user experience designs and partner with Engineering and UX for flawless delivery. Validate assumptions by leading beta programs and customer pilots, managing feedback loops and iterating rapidly based on real\-world usage
* Go\-to\-Market: Collaborate with Marketing, Sales and Partner organizations to craft compelling positioning and pricing strategies
* Engage Customers and Partners: Act as a product evangelist in key customer conversations and user groups. Drive forward deployment engagements with enterprise customers, working hands\-on to optimize AI Solution performance and ensure successful adoption
* Inspire Teams: Partner with and mentor product managers, fostering a culture of innovation and accountability
**Requirements:**
* 9\+ years of product management experience, including 5\+ years in AI\-first enterprise software
* Demonstrable hands\-on success designing and delivering AI/LLM\-powered CX applications (e.g., Conversation Intelligence, Agent Assistance, AI Observability). Proven technical and hands\-on proficiency with LLM applications, prompt engineering, RAG architectures, and agentic design patterns
* Deep domain expertise in LLM\-powered Conversation Intelligence, Agent Assistance, and LLM ops technologies is a big plus.
* Strong analytical skills with the ability to turn data into actionable insights
* Experience managing beta programs and validating product directions through user feedback
* Experience leading through influence in matrixed, global organizations with distributed teams.
* Track record of managing beta programs, running experiments (A/B testing), and leveraging customer feedback to drive product iterations
**Bonus Points**
 If you have a fervent passion for innovation, armed with hands\-on experience in design thinking, experience\-based road mapping, lean startup methodologies, and other progressive innovation practices.
 Work Location: This role is fully remote for candidates who reside outside the 50 mile radius of our San Ramon office. For candidates who reside within 50 miles of our San Ramon location, this role is Hybrid and would require 3 days a week (M, W, TH) in our San Ramon office.
 As part of our continued commitment to diversity, equity, and inclusion, Five9 supports pay transparency during the entire recruitment process. Actual compensation packages are based on several factors that are unique to each candidate including, but not limited to: skill set, depth of experience, certifications, and specific work location. The range displayed reflects the minimum and maximum target for new hire salaries for the job across the United States. Your recruiter can share more about the specific compensation package during your hiring process.
 Additionally, the total compensation package for this position may also include an annual performance bonus, stock, and/or other applicable incentive compensation plans.
 Our total reward package also includes:
* Health, dental, and vision coverage, beginning on the first day of employment. Five9 covers 100% of the employee portion of the health, dental and vision coverage and shares a high portion of the dependent cost. We also offer Short \&amp; Long\-Term Disability, Basic Life Insurance, and a 401k saving plan with employer matching
* Access to an innovative mental health support platform that offers personalized care and resources in areas such as: therapy, coaching and self\-guided mindfulness exercises for all covered employees and their covered dependents
* Generous employee stock purchase plan
* Paid Time Off, Company paid holidays, paid volunteer hours and 12 weeks paid parental leave
 All compensation and benefits are subject to the requirements and restrictions set forth in the applicable plan documents and any written agreements between the parties.
 The US base salary range for this role is below.
 $135,300—$398,200 USD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Note: Five9 will never request that an applicant send money as a prerequisite for commencing employment with Five9\.</t>
        </is>
      </c>
    </row>
    <row r="7">
      <c r="A7" t="inlineStr">
        <is>
          <t>li-4365141148</t>
        </is>
      </c>
      <c r="B7" t="inlineStr">
        <is>
          <t>Product Manager, ML Foundations and GenAI</t>
        </is>
      </c>
      <c r="C7" t="inlineStr">
        <is>
          <t>Stripe</t>
        </is>
      </c>
      <c r="D7" t="inlineStr">
        <is>
          <t>linkedin</t>
        </is>
      </c>
      <c r="E7" t="inlineStr"/>
      <c r="F7" t="inlineStr"/>
      <c r="G7" t="inlineStr">
        <is>
          <t>New York, United States</t>
        </is>
      </c>
      <c r="H7" t="inlineStr"/>
      <c r="I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
      <c r="A8" t="inlineStr">
        <is>
          <t>li-4301567740</t>
        </is>
      </c>
      <c r="B8" t="inlineStr">
        <is>
          <t>Senior Product Manager, Fintechs &amp; Exchanges</t>
        </is>
      </c>
      <c r="C8" t="inlineStr">
        <is>
          <t>OP Labs PBC</t>
        </is>
      </c>
      <c r="D8" t="inlineStr">
        <is>
          <t>linkedin</t>
        </is>
      </c>
      <c r="E8" t="inlineStr"/>
      <c r="F8" t="inlineStr"/>
      <c r="G8" t="inlineStr">
        <is>
          <t>New York, United States</t>
        </is>
      </c>
      <c r="H8" t="inlineStr"/>
      <c r="I8" t="inlineStr">
        <is>
          <t>**OP Labs** 
 is the team building the technology behind
 **Optimism** 
 , the leading blockchain infrastructure provider powering 65% of all Layer 2 transactions. Our open\-source
 **OP Stack** 
 enables developers and enterprises to launch scalable, secure, and customizable onchain networks with ease. Backed by
 **a16z** 
 ,
 **Paradigm** 
 , and others, OP Labs has raised over
 **$175M** 
 to drive the next generation of onchain innovation.
**Role And Responsibilities**
 We’re hiring a Senior Product Manager to drive onchain adoption by fintechs and centralized crypto exchanges in the Optimism ecosystem.
 Fintechs and crypto exchanges are rapidly moving their business onchain to serve as the most important distribution partners for bringing millions of users and billions in assets onchain. In this role, you’ll define the roadmap for enterprise\-facing products that help these businesses expand their product suite and integrate DeFi functionality without sacrificing user experience.
 As the creators of Optimism Mainnet and the infrastructure that powers all OP Stack chains, OP Labs is dedicated to enhancing Ethereum’s performance exponentially. We operate as a Public Benefit Corporation, aligning our mission with the greater public good by funding Ethereum public goods through our growth.
**What are the role responsibilities?**
* Lead the Fintech \&amp; Exchange Roadmap: Define and execute product strategy across integrations, SDKs, and infrastructure that help fintechs and exchanges embed onchain services into their platforms.
* Champion the Customer: Build deep expertise in fintechs and exchanges, understanding their needs around compliance, custody, and user experience. Translate those needs into products and partnerships that deliver measurable value.
* Drive Adoption of Onchain Services: Launch and scale products that make it easier for enterprises to offer yield, trading, payments, and other onchain financial products to their users.
* Partner with the Ecosystem: Collaborate and coordinate with DeFi protocols, infra providers, custodians, and chain operators to accelerate ecosystem growth.
* Collaborate Cross\-Functionally: Work with engineering, BD, design, and marketing to bring new products from concept to launch and iterate quickly.
**What skills do you bring?**
* Experience: 5\+ years of product management experience, ideally in fintech, consumer finance apps, or centralized crypto exchanges. Direct experience with onchain/DeFi products is a strong plus.
* Customer\-Driven: Strong ability to engage with enterprise partners, uncover pain points, and translate them into actionable product requirements.
* Technical Aptitude: Comfortable working across custody, wallet infra, and protocol integrations to inform product decisions.
* Domain Knowledge: Solid understanding of fintech product mechanics (e.g., trading, lending, payments) or exchange infrastructure.
* Collaborative \&amp; Adaptable: Thrives in fast\-moving environments with shifting priorities and rapidly developing regulatory landscape
* Strong Communicator: Excellent written and verbal skills; able to articulate complex concepts to both technical and non\-technical audiences.
* Mission\-Aligned: Belief that blockchains can make financial services more open, efficient, and accessible to anyone.
**What will you like about us?**
* We take care of our employees. Competitive compensation, fully paid medical, dental, and vision, and a 4% 401K match.
* We take pride in the accomplishments of our teammates and support each other in doing the best work of our careers.
* Our team is a diverse group of people from varied backgrounds. We cherish our eclecticism and consider it a great strength.
* We’re fully remote, deeply engaged, highly skilled, and like to have fun.
* We think long\-term. Our founders have been scaling Ethereum since 2015\.
* Learn more about our interviewing here!
 We are aware of fraudulent individuals falsely claiming to represent
 **OP Labs** 
 in recruitment activities.
**Please Note**
* All official communication will come from an @oplabs.co email address, or from a verified Linked profile.
* We will never ask for payment, banking information, or personal identification details at any stage of our hiring process.
* All current openings are listed exclusively on our official careers page and linked from our verified social profiles.
* If you’re ever unsure about a communication that claims to be from OP Labs, please contact us directly at people@oplabs.co to verify authenticity.
 Your safety and trust are very important to us. Thank you for helping us prevent fraud.</t>
        </is>
      </c>
    </row>
    <row r="9">
      <c r="A9" t="inlineStr">
        <is>
          <t>li-4372047295</t>
        </is>
      </c>
      <c r="B9" t="inlineStr">
        <is>
          <t>Product Manager II, New Verticals</t>
        </is>
      </c>
      <c r="C9" t="inlineStr">
        <is>
          <t>Google</t>
        </is>
      </c>
      <c r="D9" t="inlineStr">
        <is>
          <t>linkedin</t>
        </is>
      </c>
      <c r="E9" t="inlineStr"/>
      <c r="F9" t="inlineStr"/>
      <c r="G9" t="inlineStr">
        <is>
          <t>Cambridge, MA</t>
        </is>
      </c>
      <c r="H9" t="inlineStr"/>
      <c r="I9" t="inlineStr">
        <is>
          <t>Note: By applying to this position you will have an opportunity to share your preferred working location from the following:
 **Cambridge, MA, USA; Mountain View, CA, USA** 
 .
 **Minimum qualifications:**
* Bachelor's degree or equivalent practical experience.
* 5 years of experience in product management or related technical role.
* 2 years of experience taking technical products from conception to launch (e.g., ideation to execution, end\-to\-end, 0 to 1, etc.).
* 2 years of experience launching ecommerce or search products.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working cross\-functionally with engineering, UX/UI, sales finance, and other stakeholders.
* 1 year of experience in a technical leadership role.
* Experience with advertising, ecommerce, or commercial verticals.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Our team's mission is to accelerate vertical journeys with great ads that drive exceptional industry value and power Google’s growth.
 Vertical user journeys represent a large percent of search usage. With a vertical\-focused approach, we can create compelling experiences that delight users and advertisers, and deliver substantial business value. Together with Search partner teams, Google is making major bets in many verticals – providing users with rich relevant results, unique insights, and real time info about offers, pricing, and availability – and developing rich engaging ads that feel like answers and help users discover great offers and businesses in each vertical.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Generate deep user and customer insights and identify the biggest growth levers to increase user and advertiser value.
* Work collaboratively to build alignment at team, executive, and customer level to motivate investment.
* Design, build, and launch highly engaging new ad formats across Google's marquee properties: Search, Maps, YouTube, and Discover.
* Design, build, and launch new advertiser experiences that meet industry\-specific needs that unlock new budgets or customer segments.
* Lead execution across an extended cross\-functional team and work closely with partner teams across Ads, Search, and the Global Business Organization (GBO).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
      <c r="A10" t="inlineStr">
        <is>
          <t>li-4267609686</t>
        </is>
      </c>
      <c r="B10" t="inlineStr">
        <is>
          <t>Product Manager, Search and Embeddings</t>
        </is>
      </c>
      <c r="C10" t="inlineStr">
        <is>
          <t>Cohere</t>
        </is>
      </c>
      <c r="D10" t="inlineStr">
        <is>
          <t>linkedin</t>
        </is>
      </c>
      <c r="E10" t="inlineStr"/>
      <c r="F10" t="inlineStr"/>
      <c r="G10" t="inlineStr">
        <is>
          <t>New York, NY</t>
        </is>
      </c>
      <c r="H10" t="inlineStr"/>
      <c r="I10"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**Product Management At Cohere**
 Our team is responsible for driving the direction of Cohere’s technology to the world through our interfaces. We’ve released generative models like Command A, Retrieval models like Embed 4 and Rerank 3\.5, and products such as North and Compass. At Cohere, PMs work on the core models, APIs, and end\-to\-end products that serve our enterprises and developers.
 We view the role that PMs play at Cohere to be “full\-stack” in the sense that you will work with cross\-functional stakeholders at every step of the way when training and evaluating the models, delivering product, ensuring successful GTM and customer happiness.
**About The Search And Embeddings Role**
 One of the most exciting applications for generative AI is in its use in Retrieval Augmented Generation (RAG) and Agents \- Search and Embeddings plays a critical role in ensuring that LLMs have the correct context in order to answer the user needs. The focus of this PM will not only be on the role that search plays in RAG/Agents but also in traditional search. The expectation is that you have experience with working on Search products and Embedding / Cross\-Encoder models.
 The Search and Embedding PM manages the following models and products:
* Embeddings (Embed\-v4\.0\)
* Rerank (Rerank\-v3\.5\)
* Compass (Cohere’s Search Solution)
* Evaluation of Search performance across all products and models
**In This Role, You Will**
* Define strategic priorities and roadmap for improving retrieval model performance, focusing on enterprise needs and emerging capabilities.
* Use data and customer engagements to better understand user needs and guide future product and model development.
* Collaborate with a wide range of stakeholders, including teams in product, finance, go\-to\-market, engineering, and marketing.
* Drive product strategy and monetization through a deep understanding of the increasingly dynamic and competitive AI Landscape.
* Read lots of papers and collaborate with ML on ensuring our models remain SOTA
**In order to be successful in this role, you have:**
* At least 4\+ years of product management experience, understanding customer needs, and launching successful products.
* At least 1\+ years of working on search products and embedding/reranking models.
* Obtained a Bachelor’s or postgrad degree in CS, ML or related field, or a background in machine learning, algorithms, large scale systems, and statistics.
* Have proven experience working in a technical environment with cross\-functional teams to drive product vision, define requirements, and guide the team through key milestones.
* Showcase strong leadership, organizational, and execution skills, along with proven communication abilities.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11">
      <c r="A11" t="inlineStr">
        <is>
          <t>li-4379660183</t>
        </is>
      </c>
      <c r="B11" t="inlineStr">
        <is>
          <t>Sr. Product Manager</t>
        </is>
      </c>
      <c r="C11" t="inlineStr">
        <is>
          <t>The Walt Disney Company</t>
        </is>
      </c>
      <c r="D11" t="inlineStr">
        <is>
          <t>linkedin</t>
        </is>
      </c>
      <c r="E11" t="inlineStr"/>
      <c r="F11" t="inlineStr"/>
      <c r="G11" t="inlineStr">
        <is>
          <t>Celebration, FL</t>
        </is>
      </c>
      <c r="H11" t="inlineStr"/>
      <c r="I11" t="inlineStr">
        <is>
          <t>At Disney Experiences Technology, we design and deliver more than 400 digital and physical products that bring Disney stories to life in unexpected ways. From theme parks and resorts to cruise ships and beyond, our global team of technologists, designers, and innovators creates seamless, immersive experiences that delight millions of Guests and Cast Members around the world. Our team creates world\-class immersive digital experiences for the Company’s premier vacation brands including Disney’s Parks \&amp; Resorts worldwide, Disney Cruise Line, Aulani, A Disney Resort \&amp; Spa, and Disney Vacation Club.
 As a Senior Product Manager for the Storyliving by Disney Commercial Team, you will be responsible for driving strategy, delivery, and continuous improvement across multiple product areas.
**Responsibilities**
* Contribute to the development of the product vision, strategy, and outcome\-based roadmaps for the commercial portfolio
* Define product strategy and present vision and strategic plans to executive leadership throughout the product lifecycle.
* Collaborate cross\-functionally with technology and business leaders to establish commercial strategies that leverage technology to drive business growth.
* Lead external vendor teams and internal squads to deliver high\-quality products on time and within scope.
* Translate product concepts into actionable deliverables including user stories, epics, and detailed requirements and manage through backlog refinement, prioritization, and user acceptance testing.
* Attend daily scrums, drive priority decisions, and resolve roadblocks to ensure smooth product rollouts.
* Negotiate through blockers and influence decisions across technology and business teams.
* Be data informed by using qualitative and quantitative research, analytics, documentation, and testing.
* Stay informed on marketing technology trends and emerging technologies to inform product strategy.
* Provide regular product and scorecard updates to business and technology leadership.
* Support ongoing documentation, reporting, and coordination of feature launches and enhancements.
* Have an understanding of how to use product management models and technology to create an exceptional guest experience, support business operations and optimize Cast in a financially constrained and rapidly changing environment.
* Identify and articulate the impact of the latest industry trends on our business.
* Work collaboratively across large matrixed organizations
* Cultivate and maintain strong relationships with key stakeholders across the organization
* Executes on data driven strategies and staying abrest of the latest business and market trends while also monitoring guest behavior through analytics and consumer testing to track against KPI’s.
**Qualifications**
* Bachelor’s degree in a related field required
* 5\+ years combined business and digital experience
* Served as the lead on medium to large technology projects, including collaborating on estimates, scope, and plans
* Experience with technical, user and business issues in a digital organization.
* Experience collaborating with and achieve applicable results through others and the capability to interact within all levels
* Experience with Agile software development methodology
* Entrepreneurial mindset, proactive thinker with the ability to thrive in an often ambiguous, fast paced environment.
* Working knowledge of markets, products, and competitive landscape (including ability to predict and explain current/future trends), and the ability to translate (both verbally and in writing) technologies into business value.
* Strong analytical and financial skills.
* Ability to work within a diverse and cross\-functional teams in a meaningful way to produce quality results.
* Demonstrated proficiency in strategy development and day\-to\-day opertions aligning with business priorities bringing the concepts to reality.
* Excellent communication and negotiation skills and proven experience driving alignment across multiple stakeholders and mediums.
* Understanding of the latest product management frameworks and theories and how to apply them to create impactful experiences.
* An understanding of current Disney Experience capabilities as it relates to converging technology seamlessly into the Guest experience.
* Out of the box thinking, ability to broker creative solutions with internal and external teams to overcome roadblocks and move projects forward.
**Preferred Qualifications**
* Graduate degree preferred.</t>
        </is>
      </c>
    </row>
    <row r="12">
      <c r="A12" t="inlineStr">
        <is>
          <t>li-4365124485</t>
        </is>
      </c>
      <c r="B12" t="inlineStr">
        <is>
          <t>Product Manager, ML Foundations and GenAI</t>
        </is>
      </c>
      <c r="C12" t="inlineStr">
        <is>
          <t>Stripe</t>
        </is>
      </c>
      <c r="D12" t="inlineStr">
        <is>
          <t>linkedin</t>
        </is>
      </c>
      <c r="E12" t="inlineStr"/>
      <c r="F12" t="inlineStr"/>
      <c r="G12" t="inlineStr">
        <is>
          <t>San Francisco, CA</t>
        </is>
      </c>
      <c r="H12" t="inlineStr"/>
      <c r="I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
      <c r="A13" t="inlineStr">
        <is>
          <t>li-4313690667</t>
        </is>
      </c>
      <c r="B13" t="inlineStr">
        <is>
          <t>Principal Product Manager</t>
        </is>
      </c>
      <c r="C13" t="inlineStr">
        <is>
          <t>Jiffy.com</t>
        </is>
      </c>
      <c r="D13" t="inlineStr">
        <is>
          <t>linkedin</t>
        </is>
      </c>
      <c r="E13" t="inlineStr"/>
      <c r="F13" t="inlineStr"/>
      <c r="G13" t="inlineStr">
        <is>
          <t>Irvine, CA</t>
        </is>
      </c>
      <c r="H13" t="inlineStr"/>
      <c r="I13" t="inlineStr">
        <is>
          <t>**Description**
 We are seeking a Principal Product Manager with deep experience in building 0 to 1 products and a passion for leveraging new technologies within the e\-commerce space. In this highly impactful role, you will take ownership of product vision, strategy, and execution, working alongside engineering teams to deliver cutting edge solutions that enhance customer experience. If you're a hands on leader with a background in product innovation, design tools, or creative solutions, and can seamlessly communicate technical concepts to both executives and engineers, we want to hear from you.
 Reporting to: Executive General Manager
 This role follows a
 **hybrid work model** 
 with a requirement of
 **a minimum of three (3\) days per week onsite** 
 . Employees should expect to work regularly from the office to support collaboration and business needs.
**Who We Are**
 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**The Role**
 This is not a typical Product Manager role. You will not be managing a backlog—you will be an architect of our products and services. We will point you at our most ambiguous, mission\-critical problems and give you the autonomy to solve them. You will be expected to go deep technically with our engineers on system architecture, write impeccably clear specs, and be ruthlessly pragmatic to ship value to our users every single week. You are a problem\-solver first, a PM second. Your performance will be measured by what you ship and the impact it has.
**Requirements**
**The Breakdown: Who You Are**
 We've intentionally broken down our requirements to be crystal clear. Read this carefully. This is our filter.
**MUST HAVES (Non\-Negotiable Qualities)**
* Deep Technical Literacy: You come from a Computer Science, engineering background, or have equivalent hands\-on experience. You must be able to hold your own in a system design discussion, understand what JSON is, read API documentation for fun, and debate infrastructure trade\-offs with senior engineers. If you can't, this role is not for you.
* AI\-Native Execution: You don't just use AI; you think with it. You can take a vague idea and, within hours, generate a functional, interactive prototype to test with real users. You leverage AI to instantly generate UI/UX mockups from rough sketches, analyze mountains of user feedback for hidden insights, and formulate data\-driven hypotheses that are tested and validated before a single line of production code is written. You are fluent in the modern AI stack for product managers and can go from concept to tested prototype in a day.
* A "Wartime" Mentality: You are relentlessly resourceful. You have an obsessive bias for action and will run through walls to get the job done. You don't make excuses; you find solutions. You thrive in chaos and create clarity from it.
* First\-Principles Logic: You think in terms of expected paths, alternate paths, and exception paths instinctively. You can deconstruct a complex user problem into its purest logical components and build it back up into a simple, elegant solution.
* Owner Mindset: You are an independent operator. You don't need to be told what to do. You see a problem, you validate it, you define a solution, you rally a team, and you ship it. End\-to\-end.
**SHOULD HAVES (What Makes You a Strong Candidate)**
* 1\-3 Years of Shipping Experience: You have a track record of shipping software in a product, engineering, or similarly technical role. You've been in the trenches and have the scars to prove it.
* Leveraging AI to accelerate velocity and quality: You use modern AI tools and workflows not just as a product feature, but to make the entire team faster and the product better.
* Exceptional Written Clarity: You can write Jira tickets and product specs that are so clear and precise they are impossible to misinterpret. Your documentation is the source of truth that empowers engineers to build with speed and confidence.
* Intellectual Honesty \&amp; Adaptability: You hold strong opinions, weakly held. You are committed to the mission, not your own ideas. When the market or data tells you to pivot, you do so instantly and without ego.2 You understand that the roadmap is a living document, not a sacred text. User \&amp; Data Obsession: You're naturally curious and know how to get answers. You're comfortable getting your hands dirty with analytics tools and talking to users to find the signal in the noise.
**COULD HAVES (Bonus Points That Get Us Excited)**
* Startup DNA: You've worked at a seed or Series A startup or have tried to build your own thing.
* Domain Passion: You have a genuine, demonstrable interest in AI, fashion, creator economies, or culture.
* Design Acumen: You have a strong sense of UX and can work with designers to craft beautiful, intuitive products.
**WON'T HAVES (This Role is NOT For You If...)**
* You see product management as "CEO of the product." We are a team of servants to our users and our mission.
* You are a "glorified project manager." Your job is to define the what and the why with extreme clarity, not just track the how.
* You need months to research a problem or believe in long, multi\-week release cycles. We ship in one week.
* You feel your job is to "manage" engineers. Your job is to empower them.
* You are married to your roadmap and find it difficult to pivot when a better opportunity presents itself.
 If this description energizes you and makes you feel understood, we encourage you to apply. We are building a legendary company, and this is your chance to get in on the ground floor.
**Why You’ll Love Working Here**
* Opportunity to lead product innovation in the rapidly evolving AI and image processing space.
* Collaborative and high growth environment, with direct impact on the company’s strategic direction.
* High visibility and influence in shaping cutting edge e\-commerce solutions.
**Benefits**
 The base compensation for this role is expected to range from
 **$160,000 to $250,000** 
 per year. Actual compensation will be based on a variety of factors, including skills, experience, qualifications, and overall fit for the role.
 Total compensation may include base salary, performance\-based bonuses, equity, and benefits. Final offers are tailored to each candidate and take into consideration their background and years of experience.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t>
        </is>
      </c>
    </row>
    <row r="14">
      <c r="A14" t="inlineStr">
        <is>
          <t>li-4365250586</t>
        </is>
      </c>
      <c r="B14" t="inlineStr">
        <is>
          <t>Product Manager, ML Foundations and GenAI</t>
        </is>
      </c>
      <c r="C14" t="inlineStr">
        <is>
          <t>Stripe</t>
        </is>
      </c>
      <c r="D14" t="inlineStr">
        <is>
          <t>linkedin</t>
        </is>
      </c>
      <c r="E14" t="inlineStr"/>
      <c r="F14" t="inlineStr"/>
      <c r="G14" t="inlineStr">
        <is>
          <t>Seattle, WA</t>
        </is>
      </c>
      <c r="H14" t="inlineStr"/>
      <c r="I1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5">
      <c r="A15" t="inlineStr">
        <is>
          <t>li-4365557005</t>
        </is>
      </c>
      <c r="B15" t="inlineStr">
        <is>
          <t>Product Manager, Platforms</t>
        </is>
      </c>
      <c r="C15" t="inlineStr">
        <is>
          <t>Blue River Technology</t>
        </is>
      </c>
      <c r="D15" t="inlineStr">
        <is>
          <t>linkedin</t>
        </is>
      </c>
      <c r="E15" t="inlineStr"/>
      <c r="F15" t="inlineStr"/>
      <c r="G15" t="inlineStr"/>
      <c r="H15" t="inlineStr"/>
      <c r="I15" t="inlineStr">
        <is>
          <t>We’re Blue River, a team of innovators driven to create intelligent machinery that solves monumental problems for our customers. We empower our customers – farmers, construction crews, and foresters \- to implement safer and more sustainable solutions, driving increased profitability with less reliance on scarce labor. We believe that focusing on the small stuff – pixel\-by\-pixel and task\-by\-task \- leads to big gains.
 Blue River Technology aligns with John Deere’s vision to “innovate on behalf of humanity” by quickly identifying and solving high\-value, high\-uncertainty challenges in AI, machine learning, computer vision, and robotics. BRT acts as a research and development flywheel, building not only new products but also new platforms that reliably create value for both Deere and its customers. From fully autonomous machines to highly precise farming equipment, BRT and Deere are partnering to create technical breakthroughs in industries like agriculture and construction.
 Our people are at the heart of what we do. Through cross\-disciplinary collaboration, this mission\-driven team is eager to define the new frontier of robotics. We are always asking hard questions, rapidly iterating, and getting our boots in the field to figure it out. We won’t give up until we’ve made a tangible and positive impact on the planet!
 Blue River Technology is based in Santa Clara, CA.
**Summary**
 We are seeking an experienced Product Manager to join our Platform organization. We build the foundational components and cloud services that help internal program teams launch, operate, and continuously improve Intelligent Machines, without each program rebuilding the same core capabilities. In this role, you’ll own one or more Platform offerings and/or cross\-cutting capabilities across our portfolio (assignment based on priorities and fit). You’ll work at the intersection of robotics software, ML systems, fleet operations, and developer experience, turning ambiguous needs into clear product bets, production\-ready releases, and capabilities teams actually adopt in the field.
* Employment Type: Full\-Time
* Work Location: Remote in the United States
* Visa sponsorship is not available for this position.
**Job Responsibilities**
 A combination, not necessarily all\-inclusive, of the following:
* Product Ownership: Own strategy, roadmap, and outcomes for one or more Platform offerings or cross\-cutting capabilities.
* Customer Discovery: Build tight feedback loops with program teams and engineers to understand real constraints in the field (messy data, variable environments, operational risk).
* Requirements \&amp; Tradeoffs: Translate problems into crisp requirements, success metrics, and prioritized backlogs; make explicit tradeoffs across speed, reuse, reliability, and customization.
* Cross\-Functional Execution: Partner with engineering and design to ship iteratively—APIs, tooling, workflows, and user experiences that teams adopt and keep using.
* Adoption \&amp; Rollout: Drive onboarding, documentation, enablement, and rollout plans; measure adoption and unblock teams during integration.
* Platform Quality: Set the bar for production readiness (reliability, observability, supportability, and backward compatibility) and prevent “it works in the lab” releases.
* Portfolio Alignment: Coordinate dependencies across Platform and program teams; reduce duplication and converge on shared building blocks where it matters.
* Metrics \&amp; Outcomes: Define and track product metrics and use them to drive priorities and investment.
* Stakeholder Communication: Keep stakeholders aligned by clearly articulating narratives, status updates, decisions, and risks, especially when priorities conflict or timelines shift.
**Required Experience And Skills**
* 5\+ years of proven experience as a Product Manager, with a strong track record of successfully launching and managing complex technical products.
* Deep understanding of robotics, autonomous systems, and machine learning technologies.
* Familiarity with the areas of perception, environmental understanding, machine learning, path planning, and actuation.
* Demonstrated experience as a product leader in designing, developing, or managing embedded technologies and software solutions for edge devices or autonomous systems.
* Bachelor's or advanced degree in computer science, engineering, or a related field.
* Exceptional analytical and problem\-solving skills.
* Familiarity with software development methodologies (Agile, Scrum, etc.).
* Ability to work collaboratively in a fast\-paced, cross\-functional environment.
* Strong problem\-solving skills and the ability to navigate complex technical challenges.
* Excellent communication skills, with the capability to convey technical concepts to both technical and non\-technical stakeholders.
**Preferred Experience And Skills**
* Previous involvement in projects related to autonomous systems, machine learning, computer vision, or artificial intelligence.
* Experience building platform products used by other engineering teams: clear APIs/SDKs, documentation, onboarding paths, and a track record of driving adoption without mandates.
* Familiarity with fleet operations/telemetry/incident or triage workflows/OTA updates/remote diagnostics.
* Experience with cloud platforms and data\-intensive systems (pipelines, storage, observability, analytics).
* Familiarity with cloud computing platforms and services for edge computing and remote device management.
* Prior experience collaborating with cross\-functional teams and leading product development efforts.
* A track record of innovation or research contributions in the field of autonomous robotics.
 At Blue River, we’re passionate about creating an inclusive workplace that promotes and values diversity. While we have more work to do to advance diversity and inclusion, we’re investing in our programs, including recruiting, mentorship, career development, and learning \&amp; development to ensure they support our Diversity, Equity, and Inclusion goals. We support each employee in living a full life, enabling a thriving career, and accomplishing a meaningful, challenging mission while collaborating with incredible people. We are dedicated to building a diverse and inclusive workplace, so if you’re excited about this role but your experience doesn’t align completely with the job description, we encourage you to apply anyway.
 We are an equal\-opportunity employer and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The US annual base salary range for this position is $125,000 \- $218,000, along with eligibility for Blue River’s bonus and benefit programs.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location during the hiring process. During the recruitment process, we may identify an alternative role or level to which you are more suited. If your ideal role at Blue River differs from the advertised position, we will provide an updated pay range as soon as possible during the hiring process.</t>
        </is>
      </c>
    </row>
    <row r="16">
      <c r="A16" t="inlineStr">
        <is>
          <t>li-4382371598</t>
        </is>
      </c>
      <c r="B16" t="inlineStr">
        <is>
          <t>Product Manager</t>
        </is>
      </c>
      <c r="C16" t="inlineStr">
        <is>
          <t>Wiraa</t>
        </is>
      </c>
      <c r="D16" t="inlineStr">
        <is>
          <t>linkedin</t>
        </is>
      </c>
      <c r="E16" t="inlineStr"/>
      <c r="F16" t="inlineStr"/>
      <c r="G16" t="inlineStr"/>
      <c r="H16" t="inlineStr"/>
      <c r="I16" t="inlineStr">
        <is>
          <t>**About The Company**
 American Family Care (AFC) is a pioneering healthcare provider dedicated to delivering convenient, patient\-centric medical services. With a network of over 250 clinics and more than 800 in\-network physicians, AFC cares for over 6 million patients annually. Recognized by Inc. magazine as one of the fastest\-growing companies in the United States, AFC specializes in urgent care, accessible primary care, and occupational medicine. The company's mission is to provide high\-quality healthcare in a compassionate and respectful environment, ensuring services are accessible, economical, and available at times and locations convenient for patients. AFC's commitment to innovation and excellence has established it as a leader in the healthcare industry, continually striving to improve operational efficiencies and patient outcomes through technological advancement.
**About The Role**
 The Product Manager for Practice Management Systems at AFC is a critical role responsible for enhancing and optimizing the core practice management systems and front\-end revenue workflows across the organization. This individual will own the performance, configuration, and continuous improvement of scheduling, intake, eligibility verification, and checkout processes. The role demands a technically fluent, hands\-on professional with a builder mindset, capable of understanding software architecture and independently diagnosing, designing, and implementing system improvements. Unlike traditional coordination roles, this position requires practical technical depth, ownership of operational outcomes, and a proactive approach to problem\-solving. The successful candidate will work closely with vendors, engineering teams, and operational stakeholders to streamline workflows, automate manual processes, and ensure system configurations align with enterprise standards. This role plays a vital part in driving operational efficiency, revenue growth, and scalable system architecture, directly impacting the patient experience and organizational performance.
**Qualifications**
* Bachelor’s degree required; healthcare or technical background preferred.
* 5–8 years of experience in product management, healthcare technology, or system implementation.
* Experience configuring or implementing Practice Management Systems (PMS) or Electronic Medical Records (EMR).
* Familiarity with system integration concepts including APIs, webhooks, and data mapping.
* Experience collaborating closely with engineering teams and vendors.
* Strong analytical skills and comfort working with operational data to inform decision\-making.
* Previous experience writing production\-level code or leading complex technical implementations is advantageous.
* Ability to interpret API documentation and understand data flow between multiple systems.
* Demonstrated ownership, proactive problem\-solving, and a bias toward actionable outcomes.
**Responsibilities**
* Serve as the product lead for scheduling, registration, eligibility, and checkout workflows within the Practice Management System.
* Improve system configurations, including visit types, templates, payer rules, permissions, and workflows to enhance operational efficiency.
* Identify root causes of workflow friction and propose technical or configuration\-based solutions to address them.
* Partner with vendors and engineering teams to implement system enhancements and resolve integration issues.
* Redesign front\-end workflows to reduce manual work, eliminate duplicate data entry, and improve clinic throughput.
* Align system configurations with operational best practices and enterprise standards for scalability.
* Understand and document data flows between PMS, Revenue Cycle Management (RCM), Business Intelligence (BI), and digital engagement platforms.
* Support troubleshooting of system integrations, API issues, and automation opportunities.
* Identify and support implementation of automation and digital workflow enhancements to improve throughput and revenue capture.
* Collaborate with BI teams to define and track key operational metrics such as throughput, eligibility accuracy, and revenue collections.
* Use data insights to prioritize system improvements, measure ROI, and report on operational performance.
**Benefits**
* Competitive base salary within the range of $125,000 – $150,000, complemented by performance\-based bonuses.
* Comprehensive health benefits including medical, dental, and vision insurance.
* Disability and life insurance coverage.
* Matching 401(k) retirement plan.
* Opportunities for professional growth and development within a rapidly expanding organization.
* Remote work flexibility, supporting work\-life balance.
 Equal Opportunity
 American Family Care is an equal opportunity employer. We celebrate diversity and are committed to creating an inclusive environment for all employees. All qualified applicants will receive consideration for employment without regard to race, color, religion, sex, national origin, disability, veteran status, or any other protected characteristic in accordance with applicable laws.</t>
        </is>
      </c>
    </row>
    <row r="17">
      <c r="A17" t="inlineStr">
        <is>
          <t>li-4327147873</t>
        </is>
      </c>
      <c r="B17" t="inlineStr">
        <is>
          <t>Product Manager</t>
        </is>
      </c>
      <c r="C17" t="inlineStr">
        <is>
          <t>CodePath</t>
        </is>
      </c>
      <c r="D17" t="inlineStr">
        <is>
          <t>linkedin</t>
        </is>
      </c>
      <c r="E17" t="inlineStr"/>
      <c r="F17" t="inlineStr"/>
      <c r="G17" t="inlineStr"/>
      <c r="H17" t="inlineStr"/>
      <c r="I17" t="inlineStr">
        <is>
          <t>CodePath is reprogramming higher education to create the first generation of AI\-native engineers, CTOs, and founders.
 We deliver industry\-vetted courses and career support centered on the needs of first\-generation and low\-income students. Our students train with senior engineers, intern at top companies, and rise together to become the tech leaders of tomorrow.
 With over 40,000 students and alumni from 1,000 colleges now working at 4,050 companies, we are reshaping the tech workforce and the industries of the future. CodePath is supported by Amazon, Andreessen Horowitz, Anthropic
 **,** 
 Comcast, Google, JP Morgan Chase, Knight Foundation, Meta, New Profit, Salesforce, and The Studio at Blue Meridian Partners, among others.
**About The Role**
**Location:** 
 Remote, United States
**Role Type:** 
 Full\-Time
**Reporting to:** 
 Director, Product Management
**Compensation:** 
 $135,000 to $175,000 per year
 CodePath is hiring a Product Manager to drive our most critical initiatives: enrollment growth, earned revenue, learning innovation, and job placement. You'll shape the product roadmap for an AI\-powered learning platform—including the AI companion and intelligent tutoring systems that guide students through coursework in real time. You will build the platforms and workflows that help thousands of students advance into high\-growth tech careers.
 In this role, you’ll turn complex, cross\-functional challenges into clear product direction and measurable outcomes. You’ll partner with Learning, Curriculum, Engineering, Data, and Partnerships to design solutions that improve student experiences, strengthen partner engagement, and support organizational growth.
 This is an exciting, hands\-on role for someone who thrives in ambiguity, moves quickly, and communicates with clarity. Every improvement you ship will directly influence the success and career trajectories of the students we serve, making this one of the highest\-impact product roles you’ll find.
**Key Activities**
* Product Strategy \&amp; Direction: Define product vision and priorities for high\-impact initiatives across enrollment, learning experience, job placement, and earned revenue
* Discovery \&amp; Problem Definition: Conduct structured research and analysis to deeply understand student, partner, and internal needs; translate strategic goals into clear problem statements and success criteria
* Execution \&amp; Delivery: Convert strategy into requirements, user stories, and iterative improvements
* Vision to MVP: Design solutions that balance long\-term vision with an iterative MVP\-first approach to execution, ensuring we deliver impact quickly while building toward the future
* Cross\-Functional Collaboration: Partner closely with Engineering and Data to align priorities, evaluate tradeoffs, and deliver end\-to\-end solutions
* Experimentation \&amp; Iteration: Design and run qualitative and quantitative experiments to validate opportunities, measure impact, and inform product decisions
* Data\-Informed Decision\-Making: Use metrics, insights, and data to assess performance, guide prioritization, identify risks, and drive continuous improvements
* Workflow \&amp; Systems Design: Build and refine product processes–prioritization, decision frameworks, communication rhythms–that increase organizational clarity and execution velocity
* Stakeholder Alignment: Ensure clear, consistent communication about priorities, trade\-offs, and progress across technical and non\-technical teams
**Key Success Metrics**
* Define clear problem statements, success metrics, and target outcomes for priority initiatives within the first 90 days, and ship at least one meaningful improvement
* Increase the speed and quality of validated learning through structured discovery, experimentation, and data\-driven analysis
* Establish a predictable delivery cadence and demonstrate measurable progress against defined product outcomes
* Ship measurable AI\-native learning improvements that demonstrate CodePath's differentiation—such as increased student engagement with AI tutoring, faster concept mastery, or improved completion rates directly attributable to AI\-powered interventions
**Qualifications**
* 4\+ years of product management experience
* Demonstrated ability to structure ambiguous problems, articulate hypotheses, and use evidence to guide decisions
* Experience conducting structured user research and discovery
* Familiarity with modern software development practices; experience collaborating closely with engineers and data teams
* Strong analytical reasoning; comfort interpreting data
* Clear communicator across technical and non\-technical audiences
* Proven ability to ramp quickly in unfamiliar areas and use structured product reasoning to drive clarity and direction
* Commitment to learning, iteration, and CodePath’s mission to advance economic mobility
**Preferred Qualifications**
* SQL proficiency
* Experience in edtech or education
**Compensation**
 CodePath has standardized salaries based on the position’s level, no matter where you live. For this role, we’re hiring for an Individual Contributor level position at an annual salary of $135,000 to $175,000\. Salary is determined based on your relevant experience and skills as evaluated through our interview process.
**Full\-Time Employee Benefits**
 This is a 100% remote position—work from anywhere in the U.S.! CodePath prioritizes employee well\-being with a competitive benefits package to support your health, financial security, and work\-life balance.
* Health \&amp; Wellness: Medical, dental, and vision insurance (90% employer\-covered for employees and dependents), employer\-funded healthcare reimbursement, FSAs, and Employee Assistance Program
* Financial Security: 401(k), employer\-paid life \&amp; disability insurance, and identity theft protection
* Work\-Life Balance: Generous PTO, paid holidays, 10 weeks of fully paid parental leave, and an annual year\-end company closure (Dec 24 – Jan 2\)
* Professional Growth: $1,000 annual professional development stipend and home office setup support
* Student Loan Forgiveness: CodePath is a qualifying employer for Public Service Loan Forgiveness (PSLF), helping employees manage student loan debt
* Additional Perks: Pet wellness plans, legal services, home/auto insurance discounts, and exclusive marketplace savings
 Pay range
 $135,000—$175,000 USD</t>
        </is>
      </c>
    </row>
    <row r="18">
      <c r="A18" t="inlineStr">
        <is>
          <t>li-4330527622</t>
        </is>
      </c>
      <c r="B18" t="inlineStr">
        <is>
          <t>Sr. Product Manager, Consumer (Social Good)</t>
        </is>
      </c>
      <c r="C18" t="inlineStr">
        <is>
          <t>Greylock Partners</t>
        </is>
      </c>
      <c r="D18" t="inlineStr">
        <is>
          <t>linkedin</t>
        </is>
      </c>
      <c r="E18" t="inlineStr"/>
      <c r="F18" t="inlineStr"/>
      <c r="G18" t="inlineStr">
        <is>
          <t>New York, United States</t>
        </is>
      </c>
      <c r="H18" t="inlineStr"/>
      <c r="I18" t="inlineStr">
        <is>
          <t>Greylock has a history of creating and investing in groundbreaking consumer companies like Discord, Facebook, Instagram, and TikTok (formerly Musical.ly).
 We’ve recently backed a fast\-growing mission driven product in the self\-directed health space. The app is gaining substantial traction as more people seek genuine control over their wellness routines, moving beyond the noise of trends and misinformation. The founding team brings deep experience from successful exits in social platforms, music tech, and health e\-commerce. It’s a massive market, currently valued at 177 billion dollars and growing at a rate of 9 percent annually.
**Role Overview** 
 We are seeking a growth\-focused Senior Product Manager with e\-commerce experience to as our first product hire beyond the Head of Product. As the growth PM, you'll own and optimize our acquisition and onboarding experiences, drive user growth, activation and retention, and pioneer 0\-to\-1 features starting with our members\-only marketplace.
 Reporting directly to our Head of Product, you're a growth specialist with an e\-comm/marketplace background who can think holistically across our entire user experience on both mobile and web. You'll drive ambitious testing roadmaps to optimize key funnels, while also owning large strategic projects from research through ideation to launch and iterations across the product.
 This is a unique opportunity to shape the product and own the growth engine at an early\-stage company with exceptional traction and momentum.
**Key Responsibilities** 
* **Growth Strategy \&amp; Execution:** 
 Own the growth roadmap and drive user acquisition, activation, engagement, retention, and monetization through systematic experimentation, funnel optimization, and product improvements across the entire user journey
* **Marketplace \&amp; Commerce:** 
 Lead product development for our members\-only marketplace including discovery, conversion, checkout, and post\-purchase experience \- building a seamless commerce engine that drives revenue while serving user needs
* **Experimentation \&amp; Optimization:** 
 Design and run rigorous A/B tests and experiments to optimize conversion at every stage of the funnel, from onboarding through purchase and retention \- building a culture of experimentation and rapid iteration
* **Subscription \&amp; Monetization:** 
 Optimize our consumer subscription product to drive conversion, reduce churn, and maximize lifetime value through pricing strategies, paywalls, value communication, and retention initiatives
* **AI Product Development:** 
 Drive strategy and execution for AI\-powered features including SuppIQ (our supplement guidance chatbot), agentic buying experiences, and identifying opportunities to use AI to unlock new front doors, improve personalization, discovery, and user guidance throughout the product
* **Data\-Driven Decision Making:** 
 Define KPIs and success metrics for growth initiatives, build dashboards to track performance, deeply analyze user behavior and cohort data, and translate insights into high\-impact product opportunities
* **User Research \&amp; Insights:** 
 Conduct qualitative and quantitative research to understand user motivation, friction points, and decision\-making throughout their journey \- using insights to inform growth hypotheses and product strategy
* **Cross\-Functional Leadership:** 
 Partner closely with Engineering, Design, Marketing, and Operations to ship high\-quality features rapidly while maintaining strong alignment on priorities and tradeoffs
* **Full Product Ownership:** 
 Beyond growth, take end\-to\-end ownership of strategic initiatives across the product based on business priorities
 Bonus if you’ve worked with Svelte before or are excited to dive into it.
**Stage:** 
 Series A
**Team Size:** 
 \~15
**Location:** 
 LA or NYC \- potential for remote with quarterly in\-person meeting
**About Greylock:** 
 Greylock is an early\-stage investor in hundreds of remarkable companies, including Airbnb, LinkedIn, Dropbox, Workday, Cloudera, Facebook, Instagram, Roblox, Coinbase, and Palo Alto Networks. More can be found about us here: https://greylock.com/</t>
        </is>
      </c>
    </row>
    <row r="19">
      <c r="A19" t="inlineStr">
        <is>
          <t>li-4318944333</t>
        </is>
      </c>
      <c r="B19" t="inlineStr">
        <is>
          <t>Associate Product Manager</t>
        </is>
      </c>
      <c r="C19" t="inlineStr">
        <is>
          <t>Howmet Aerospace</t>
        </is>
      </c>
      <c r="D19" t="inlineStr">
        <is>
          <t>linkedin</t>
        </is>
      </c>
      <c r="E19" t="inlineStr"/>
      <c r="F19" t="inlineStr"/>
      <c r="G19" t="inlineStr">
        <is>
          <t>Torrance, CA</t>
        </is>
      </c>
      <c r="H19" t="inlineStr"/>
      <c r="I19" t="inlineStr">
        <is>
          <t>**Responsibilities**
* In coordination with sr. product management, sales and operations, develop product strategies and communicate with sakes and operations as applicable
* Support the development of LTA strategies in conjunction with sales and operations
* Supports the development of the annual facility bookings, forecast, for applicable product line(s) in coordination with sales and operations
* Create and keep current monthly and annual growth\-related reporting in support of meeting site objectives
* Meet or exceed the budgeted facility bookings, booking margin, and backlog margin objectives
* Assists in the creation of maintaining of system price curves and where applicable discount structures. Documents and communicates modifications made to the pricing structure
* Responsible for maximizing facility margins while meeting the serve market share objectives
* Ensure that daily quotes as well as LTA’s are completed on a timely manner
* Initiate the development of unsolicited LTA’s to capture targeted businesses
* Capture, documents, and maintain all the facility LTA’s. Use the LTA database as a tool to proactively secure additional profitable business
* Capture, documents, and maintain all facility LTA proposals that are \[presently being worked and follow up on those that have been submitted but have not yet been awarded
* Have quote sign off authority for spot buys and package at limits as established by the Sr. Product Manager or Product Manager
* Supports the sale of E \&amp; O and dormant inventory
* Supports the daily, monthly, and annual reporting requirements and associated activities in order to achieve the facility booking margin objectives. Reports include Daily booking/margin report, Daily Tracker, monthly business review reports, staff meeting reports
* Assist in keeping current business objects product structure and contract data base
* Supports the transition of reporting to using business objects
* Perform market analysis as deemed necessary or that is requested to aid in decision making relating to the entering and/or exiting of markets, identifying market opportunities, product transfers, pricing decisions, lead time evaluations, etc.
* Develop and help maintain product entrance, exit, and transfer strategies
* Responsible for performing necessary research to determine product market share
* Initiate the consolidation, capture and documentation of competitive information used to assist in making strategic decisions
* Help draft and provide weekly bullets relating to significant accomplishments, bookings, and related market activity
* Help coordinate customer facility visits, in conjunction with sales and operations, and participate as applicable
**Qualifications**
**Basic Qualifications:**
* Bachelor's Degree from a 4 year university
* Minimum 5 years of experience in a product management, business development and/or engineering function in the aerospace industry
* Employees must be legally authorized to work in the United States. Verification of employment eligibility will be required at the time of hire. Visa sponsorship is not available for this position
* This position entails access to export\-controlled items and employment offers are conditioned upon an applicant’s ability to lawfully obtain access to such items
**Benefits/Salary:**
* The position includes competitive wages and a comprehensive benefits package, including health insurance (medical, dental, vision), excellent 401k matching program, paid holidays and vacation. Howmet Aerospace curates a strong working environment through opportunities for career progression, community engagement activities, and flexible schedules contingent upon role and location. The salary range for this position is $93,000\.00\-$140,000\.00\.
**About Us**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$7\.4 Billion in revenue in 2024,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2024 Environmental Social and Governance report at www.howmet.com/esg\-report . Follow: LinkedIn , Twitter , Instagram , Facebook , and YouTube .
 Equal Opportunity Employer:
 Howmet is proud to be an Equal Employment Opportunity employer. We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row>
    <row r="20">
      <c r="A20" t="inlineStr">
        <is>
          <t>li-4365518009</t>
        </is>
      </c>
      <c r="B20" t="inlineStr">
        <is>
          <t>Product Manager - Autonomy</t>
        </is>
      </c>
      <c r="C20" t="inlineStr">
        <is>
          <t>Hermeus</t>
        </is>
      </c>
      <c r="D20" t="inlineStr">
        <is>
          <t>linkedin</t>
        </is>
      </c>
      <c r="E20" t="inlineStr"/>
      <c r="F20" t="inlineStr"/>
      <c r="G20" t="inlineStr">
        <is>
          <t>Los Angeles, CA</t>
        </is>
      </c>
      <c r="H20" t="inlineStr"/>
      <c r="I20"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The Product Manager \- Autonomy is responsible for defining, prioritizing, and shaping autonomy capabilities across aircraft, mission systems, ground control, and simulation environments. This role sits at the intersection of operational needs, program objectives, and system integration, translating mission intent into clear autonomy product capabilities that can be developed, tested, demonstrated, and evolved across programs and increments.
 This position owns the autonomy product from a capability and outcome perspective, including capability decomposition, interface expectations, autonomy/VMS interaction intent, OMS/UCI alignment priorities, integration sequencing, and roadmap evolution. The role ensures autonomy development remains focused on delivering operational value and mission\-relevant behavior across simulation, test, and flight.
 The role partners closely with Product, Advanced Development, Autonomy Engineering, VMS, Flight Test, and external partners to ensure autonomy capabilities are coherent, demonstrable, and aligned with customer and program expectations.
**Responsibilities:**
* Autonomy product definition and strategy: Define autonomy product capabilities spanning mission planning, execution, contingency management, operator interaction, vehicle coordination, and post\-mission debrief; translate operational needs, CONOPs, and program objectives into prioritized autonomy capability increments with clear acceptance criteria; and maintain the autonomy roadmap balancing near\-term demonstration needs with long\-term scalability and reuse
* Capability decomposition and integration intent: Define autonomy capability boundaries, dependencies, and integration intent across aircraft systems, mission systems, ground control, and simulation environments; frame integration expectations aligned to program milestones and flight\-test objectives; and identify capability gaps, overlaps, and dependencies while driving cross\-team alignment
* Interfaces, standards, and alignment: Define autonomy\-related interface expectations and data\-flow requirements aligned with OMS, UCI, ICDs, and API\-based integration patterns, ensuring capability definitions account for interface versioning, compatibility, configuration dependencies, and consistency across simulation, HITL, and flight environments
* Translation of operational needs into product requirements: Convert operational concepts, autonomy behaviors, and mission workflows into clear, observable, and testable product requirements and acceptance criteria while surfacing integration risks and constraint impacts early and driving resolution with stakeholders
* Simulation, test, and flight enablement: Define how autonomy capabilities are exercised across SITL, HITL, large\-scale simulation, and flight test; ensure product requirements support deterministic testing, safety assessment, and post\-flight analysis; and partner with test and flight teams to evaluate capabilities against defined success criteria
* Autonomy–vehicle interaction alignment: Define product expectations for how autonomy interacts with vehicle management functions—including modes, transitions, constraints, and degraded operations—ensuring capability definitions respect vehicle safety, performance, and operational envelopes across mission phases
* Verification, validation, and readiness support: Define autonomy\-related acceptance criteria and evidence expectations for capability readiness, ensure traceability from requirements through verification evidence and flight results, and support readiness discussions for autonomy integration into flight events and demonstrations
* Cross\-team product leadership: Provide product leadership across autonomy developers, mission system teams, simulation teams, and external partners, clearly communicating autonomy product intent, priorities, risks, and readiness to program leadership and stakeholders while maintaining alignment with overall product and mission objectives
* External engagement and customer interface: Support government and partner engagements related to autonomy capability, integration approach, and transition planning, and help shape autonomy\-related deliverables, demonstrations, and data products for external stakeholders
**Requirements:**
* Bachelor’s or Master’s degree in Computer Engineering, Software Engineering, Aerospace Engineering, Robotics, or a related technical field.
* 10\+ years of experience delivering autonomy, mission systems, UAS, robotics, or flight\-critical platforms.
* Experience working with Cameo Systems Modeler, SysML, and building MBSE models
* Demonstrated experience defining and delivering complex system capabilities across multiple teams.
* Strong familiarity with OMS, UCI, ICD\-driven development, and service\-based mission architectures.
* Understanding of autonomy behaviors, planners, state machines, contingency management, and operator interaction models.
* Experience working across simulation, integration, and flight\-test environments.
* Strong cross\-functional communication skills with engineers, operators, and program leadership.
* Active Secret clearance required; TS/SCI preferred.
**Preferred Skills and Experience:**
* Experience supporting high\-speed or safety\-critical flight systems.
* Familiarity with vehicle management systems, control authority concepts, and safety constraints.
* Experience integrating or coordinating third\-party autonomy solutions.
* Background supporting DoD customers, demonstrations, or transition programs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information provided is a general guideline only. Hermeus takes various factors into account, including, but not limited to, the position's scope and responsibilities, the candidate's professional background, education and training, essential skills, and market and business considerations, when presenting a job offer.
 Salary is only one part of our total compensation and benefits package. Hermeus offers competitive salary and equity, unlimited PTO policy, paid parental leave, potential for year\-end bonuses, and more!
 100% employer\-paid health care
 401k \&amp; Retirement Plans
 Unlimited PTO
 Weekly Paid Office Lunches
 Fully stocked breakrooms
 Stock Options
 Paid Parental Leave</t>
        </is>
      </c>
    </row>
    <row r="21">
      <c r="A21" t="inlineStr">
        <is>
          <t>li-4355590160</t>
        </is>
      </c>
      <c r="B21" t="inlineStr">
        <is>
          <t>Product Manager, API Model Behavior</t>
        </is>
      </c>
      <c r="C21" t="inlineStr">
        <is>
          <t>OpenAI</t>
        </is>
      </c>
      <c r="D21" t="inlineStr">
        <is>
          <t>linkedin</t>
        </is>
      </c>
      <c r="E21" t="inlineStr"/>
      <c r="F21" t="inlineStr"/>
      <c r="G21" t="inlineStr">
        <is>
          <t>San Francisco, CA</t>
        </is>
      </c>
      <c r="H21" t="inlineStr"/>
      <c r="I21" t="inlineStr">
        <is>
          <t>**About The Team**
 The OpenAI API team builds the foundation that enables every developer to harness OpenAI’s models safely, reliably, and at scale. Our mission is to make it effortless for any developer to build transformative products with OpenAI’s models. We’re responsible for the infrastructure and product layers that allow millions of developers to integrate our models, fine\-tune behavior, manage data, and deliver experiences to their users. We collaborate deeply across product, research, and engineering teams to drive innovation at the model layer and then directly translate that into value for customers.
**About The Role**
 As a Model Behavior Product Manager for the API team, you'll be at the forefront of defining and guiding the future of how our AI models behave in real\-world applications. You’ll set clear priorities and drive impactful improvements to model capabilities, balancing user needs, safety considerations, and technical innovation. This role is perfect for a proactive, technically adept PM who thrives on solving challenging, ambiguous problems through structured product thinking and close collaboration with customers, engineers, and researchers.
 This position is based in San Francisco, CA, with relocation assistance available.
**In This Role, You Will**
* Define strategic priorities and roadmap for improving model behavior for API users, focusing on user outcomes, safety, reliability, and emerging capabilities.
* Partner with research and engineering teams at a technical level to translate those goals into model capability improvements.
* Partner with cross\-functional teams to launch OpenAI’s frontier models in the API, and expose their full capabilities to users via flexible and powerful API primitives.
* Develop scalable methodologies, tools, and processes for evaluating, tuning, and iterating on model behavior.
* Synthesize user research, community feedback, and quantitative insights into targeted improvements in our AI models.
* Establish and iterate on clear, actionable metrics that accurately reflect model quality and user experience at scale.
**You Might Thrive In This Role If You**
* Have 5\+ years of product management or related industry experience.
* Have experience collaborating directly and deeply with high\-growth startups.
* Proven track record of building for developers, with strong intuition for designing clear, flexible APIs and primitives that scale from early experimentation to production use.
* Have hands\-on experience driving consensus and action in ambiguous spaces.
* Excel at collaborating across diverse teams and communicating complex ideas clearly.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$293K \- $385K</t>
        </is>
      </c>
    </row>
    <row r="22">
      <c r="A22" t="inlineStr">
        <is>
          <t>li-4343188510</t>
        </is>
      </c>
      <c r="B22" t="inlineStr">
        <is>
          <t>Principal Product Manager, Search</t>
        </is>
      </c>
      <c r="C22" t="inlineStr">
        <is>
          <t>Mapbox</t>
        </is>
      </c>
      <c r="D22" t="inlineStr">
        <is>
          <t>linkedin</t>
        </is>
      </c>
      <c r="E22" t="inlineStr"/>
      <c r="F22" t="inlineStr"/>
      <c r="G22" t="inlineStr">
        <is>
          <t>Washington, DC</t>
        </is>
      </c>
      <c r="H22" t="inlineStr"/>
      <c r="I22" t="inlineStr">
        <is>
          <t>Mapbox is the leading real\-time location platform for a new generation of location\-aware businesses. Mapbox is the only platform that equips organizations with the full set of tools to power the navigation of people, packages, and vehicles everywhere. More than 4 million registered developers have chosen Mapbox because of the platform’s flexibility, security and privacy compliance. Organizations use Mapbox applications, data, SDKs and APIs to create customized and immersive experiences that delight their customers.
**What We Do**
 Mapbox is looking to hire a motivated, curious, and innovative Principal Product Manager for our Search organization. Mapbox Search empowers developers and businesses to explore, access, and use rich location data – including addresses, places, and boundaries – to build smart, relevant, dynamic, and user\-focused geospatial products. Mapbox Search also powers in\-vehicle search for automotive partners including Toyota, Porsche, and Zeekr, bringing the best aspects of mobile app development into the car.
* Mapbox Blog: Mapbox Search Box API: Expanded POI coverage \&amp; smarter search
* Mapbox Blog: Mapbox delivers precise reverse geocodes for asset tracking
* Mapbox Blog: Geospatial storytelling with Tableau and Mapbox Boundaries
* Mapbox Customer showcase: Picnic
**What You'll Do**
 As a Principal Product Manager for Search, you will partner with a passionate group of globally distributed engineers, external customers, and internal stakeholders like Sales, Product Marketing, Business Development, Legal, Marketing, and Finance to make customers wildly successful in pursuit of outsized business growth.
**In This Role, You Can Expect To**
* Define and execute end\-to\-end vision and strategy for your product.
* Conduct analysis to inform your product roadmap and prioritize product backlog.
* Develop and refine key metrics and mechanisms to build the right product and continuously validate your strategic direction.
* Explore and implement new use cases for your product that address customer pain points and unlock new revenue opportunities in partnership with your engineering team(s) and the broader organization.
* Own pricing and packaging of your product as a standalone SKU (including sales enablement, marketing, customer trials, and partnership opportunities).
* Regularly engage our customers via video conversations, emails, and in\-person visits (10% travel) to understand their needs, as well as validate our proposed solutions.
* Collaborate with cross\-functional teams to align product goals and delivery phases with overall business objectives.
* Become the expert and point of contact of your product for internal and external questions, feedback, and requests.
**What’s Important For This Role**
* Over 10 years of product leadership experience guiding API, SDK, and data products through full discovery, development, launch, and adoption in the B2B space.
* Demonstrated technical depth with the ability to break down complex concepts and communicate them clearly to both technical and nontechnical audiences. Strong customer orientation with a focus on understanding user problems and delivering thoughtful, intuitive product experiences.
* Data\-driven decision maker with advanced analytical skills and a track record of using evidence to evaluate product quality and inform next steps.
* Skilled at prioritizing tradeoffs and driving teams toward delivering meaningful and immediate value for customers.
* Strong written and verbal communicator with the ability to convey complex ideas concisely across broad audiences, including FAQs, roadmaps, and business cases.
* Proven ownership mindset with the ability to independently build, execute, and iterate on product strategies with minimal direction.
* Ability to simplify complex challenges and identify the most efficient, high\-impact solutions for customers.
* Go\-to\-market leader with experience owning pricing and packaging and developing strategies that successfully scale product adoption.
**Nice To Have**
* Experience working with AI/ML teams and a passion for the navigation and search domain space.
**What We Value**
 In addition to our core values, which are not unique to this position and are necessary for Mapbox leaders:
* We value high\-performing creative individuals who dig into problems and opportunities.
* We believe in individuals being their whole selves at work. We commit to this through supportive health care, parental leave, flexibility for the things that come up in life, and innovating on how we think about supporting our people.
* We emphasize an environment of teaching and learning to equip employees with the tools needed to be successful in their function and the company.
* We strongly believe in the value of growing a diverse team and encourage people of all backgrounds, genders, ethnicities, abilities, and sexual orientations to apply.
 Our annual base compensation for this role ranges from $202,300 \- $301,700 for most US locations and 5% to 10% higher for US locations with a higher cost of labor.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Please discuss your specific work location with your recruiter for more information.
*By applying for this position, you acknowledge that you agree to the* 
*Mapbox Privacy Policy* 
*which is linked here.*
*Mapbox participates in E\-Verify to confirm employee work authorization. Please refer to the* 
*Notice of E\-Verify Participation* 
*and* 
*Right to Work* 
*posters for more information.*
*We are committed to a fair and equitable hiring process. We do not discriminate against any protected class.*</t>
        </is>
      </c>
    </row>
    <row r="23">
      <c r="A23" t="inlineStr">
        <is>
          <t>li-4364198799</t>
        </is>
      </c>
      <c r="B23" t="inlineStr">
        <is>
          <t>Group Product Manager (Platform)</t>
        </is>
      </c>
      <c r="C23" t="inlineStr">
        <is>
          <t>Ontra</t>
        </is>
      </c>
      <c r="D23" t="inlineStr">
        <is>
          <t>linkedin</t>
        </is>
      </c>
      <c r="E23" t="inlineStr"/>
      <c r="F23" t="inlineStr"/>
      <c r="G23" t="inlineStr"/>
      <c r="H23" t="inlineStr"/>
      <c r="I23" t="inlineStr">
        <is>
          <t>**About Ontra**
 Ontra is the leader in AI\-powered solutions for the private markets. Powered by industry\-leading AI, data from over 2 million contracts, and a global network of legal professionals, Ontra automates critical private market workflows across the fund lifecycle. Ontra’s solutions transform unstructured data trapped in static documents into actionable intelligence, enabling firms to accelerate contracts, streamline compliance, and automate entity management. Trusted by more than 1,000 global GPs, investment banks, law firms, and advisors – including nine of the top ten PEI\-ranked firms worldwide – Ontra helps firms focus on what’s important.
**Our Culture**
 Ontra is a remote\-first company that values the power of connection. We find innovative ways to stay connected, both virtually and in person. By promoting ownership, inspiring creativity, and championing collaboration, Ontra enables you to shape your impact and growth. Our commitment to innovation extends beyond our technology; it’s embedded in our culture, and AI plays a crucial role in everything we do.
 Our culture is one where belonging is the cornerstone of every interaction, rooted in acceptance and respect for all. Our commitment to inclusion begins at the application process, ensuring a fair and equitable hiring experience that values the unique contributions you bring from day one.
**About the Role**
 Ontra is seeking a
 **Group Product Manager** 
 reporting to our Senior Director, Product.
 For this job, we are currently only hiring candidates based in the United States. For more information on where we employ, please see below.
 We’re looking for a bold, strategic product leader ready to lead the charge in evolving our platform. This role sits at the cutting edge of AI, developing and deploying LLMs in novel ways to solve complex problems in private markets and legal tech. You’ll mentor and partner with a small, high\-caliber team of experienced product managers, rolling up your sleeves when needed and zooming out to shape long\-term strategy when it counts.
 Working side by side with leaders across the organization, you’ll help define vision, align teams, and drive meaningful customer and business outcomes. If you’re a passionate, clear\-thinking owner with a knack for collaboration, a love for building impactful products, and the ability to seamlessly shift between deep focus and big\-picture thinking, we’d love to get to know you!
**What You’ll Do**
* **Team Leadership and Development:** 
 Manage and coach a team of Product Managers, fostering their growth and ensuring high\-level execution and performance.
* **Strategic Focus and Execution:** 
 Define and communicate strategic priorities, aligning them with business objectives and driving product evolution using AI capabilities.
* **Data Analysis and Insight Generation:** 
 Analyze both quantitative and qualitative data to assess product performance and identify opportunities for improvement and innovation.
* **Customer Engagement:** 
 Engage with customers to understand their challenges and needs, utilizing these insights to refine product features and development priorities.
* **Cross\-Functional Collaboration:** 
 Establish robust relationships across functions, collaborating on strategic initiatives and internal communication to align efforts and resources.
* **Industry Trend Integration:** 
 Stay informed on industry trends and innovations, incorporating these insights into the strategic direction and product planning.
**What You’ll Bring**
* **Product Experience:** 
 8\+ years in product management with demonstrated ability to drive product vision and execute strategies effectively.
* **Leadership:** 
 3\+ years managing and developing other product managers, with a focus on mentorship and building high\-performing teams.
* **Educational Background:** 
 Bachelor’s degree or higher in a relevant field, showcasing a strong foundation in product management principles.
* **Strategic Development:** 
 Proven expertise in developing and executing product strategy, with a particular focus on platform products.
* **Technical Aptitude:** 
 Experience with AI development, demonstrating a robust technical understanding and ability to collaborate with engineering teams.
* **Product Launch:** 
 Successful track record of launching new products, with a strong understanding of market needs and consumer behavior.
**Pay Transparency**
 Ontra takes individual candidate location, experience, and skills into consideration when determining compensation. The base pay range is listed below.
 Some positions may be eligible for additional compensation, such as commission, variable compensation, profits interest units, or other equity\-based compensation, which are not included in the below base pay range.
 If you are selected to participate in our interview process, your Talent Acquisition Partner will share more details about the total compensation package for the role.
 Base Pay Range
 $200,000—$288,000 USD
**Hiring Locations**
 We currently hire exclusively in the locations listed below. Select jobs may have more specific location requirements due to business needs.
**United States**
*Arizona, California, Colorado, Connecticut, Florida, Georgia, Illinois, Kansas, Massachusetts, Maryland, Minnesota, North Carolina, New Jersey, Nevada, New York, Ohio, Oregon, Pennsylvania, Rhode Island, Tennessee, Texas, Utah, Virginia, Washington*
**APAC**
*Hong Kong*
**EMEA**
*United Kingdom*
**Benefits Snapshot**
* Remote\-first by design, with regular in\-person gatherings and hub spaces in NYC, Santa Barbara, and London
* Twice yearly team offsites for in\-person collaboration
* Paid flexible time off policy
* Paid parental leave and benefits
* Employer\-supported retirement contributions, varying by country
* Monthly phone and internet reimbursement
* Pick Your Perk stipend to spend on what matters most to you, from well\-being and gym memberships, to home office setup, student loans, pet care, and more
* Company\-sponsored LinkedIn Learning accounts, department budgets for professional development, and robust onboarding program
* Various options for medical, dental, and vision insurance
**Travel**
 Occasional travel is required for Ontra employees, including typically at least twice per year to attend team and larger group off\-sites for in\-person collaboration. For some roles, additional travel may be required based on the requirements of the role and business need.
**Inclusivity**
 Ontra is committed to the full inclusion of all qualified individuals. As part of this commitment, Ontra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people@ontra.ai.
**Personnel Privacy Notice:** 
 View here.
*Note on Employment Verification: All employees hired will be required to verify identity and eligibility to work in their particular location.*
*Note to External Agencies: We are not accepting any blind submissions or resumes/CVs from recruitment agencies. Any candidates sent to Ontra will NOT be accepted or considered as a submission without a signed agreement in place.*
 \#BI\-Remote</t>
        </is>
      </c>
    </row>
    <row r="24">
      <c r="A24" t="inlineStr">
        <is>
          <t>li-4372775322</t>
        </is>
      </c>
      <c r="B24" t="inlineStr">
        <is>
          <t>Product Owner</t>
        </is>
      </c>
      <c r="C24" t="inlineStr">
        <is>
          <t>HealthEdge</t>
        </is>
      </c>
      <c r="D24" t="inlineStr">
        <is>
          <t>linkedin</t>
        </is>
      </c>
      <c r="E24" t="inlineStr"/>
      <c r="F24" t="inlineStr"/>
      <c r="G24" t="inlineStr"/>
      <c r="H24" t="inlineStr"/>
      <c r="I24" t="inlineStr">
        <is>
          <t>**Overview**
**Position Overview:**
 We are seeking a detail\-oriented and execution\-focused Product Owner to support the delivery of features and enhancements within our healthcare claims administration platform. This role is responsible for translating business and stakeholder needs into clear, actionable user stories that address both functional requirements and non\-functional considerations such as performance and scalability, and working closely with engineering teams to ensure timely, high\-quality delivery. The ideal candidate brings healthcare domain knowledge, understands Agile processes, and is comfortable using AI\-enabled tools to support requirements definition and backlog management.
**The Product:**
 With HealthRules Payer, our integrated solutions suite includes the industry's leading, digital, next\-generation claims administration processing system, business intelligence, integration capabilities, a unique to industry configuration and promotion application, and home and host processing support available on both public and private clouds. The fact is, a Core Administrative Processing System (CAPS) needs to do much, more more than just core administrative processing. That’s why HealthRules Payer has been ranked number one its class among CAP Solutions. Besides delivering 90%\-97% first\-pass auto\-adjudication rates and 99%\+ accuracy, it enables our customers to react swiftly to the latest regulatory shifts and competitive pressures. It opens the door to new value\-based reimbursement models, benefits plans and provider contracts. The complete suite of solutions from HealthEdge delivers a digital foundation for payers specifically designed to fuel a digital transformation, reduce costs, and improve both clinical outcomes and the member experience.
**Your Impact:**
 Backlog Ownership \&amp; Agile Execution
* Own and manage the product backlog, ensuring stories are well\-defined, prioritized, and aligned with sprint goals
* Write epics, user stories, and acceptance criteria that are clear, testable, and customer\-centric
* Refine non\-functional requirements (NFRs) and ensuring acceptance criteria reflects scaling and performance expectations
* Conduct regular backlog grooming and sprint planning in collaboration with the Scrum team
* Participate in daily standups, sprint reviews, and retrospectives as an active team member
* Ensure user stories meet the definition of ready and done before development and release
 Requirements Gathering \&amp; User Story Development
* Collaborate with stakeholders, subject matter experts, and internal teams to gather and refine product requirements
* Use AI tools (where applicable) to support the creation of epics, themes, and user stories
* Conduct gap analysis and validation of requirements to ensure completeness and feasibility
* Support refinement of use cases, workflows, and functional documentation
 Cross\-Functional Collaboration
* Serve as the primary point of contact for development teams during sprint execution
* Partner with UX/UI designers to ensure user stories are aligned with design principles and usability goals
* Support QA teams by clarifying acceptance criteria and reviewing test cases as needed
* Participate in production demos and release reviews as needed
* Coordinate with other Product Owners to manage interdependencies between features
 Customer \&amp; Stakeholder Engagement
* Participate in stakeholder meetings to capture feature requests, enhancement ideas, and feedback
* Communicate updates to internal stakeholders on backlog priorities, delivery timelines, and sprint progress
* Track SLO/SLA adherence for features within your scope
* Help ensure features delivered meet customer needs and stakeholder expectations
 Healthcare Domain Support
* Apply working knowledge of healthcare claims workflows, billing terminology, and reimbursement processes
* Support compliance with healthcare regulations (HIPAA, HITECH) in collaboration with internal teams
* Assist in translating complex healthcare requirements into understandable product features
**What You Bring:**
* Bachelor’s degree in Business, Healthcare Administration, Computer Science, or a related field
* 2\+ years of product management experience; healthcare technology or claims administration preferred
* 2\+ years of experience working with AI tools for product development, requirements engineering, or business analysis preferred
* Familiarity with Agile software development and Scrum methodology
* Proficiency with Jira (or similar Agile tools) for backlog management
* Basic understanding of cloud platform and SaaS delivery model
* Awareness of non\-functional requirements (reliability, performance, scalability) in enterprise systems
* Experience using AI\-assisted tools to help structure requirements and analyze user input (preferred but not required)
* Basic understanding of software development processes and technical constraints
* Familiarity with collaboration tools (e.g., Confluence, Miro, Figma)
* Strong written and verbal communication skills for conveying requirements and feedback
* High attention to detail and organizational skills
* Ability to manage competing priorities and meet deadlines in a fast\-paced environment
* Comfortable working with cross\-functional teams and resolving blockers quickly
**Bonus Points:**
* Certified Scrum Product Owner (CSPO) or similar Agile certification
* Exposure to performance testing concepts or high\-volume transaction systems
* Expertise with AI\-powered tools for product development
* Understanding of healthcare data standards (e.g., HL7, FHIR, X12 EDI)
**Geographic Responsibility:** 
 Remote, US
**Type of Employment:** 
 Full\-time, permanent
**Work Environment:** 
 The physical demands described here are representative of those that must be met by an employee to successfully perform the essential functions of this job:
* The employee is occasionally required to move around the office. Specific vision abilities required by this job include close vision, color vision, peripheral vision, depth perception, and ability to adjust focus.
* Work across multiple time zones in a hybrid or remote work environment.
* Long periods of time sitting and/or standing in front of a computer using video technology.
* May require travel dependent on company needs.
 The above statements are intended to describe the general nature and level of the job being performed by the individual(s) assigned to this position. They are not intended to be an exhaustive list of all duties, responsibilities, and skills required. HealthEdge reserves the right to modify, add, or remove duties and to assign other duties as necessary. In addition, reasonable accommodations may be made to enable individuals with disabilities to perform the essential functions of this position in compliance with the Americans with Disabilities Act of 1990\.  Candidates may be required to go through a pre\-employment criminal background check.
 HealthEdge is an equal opportunity employer. We are committed to workforce diversity and actively encourage all qualified persons to seek employment with us, including, but not limited to, racial and ethnic minorities, women, veterans and persons with disabilities.
* The annual US base salary range for this position is $84,000 to $115,000\. This salary range may cover multiple career levels at HealthEdge. Final compensation will be determined during the interview process and is based on a combination of factors including, but not limited to, your skills, experience, qualifications and education.</t>
        </is>
      </c>
    </row>
    <row r="25">
      <c r="A25" t="inlineStr">
        <is>
          <t>li-4318912144</t>
        </is>
      </c>
      <c r="B25" t="inlineStr">
        <is>
          <t>Principal Product Manager - Enterprise Customer Education</t>
        </is>
      </c>
      <c r="C25" t="inlineStr">
        <is>
          <t>Absorb Software</t>
        </is>
      </c>
      <c r="D25" t="inlineStr">
        <is>
          <t>linkedin</t>
        </is>
      </c>
      <c r="E25" t="inlineStr"/>
      <c r="F25" t="inlineStr"/>
      <c r="G25" t="inlineStr"/>
      <c r="H25" t="inlineStr"/>
      <c r="I25" t="inlineStr">
        <is>
          <t>**About the role:**
 We’re looking for a Principal Product Manager to define the future of our Enterprise Customer Education segment, helping Absorb’s enterprise clients train and enable their customers at scale.
 This is a high\-impact individual contributor role that blends strategy, creativity, and analytical rigor. You’ll uncover new opportunities, validate ideas through data and prototypes, and partner with cross\-functional leaders to turn promising concepts into outcomes that move the business forward.
 You’ll thrive if you’re part strategist, part innovator, and part storyteller \- comfortable connecting dots across data, customer insight, and emerging technology (especially AI) to craft bold yet pragmatic bets that shape Absorb's future.
**What you’ll do:**
* Own and evangelize the segment strategy: Build a deep understanding of the customer education market, customer needs, and where we can create meaningful differentiation.
* Uncover and size opportunities: Use data, research, and customer insight to identify where to play and how to win.
* Validate early ideas: Partner closely with design and engineering to prototype, test, and refine new concepts \- fast.
* Build alignment and conviction: Create clear, data\-backed business cases that bring senior leaders and teams along.
* Guide teams toward impact: Stay involved as ideas move into execution \- clarifying outcomes, connecting dots, and ensuring what we build delivers on the intent. Represent and communicate progress towards key goals and metrics.
* Lead through influence: Provide dotted\-line leadership to PMs across the segment \- offering strategic guidance, coaching, and input into their performance to ensure alignment and impact.
* Bring an AI lens: Explore how new technologies can help customers learn more effectively and scale education across enterprises.
* Partner and Educate: Act as a thought leader and advocate for customer education within the organization.
**What you’ll bring:**
* 7\+ years of Product Management experience in B2B SaaS or enterprise software, with a track record of shaping strategy and driving measurable business outcomes.
* Proven ability to translate insights into strategy \- combining data, customer research, and business acumen to identify and prioritize high\-impact opportunities.
* Experience in early\-stage or 0\-1 product environments, with comfort navigating ambiguity and rapid iteration.
* Strong analytical and financial modeling skills, capable of building data\-backed business cases and forecasts.
* Skilled at communicating with clarity and influence, from executive presentations to cross\-functional collaboration.
* Comfortable working across design, engineering, and GTM teams to validate and evolve ideas into actionable plans.
* Curiosity and fluency in AI and emerging technologies, and how they can reshape customer education and enterprise learning.
* (Bonus) Experience in customer education, enablement, or learning technology domains.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**Are you ready to become an Absorber?**
**What we offer:**
* Fully remote\-first work with flexible work arrangements
* Comprehensive Health and Wellness Benefits including retirement savings programs, eligibility for two different bonus plans, generous time off, comprehensive medical and dental benefits based on your country of location
* New Hire Equipment Allowance and monthly Flex Allowance to support your success
* Endless opportunity for career growth and internal mobility
* Employee driven DE\&amp;I programs
**Who are we?**
 Absorb Software is a remote\-first company that provides online training solutions to leading organizations around the world. Absorb is a cloud\-based learning management system (LMS) engineered to inspire learning and fuel business productivity. Our online learning platform combines forward\-thinking technology built to scale as our customer’s organizations grow. We empower learners to enrich their lives, workplaces and communities.
**Our values are simple:**
* We achieve exceptional results by genuinely caring about each other and the work we do
* We’re united, and we grow through our commitment to elevating continual learning!
 Absorb is proud to be an equal opportunity employer, we celebrate diversity and are committed to creating a safe and inclusive environment for all our people. All employment decisions are based on business needs, job requirements and individual qualifications. In the event a current Absorb employee would like to apply for this role they will inform their supervisor prior to submitting their application. Successful candidates for this position will be subject to pre\-employment background screening, including a criminal record check and must be able to show proof of legal eligibility to work in the country they have applied to without sponsorship.
 Should you require any accommodation during the recruitment process, please indicate this on your application and we will work with you to meet your accessibility needs. For any questions, please contact us at accessiblecareers@absorblms.com
 We use AI tools to support our recruitment process, such as organizing applications and highlighting potential matches based on role requirements. While these tools help streamline our review, all screening and final hiring decisions are made by our recruitment team. We encourage candidates to apply authentically and not rely solely on AI\-generated responses in their applications.</t>
        </is>
      </c>
    </row>
    <row r="26">
      <c r="A26" t="inlineStr">
        <is>
          <t>li-4365503519</t>
        </is>
      </c>
      <c r="B26" t="inlineStr">
        <is>
          <t>Product Manager - Autonomy</t>
        </is>
      </c>
      <c r="C26" t="inlineStr">
        <is>
          <t>Hermeus</t>
        </is>
      </c>
      <c r="D26" t="inlineStr">
        <is>
          <t>linkedin</t>
        </is>
      </c>
      <c r="E26" t="inlineStr"/>
      <c r="F26" t="inlineStr"/>
      <c r="G26" t="inlineStr">
        <is>
          <t>Atlanta, GA</t>
        </is>
      </c>
      <c r="H26" t="inlineStr"/>
      <c r="I26"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The Product Manager \- Autonomy is responsible for defining, prioritizing, and shaping autonomy capabilities across aircraft, mission systems, ground control, and simulation environments. This role sits at the intersection of operational needs, program objectives, and system integration, translating mission intent into clear autonomy product capabilities that can be developed, tested, demonstrated, and evolved across programs and increments.
 This position owns the autonomy product from a capability and outcome perspective, including capability decomposition, interface expectations, autonomy/VMS interaction intent, OMS/UCI alignment priorities, integration sequencing, and roadmap evolution. The role ensures autonomy development remains focused on delivering operational value and mission\-relevant behavior across simulation, test, and flight.
 The role partners closely with Product, Advanced Development, Autonomy Engineering, VMS, Flight Test, and external partners to ensure autonomy capabilities are coherent, demonstrable, and aligned with customer and program expectations.
**Responsibilities:**
* Autonomy product definition and strategy: Define autonomy product capabilities spanning mission planning, execution, contingency management, operator interaction, vehicle coordination, and post\-mission debrief; translate operational needs, CONOPs, and program objectives into prioritized autonomy capability increments with clear acceptance criteria; and maintain the autonomy roadmap balancing near\-term demonstration needs with long\-term scalability and reuse
* Capability decomposition and integration intent: Define autonomy capability boundaries, dependencies, and integration intent across aircraft systems, mission systems, ground control, and simulation environments; frame integration expectations aligned to program milestones and flight\-test objectives; and identify capability gaps, overlaps, and dependencies while driving cross\-team alignment
* Interfaces, standards, and alignment: Define autonomy\-related interface expectations and data\-flow requirements aligned with OMS, UCI, ICDs, and API\-based integration patterns, ensuring capability definitions account for interface versioning, compatibility, configuration dependencies, and consistency across simulation, HITL, and flight environments
* Translation of operational needs into product requirements: Convert operational concepts, autonomy behaviors, and mission workflows into clear, observable, and testable product requirements and acceptance criteria while surfacing integration risks and constraint impacts early and driving resolution with stakeholders
* Simulation, test, and flight enablement: Define how autonomy capabilities are exercised across SITL, HITL, large\-scale simulation, and flight test; ensure product requirements support deterministic testing, safety assessment, and post\-flight analysis; and partner with test and flight teams to evaluate capabilities against defined success criteria
* Autonomy–vehicle interaction alignment: Define product expectations for how autonomy interacts with vehicle management functions—including modes, transitions, constraints, and degraded operations—ensuring capability definitions respect vehicle safety, performance, and operational envelopes across mission phases
* Verification, validation, and readiness support: Define autonomy\-related acceptance criteria and evidence expectations for capability readiness, ensure traceability from requirements through verification evidence and flight results, and support readiness discussions for autonomy integration into flight events and demonstrations
* Cross\-team product leadership: Provide product leadership across autonomy developers, mission system teams, simulation teams, and external partners, clearly communicating autonomy product intent, priorities, risks, and readiness to program leadership and stakeholders while maintaining alignment with overall product and mission objectives
* External engagement and customer interface: Support government and partner engagements related to autonomy capability, integration approach, and transition planning, and help shape autonomy\-related deliverables, demonstrations, and data products for external stakeholders
**Requirements:**
* Bachelor’s or Master’s degree in Computer Engineering, Software Engineering, Aerospace Engineering, Robotics, or a related technical field.
* 10\+ years of experience delivering autonomy, mission systems, UAS, robotics, or flight\-critical platforms.
* Experience working with Cameo Systems Modeler, SysML, and building MBSE models
* Demonstrated experience defining and delivering complex system capabilities across multiple teams.
* Strong familiarity with OMS, UCI, ICD\-driven development, and service\-based mission architectures.
* Understanding of autonomy behaviors, planners, state machines, contingency management, and operator interaction models.
* Experience working across simulation, integration, and flight\-test environments.
* Strong cross\-functional communication skills with engineers, operators, and program leadership.
* Active Secret clearance required; TS/SCI preferred.
**Preferred Skills and Experience:**
* Experience supporting high\-speed or safety\-critical flight systems.
* Familiarity with vehicle management systems, control authority concepts, and safety constraints.
* Experience integrating or coordinating third\-party autonomy solutions.
* Background supporting DoD customers, demonstrations, or transition programs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information provided is a general guideline only. Hermeus takes various factors into account, including, but not limited to, the position's scope and responsibilities, the candidate's professional background, education and training, essential skills, and market and business considerations, when presenting a job offer.
 Salary is only one part of our total compensation and benefits package. Hermeus offers competitive salary and equity, unlimited PTO policy, paid parental leave, potential for year\-end bonuses, and more!
 100% employer\-paid health care
 401k \&amp; Retirement Plans
 Unlimited PTO
 Weekly Paid Office Lunches
 Fully stocked breakrooms
 Stock Options
 Paid Parental Leave</t>
        </is>
      </c>
    </row>
    <row r="27">
      <c r="A27" t="inlineStr">
        <is>
          <t>li-4382600297</t>
        </is>
      </c>
      <c r="B27" t="inlineStr">
        <is>
          <t>Product Manager</t>
        </is>
      </c>
      <c r="C27" t="inlineStr">
        <is>
          <t>Altium®</t>
        </is>
      </c>
      <c r="D27" t="inlineStr">
        <is>
          <t>linkedin</t>
        </is>
      </c>
      <c r="E27" t="inlineStr"/>
      <c r="F27" t="inlineStr"/>
      <c r="G27" t="inlineStr">
        <is>
          <t>Los Angeles, CA</t>
        </is>
      </c>
      <c r="H27" t="inlineStr"/>
      <c r="I27" t="inlineStr">
        <is>
          <t>**⚡️ Why Altium?**
 Altium is transforming the way electronics are designed and built. From startups to world’s technology giants, our digital platforms give more power to PCB designers, supply chain, and manufacturing, letting them collaborate as never before.
* Constant innovation has created a transformative technology, unique in its space
* More than 30,000 companies and 100,000 electronics engineers worldwide use Altium
* We are growing, debt\-free, and financially strong, with the resources to become \#1 in the EDA industry
**About the Role:**
 Duro is redefining how modern hardware teams build products. As now a part of Altium, Duro is investing deeply in Product Led Growth to bring the next generation of PLM for the masses.
 This Product Manager role is focused on maximizing user adoption and engagement across the Duro PLM platform. You will own high leverage product surfaces and continuously look for opportunities to improve activation, usage, and retention through thoughtful product changes and experimentation.
 This role is ideal for someone who is motivated by adoption metrics, energized by iteration, and persistent about finding small but meaningful improvements that compound over time.
**What You Will Do:**
**Drive Product Led Growth Outcomes**
 Own PLG initiatives that directly impact activation, engagement, retention, and expansion. Track adoption closely and proactively identify opportunities to increase usage through product improvements.
**Continuously Optimize for Adoption**
 Relentlessly seek out friction in the user journey and experiment with incremental changes to improve conversion and engagement. Sweat the details and iterate until adoption moves.
**Experiment Relentlessly**
 Design and run frequent A/B tests and experiments across onboarding flows, core workflows, and feature discovery. Use experimentation as a primary mechanism for learning and decision making.
**Build for Scale**
 Design product experiences that perform well for a high volume of daily active users. Balance usability, performance, and reliability while maintaining a fast pace of iteration.
**Simplify Complex Workflows**
 Break down sophisticated PLM concepts and workflows into intuitive, bite sized product experiences. Reduce cognitive load without sacrificing power or flexibility.
**Leverage Data to Decide**
 Define success metrics, monitor product health, and use quantitative and qualitative data to guide prioritization. Obsess over leading indicators and adoption trends.
**Partner Closely with Engineering and Design**
 Work hand in hand with engineering and design to ship improvements quickly and safely. Ensure experiments are well scoped, technically sound, and user centered.
**Stay Grounded in Customer Reality**
 Combine data driven insights with direct user feedback through interviews, usability testing, and session reviews to validate what is actually driving growth.
**Who We’re Looking For:**
* 5\+ years of experience as a Product Manager with ownership of adoption or growth metrics
* Strong background in PLG, experimentation, and A/B testing
* Experience building products used by large numbers of daily active users
* Proven ability to move adoption numbers through iterative product improvements
* Ability to translate complex systems into simple, approachable user experiences
* Highly data driven with strong product intuition
* Bias toward action and continuous improvement
**Why Join Duro at Altium**
* Help define the next generation of PLM for modern hardware companies
* Work on a product used by teams building real, physical products at scale
* Be part of a cultural shift bringing software velocity to hardware development
* Collaborate with a deeply technical team passionate about changing the status quo
* Opportunity to shape both product direction and industry thinking
*The salary range for this role is $104,000 to $136,000\.* 
*Actual compensation packages within this range are based on a wide array of factors unique to each candidate and role requirements,including but not limited to skill set, years and depth of experience, certifications, and specific location.*
**Our Benefits**
* 🏥 Medical, Dental, Vision Plans and HSA and FSA accounts
* ❤️ Basic Life and AD\&amp;D insurance; disability coverage where applicable
* 🌅 Retirement 401(k) Plan Option with Altium match
* 🧘 Employee Assistance Program
* 🏖 Paid holidays plus a “Choice Day” off per quarter
* ✈️ Paid time\-off on arising schedule upon key milestones
* 🤒 Sick time for Dr. appointments or family health needs
* 👶 Family medical, maternity, paternity, and military leave
* 🏡 Flexible working arrangements available based on role and location
* 🥳 Employee referral program
* 🌍 Remote working abroad program
* 📚 Professional development support and resources
* 🥪 Free lunch, snacks, and drinks in the office
* 🚗 Free parking
**🌍 Also, we would like you to know**
 We are committed to equal employment opportunity regardless of race, color, ancestry, religion, sex, national origin, sexual orientation, age, citizenship, marital status, disability, gender, gender identity or expression, or veteran status. We are proud to be an equal opportunity workplace.
**💡 Learn more about why a career at Altium is an opportunity like no other:** 
 https://www.youtube.com/watch?v\=cAYCOLpPLPE
**✈️ Altium Benefits** 
**:** 
 https://careers.altium.com/\#s\-benefits
**👏 Are you already an Altium employee?** 
 Please apply directly through our internal Greenhouse job board. If you have questions, please contact HR.</t>
        </is>
      </c>
    </row>
    <row r="28">
      <c r="A28" t="inlineStr">
        <is>
          <t>li-4349824557</t>
        </is>
      </c>
      <c r="B28" t="inlineStr">
        <is>
          <t>Product Owner - CIAM</t>
        </is>
      </c>
      <c r="C28" t="inlineStr">
        <is>
          <t>Aegon</t>
        </is>
      </c>
      <c r="D28" t="inlineStr">
        <is>
          <t>linkedin</t>
        </is>
      </c>
      <c r="E28" t="inlineStr"/>
      <c r="F28" t="inlineStr"/>
      <c r="G28" t="inlineStr"/>
      <c r="H28" t="inlineStr"/>
      <c r="I28" t="inlineStr">
        <is>
          <t>Our teams leverage the Agile Scrum development methodology and understand the importance of having a true Product Owner. This is a highly visible role with significant responsibility, frequently meeting with Directors and Business Unit Leaders who use our platform to securely build and operate their workloads. You need to have a mix of technical proficiency in modern Identity ad security architecture, strong abstract thinking skills, and the ability to turn ideas into concrete requirements that solve the right problems. You must have practical experience defining and leading critical software systems delivery from definition through launch and operation. You must be able to thrive and succeed in a highly regulated environment and not be hindered by ambiguity or competing priorities.
**Responsibilities**
* Provide vision and serve as a champion of customer perspectives to the team in the form of clearly written requirements and working in collaboration with the team to size the work with clear acceptance criteria.
* Research and evaluate market\-based and customer\-inspired insights that inform the product's vision and comprehensive strategy planning.
* Provide vision and serve as a champion of customer perspectives to the Agile team in the form of clearly written epics, themes and user stories each with clear acceptance criteria in collaboration with the team. Help the team make business trade\-offs between near term and longer\-term product goals. Provide leadership to make the hard calls on scope and competing priorities while realistically managing stakeholder demands
* Establish and prioritize the product roadmap and its backlog in collaboration with the team.
* Collaborate proactively in ceremonies with UI/UX team, product scrum team, and other product owners to maintain the product roadmap, business outcomes, and goals.
* Lead regular backlog refinement workshops to help estimate relative feature value and update delivery forecasts to aid prioritization, minimize oversubscription of delivery teams and manage stakeholder expectations.
* Ensure product aligns with company strategy and broader product strategies through regular communication with customers, stakeholders and product management. Coordinate with the Scrum Master to facilitate short feedback loops between delivery teams and stakeholders through frequent deliveries and sharing of lessons learned.
* Engage in scaled agile practices and coordinate with other Product owners (as needed) to promote cross\-team alignment around product roadmaps and dependencies.
* Lead product release planning with technical and business stakeholders and set expectations for delivery of new functionalities.
* Participate in system demos at the end of the iteration and provide story/feature acceptance per the pre\-agreed “Definition of Done” criteria.
**Qualifications**
* Bachelor’s degree in business, computer science, or experience work in a related field.
* Solid understanding of the product lifecycle.
* In\-depth experience with agile methodologies, technical understanding of products, and up to date on industry standards and best practices
* Comfortable working with multiple teams, in\-house and remote
* Excellent verbal and written communication skills
* Accurate and precise attention to detail.
* Able to build strong interpersonal relationships with business analysts, UI/UX team, leadership, senior management, and internal and external stakeholders
* Experience with JIRA, or a similar agile product management toolset.
* Proficient computer skills, Microsoft Office Suite; working knowledge of software development.
**Preferred Qualifications**
* Two years of related work experience.
* Product Owner certification (e.g. CSPO, SAFe POPM)
* Track record of continued and recent education in agile, including training, conferences, user groups and self\-study
* Knowledge of approaches discussed in the agile space: XP, Kanban, SAFe, LeSS, Crystal, FDD, etc.
* Experience as a collaborative leader.
 Working Conditions
* Hybrid working with 3 days in office (Tuesdays, Wednesdays, Thursdays), 2 days remote
* May require minimal travel for meetings and/or training
* May require work outside of normal working hours due to global support
 This job description is not a contract of employment nor for any specific job responsibilities. The Company may change, add to, remove, or revoke the terms of this job description at its discretion. Managers may assign other duties and responsibilities as needed. In the event an employee or applicant requests or requires an accommodation to perform job functions, the applicable HR Business Partner should be contacted to evaluate the accommodation request.
 Compensation:
 The Salary for this position generally ranges between $102,000 $127,000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Applicants must be authorized to work for any employer in the U.S. We are unable to sponsor or take over sponsorship of an employment Visa at this time.
 This is a hybrid position requiring three days in office per week in one of our hub locations (Cedar Rapids, IA; Philadelphia, PA; Denver, CO). Relocation assistance will not be provided for this position.
 Apply</t>
        </is>
      </c>
    </row>
    <row r="29">
      <c r="A29" t="inlineStr">
        <is>
          <t>li-4330600349</t>
        </is>
      </c>
      <c r="B29" t="inlineStr">
        <is>
          <t>Sr. Product Manager - (AI Agents for Cybersecurity)</t>
        </is>
      </c>
      <c r="C29" t="inlineStr">
        <is>
          <t>Greylock Partners</t>
        </is>
      </c>
      <c r="D29" t="inlineStr">
        <is>
          <t>linkedin</t>
        </is>
      </c>
      <c r="E29" t="inlineStr"/>
      <c r="F29" t="inlineStr"/>
      <c r="G29" t="inlineStr">
        <is>
          <t>New York, United States</t>
        </is>
      </c>
      <c r="H29" t="inlineStr"/>
      <c r="I29" t="inlineStr">
        <is>
          <t>One of our early\-stage startups is looking to bring on one of their first Product Managers to help build an agentic AI solution for vulnerability management. This isn't just a role; it's a chance to dive in and provide critical tactical support in feature delivery, while getting deeply involved in customer engagements and product operations.
 If you're a Mid\-Senior Product Manager eager to build an agent\-based platform from the ground up, this is it. You'll work directly alongside an amazing Product Leader and Co\-Founder – a true thought leader – gaining invaluable mentorship as you help shape the company's trajectory. This distinctive role offers direct customer engagement and a unique chance to push the boundaries of AI and cybersecurity with a world\-class team.
**Ideally, you've got engineering in your DNA.** 
 Perhaps you spent a few years as an engineer, or maybe a CS degree with strong engineering internships. This is your chance to truly blend technical expertise with customer insight, delivering world\-class product experiences from day one.
 This is an in\-person role, based in either San Francisco or New York.
 \*\*\*\*\*\*\*\*\*\*\*\*\*\*\*\*\*\*\*\*\*\*\*\*\*\*\*\*\*\*\*\*\*\*\*\*\*\*\*\*
**About Greylock \&amp; our Recruiting team:** 
 Greylock is a leading early\-stage VC firm dedicated to unlocking rare potential, with a strong focus on AI\-first companies. As part of our commitment to helping founders build exceptional teams, our recruiting team provides free candidate referrals and warm introductions to our portfolio.</t>
        </is>
      </c>
    </row>
    <row r="30">
      <c r="A30" t="inlineStr">
        <is>
          <t>li-4382391846</t>
        </is>
      </c>
      <c r="B30" t="inlineStr">
        <is>
          <t>Product Manager - Dropship</t>
        </is>
      </c>
      <c r="C30" t="inlineStr">
        <is>
          <t>Staples</t>
        </is>
      </c>
      <c r="D30" t="inlineStr">
        <is>
          <t>linkedin</t>
        </is>
      </c>
      <c r="E30" t="inlineStr"/>
      <c r="F30" t="inlineStr"/>
      <c r="G30" t="inlineStr">
        <is>
          <t>Framingham, MA</t>
        </is>
      </c>
      <c r="H30" t="inlineStr"/>
      <c r="I30" t="inlineStr">
        <is>
          <t>**Staples is business to business.** 
 You’re what binds us together.
 Our eCommerce team delivers customer\-centric site experiences to position Staples as a digital selling platform of choice. Our team ensures that our mobile, desktop, and app platforms deliver the digital experience that our customers expect. We do this through customer insights, analytics, and testing to build a strong innovation pipeline for the future and to bring products and solutions to market seamlessly. We utilize online merchandising and campaigns executed by both humans and automated tools to convert new and returning website visitors into customers. We work end\-to\-end with our sales, merchandising, finance, logistics, marketing, and technology teams to provide a world\-class, holistic digital experience, growing profitable results in a fun and rewarding work environment. We are inclusive, customer\-obsessed, and are looking for well\-rounded professionals with strong eCommerce business acumen to join our team.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the overarching business and digital strategy.
* Own the product backlog, meticulously managing and prioritizing user stories, bugs and tasks based on strategic business goals, customer value, and team capacity.
* Serve as the key point of contact between the development team and stakeholders.
* Craft detailed user stories and acceptance criteria to guide the development process.
* Champion a mindset of continuous improvement, encouraging the team to experiment with new ideas and approaches to solve customer problems.
* Own the product vision and roadmap for dropship capabilities, including supplier onboarding, product setup, order transmission, inventory updates, and delivery‑to‑completion tracking across third‑party partners.
* Partner closely with supply chain, fulfillment, vendor management, and engineering teams to define and prioritize integrations between external supplier platforms and Staples systems\- ensuring reliable, scalable dropship operations without direct ownership of fulfillment centers.
* Define and measure dropship performance metrics, building product capabilities that provide visibility into supplier performance, order accuracy, lead times, and customer experience, and using those insights to drive continuous improvement.
**What You Bring To The Table:**
* Strong analytical and problem\-solving skills, with the ability to make data\-driven decisions.
* Excellent communication and interpersonal skills, capable of working effectively with technical and non\-technical teams.
* Agile and adaptable, with a proactive approach to addressing challenges and seizing opportunities.
* Leadership and mentorship capabilities, with a passion for fostering team growth and development.
**What’s needed\- Basic Qualifications:**
* Bachelor's degree in Business, Technology, or a related field, or equivalent work experience.
* 5\+ years of related experience in product management, with a focus on eCommerce or digital products.
* Manage the end\-to\-end lifecycle of digital products from conception through development, launch, and iteration
* Comprehensive understanding and practical application of Agile methodologies, tools, and systems
**What’s needed\- Preferred Qualifications:**
* Master’s degree in a related field
* Professional certifications in Agile methodologies (e.g., Certified Scrum Master (CSM), SAFe Agilist, or PMI Agile Certified Practitioner (PMI\-ACP)) or product management certifications (e.g., AIPMM Certified Product Manager)
* Experience in the specific industry (e.g. B2B, supply chain, office supplies)
* Prior experience working with dropship platforms such as Rithum (ChannelAdvisor) or Mirakl, including supplier onboarding, catalog ingestion, order routing, inventory synchronization, or performance monitoring.
* Background in integration‑driven product environments, with hands‑on experience partnering with engineering teams to deliver complex, multi‑system workflows (APIs, third‑party platforms, service‑to‑service integrations), without needing to write or review code.
* Demonstrated success operating in ambiguous problem spaces, where requirements are not fully defined upfront\-able to break down complex vendor, product, and operational challenges into clear product outcomes and incremental solutions.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31">
      <c r="A31" t="inlineStr">
        <is>
          <t>li-4291853061</t>
        </is>
      </c>
      <c r="B31" t="inlineStr">
        <is>
          <t>Product Manager, Workplace</t>
        </is>
      </c>
      <c r="C31" t="inlineStr">
        <is>
          <t>Picarro</t>
        </is>
      </c>
      <c r="D31" t="inlineStr">
        <is>
          <t>linkedin</t>
        </is>
      </c>
      <c r="E31" t="inlineStr"/>
      <c r="F31" t="inlineStr"/>
      <c r="G31" t="inlineStr">
        <is>
          <t>Santa Clara, CA</t>
        </is>
      </c>
      <c r="H31" t="inlineStr"/>
      <c r="I31" t="inlineStr">
        <is>
          <t>**Product Manager**
 Location: Santa Clara (Picarro HQ) / Remote
 Job Term: Full\-Time
**The Opportunity:**
 Picarro is looking for an experienced and versatile Product Manager to drive both the strategic direction and tactical execution of our innovative environmental monitoring solutions. In this dynamic role, you'll bridge the gap between market needs and engineering development projects, ensuring our products not only meet technical excellence but also deliver significant value to customers across diverse industry segments.
**Responsibilities:**
 Product Strategy \&amp; Roadmap Management:
* Define and execute the product strategy, roadmap, and lifecycle management, integrating market insights, customer feedback, and competitive analysis.
* Prioritize features and requirements to deliver impactful solutions addressing critical environmental challenges, including Ethylene Oxide (EtO) sterilization and Volatile Organic Compound (VOC) emission monitoring.
 Market \&amp; Customer Insight:
* Conduct comprehensive market research, analyzing industry trends, competitor activities, and regulatory landscapes.
* Engage directly with customers and stakeholders to understand their challenges and translate feedback into actionable product requirements.
 Technical Leadership \&amp; Collaboration:
* Collaborate closely with engineering teams to translate market requirements into detailed product specifications and project plans.
* Manage product development processes, from ideation through launch, ensuring alignment across engineering, quality assurance, manufacturing, and customer support teams.
 Product Launch \&amp; Go\-To\-Market:
* Develop and implement go\-to\-market strategies, including product positioning, messaging frameworks, and sales enablement materials.
* Partner with marketing and sales teams to drive successful product launches, ensuring clear value propositions and targeted communication to diverse customer segments.
 Performance Measurement \&amp; Optimization:
* Define, track, and analyze key performance indicators (KPIs) related to product adoption, customer satisfaction, and financial goals.
* Continuously refine product strategies based on data\-driven insights and market feedback.
 Regulatory Expertise \&amp; Thought Leadership:
* Maintain a deep understanding of evolving environmental and compliance standards, including EPA regulations related to EtO sterilization and VOC emissions.
* Leverage regulatory expertise to guide product development and position Picarro as a thought leader in environmental compliance.
**Qualifications:**
* Bachelor’s degree in Engineering, Environmental Science, Business, or a related technical field.
* 5\+ years of product management experience, ideally in environmental monitoring technology, regulatory compliance, environmental services and consulting, or related fields.
* Demonstrated success managing products through the entire product lifecycle, from concept to launch and growth.
* Exceptional ability to communicate complex technical concepts clearly and effectively to both technical and non\-technical stakeholders.
* Proven ability to collaborate cross\-functionally with engineering, sales, marketing, and customer success teams.
* Strong analytical skills with experience in data\-driven decision\-making and market analysis.
**Bonus Points:**
* Familiarity with Industrial and Environmental Health and Safety.
* Familiarity with agile product development methodologies and tools.
* Prior experience managing products, solutions or processes related to EtO sterilization or VOC emission monitoring.
**Salary \&amp; Benefits:**
 The base salary range for this full\-time position is $130\-160k, commensurate with experience, qualifications, and location.
 We offer a comprehensive benefits package including:
* Medical, Dental, and Vision insurance
* Flexible Spending Account (FSA) and Health Savings Account (HSA) plans
* Life, Short\-Term Disability, and Long\-Term Disability Insurance
* Flexible Vacation Policy and Paid Holidays
* Employee Referral Program
* 401K
* Social events (summer picnic, holiday party, team lunches, etc.)
* On\-site Health \&amp; Wellness programs (fitness challenges, outdoor bootcamp, flu\-shots, etc.)
**About Picarro:**
 We are the global leader in delivering timely, trusted, and actionable data through enhanced optical spectroscopy. Our solutions serve diverse applications including natural gas leak detection, ethylene oxide emissions monitoring, semiconductor fabrication, pharmaceutical, petrochemical, atmospheric science, air quality, greenhouse gas measurements, food safety, hydrology, and ecology. Headquartered in Santa Clara, California, our products are trusted in over 90 countries and supported by over 65 patents related to cavity ring\-down spectroscopy (CRDS) technology.
 Picarro, Inc. is an Equal Opportunity Employer committed to creating a diverse workforce.</t>
        </is>
      </c>
    </row>
    <row r="32">
      <c r="A32" t="inlineStr">
        <is>
          <t>li-4346907479</t>
        </is>
      </c>
      <c r="B32" t="inlineStr">
        <is>
          <t>Technical Product Manager</t>
        </is>
      </c>
      <c r="C32" t="inlineStr">
        <is>
          <t>Motion Recruitment</t>
        </is>
      </c>
      <c r="D32" t="inlineStr">
        <is>
          <t>linkedin</t>
        </is>
      </c>
      <c r="E32" t="inlineStr"/>
      <c r="F32" t="inlineStr"/>
      <c r="G32" t="inlineStr">
        <is>
          <t>New York, NY</t>
        </is>
      </c>
      <c r="H32" t="inlineStr"/>
      <c r="I32" t="inlineStr">
        <is>
          <t>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Technical Product Manager (Early Stage) The Mission
 We are a venture\-backed B2B Insurtech startup reimagining the infrastructure of the life insurance and annuities industry. Our mission is to modernize how these products are built, distributed, and experienced.
 As an early\-stage hire, you will join a high\-autonomy, high\-velocity team. You’ll have the unique advantage of "startup speed" combined with the market reach of a larger organization. This is a role for a detail\-oriented builder who can pivot between high\-level strategy and deep technical execution.
 Your Impact
* Shape the Foundation: Partner with leadership to define the long\-term product strategy and roadmap.
* Bridge the Technical Gap: Translate complex customer needs into crisp technical specs, including API design, data modeling, and automated workflows.
* Build \&amp; Prototype: Move fast by prototyping solutions using modern frameworks and AI\-driven tools.
* Own the Lifecycle: Drive end\-to\-end delivery by managing scoping, trade\-offs, QA, and launch alongside our engineering team.
* Scale the Ecosystem: Lead mission\-critical integrations with carriers, BGAs, and third\-party systems to ensure a reliable, scalable platform.
* Data\-Driven Iteration: Define success through metrics; instrument usage tracking and iterate based on hard data.
 What We’re Looking For
* Technical Depth: You are comfortable discussing system architecture and API documentation; you don't just "manage" developers—you partner with them.
* Strategic Execution: You can maintain a "crisp" backlog while never losing sight of the big\-picture business goals.
* Startup Mindset: You thrive in ambiguity, possess a self\-starter attitude, and are excited by the prospect of "unlimited room for growth."
* Domain Interest: Experience in Insurtech, Fintech, or complex B2B SaaS is a significant plus, but a passion for solving legacy industry problems is a must.
 Compensation \&amp; Perks
* Base Salary: $150,000 – $175,000 (Adjusted based on experience and location).
* Equity: Meaningful early\-stage ownership stake.
* Future\-Proofing: 401K program and comprehensive health insurance.
* Balance: Encouraged PTO and paid holidays to ensure you stay sharp.
**Posted By:** 
 Justin Lapidus</t>
        </is>
      </c>
    </row>
    <row r="33">
      <c r="A33" t="inlineStr">
        <is>
          <t>li-4380795774</t>
        </is>
      </c>
      <c r="B33" t="inlineStr">
        <is>
          <t>Product Owner</t>
        </is>
      </c>
      <c r="C33" t="inlineStr">
        <is>
          <t>TEKsystems</t>
        </is>
      </c>
      <c r="D33" t="inlineStr">
        <is>
          <t>linkedin</t>
        </is>
      </c>
      <c r="E33" t="inlineStr"/>
      <c r="F33" t="inlineStr"/>
      <c r="G33" t="inlineStr">
        <is>
          <t>Stamford, CT</t>
        </is>
      </c>
      <c r="H33" t="inlineStr"/>
      <c r="I33" t="inlineStr">
        <is>
          <t>This will be a hybrid position in STAMFORD, CT 1x a week onsite.
 Looking for a Product Owner with experience working in Ecommerce and Mobile App.
 As a Product Owner you'll be at the forefront of transforming digital experiences in a dynamic and innovative environment! As a critical member of our team, you'll prioritize and shape the product backlog, turning visionary ideas into actionable user stories that deliver tangible value.
 With an unwavering focus on collaboration, you'll work alongside talented partners to define and refine features that align with our strategic goals. Your insights will guide the delivery team, ensuring solutions that delight users and meet business demands.
 Responsibilities
* Define, refine, and prioritize the backlog for the delivery team.
* Develop clear and actionable user stories for the delivery team to implement.
* Communicate team capacity and workload to stakeholders.
* Collaborate with the Product Manager in developing and planning product strategy.
* Manage features and user stories from initiation through to acceptance.
* Sign\-off on completed features and communicate any trade\-offs made during the development cycle to leadership and stakeholders.
* Continuously refine the product backlog to ensure tasks are well\-defined.
* Identify and communicate risks and dependencies to keep projects on track.
* Participate in and prepare for product planning sessions, including Daily Stand\-Up, Refinement, Sprint Planning, and Quarterly Planning.
* Create release communications and conduct product demonstrations.
* Provide guidance and direction to the delivery team.
* Keep stakeholders informed with regular status updates.
* Identify opportunities for product enhancements and team efficiency improvements
 Skills
 Product management, Digital, figma, Jira, stakeholder management, requirement management, requirements definition, telecommunication, e\-commerce
 Job Type \&amp; Location
 This is a Contract position based out of Stamford, CT.
 Pay And Benefits
 The pay range for this position is $45\.00 \- $60\.00/hr.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Stamford,CT. Application Deadline This position is anticipated to close on Mar 17,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34">
      <c r="A34" t="inlineStr">
        <is>
          <t>li-4332991891</t>
        </is>
      </c>
      <c r="B34" t="inlineStr">
        <is>
          <t>Principal Product Manager - Identity</t>
        </is>
      </c>
      <c r="C34" t="inlineStr">
        <is>
          <t>PayJoy</t>
        </is>
      </c>
      <c r="D34" t="inlineStr">
        <is>
          <t>linkedin</t>
        </is>
      </c>
      <c r="E34" t="inlineStr"/>
      <c r="F34" t="inlineStr"/>
      <c r="G34" t="inlineStr">
        <is>
          <t>San Francisco, CA</t>
        </is>
      </c>
      <c r="H34" t="inlineStr"/>
      <c r="I34" t="inlineStr">
        <is>
          <t>**About PayJoy**
 PayJoy is a mission\-first credit provider dedicated to helping under\-served customers in emerging markets to achieve financial stability and success. Our patented technology for secured credit provides an on\-ramp for new customers to enter the credit system. Through PayJoy’s point\-of\-sale financing and card offerings, customers gain access to a modern quality of life. PayJoy’s credit also allows our customers to seize opportunities as micro\-entrepreneurs, and acts as insurance for tough times. Through our cutting\-edge machine learning, data science, and anti\-fraud AI, we have served over 18 million customers as of 2025 while achieving solid profitability for sustainable growth.
**This role**
 As a Principal Product Manager for Identity, you’ll lead the strategy and execution of how we verify, trust, and onboard our customers globally. This role demands a deep thinker who can bring order to complexity—someone who can connect technical, regulatory, and user experience dots to deliver secure, seamless identity solutions that scale.
 We’re looking for a strong, end\-to\-end product manager—someone who thrives in ambiguity, learns fast, and has the judgment to prioritize what really matters. You don’t need to be an identity expert from day one, but you do need to be rigorous in your thinking, clear in your decisions, and effective at partnering with engineering, data science, and operations to turn ideas into outcomes. Experience with identity verification, fraud systems, or risk management is a plus.
**Responsibilities**
* Lead product strategy and execution for PayJoy’s identity systems — defining how we verify, trust, and onboard users securely across markets.
* Bring clarity to complexity by framing ambiguous problems, building structured roadmaps, and aligning teams around clear, measurable outcomes.
* Collaborate cross\-functionally with engineering, data science, design, risk, and operations to build scalable, reliable identity verification and fraud prevention capabilities.
* Deeply understand customer and market needs to design identity experiences that balance trust, compliance, and conversion.
* Translate abstract goals into actionable plans—defining success metrics, driving prioritization, and ensuring delivery quality at scale.
* Learn and adapt quickly, diving into new technologies, regulations, and ecosystems to inform decisions with rigor and data.
* Drive operational excellence, ensuring the right balance between risk management and user experience while supporting global expansion.
* Influence across levels, partnering with senior leadership to define strategy and champion identity as a core enabler of PayJoy’s mission.
**Requirements**
* 7\+ years of product management experience, including ownership of complex, cross\-functional initiatives that span engineering, data, and operations.
* Strong generalist product management skills, with depth in strategy, execution, and stakeholder alignment. Systems\-level thinker who can connect customer needs, business goals, and technical architecture into a coherent roadmap.
* Analytical and data\-driven — able to define success metrics, interpret data, and use insights to guide decisions.
* Exceptional communication and collaboration skills, with a track record of influencing across senior stakeholders and diverse teams.
* Comfortable in high\-ambiguity, high\-growth environments where priorities evolve rapidly and judgment matters more than playbooks.
**Desirable Qualifications**
* Experience with identity verification, risk management, or trust systems is a plus, but not required — curiosity and the ability to learn fast are essential.
**Benefits**
* 100% Company\-funded health insurance for employee and immediate family
* Company\-funded employee life and disability insurance
* 20 Paid vacation days, Flexible sick leave
* $2,000 USD annual Co\-working Travel perk
* $2,000 USD annual Professional Development perk
* Headphone benefit, home office equipment allowance and wellness perks
* $340 Company\-funded Commuter benefit
* Catered lunches
 $278,333 \- $295,000 a year
 Salary depending on years of experience.
 PayJoy is proud to be an Equal Employment Opportunity employer and we welcome and encourage people of all backgrounds.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**PayJoy Principles**
 Finance for the next billion \* Ownership \* Break Through Walls \* Live Communication \* Transparency \&amp; Directness \* Focus on Scale \* Work\-Life Balance \* Embrace Diversity \* Speed \* Active Listening</t>
        </is>
      </c>
    </row>
    <row r="35">
      <c r="A35" t="inlineStr">
        <is>
          <t>li-4363407481</t>
        </is>
      </c>
      <c r="B35" t="inlineStr">
        <is>
          <t>Staff Product Owner, AI Products</t>
        </is>
      </c>
      <c r="C35" t="inlineStr">
        <is>
          <t>EchoStar Corporation</t>
        </is>
      </c>
      <c r="D35" t="inlineStr">
        <is>
          <t>linkedin</t>
        </is>
      </c>
      <c r="E35" t="inlineStr"/>
      <c r="F35" t="inlineStr"/>
      <c r="G35" t="inlineStr">
        <is>
          <t>Englewood, CO</t>
        </is>
      </c>
      <c r="H35" t="inlineStr"/>
      <c r="I35"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Technology teams challenge the status quo and reimagine capabilities across industries. Whether through research and development, technology innovation or solution engineering, our team members play a vital role in connecting consumers with the products and platforms of tomorrow.
**Job Duties And Responsibilities**
**Candidates must be willing to participate in at least one in\-person interview, which may include a live whiteboarding or technical assessment session.**
 DISH is looking for an accomplished and adaptable Product Owner to join our AI Office team. In this role, you will play a crucial part in driving the development of data\-driven AI products, ensuring alignment with business objectives and stakeholder needs. Your expertise in data science will be instrumental in facilitating effective communication between technical teams and stakeholders, ultimately enabling the delivery of high\-quality solutions that meet business needs.
**Key Responsibilities**
* Partner with stakeholders to define business needs and translate them into clear AI solution requirements and product outcomes
* Own and prioritize the AI product backlog based on value, strategic goals, capacity, and ROI, with emphasis on paired data scientist–engineer delivery
* Manage the AI initiative pipeline, balancing near\-term wins with long\-term roadmap objectives and promoting early, continuous production integration
* Author and accept Epics as the primary unit of value, collaborating with teams on effective User Story decomposition and acceptance criteria
* Communicate and maintain the product vision and roadmap, highlighting how paired programming accelerates deployment, quality, and maintainability
* Track product performance and ROI using data\-driven insights, manage stakeholder expectations, and continuously optimize delivery speed, feasibility, and value realization
**Skills, Experience And Requirements**
**Education and Experience:**
* Bachelor’s degree in computer science, Information Systems, or a related field
* Certification in agile methodologies such as Certified Scrum Product Owner (CSPO) preferred
* Advanced degree (Master’s or higher) in computer science, Information Systems, or a related field preferred
* 6\+ years in product management, focusing on data\-driven/AI/ML solutions, ideally in agile
**Skills And Qualifications**
* Strong understanding of agile/scrum, including paired programming principles
* Proven ability to manage stakeholders and communicate effectively with technical and business teams
* Experience managing product backlogs and delivering value via prioritized, paired development
* Ability to make data\-driven decisions and analyze performance metrics, including code quality/deployment efficiency
* Experience with cloud stack (AWS, GCP or Azure) preferred
**Salary Ranges**
 Compensation: $96,250\.00/Year \- $158,125\.00/Year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t>
        </is>
      </c>
    </row>
    <row r="36">
      <c r="A36" t="inlineStr">
        <is>
          <t>li-4364426602</t>
        </is>
      </c>
      <c r="B36" t="inlineStr">
        <is>
          <t>Senior Product Manager, Agent and ML Infrastructure</t>
        </is>
      </c>
      <c r="C36" t="inlineStr">
        <is>
          <t>Google</t>
        </is>
      </c>
      <c r="D36" t="inlineStr">
        <is>
          <t>linkedin</t>
        </is>
      </c>
      <c r="E36" t="inlineStr"/>
      <c r="F36" t="inlineStr"/>
      <c r="G36" t="inlineStr">
        <is>
          <t>Mountain View, CA</t>
        </is>
      </c>
      <c r="H36" t="inlineStr"/>
      <c r="I36" t="inlineStr">
        <is>
          <t>**Minimum qualifications:**
* Bachelor's degree or equivalent practical experience.
* 8 years of experience in product management or related technical role.
* 3 years of experience taking technical products from conception to launch (e.g., ideation to execution, 0 to 1, etc.).
* Experience developing/launching AI infrastructure or AI platform products
**Preferred qualifications:**
* Experience with applications to enable the ever\-growing needs of business partners and end customers.
* Experience working in a cross\-functional organization and influencing senior executives.
* Ability to apply cross\-functional leadership to develop long\-term strategy.
* Excellent business acumen and product management, analytical, and stakeholder management skills with attention to detail.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Customer Engagement (CE) team within Ads provides tools and products to enable Google to engage customers and help them succeed. The team's solutions cover marketing, sales, and support for the Ads business and customer support for Google’s consumer ecosystem. In this role, you will build and maintain AI and data platforms, and drive all ML\-driven experiences across user\-facing external and internal surfaces.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and drive a multi\-year roadmap alongside engineering partners for serving and agent development that anticipates the needs of developers in the customer engagement ecosystem.
* Prioritize features that accelerate velocity, simplify agent deployment, and ensure responsible AI practices.
* Partner with engineering to optimize TPU allocation and serving infrastructure. Stay aligned with Google’s AI breakthroughs (e.g., DeepMind, Core ML) to integrate capabilities into the platform.
* Articulate the value proposition, roadmap, and capabilities to audiences, including engineering, product, and leadership.
* Define and track critical KPIs (e.g., model launch times, resource efficiency, and successful agent deployments), using insights to validate hypotheses and steer the platform’s evolution.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
      <c r="A37" t="inlineStr">
        <is>
          <t>li-4330507476</t>
        </is>
      </c>
      <c r="B37" t="inlineStr">
        <is>
          <t>Sr. Product Manager (Security AI)</t>
        </is>
      </c>
      <c r="C37" t="inlineStr">
        <is>
          <t>Greylock Partners</t>
        </is>
      </c>
      <c r="D37" t="inlineStr">
        <is>
          <t>linkedin</t>
        </is>
      </c>
      <c r="E37" t="inlineStr"/>
      <c r="F37" t="inlineStr"/>
      <c r="G37" t="inlineStr"/>
      <c r="H37" t="inlineStr"/>
      <c r="I37" t="inlineStr">
        <is>
          <t>One of our early\-stage investments (currently in stealth) is hiring a Product Manager who’s deeply customer\-obsessed, brings strong user empathy, and is passionate about building impactful, high\-quality products from the ground up. Founded by the early team behind some of the most iconic security companies, they’re inventing an entirely new category in cybersecurity—and growing at breakneck speed.
 For this role, I'm looking to connect with exceptional Product Managers (4\-7 years of experience) with a winning mindset and a proven track record of launching impactful products that solve real customer needs. The ideal PM will have experience building AppSec products. If you thrive in fast\-paced environments, love turning insights into action, and are passionate about building solutions that make a difference, we’d love to hear from you.
 We’re looking for someone with a customer\-first mindset—someone who can craft an exceptional and engaging experience for end users.
**Location** 
 : San Francisco (3 days in office, 2 days wfh)
 \*\*\*\*\*\*\*\*\*\*\*\*\*\*\*\*\*\*\*\*\*\*\*\*\*\*\*\*\*\*\*\*\*\*\*\*\*\*\*
**About Greylock \&amp; our Recruiting team:** 
 Greylock is a leading early\-stage VC firm dedicated to unlocking rare potential, with a strong focus on AI\-first companies. As part of our commitment to helping founders build exceptional teams, our recruiting team provides free candidate referrals and warm introductions to our portfolio.</t>
        </is>
      </c>
    </row>
    <row r="38">
      <c r="A38" t="inlineStr">
        <is>
          <t>li-4364476410</t>
        </is>
      </c>
      <c r="B38" t="inlineStr">
        <is>
          <t>Product Owner</t>
        </is>
      </c>
      <c r="C38" t="inlineStr">
        <is>
          <t>SEI</t>
        </is>
      </c>
      <c r="D38" t="inlineStr">
        <is>
          <t>linkedin</t>
        </is>
      </c>
      <c r="E38" t="inlineStr"/>
      <c r="F38" t="inlineStr"/>
      <c r="G38" t="inlineStr">
        <is>
          <t>Chicago, IL</t>
        </is>
      </c>
      <c r="H38" t="inlineStr"/>
      <c r="I38" t="inlineStr">
        <is>
          <t>SEI delivers technology and investment solutions that connect the financial services industry. With capabilities across investment processing, operations, and asset management, we work with corporations, financial institutions and professionals, and ultra\-high\-net\-worth families to solve problems, manage change, and help protect assets. Technology and operations: The heartbeat of our business.
 We work with our clients to tackle the whole of business transformation. From the front to back office, our technology solutions create connections that empower our clients to take control and reshape their businesses. We offer end\-to\-end platforms for wealth and investment management, delivered as flexible outsourced infrastructure solutions that include processing, fund administration, information analytics, and cybersecurity services.
 As a Product Manager, you will primarily focus on executing on the product roadmap. To be successful you will be (or become) the subject matter expert for the products you support, and have an understanding of the overall platform in which those products operate. The Product Manager acts as the primary facilitator among the development teams, the other Product Team leaders, Development Teams, and the user community (clients and operations) in support of their products.
**What you will do:**
* Coordinate and execute detailed requirements gathering \&amp; documentation for one/more assigned products.
* Review and refine a backlog of requirements using tools like Jira and Confluence
* Lead and facilitate all agile ceremonies, including daily stand\-ups, sprint planning, sprint reviews, and retrospectives.
* You are the SME in this role, providing knowledge and expertise in this business area/product
* Create and deliver communications throughout the development cycle to stakeholders at all levels, including release planning content, feature/story\-level acceptance criteria new/modified functionality overviews, user guides, and release notes.
* Own product quality and performance through consistent delivery
**What we need from you:**
* BA/BS in Computer Science, MIS, Mathematics, Finance, Accounting, Business or applicable experience.
* 5\+ years’ experience with a strong background in Product and Development disciplines
* Financial Services experience, preferably FinTech experience in Asset Management or Wealth Management.
* Experience with Agile and Iterative development methodologies.
* Demonstratable experience using AI tooling for product design, strategy and software testing
**What we would like from you:**
* Ability to synthesize information arising from multiple directions, and generalize specific issues or requests into functional requirements for broader application.
* High levels of creativity and attention to detail.
* Solutions\-oriented with strong problem solving skills and system\-based thinking.
* Understand product decision impacts and trade\-offs
* Excellent communication skills, both written and verbal. Ability to use AI tooling to go from idea generation to artifact creation quickly when communicating with stakeholders.
* Demonstrated leadership experience as a team lead or similar role.
* Ability to collaborate with internal and external stakeholders. As the needs of our clients change, we need to be flexible to change with them.
* Ability to work on several projects simultaneously and to thrive in a project\-based environment within a lean team.
* Capacity to work within complex systems and large data sets.
* Someone who will embody our SEI Values of courage, integrity, collaboration, inclusion, connection and fun. Please see our website for more information. https://www.seic.com/
 The base salary pay for this role is $125,000 \- $140,000 per year.
 This position will also be eligible to earn a discretionary bonus each year, subject to company approval.
**SEI’s competitive advantage:**
 To help you stay energized, engaged and inspired, we offer a wide range of benefits including comprehensive care for your physical and mental well\-being, a strong retirement plan, tuition reimbursement, a hybrid working environment for most roles, support for working parents and flexible Paid Time Off (PTO) so you can relax, recharge and be there for the people you care about.
 Benefits include healthcare (medical, dental, vision, prescription, wellness, EAP, FSA), life and disability insurance (premiums paid for base coverage), 401(k) match, education assistance, commuter benefits, up to 11 paid holidays/year, 21 days PTO/year pro\-rated for new hires which increases over time, paid parental leave, back\-up childcare arrangements, paid volunteer days, a discounted stock purchase plan, investment options, access to thriving employee networks and more.
 We are a technology and asset management company delivering on our promise of building brave futures (SM)—for our clients, our communities, and ourselves. Come build your brave future at SEI.
**SEI is an Equal Opportunity Employer and so much more…**
 After over 50 years in business, SEI remains a leading global provider of investment processing, investment management, and investment operations solutions. Reflecting our experience within financial services and financial technology our offices encompass an open floor plan and numerous art installations designed to encourage innovation and creativity in our workforce. We recognize that our people are our most valuable asset and that a healthy, happy, and motivated workforce is key to our continued growth. At SEI, we’re (literally) invested in your success. We offer our employees paid parental leave, back\-up childcare arrangements, paid volunteer days, education assistance and access to thriving employee networks.
 SEI is an equal opportunity employer and all qualified applicants will receive consideration for employment without regard to race, color, religion, sex, sexual orientation, gender identity, national origin, age, disability status, protected veteran status, or any other characteristic protected by law.
**AI Acceptable Use in the application and interview process:**
 SEI acknowledges the growing integration of artificial intelligence (AI) tools into individuals’ personal and professional lives. If you intend to incorporate the use of any AI tools at any stage of the application and/or interview process, please ensure you have reviewed and adhere to our AI use guidelines.</t>
        </is>
      </c>
    </row>
    <row r="39">
      <c r="A39" t="inlineStr">
        <is>
          <t>li-4358901050</t>
        </is>
      </c>
      <c r="B39" t="inlineStr">
        <is>
          <t>Product Manager II</t>
        </is>
      </c>
      <c r="C39" t="inlineStr">
        <is>
          <t>TripleLift</t>
        </is>
      </c>
      <c r="D39" t="inlineStr">
        <is>
          <t>linkedin</t>
        </is>
      </c>
      <c r="E39" t="inlineStr"/>
      <c r="F39" t="inlineStr"/>
      <c r="G39" t="inlineStr">
        <is>
          <t>New York, NY</t>
        </is>
      </c>
      <c r="H39" t="inlineStr"/>
      <c r="I39" t="inlineStr">
        <is>
          <t>**About TripleLift**
 We're TripleLift, an advertising platform on a mission to elevate digital advertising through beautiful creative, quality publishers, actionable data and smart targeting. Through over 1 trillion monthly ad transactions, we help publishers and platforms monetize their businesses. Our technology is where the world's leading brands find audiences across online video, connected television, display and native ads. Brand and enterprise customers choose us because of our innovative solutions, premium formats, and supportive experts dedicated to maximizing their performance.
 As part of the Vista Equity Partners portfolio, we are NMSDC certified, qualify for diverse spending goals and are committed to economic inclusion. Find out how TripleLift raises up the programmatic ecosystem at triplelift.com.
**About The Role**
 You are an experienced and driven product manager. You will be responsible for executing the product strategy and leading key initiatives for TripleLift's Curation Platform. This pivotal role requires someone who can navigate a complex, two\-sided business model \- operating as both a neutral platform for external curators and TripleLift's deals business \- while ensuring the product roadmap delivers on both short\-term revenue goals and long\-term strategic positioning.
**Responsibilities**
* Lead Curation Platform Execution: Execute on a multi\-year product roadmap, focusing on delivering key features for a self\-serve UI and external APIs.
* Drive Cross\-Functional Go\-to\-Market Exercises: Collaborate on a phased commercialization plan for both the Curation Platform and the TripleLift deals business, collaborating closely with sales, business development, and product marketing teams.
* Identify New Feature and Market Opportunities and Build Alignment: Continuously analyze the market and competitive landscape to identify new features and market opportunities that support TripleLift's strategic goals.
* Drive Collaboration and Cross\-functional Execution: Lead stakeholder management and collaboration with the core cross\-functional team (Product Support, Engineering, Revenue, and Product Marketing) to build alignment and drive support for new initiatives.
* Define and Drive Alignment for Key Product and Business Success Metrics: Define and socialize the product and business success metrics for key features, which will be fundamental to measuring success.
* Ensure Curation Platform Development is Aligned with Holistic Strategy: Act as the strategic steward of the curation product, ensuring all development leverages the company's existing publisher relationships, unique ad formats, and data technology to improve campaign performance and build preference for TripleLift as a foundational platform in the programmatic ecosystem.
**Requirements**
* Programmatic Advertising Expertise: Solid understanding of the programmatic advertising ecosystem, including the roles of Supply\-Side Platforms (SSPs), Demand\-Side Platforms (DSPs), and familiarity with curation concepts is a plus.
* Data \&amp; AI/ML Fluency: Experience productizing data\-driven solutions with working knowledge of AI/ML applications for performance optimization. Familiarity with concepts like first\-party data matching, audience creation, and signal\-based optimizations is required.
* Enterprise Go\-to\-Market: A track record of collaborating with sales and business development teams on enterprise product launches.
* 4\+ years of product management experience required
* 2\+ years in ad tech and deep understanding of the ad tech ecosystem and its players
* Specialization in deals, curation, or data a huge plus
**2\+ years delivering customer\-facing software products from concept through launch and iteration**
* Big picture vision and ability to enlist and excite others, aligning them behind your ideas
* Initiative and hustle; you get things done where others would have given up
* Unyielding insistence on backing up your every idea with data and evidence
* Exemplary communication and presentation skills to align stakeholders, influence positive outcomes and deliver results
* Ruthlessness in prioritization and cutting scope
* Critical eye combined with a can\-do, problem solving attitude
* Knack for simplicity and making complex concepts clear and accessible
**US Jobs:** 
 The base salary range represents the low and high end of the TripleLift US salary range for this position. Actual salaries will vary depending on factors including but not limited to experience and performance. The range listed is just one component of TripleLift’s total compensation package for employees. Other rewards may include bonuses, an open Paid Time Off policy, and many region\-specific benefits.
 Pay is based on various non\-discriminatory factors including but not limited to experience, education, and skills.
 Benefits Available to Eligible Employees Include the following\*:
* Medical, Dental \&amp; Vision Plans
* Flexible PTO
* 401k w/ employer match
* Full\-time employees are eligible for comprehensive benefits (subject to the terms of applicable plans/policies/agreements, which will be made available to you after commencing employment).
 Salary range transparency
 $135,000—$170,000 USD
**Life at TripleLift**
 At TripleLift, we’re a team of great people who like who they work with and want to make everyone around them better. This means being positive, collaborative, and compassionate. We hustle harder than the competition and are continuously innovating.
 Learn more about TripleLift and our culture by visiting our LinkedIn Life page.
**Establishing People, Culture and Community Initiatives**
 At TripleLift, we are committed to building a culture where people feel connected, supported, and empowered to do their best work. We invest in our people and foster a workplace that encourages curiosity, celebrates shared values, and promotes meaningful connections across teams and communities. We want to ensure the best talent of every background, viewpoint, and experience has an opportunity to be hired, belong, and develop at TripleLift. Through our People, Culture, and Community initiatives, we aim to create an environment where everyone can thrive and feel a true sense of belonging.
**Privacy Policy**
 Please see our Privacy Policies on our TripleLift and 1plusX websites.
***TripleLift does not accept unsolicited resumes from any type of recruitment search firm. Any resume submitted in the absence of a signed agreement will become the property of TripleLift and no fee shall be due.***</t>
        </is>
      </c>
    </row>
    <row r="40">
      <c r="A40" t="inlineStr">
        <is>
          <t>li-4382156987</t>
        </is>
      </c>
      <c r="B40" t="inlineStr">
        <is>
          <t>Workday Product Manager</t>
        </is>
      </c>
      <c r="C40" t="inlineStr">
        <is>
          <t>Leeds Professional Resources</t>
        </is>
      </c>
      <c r="D40" t="inlineStr">
        <is>
          <t>linkedin</t>
        </is>
      </c>
      <c r="E40" t="inlineStr"/>
      <c r="F40" t="inlineStr"/>
      <c r="G40" t="inlineStr">
        <is>
          <t>Miami, FL</t>
        </is>
      </c>
      <c r="H40" t="inlineStr"/>
      <c r="I40" t="inlineStr">
        <is>
          <t>**Job Summary:** 
 We are seeking an experienced Workday Product Manager to own the strategy, roadmap, and delivery of Workday solutions (HCM, Financials, Payroll, Talent, etc.) within our organization. This role drives business value by aligning Workday capabilities with organizational needs, leading cross\-functional teams, gathering requirements, prioritizing features, and ensuring successful implementation, adoption, and continuous improvement. The ideal candidate is a strategic thinker with deep Workday expertise, strong stakeholder management skills, and a passion for delivering user\-centric, scalable HR/finance technology solutions.
**Key Responsibilities:** 
* Define and own the Workday product vision, roadmap, and backlog in collaboration with HR, Finance, IT, and business leaders.
* Gather and prioritize business requirements, translating them into detailed user stories, acceptance criteria, and functional specifications for Workday configurations, integrations, and enhancements.
* Lead end\-to\-end Workday projects, including new implementations, upgrades, module rollouts (HCM, Financials, Absence, Time Tracking, Payroll, Recruiting, etc.), and ongoing optimization.
* Partner with Workday implementation partners, internal IT, and business stakeholders to design solutions, manage scope, timelines, budgets, and change management.
* Conduct business process reviews, gap/fit analyses, and recommend best\-practice configurations to maximize Workday value and minimize customizations.
* Manage the product backlog, prioritize epics/features using data\-driven insights (ROI, user impact, compliance needs), and collaborate with agile development teams (Scrum/Kanban).
* Drive user adoption through training, communications, and change management strategies; measure success via KPIs (adoption rates, time savings, error reduction, satisfaction).
* Stay current on Workday releases, new features, security updates, and industry trends; advocate for upgrades and innovations that align with business goals.
* Facilitate user acceptance testing (UAT), resolve defects, and ensure high\-quality delivery with minimal business disruption.
* Monitor post\-go\-live performance, gather feedback, and continuously improve Workday processes and user experience.
**Required Qualifications:** 
* Bachelor’s degree in Business, Information Systems, HR, Finance, or related field; Master’s or MBA preferred.
* Minimum 5–7 years of experience as a Workday Product Manager, Business Analyst, Functional Consultant, or similar role focused on Workday HCM, Financials, or other modules.
* Proven experience leading full Workday implementations, upgrades, or large\-scale enhancements in mid\-to\-large organizations.
* Strong understanding of Workday architecture, configuration, business processes, security, integrations (e.g., Workday Studio, connectors), reporting (RaaS, Prism), and security groups.
* Demonstrated success in requirements gathering, process design, stakeholder management, and delivering measurable business outcomes.
* Excellent project management, prioritization, and communication skills; ability to influence without authority across HR, Finance, IT, and executive teams.
* Proficiency in agile methodologies (Scrum, Kanban), Jira/Confluence, and Microsoft Office (Excel, PowerPoint, Visio).
**Preferred Qualifications:** 
* Workday certifications (e.g., HCM Core, Financials, Integrations, Reporting, or Product Manager certification).
* Experience with Workday Extend, Prism Analytics, Adaptive Planning, or People Analytics.
* Background in change management, user adoption strategies, or HR transformation initiatives.
* Familiarity with compliance requirements (SOX, GDPR, FLSA, etc.) in a Workday environment.</t>
        </is>
      </c>
    </row>
    <row r="41">
      <c r="A41" t="inlineStr">
        <is>
          <t>li-4343044012</t>
        </is>
      </c>
      <c r="B41" t="inlineStr">
        <is>
          <t>Product Owner - Website Technology</t>
        </is>
      </c>
      <c r="C41" t="inlineStr">
        <is>
          <t>IDEXX</t>
        </is>
      </c>
      <c r="D41" t="inlineStr">
        <is>
          <t>linkedin</t>
        </is>
      </c>
      <c r="E41" t="inlineStr"/>
      <c r="F41" t="inlineStr"/>
      <c r="G41" t="inlineStr">
        <is>
          <t>Westbrook, ME</t>
        </is>
      </c>
      <c r="H41" t="inlineStr"/>
      <c r="I41" t="inlineStr">
        <is>
          <t>The
 **Product Owner of Website Platforms** 
 drives business value from IDEXX’s marketing\-owned web stack, including global CMS, analytics, optimization tools, and web personalization systems. This role owns disciplined product management, vendor efficiency, and revenue\-aligned prioritization for these platforms.
 Sitting at the intersection of technology, marketing, and data, you will define how IDEXX’s website technologies enable personalized customer journeys. You will partner with adjacent product owners (B2B eCommerce, LMS, customer portals) to align dependencies and roadmaps, while collaborating with IT and external vendors to deliver capabilities that advance digital marketing objectives and improve customer experiences.
 The ideal candidate has a strong background in enterprise CMS, analytics, and web personalization or optimization, with a track record of defining roadmaps, writing high\-quality requirements, building ROI\-driven business cases, and delivering measurable outcomes. This individual contributor role leads through influence across a matrixed organization and manages vendor partnerships to maximize development impact.
**What You Will Do**
**Own Platform Strategy and Roadmap**
* Define multi\-year vision and incremental roadmaps for CMS, analytics tagging, optimization, and web personalization aligned to business goals.
* Build investment cases with clear ROI, revenue impact, and priority justification.
**Define and Prioritize Development Backlog**
* Own end\-to\-end backlog management in Jira/Rally with well scoped, development ready initiatives.
* Write unambiguous requirements and user stories with acceptance criteria that minimize rework and scope creep.
* Facilitate stakeholder prioritization and make trade\-offs transparent.
**Manage Vendor Partnership and Delivery**
* Lead day\-to\-day management of external CMS development partnership, ensuring delivery quality and business alignment.
* Collaborate with procurement and digital marketing leadership on vendor SOWs, scope definition, and contract deliverables.
* Drive vendor sprint performance, proactively remove blockers, and maintain development momentum.
* Establish KPIs that track vendor investment efficiency, delivery velocity, and measurable business impact.
**Align Cross\-Platform Dependencies**
* Coordinate with product owners for eCommerce, LMS, customer portals, and data platforms on integration strategies and timelines.
* Ensure web capabilities accelerate conversion through collaboration with content strategy, campaigns, and analytics teams.
* Deliver concise status updates on risks and business impact to leadership.
**Drive Platform Evolution And Emerging Capabilities**
* Identify and evaluate AI use cases for CMS, personalization, and optimization that could improve content delivery, customer engagement, or operational efficiency.
* Build business cases for AI pilots that demonstrate clear ROI and alignment with digital marketing strategy
* Guide stakeholders in understanding practical AI applications within the web technology stack.
**What You Need To Succeed**
* Business and financial acumen: Ability to build compelling business cases, analyze ROI, and make investment trade\-off decisions that resonate with leaders.
* Vendor management: Experience managing external development partnerships, collaborating with procurement on SOWs and deliverables, and driving vendor performance and accountability.
* Agile and requirements expertise: Strong experience writing requirements and acceptance criteria, managing development backlogs, and driving vendor sprint execution. Proven delivery from concept through launch.
* Modern web expertise: Deep knowledge of enterprise CMS, component\-driven design, web analytics and tagging, and experimentation platforms.
* Emerging technology evaluation: Ability to identify and assess AI and emerging technology opportunities, translating technical capabilities into practical business applications with clear ROI.
* Cross\-platform collaboration: Ability to align strategies and dependencies across adjacent product owners (eCommerce, LMS, portals, data platforms).
* Influence and stakeholder management: Demonstrated ability to lead through influence in a matrixed environment, facilitating prioritization with marketing, IT, and product peers.
* Communication: Excellent written and verbal communication skills to convey complex technical information to non\-technical audiences and create clear documentation.
* Customer\-centric mindset: Commitment to improving customer and marketer experiences through well\-managed web platforms
**Why IDEXX**
 We’re proud of the work we do, because our work matters. An innovation leader in every industry we serve, we follow our Purpose and Guiding Principles to help pet owners worldwide keep their companion animals healthy and happy, to ensure safe drinking water for billions, and to help farmers protect livestock and poultry from diseases. We have customers in over 175 countries and a global workforce of over 10,000 talented people.
 Let’s pursue what matters together.
*IDEXX values a diverse workforce and workplace and strongly encourages women, people of color, LGBT individuals, people with disabilities, members of ethnic minorities, foreign\-born residents, and veterans to apply.*
*IDEXX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protected category prohibited by local, state, or federal laws.*</t>
        </is>
      </c>
    </row>
    <row r="42">
      <c r="A42" t="inlineStr">
        <is>
          <t>li-4377191523</t>
        </is>
      </c>
      <c r="B42" t="inlineStr">
        <is>
          <t>Director, Product Manager, Commercial Forward Impact Engineering &amp; Engagement Team</t>
        </is>
      </c>
      <c r="C42" t="inlineStr">
        <is>
          <t>Pfizer</t>
        </is>
      </c>
      <c r="D42" t="inlineStr">
        <is>
          <t>linkedin</t>
        </is>
      </c>
      <c r="E42" t="inlineStr"/>
      <c r="F42" t="inlineStr"/>
      <c r="G42" t="inlineStr">
        <is>
          <t>La Jolla, CA</t>
        </is>
      </c>
      <c r="H42" t="inlineStr"/>
      <c r="I42" t="inlineStr">
        <is>
          <t>At Pfizer, our purpose is breakthroughs that change patients’ lives and our colleagues make this happen. All over the world, our colleagues work together to touch millions of lives. Forward Impact Engineering and Engagement Teams deliver rapid outcomes by experimenting, learning fast, and proving what works.
**This role will be reporting into Global Commercial Analytics / AI Acceleration \&amp; Specialty Care Pod in** 
 Commercial Forward Impact Engineering and Engagement team.
 The Commercial Forward Impact Engineering and Engagement Product Manager drives innovation by closely working with Commercial business stakeholders and team of engineers to translate prioritized business opportunities into rapid prototypes and minimum viable products (MVPs). The role blends business engagement with technical execution, enabling Pfizer to accelerate delivery, reduce complexity, and create measurable value. Operating at the intersection of Commercial business priorities, technical design, and product delivery, Product Manager advances concepts into validated solutions that enable decision making on further scale across the enterprise. The role has responsibility for managing stakeholder relationships, shaping product strategies, and ensuring solutions meet both technical rigor and customer needs within dedicated Pod domain.
 The role focuses on hands\-on product leadership—establishing clear product vision, strategy, and roadmaps, and ensuring that prototypes and MVPs are built, tested, and refined efficiently. You will collaborate closely with commercial stakeholders to align priorities, gather feedback, and adapt solutions to maximize business value, all while fostering a culture of creativity, experimentation, and continuous improvement.
**Role Responsibilities**
* Lead the development of AI and data\-driven digital products through rapid prototyping and MVP\-first approaches to validate concepts and accelerate time\-to\-value.
* Define and communicate a clear product vision and strategy that prioritizes speed, experimentation, and learning through iterative delivery.
* Collaborate closely with cross\-functional teams—including engineering, design, and business stakeholders—to quickly test hypotheses and refine product direction based on user feedback and data.
* Establish and manage a lean product roadmap focused on delivering high\-impact features with minimal viable scope, while maintaining flexibility to pivot based on insights.
* Drive agile ceremonies and sprint planning with a focus on short cycles, fast feedback loops, and continuous improvement.
* Champion a culture of experimentation, encouraging A/B testing, user research, and analytics to inform product decisions.
* Ensure MVPs are scalable and extensible, laying the groundwork for future enhancements while meeting immediate business needs.
* Oversee the creation of user stories, prototypes, and wireframes that reflect user\-centric design principles and solve real\-world problems.
* Manage stakeholder expectations by clearly communicating trade\-offs, timelines, and outcomes of MVP launches.
* Foster a team environment that embraces ambiguity, adapts quickly to change, and thrives on delivering tangible results in compressed timeframes.
* Primary Stakeholders: Global Commercial Analytics group, Specialty BU – (Rare Disease / Inflammation \&amp; Immunology) and AI Acceleration Team – Tier 1/2 programs
**Basic Qualifications**
* Bachelor’s degree in Computer Science, Engineering, Business, or related field.
* 8\+ years of product management experience, with a strong emphasis on rapid prototyping, MVP development, and agile delivery.
* Proven success in launching MVPs and iterating based on user feedback and performance metrics.
* Deep understanding of lean product development, agile methodologies, and user\-centered design.
* Experience working in fast\-paced environments where speed and adaptability are critical.
* Strong analytical skills with the ability to interpret data and translate insights into actionable product decisions.
* Excellent communication and storytelling skills to align diverse stakeholders around MVP goals and outcomes.
* Demonstrated ability to lead without authority through ambiguity and deliver high\-impact solutions quickly.
**Preferred Qualifications**
* MBA or Master’s degree in strategy, innovation, or related field.
* Certification in Agile, Scrum, or Lean Startup methodologies.
* Experience with design thinking, prototyping tools (e.g., Figma, Sketch), and analytics platforms.
* Background in healthcare, pharma, or regulated industries with experience navigating compliance in MVP delivery.
* Experience managing distributed teams and driving alignment across global stakeholders.
* Previous Management Consulting experience in Top Consulting Firm is a big Plus
 Candidate demonstrates a breadth of diverse leadership experiences and capabilities including: the ability to influence and collaborate with peers, develop and coach others, oversee and guide the work of other colleagues to achieve meaningful outcomes and create business impact.
**Non\-standard Work Schedule, Travel Or Environment Requirements**
 Traveling to Pfizer offices, vendor offices and other team meeting locations when required. Project work can sometimes be demanding and require work during off\-hours.
 Work Location Assignment: Hybrid
 Last Date to Apply for Job: 3/10/2026
 The annual base salary for this position ranges from $162,900\.00 to $261,000\.00\.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t>
        </is>
      </c>
    </row>
    <row r="43">
      <c r="A43" t="inlineStr">
        <is>
          <t>li-4372743842</t>
        </is>
      </c>
      <c r="B43" t="inlineStr">
        <is>
          <t>Product Manager, Mortgage Servicing</t>
        </is>
      </c>
      <c r="C43" t="inlineStr">
        <is>
          <t>ICE</t>
        </is>
      </c>
      <c r="D43" t="inlineStr">
        <is>
          <t>linkedin</t>
        </is>
      </c>
      <c r="E43" t="inlineStr"/>
      <c r="F43" t="inlineStr"/>
      <c r="G43" t="inlineStr">
        <is>
          <t>Atlanta, GA</t>
        </is>
      </c>
      <c r="H43" t="inlineStr"/>
      <c r="I43" t="inlineStr">
        <is>
          <t>**Overview**
**Job Purpose**
 We are seeking an experienced Product Manager with deep expertise in Mortgage Servicing and Servicing Acquisition Solutions to lead the development of a system\-to\-system servicing acquisition platform. This role requires a strategic thinker who can bridge the gap between business needs and technical execution, translating complex servicing operations into scalable, technology\-driven solutions. The ideal candidate will drive product strategy, collaborate cross\-functionally, and deliver impactful outcomes that support servicing transfers and portfolio growth.
**Responsibilities**
* Define and the product vision and roadmap for servicing acquisition solutions, aligning with business goals and customer needs.
* Lead cross\-functional teams through the full product lifecycle—from discovery and design to development, testing, and deployment.
* Engage with clients to define business requirements, document pain points and communicate project status
* Translate mortgage servicing requirements into clear product features and user stories, ensuring alignment with regulatory and operational standards.
* Collaborate with engineering, data, and architecture teams to design scalable system\-to\-system integrations for servicing transfers.
* Engage with servicing operations and business stakeholders to gather feedback, validate solutions, and prioritize enhancements.
* Monitor product performance and adoption, using data\-driven insights to iterate and improve functionality.
* Ensure documentation and training materials are created to support internal users and external partners during onboarding and servicing transitions.
* Stay current on industry trends, regulatory changes, and servicing technologies to inform product strategy and innovation.
**Knowledge And Experience**
* Bachelor’s degree in Business, Computer Science, Finance, or related field.
* 5\+ years of experience in Mortgage Servicing, with direct involvement in servicing acquisition, transfer, or onboarding projects.
* Strong understanding of servicing operations, investor guidelines, and regulatory requirements.
* Proven experience managing software development lifecycles, preferably in Agile or Scrum environments.
* Ability to define product strategy, create roadmaps, and manage backlogs aligned with business goals.
* Demonstrated success working with engineering teams to deliver system integrations, APIs, and data\-driven solutions.
* MSP experience required
* Strong analytical mindset with the ability to interpret complex data and translate it into actionable insights.
* Excellent communication and stakeholder management skills, with the ability to influence across business and technical teams.
* Proficiency in tools such as MS Office, ADO and MSP
* Experience with data mapping, ETL processes, and system\-to\-system integrations is a plus.
 Intercontinental Exchange, Inc. is an Equal Opportunity Employer. All qualified applicants will receive consideration for employment without regard to legally protected characteristics.</t>
        </is>
      </c>
    </row>
    <row r="44">
      <c r="A44" t="inlineStr">
        <is>
          <t>li-4341967433</t>
        </is>
      </c>
      <c r="B44" t="inlineStr">
        <is>
          <t>Principal Product Manager</t>
        </is>
      </c>
      <c r="C44" t="inlineStr">
        <is>
          <t>Circle</t>
        </is>
      </c>
      <c r="D44" t="inlineStr">
        <is>
          <t>linkedin</t>
        </is>
      </c>
      <c r="E44" t="inlineStr"/>
      <c r="F44" t="inlineStr"/>
      <c r="G44" t="inlineStr"/>
      <c r="H44" t="inlineStr"/>
      <c r="I44"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5">
      <c r="A45" t="inlineStr">
        <is>
          <t>li-4347027549</t>
        </is>
      </c>
      <c r="B45" t="inlineStr">
        <is>
          <t>Principal Product Manager</t>
        </is>
      </c>
      <c r="C45" t="inlineStr">
        <is>
          <t>Circle</t>
        </is>
      </c>
      <c r="D45" t="inlineStr">
        <is>
          <t>linkedin</t>
        </is>
      </c>
      <c r="E45" t="inlineStr"/>
      <c r="F45" t="inlineStr"/>
      <c r="G45" t="inlineStr"/>
      <c r="H45" t="inlineStr"/>
      <c r="I45"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6">
      <c r="A46" t="inlineStr">
        <is>
          <t>li-4365582230</t>
        </is>
      </c>
      <c r="B46" t="inlineStr">
        <is>
          <t>Product Manager II, Databases and Analytics, Google Cloud</t>
        </is>
      </c>
      <c r="C46" t="inlineStr">
        <is>
          <t>Google</t>
        </is>
      </c>
      <c r="D46" t="inlineStr">
        <is>
          <t>linkedin</t>
        </is>
      </c>
      <c r="E46" t="inlineStr"/>
      <c r="F46" t="inlineStr"/>
      <c r="G46" t="inlineStr">
        <is>
          <t>Sunnyvale, CA</t>
        </is>
      </c>
      <c r="H46" t="inlineStr"/>
      <c r="I46" t="inlineStr">
        <is>
          <t>**Minimum qualifications:**
* Bachelor's degree or equivalent practical experience.
* 5 years of experience in product management or related technical role.
* 2 years of experience developing or launching products or technologies within databases, analytics, big data, or a related area.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7">
      <c r="A47" t="inlineStr">
        <is>
          <t>li-4341997276</t>
        </is>
      </c>
      <c r="B47" t="inlineStr">
        <is>
          <t>Principal Product Manager</t>
        </is>
      </c>
      <c r="C47" t="inlineStr">
        <is>
          <t>Circle</t>
        </is>
      </c>
      <c r="D47" t="inlineStr">
        <is>
          <t>linkedin</t>
        </is>
      </c>
      <c r="E47" t="inlineStr"/>
      <c r="F47" t="inlineStr"/>
      <c r="G47" t="inlineStr"/>
      <c r="H47" t="inlineStr"/>
      <c r="I47"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8">
      <c r="A48" t="inlineStr">
        <is>
          <t>li-4341957393</t>
        </is>
      </c>
      <c r="B48" t="inlineStr">
        <is>
          <t>Principal Product Manager</t>
        </is>
      </c>
      <c r="C48" t="inlineStr">
        <is>
          <t>Circle</t>
        </is>
      </c>
      <c r="D48" t="inlineStr">
        <is>
          <t>linkedin</t>
        </is>
      </c>
      <c r="E48" t="inlineStr"/>
      <c r="F48" t="inlineStr"/>
      <c r="G48" t="inlineStr"/>
      <c r="H48" t="inlineStr"/>
      <c r="I48"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9">
      <c r="A49" t="inlineStr">
        <is>
          <t>li-4341947539</t>
        </is>
      </c>
      <c r="B49" t="inlineStr">
        <is>
          <t>Principal Product Manager</t>
        </is>
      </c>
      <c r="C49" t="inlineStr">
        <is>
          <t>Circle</t>
        </is>
      </c>
      <c r="D49" t="inlineStr">
        <is>
          <t>linkedin</t>
        </is>
      </c>
      <c r="E49" t="inlineStr"/>
      <c r="F49" t="inlineStr"/>
      <c r="G49" t="inlineStr">
        <is>
          <t>Portland, Oregon Metropolitan Area</t>
        </is>
      </c>
      <c r="H49" t="inlineStr"/>
      <c r="I49"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0">
      <c r="A50" t="inlineStr">
        <is>
          <t>li-4310941298</t>
        </is>
      </c>
      <c r="B50" t="inlineStr">
        <is>
          <t>Transaction Banking, Payments Product Manager, Associate</t>
        </is>
      </c>
      <c r="C50" t="inlineStr">
        <is>
          <t>Goldman Sachs</t>
        </is>
      </c>
      <c r="D50" t="inlineStr">
        <is>
          <t>linkedin</t>
        </is>
      </c>
      <c r="E50" t="inlineStr"/>
      <c r="F50" t="inlineStr"/>
      <c r="G50" t="inlineStr">
        <is>
          <t>Dallas, TX</t>
        </is>
      </c>
      <c r="H50" t="inlineStr"/>
      <c r="I50" t="inlineStr">
        <is>
          <t>**Job Description**
**TRANSACTION BANKING**
 We aim to build a modern and digital\-first transaction banking solution to serve our clients. Our business combines the strength, heritage, and expertise of a 150\-year\-old firm with the agility and entrepreneurial spirit of a tech start\-up. Our goal is to provide a best\-in\-class digital product that helps clients to succeed by giving them a holistic view of their business. Through the use of modern technology built on the cloud, we are the alternative to legacy platforms. We provide our clients a simple, intuitive, secure, and frictionless experience for domestic, cross\-border and cross\-currency payments. Simplifying payments making it just as easy to pay someone across the globe as it is to pay someone around the corner. We’re a team of diverse experts helping our clients to build the future of their Treasury.
**Job Summary**
 The Payments Product Manager is pivotal in providing the direction and end to end management of the Payments products, with responsibility for defining and implementing the Payments Product business strategy, understanding the risks associated with the product, development of new products and commercialization of these products. The role requires a deep understanding of Corporate payments and payment rails including cross border/cross currency solutions. Understanding of client challenges/opportunities and industry trends will be required as inputs into the Payments strategic product roadmap and commercialization strategy.
**Responsibilities Include**
* Lead payment transformation initiatives from inception to launch – e.g. participation in new payment rails \- as well as expand payment capabilities in our product suite.
* Operate as a subject matter expert in the global payments ecosystem, with extensive knowledge of domestic and cross\-border solutions that utilize payment rails like SWIFT, CHIPS, Fedwire, ACH, RTP, FPS, CHAPS, BACS, SEPA, SEPA Instant, and Target2\.
* Partnership with key stakeholders including Engineering, Operations and Risk in delivering in\-house built innovative solutions that utilize the latest technology to delight clients
* Oversee the full product lifecycle, from ideation, strategy, and design through launch and ongoing enhancement, embedding robust risk management practices at every stage.
* Develop and execute go\-to\-market strategies to support the successful commercialization of new products, ensuring offerings are relevant and competitive.
* Engage with clients and internal partners—including Product, Sales, and Servicing teams—to understand client challenges, opportunities, and industry trends, shaping the strategic roadmap and future product development.
* Ensure continuous improvement by monitoring product performance, gathering client feedback, and driving enhancements to maintain a best\-in\-class payments experience.
**Qualifications**
**Required**
* 3\+ years of experience in payments related role
* Payments product manager or payments product development experience
* Experience of implementing payment rails (e.g. CHIPS, Fedwire, Target2\) or other payment products
* Payment rail knowledge (e.g. SWIFT, Fedwire, ACH, SEPA, BACS, Target2\)
* Experience in agile project development
* Demonstrable ability to partner with operations and engineering teams to deliver best in class solutions
* Experience of end\-to\-end product ownership from ideation to commercialization, working in a diverse global team driving rapid team and product growth
* Excellent organizational, time management and planning skills and experience of maintaining requirements and information in JIRA and Confluence
* Bachelor’s Degree or military experience
**Preferred**
* Expertise and experience of ISO 20022 and SWIFT standards across payments and cash management domains
* Detailed knowledge of domestic and international payment rails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 are committed to finding reasonable accommodations for candidates with special needs or disabilities during our recruiting process. Learn more: https://www.goldmansachs.com/careers/footer/disability\-statement.html
 © The Goldman Sachs Group, Inc., 2025\. All rights reserved.
 Goldman Sachs is an equal employment/affirmative action employer Female/Minority/Disability/Veteran/Sexual Orientation/Gender Identity</t>
        </is>
      </c>
    </row>
    <row r="51">
      <c r="A51" t="inlineStr">
        <is>
          <t>li-4347047322</t>
        </is>
      </c>
      <c r="B51" t="inlineStr">
        <is>
          <t>Principal Product Manager</t>
        </is>
      </c>
      <c r="C51" t="inlineStr">
        <is>
          <t>Circle</t>
        </is>
      </c>
      <c r="D51" t="inlineStr">
        <is>
          <t>linkedin</t>
        </is>
      </c>
      <c r="E51" t="inlineStr"/>
      <c r="F51" t="inlineStr"/>
      <c r="G51" t="inlineStr"/>
      <c r="H51" t="inlineStr"/>
      <c r="I51"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52">
      <c r="A52" t="inlineStr">
        <is>
          <t>li-4382387385</t>
        </is>
      </c>
      <c r="B52" t="inlineStr">
        <is>
          <t>Principal Product Manager</t>
        </is>
      </c>
      <c r="C52" t="inlineStr">
        <is>
          <t>Microsoft</t>
        </is>
      </c>
      <c r="D52" t="inlineStr">
        <is>
          <t>linkedin</t>
        </is>
      </c>
      <c r="E52" t="inlineStr"/>
      <c r="F52" t="inlineStr"/>
      <c r="G52" t="inlineStr">
        <is>
          <t>Redmond, WA</t>
        </is>
      </c>
      <c r="H52" t="inlineStr"/>
      <c r="I52" t="inlineStr">
        <is>
          <t>**Overview**
**Microsoft Dynamics 365 Contact Center** 
 is an innovative organization committed to advancing customer engagement through technology. We seek a leader to lead the adoption, expansion, and revenue growth of our Microsoft Dynamics 365 Contact Center solution. This strategic leadership position requires extensive CCaaS experience, AI Agents and a proven ability to deliver business outcomes within cloud contact center environments.
 As a
 **Principal Product Manager** 
 , you will be a dynamic CCaaS Growth Leader, accelerating the expansion, adoption, and profitability of the Contact Center as a Service business. You will own strategy and execution across sales enablement, partnerships, go\-to\-market initiatives, and cross\-functional growth programs to strengthen Microsoft’s leadership in the cloud contact center ecosystem. You will bring a proven track record in cloud communications, SaaS growth, and customer experience transformation, with the ability to lead high\-impact initiatives that combine product innovation, commercial strategy, and customer success to deliver measurable business outcomes. This role combines product vision, technical depth, and leadership. You will drive adoption of D365 Contact Center by collaborating with key stakeholders across the business.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Strategy \&amp; Growth Leadership
* Lead a robust D365 Contact Center growth strategy that is aligned with overarching corporate goals and evolving market dynamics.
* Create business plans encompassing market segmentation, product positioning, pricing frameworks, and go\-to\-market (GTM) execution.
* Identify new sources of revenue through vertical market expansion, strategic partner ecosystems, and customer experience (CX) innovation initiatives.
* Monitor and report key performance indicators (KPIs), including adoption rates, churn metrics, Net Revenue Retention, and Annual Recurring Revenue growth.
* Lead analyst relationships for D365 Contact Center.
* Go\-to\-Market (GTM) Adoption \&amp; Enablement
* Drive GTM alignment with Marketing, Product, and Sales for unified messaging and execution.
* Create and refine pipeline programs for enterprise, Majors growth, and SME\-C segments.
* Shape value propositions and differentiators to position D365 Contact Center against competitors.
* Manage launch plans for new features, integrations, and regional offerings.
* Help shape how the product continues to evolve as one of the world’s most differentiated CCaaS offerings by scaling readiness across sellers and partners.
* Partnerships \&amp; Ecosystem Development
* Establish strategic alliances with leading Contact Center providers and System Integrator/Global System Integrator partners to advance D365 Contact Center business.
* Drive joint go\-to\-market initiatives through negotiation and management of co\-selling programs and marketplace listings.
* Develop scalable enablement frameworks for field teams and partners to expand reach and accelerate D365 Contact Center revenue.
* Customer \&amp; Market Insights
* Use data\-driven insights to inform the product roadmap and optimize customer engagement strategies.
* Anticipate and adapt to emerging trends in AI, automation, omnichannel CX, and digital contact centers.
* Perform competitive analysis and deliver leadership updates on industry shifts and disruptive entrants.
* Executive Briefings
* Evangelizes the D365 Contact Center and related technologies with internal and external stakeholders, partners, and customers in the industry via presentations, and other forums.
* Presents at Executive Briefings and large industry/company events.
**Qualifications**
**Required Qualifications** 
 :
* Bachelor's Degree AND 8\+ years experience in product/service/program management or software development OR equivalent experience.
* 8\+ years’ experience leading mission critical initiatives involving collaboration with stakeholders across multiple companies and industries.
* 8\+ years of cross\-functional leadership across product, sales, and stakeholder management.
**Other Requirements:** 
 Ability to meet Microsoft, customer and/or government security screening requirements are required for this role.
**Preferred Qualifications**
* Background in sales strategy/product marketing/commercial operations.
* 8\+ years’ experience with SaaS/CCaaS platforms.
* Deep Understanding of D365 Service offerings like Customer Service, Contact Center, Pre\-Built AI Agents and Copilot Studio.
* Broad understanding of commercial cloud offerings, ideally including Microsoft’s Dynamics 365 offerings, including competitors and related ecosystems.
* Strategic thinker who turns vision into actionable plans.
* Data\-focused decision\-maker, proficient with analytics, KPIs, and ROI. \#BICJobs \#CESJOBS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li-4363435558</t>
        </is>
      </c>
      <c r="B53" t="inlineStr">
        <is>
          <t>Staff Product Manager, Aurora Services</t>
        </is>
      </c>
      <c r="C53" t="inlineStr">
        <is>
          <t>Aurora</t>
        </is>
      </c>
      <c r="D53" t="inlineStr">
        <is>
          <t>linkedin</t>
        </is>
      </c>
      <c r="E53" t="inlineStr"/>
      <c r="F53" t="inlineStr"/>
      <c r="G53" t="inlineStr">
        <is>
          <t>San Francisco, CA</t>
        </is>
      </c>
      <c r="H53" t="inlineStr"/>
      <c r="I53"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Product Manager who will drive the design and delivery of mission\-critical technology across Aurora and customer terminals. In order to do this, you will partner with key cross\-functional teams, including our Commercial Operations, Software, Hardware, Business Development, and Strategy teams, to unlock scale as we expand the network footprint of Aurora’s autonomous trucks.
**In this role, you will**
* Develop a deep understanding of the needs and challenges of integrating self\-driving technology into a trucking fleet’s existing operations.
* Define product vision and roadmap, prioritizing features that deliver the most value to customers and align with business goals.
* Synthesize product usage data and user feedback into actionable user stories and product requirements for iterative improvement
* Work collaboratively with engineers, designers, operations, and business development to translate product requirements into user\-friendly software solutions.
* Manage a range of cross\-functional stakeholders while navigating key prioritization and timeline tradeoffs
* Stay up\-to\-date on the latest trends in self\-driving technology, fleet management technology, and the logistics industry.
**Required Qualifications**
* 5\+ years in software product management, with a proven track record of successfully launching and managing commercially successful software products.
* Solid technical aptitude and an ability to understand technical designs, software development lifecycle, challenges and risks
* High level of comfort working in ambiguity. Must be able to define the unknown, create structure and manage change.
* Solid leadership experience with cross\-functional teams in service of a large workstream.
* Experience collaborating with Design, Engineering, and Data to bring product requirements and user experiences to life, while maximizing ROI
* Ability to clearly articulate complex technical concepts to non\-technical audiences in written and verbal communication
* Passion for self\-driving technology and its potential to revolutionize the transportation industry.
**Desirable Qualifications**
* Bachelor’s degree in Computer Science (or other technical education) or equivalent practical experience
* Experience building and managing applications on top of a microservice architecture, including comfort with API contracts and service dependencies.
* Expertise in multi\-platform and multi\-OS application development and management, with the ability to navigate trade\-offs between various architectural approaches.
* Experience working directly with design organizations on extreme simplification and clarity in complex user workflows, distilling sophisticated processes into intuitive experiences.
* Experience operating within the autonomy and/or freight industries.
* Experience shipping products to enterprise\-sized customers
 The base salary range for this position is $181\-$262K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54">
      <c r="A54" t="inlineStr">
        <is>
          <t>li-4363395493</t>
        </is>
      </c>
      <c r="B54" t="inlineStr">
        <is>
          <t>Product Manager</t>
        </is>
      </c>
      <c r="C54" t="inlineStr">
        <is>
          <t>KYOCERA Document Solutions America, Inc.</t>
        </is>
      </c>
      <c r="D54" t="inlineStr">
        <is>
          <t>linkedin</t>
        </is>
      </c>
      <c r="E54" t="inlineStr"/>
      <c r="F54" t="inlineStr"/>
      <c r="G54" t="inlineStr">
        <is>
          <t>Fairfield, NJ</t>
        </is>
      </c>
      <c r="H54" t="inlineStr"/>
      <c r="I54" t="inlineStr">
        <is>
          <t>When you join Kyocera Document Solutions America, Inc. you are joining an organization that is deeply rooted in the Philosophy of “doing what is right as a human being”. Through this Philosophy, our employees are passionate about providing best in class customer service through efficiency, accountability, and a sense of urgency all while putting knowledge to work to drive change.
 In addition, we’re a Great Place to Work… and we really mean it! Kyocera Document Solutions America, Inc. has been officially certified as a Great Place to Work since 2022\. An organization earns this distinction when its employees have expressed their trust in the people they work for, have pride in what they do and enjoy the people they work with.
 As a Product Manager, Production Inkjet, you will play a crucial role in shaping the strategic direction and commercial success of Kyocera Document Solutions America’s market\-leading production inkjet portfolio. Working closely with the Sr. Manager, Inkjet Division, this role will be responsible for defining and executing comprehensive go\-to\-market strategies for the company’s flagship production inkjet solutions—ensuring we maintain category leadership while accelerating growth in key segments such as commercial print, direct mail, transactional, publishing, and in\-plant.
 A deep understanding of the production print inkjet market—including customer workflows, competitive dynamics, channel expectations, and the economic drivers behind adoption—will be essential to inform roadmap direction, positioning, and launch priorities.
 A strong sense of urgency and operational efficiency are critical to success in this role, along with the ability to multitask Including: product lifecycle management—spanning launch planning, value proposition refinement, competitive differentiation, and portfolio optimization, will need to maintain deep collaboration with product planning, sales, service, logistics and the broader corporate marketing organization. You will translate market insights into actionable messaging and enablement, build compelling business cases, and deliver field\-ready tools that clearly articulate productivity, quality, reliability, and total cost of ownership advantages for our production inkjet customers.
 The chance to do something meaningful—to challenge yourself, help lead change in an evolving industry, and influence the future of production inkjet from a market\-leading position—doesn’t come around every day.
**Responsibilities**
* Oversee the management and execution of the KDA launch process, go\-to\-market strategies, product portfolio rationalization and overall product lifecycle management process
* Management and execution of pricing analytics and approval process for new and existing offerings
* Responsible for the management and Improvement of the Product Launch Process.
* Directing the creation, coordination, and execution of comprehensive GTM strategies across various disciplines concurrently.
* Including but not limited to marketing collateral, digital marketing strategies, technical requirements, business planning, pre\-sales / sales support, training, and sales strategy implementation.
* Ability to provide structured feedback to R\&amp;D teams for product enhancements and product future roadmap development, including VOC / VOM data.
* Identify and recommend new third\-party products and services to ultimately bring to market.
* Lead strategic initiatives to gain mind share and market share within the Dealer / Distributor channel.
* Work closely with Sales Administration on PSI, forecasting activities and phase in/out strategies for product launches.
* Develop pricing/promotional strategies and proposals as needed to drive Kyocera revenue and profit.
* Understand key marketing performance metrics and tracking tools to provide market research, forecasts, competitive analyses, and consumer trends to translate results into actionable insights for the marketing team.
**Qualifications**
* Bachelor's degree with a major or emphasis in Marketing, Engineering, or related field.
* Minimum 8 years of experience in B2B marketing/sales required.
* Experience working with dealer and direct channel sales teams.
* Experience in leading and managing large, complex projects.
* Experience with data, measurement, and analytics.
* Superb leadership, communication, and collaboration capabilities.
* Excellent time management and organizational skills.
* Advanced ability to drive creativity and innovation.
* Fluent in English
**Preferred**
* Marketing or sales experience in printing industry
 The typical pay range for this role is $81,000 \-$122,000\.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may include a discretionary bonus based on performance.
 Note
 This is a general description of the duties and responsibilities most frequently required of this position. The company may from time\-to\-time request that the incumbent perform other related tasks and assume reasonable responsibilities that have not been specifically included in this description.
 Kyocera Document Solutions America, Inc is a group company of Kyocera Document Solutions Inc., a global leading provider of total document solutions based in Osaka, Japan. The company’s portfolio includes reliable and eco\-friendly MFPs and printers, as well as business applications and consultative services which enable customers to optimize and manage their document workflow, reaching new heights of efficiency. With professional expertise and a culture of empathetic partnership, the objective of the company is to help organizations put knowledge to work to drive change. Kyocera is looking for enthusiastic and innovative people to help our customers run their businesses more efficiently and more profitably. We offer a generous benefits package including medical, dental and vision plans, a 401k match, flexible spending, disability and life insurance, plus paid time off and holidays.
 KYOCERA Document Solutions America, Inc. is an Equal Opportunity Employer, a VEVRRA Federal Contractor, and complies with all applicable federal, state, and local laws regarding nondiscrimination. Kyocera provides equal employment opportunities to all employees and applicants for employment without regard to race, color, religion, gender, sexual orientation, national origin, age, disability, or protected veteran status. Qualified minorities, women, protected veterans and/or individuals with disabilities are encouraged to apply.</t>
        </is>
      </c>
    </row>
    <row r="55">
      <c r="A55" t="inlineStr">
        <is>
          <t>li-4372998856</t>
        </is>
      </c>
      <c r="B55" t="inlineStr">
        <is>
          <t>Principal Product Manager - Microsoft Foundry (CoreAI)</t>
        </is>
      </c>
      <c r="C55" t="inlineStr">
        <is>
          <t>Microsoft</t>
        </is>
      </c>
      <c r="D55" t="inlineStr">
        <is>
          <t>linkedin</t>
        </is>
      </c>
      <c r="E55" t="inlineStr"/>
      <c r="F55" t="inlineStr"/>
      <c r="G55" t="inlineStr">
        <is>
          <t>Redmond, WA</t>
        </is>
      </c>
      <c r="H55" t="inlineStr"/>
      <c r="I55" t="inlineStr">
        <is>
          <t>**Overview**
 The Foundry Inference \&amp; Training team is responsible for advancing Microsoft’s most critical model training capabilities, infrastructure, and execution at global scale. We are looking for a principal Technical Program Manager to partner closely with leadership to drive execution excellence, operating rigor, and cross\-team alignment across a fast\-moving and highly interconnected space.
 This role sits at the intersection of strategy, execution, and technical depth. You will help turn priorities into outcomes, ensure internal signals are clear and actionable, and enable leaders and teams to operate with focus and velocity.
**Responsibilities**
**Responsibilities**
**Strategic Execution and Operating Rhythm**
* Translate leadership priorities into clear execution plans, milestones, and success metrics across Foundry Inference \&amp; Training.
* Establish and run the operating cadence including planning cycles, reviews, executive readouts, and follow\-ups.
* Track commitments and dependencies across engineering, research, infrastructure, and partner teams, ensuring risks and gaps are surfaced early.
**Cross\-Team Alignment and Influence**
* Act as a connective layer across teams working on model training, data, infrastructure, and platform integration.
* Drive alignment on goals, timelines, and decision points across multiple senior stakeholders.
* Resolve ambiguity by framing tradeoffs, options, and recommendations grounded in technical and business context.
**Program Leadership and Delivery**
* Lead complex, multi\-quarter programs with high visibility and executive attention.
* Partner with engineering and research leads to ensure delivery plans are realistic, measurable, and resilient to change.
* Own end\-to\-end delivery health including scope, schedule, risks, and escalation management.
**Decision Support and Communications**
* Create concise, high\-quality artifacts that support leadership decision making including briefs, dashboards, and executive\-ready summaries.
* Synthesize complex, fast\-evolving inputs into clear narratives for different audiences.
* Anticipate questions leaders will ask and proactively bring data, context, and recommendations.
**Continuous Improvement**
* Identify opportunities to improve how the organization plans, executes, and communicates.
* Drive simplification and clarity in processes where scale and complexity have increased operational friction.
**Qualifications**
**Required Qualifications**
* Bachelor's Degree AND 8\+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10\+ years experience in program/technical program management, data analysis, or product development OR equivalent experience.
* 3\+ years of hands\-on experience with Azure (or similar cloud) services, including resource provisioning, IAM, networking, and scripting (PowerShell or Azure CLI).
* 6\+ years experience managing cross\-functional and/or cross\-team projects.
* 10\+ years experience managing cross\-functional and/or cross\-team projects.
* Technical fluency with experience working alongside engineering, research, or infrastructure teams.
* Proven track record of leading large, ambiguous, cross\-functional programs with senior stakeholders.
* Demonstrated written and verbal communication skills, with the ability to clearly influence at the executive level.
* Comfort operating as a force multiplier in highly dynamic environments.
* Track record of leading cross\-functional efforts at scale in high\-stakes, fast\-paced environments.
* Proven experience in product management for large\-scale data or AI platforms.
* Technical background in data lifecycle management, security, and compliance.
* Demonstrated ability to lead cross\-functional teams and drive strategic initiatives.
* Experience with cloud data platforms (Azure, AWS, GCP).
* Entrepreneurial mindset; thrives in fast\-paced, ambiguous environments.
* Experience with automation, data pipelines, and human\-in\-the\-loop systems.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li-4380888960</t>
        </is>
      </c>
      <c r="B56" t="inlineStr">
        <is>
          <t>Associate Product Manager Rotational Program (Hybrid)</t>
        </is>
      </c>
      <c r="C56" t="inlineStr">
        <is>
          <t>myGwork - LGBTQ+ Business Community</t>
        </is>
      </c>
      <c r="D56" t="inlineStr">
        <is>
          <t>linkedin</t>
        </is>
      </c>
      <c r="E56" t="inlineStr"/>
      <c r="F56" t="inlineStr"/>
      <c r="G56" t="inlineStr">
        <is>
          <t>Alpharetta, GA</t>
        </is>
      </c>
      <c r="H56" t="inlineStr"/>
      <c r="I56" t="inlineStr">
        <is>
          <t>**This job is with LexisNexis® Risk Solutions, an inclusive employer and a member of myGwork – the largest global platform for the LGBTQ\+ business community. Please do not contact the recruiter directly.**
**Are you a driven, upcoming, or recent graduate interested in pursuing a career in product management?**
**Are you passionate about understanding customer needs and transforming them into successful product solutions? This rotational program is perfect for you!**
**About The Business**
 LexisNexis Risk Solutions is the essential partner in the assessment of risk. Within our Insurance vertical, we provide customers with solutions and decision tools that combine public and industry\-specific content with advanced technology and analytics to assist them in evaluating and predicting risk and enhancing operational efficiency. Our insurance risk solutions help drive better data\-driven decisions across the insurance policy lifecycle\- all while reducing risk. You can learn more about LexisNexis Risk at the link below. https://risk.lexisnexis.com/insurance
**About Our Team**
 LexisNexis Risk Solutions is a leading provider of data and analytics to the insurance industry. We aim to assist insurers in making better decisions, reducing risk, and increasing profits. We empower clients with insights and tools to reduce risk and improve outcomes. Our Team builds pipelines to connect different points in our customers' journeys. We approach a range of business problems and technical challenges by working with our customers to create cutting\-edge solutions. We automate customer journeys to ensure our systems can talk to each other in a reliable but flexible way.
**About The Role**
 We are seeking an Associate Product Manager to join our dynamic two\-year Rotational Program. The Associate Product Manager (APM) Rotational Program is an entry\-level opportunity for individuals interested in pursuing a career in product management. This two\-year rotational program is designed to teach you how products are developed, launched, and improved to meet customer needs and support business goals.
 As an Associate Product Manager, you will work with partners across engineering, design, sales, and marketing to help bring ideas to life. You will learn how to gather customer insights, use data to inform decisions, and contribute to product planning and delivery. This role offers hands\-on learning, mentorship, and exposure to different parts of the business to support your professional growth.
 Through the APM Rotational Program, we aspire to develop high\-performing, engaged Product Managers by building a pipeline and promoting promising young talent into our PM organization. We aim to elevate the performance of US Product Management through impactful APM project work, while exposing the APMs to diverse experiences and guiding them in their career growth.
* This is a hybrid position for our Alpharetta, Georgia office. Only local candidates will be considered. \*
**Proposed Start Date:** 
 June 8, 2026
**Graduation Qualifications:** 
 Qualified applicants should have completed their studies or expect to finish between December 2025 and May 2026\.
**Responsibilities**
* Participate in customer discovery activities to understand user needs and help shape product solutions.
* Support product planning and delivery by tracking commitments and sharing updates with the team.
* Review data from existing dashboards to identify trends and share insights with partners.
* Collaborate with cross\-functional team members to explore and propose solutions to user problems.
* Contribute to go\-to\-market activities, including product launches and customer communications.
* Help document clear product requirements and user stories based on customer needs.
* Learn and apply the company's technology and product development practices.
* Ask questions, seek feedback, and support the execution of product strategies.
****Requirements****
* Be on track to receive or have completed a bachelor's or master's in Business, Finance, or a related field of study by May 2026\.
* Demonstrate an interest or background in finance, with enthusiasm for learning how product teams manage product financials and a clear desire to grow a long\-term career in product management.
* Be a proactive, analytical, and strategic thinker who adapts to changes in a fast\-paced environment.
* Be a natural problem solver, able to work independently, collaboratively with team members, and lead project teams to resolve issues.
* Possess excellent written and verbal communication skills, including the ability to listen, share ideas, collaborate effectively with others, and interact with team members and stakeholders.
* Be self\-driven and open to receiving and applying constructive feedback.
* Possess excellent organization, project planning, and time management skills to prioritize tasks and meet deadlines.
**Working for you**
**Benefits**
 We know that your well\-being and happiness are key to a long and successful career. These are some of the benefits we are delighted to offer:
*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In addition to annual Paid Time Off, we offer up to two days of paid leave each to participate in Employee Resource Groups and to volunteer with your charity of choice
 Learn more about the LexisNexis Risk team and how we work
 U.S. National Base Pay Range: $53,900 \- $89,800\.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]]\&gt;</t>
        </is>
      </c>
    </row>
    <row r="57">
      <c r="A57" t="inlineStr">
        <is>
          <t>li-4373201682</t>
        </is>
      </c>
      <c r="B57" t="inlineStr">
        <is>
          <t>Principal Product Manager - Core AI</t>
        </is>
      </c>
      <c r="C57" t="inlineStr">
        <is>
          <t>Microsoft</t>
        </is>
      </c>
      <c r="D57" t="inlineStr">
        <is>
          <t>linkedin</t>
        </is>
      </c>
      <c r="E57" t="inlineStr"/>
      <c r="F57" t="inlineStr"/>
      <c r="G57" t="inlineStr">
        <is>
          <t>Redmond, WA</t>
        </is>
      </c>
      <c r="H57" t="inlineStr"/>
      <c r="I57" t="inlineStr">
        <is>
          <t>**Overview**
 We are part of the CoreAI – Platform and Tools division at Microsoft. Our mission enables every developer to achieve more by using AI tools and our platform capabilities to infuse AI in their applications and services.
 We are looking for a Principal Product Manager with technical depth, customer empathy, and an abundance of energy. The right candidate is highly effective, taking the initiative and thriving in building products that differentiate in the most competitive segment of the industry.
 This Principal Product Manager role is in the CoreAI Infrastructure team which powers the Microsoft AI Foundry Services. We manage the GPU fleet to run Microsoft’s AI services on a planet scale. We are in the eye of the storm to accelerate the transition and scaling of Generative AI models to work with the latest AI aware application. Our team focuses on fleet efficiency, reliability and the agility to bring the latest AI innovations from research into production.
 You will deeply understand customer problems, the rapidly evolving AI landscape and use a data driven approach combined with creativity, curiosity and AI expertise to lead the team and drive platform features through design, development, market fit and the relentless pursuit of scale adoption.
 Azure AI Foundry delivers exceptional innovation to the market, owing to our industry\-leading Product Managers. We bring together all the ingredients for a successful product across Engineering, Research and Go To Market functions partnering as peers working towards a common goal. To thrive in this role, you will create clarity in ambiguity, lead and energize cross\-functional teams, and deliver powerful features with measurable outcomes. Grow your career by joining one of the fastest growing products in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Join the CoreAI Infrastructure team at Microsoft, where we accelerate the transition and scaling of Generative AI models. The CoreAI – Platform Infrastructure team builds and maintains the platform that powers the most demanding AI workloads at Microsoft. We focus on scalability for distributed computing systems, stability of the multi\-node GPU infrastructure and efficiency of the fleet to run inference and training workloads.
* Deliver a world\-class AI Infrastructure stack that will host AI Foundry Services.
* Accountable for the platform roadmap for platform to scale AI workloads from research to production
* Own a product area and be responsible for understanding developer needs and behaviors, defining product requirements, managing end\-to\-end product development, launches and iterations.
* Find a path to get things done despite roadblocks to get your work into the hands of customers quickly and iteratively.
* Enjoy working in a fast\-paced, customer\-first, product development cycle.
* Translate business goals into strategy, user experience and technical requirements in close collaboration with UX, Data Science, Engineering, AI research, and Product Marketing teams.
* Define goals and performance indicators, set up and oversee experiments, measure success with data and research.
* Collaborate effectively and communicate clearly with cross\-functional teams, including product managers, designers, and other engineers, to build exceptional consumer\-grade applications.
* Embody our culture and values
**Qualifications**
**Required Qualifications:**
* Bachelor's Degree AND 8\+ years experience in product management or related fields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experience designing and shipping complex products for developers, ML professionals, or similar
* 3\+ years of experience with distributed platform ecosystem (multi\-tenant / real\-time processing, batch computing etc.)
* Proven experience in product management/technical program management, preferably in AI infrastructure or cloud services.
* Experience with and a deep understanding of GPUs, VM, OS and cloud infrastructure fundamentals.
* Ability to navigate ambiguity and drive clarity across complex, cross\-functional initiatives.
* Experience creating solutions using Azure, AWS, or Google Cloud
* Experience writing Python, particularly for machine learning
* Experience with ML platforms
* Effective at driving complex multi\-stakeholder processes and cross\-team programs
* Ability to build effective relationships, influence and collaborate at all organizational levels
* Excellent verbal and written communications skills for a global audience
* Excellent stakeholder management skills.
* Excellent business acumen, analytical and detail oriented
 \#coreai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8">
      <c r="A58" t="inlineStr">
        <is>
          <t>li-4323438515</t>
        </is>
      </c>
      <c r="B58" t="inlineStr">
        <is>
          <t>Senior Product Manager, Bookings</t>
        </is>
      </c>
      <c r="C58" t="inlineStr">
        <is>
          <t>Zocdoc</t>
        </is>
      </c>
      <c r="D58" t="inlineStr">
        <is>
          <t>linkedin</t>
        </is>
      </c>
      <c r="E58" t="inlineStr"/>
      <c r="F58" t="inlineStr"/>
      <c r="G58" t="inlineStr">
        <is>
          <t>New York, NY</t>
        </is>
      </c>
      <c r="H58" t="inlineStr"/>
      <c r="I5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At Zocdoc, we’re building the best experience for millions of patients to find and book care with ease. As a Senior Product Manager on the Growth team, you’ll play a key role in accelerating Zocdoc’s mission to give power to the patient. You’ll drive how patients discover Zocdoc through the channels that matter most and turn those moments of intent into meaningful healthcare action.
 This is a high\-impact role focused on scaling user acquisition, optimizing conversion, and unlocking new growth levers across the marketplace. You’ll partner closely with Engineering, Marketing, and Design to build and iterate on experiences that connect more patients to care.
**You’ll enjoy this role if you are…**
* Motivated by building scalable, high\-performance booking engines that deliver measurable impact
* Fluent in both product thinking and marketplace dynamics, and thrive at the intersection of growth and product strategy
* Excited by testing, learning, and iterating quickly to drive results
* Equally comfortable partnering with engineers and marketers to drive outcomes
* A pragmatic problem\-solver who thrives in ambiguity and moves fast with clarity
* Serious about your work, but not about yourself
**Your day to day is…**
* Running an experiment to optimize our booking funnel
* Syncing with business development to work on our syndication roadmap
* Scoping an integration with a third\-party partner to power off\-platform bookings
* Reviewing booking flow performance and brainstorming how to reduce drop\-off
* Writing a product brief for launching a new booking API for our external users
* Collaborating with design to optimize our app funnel UX
**You’ll be successful in this role if you have…**
* A track record of shipping impactful, user\-centric booking or checkout features that drive measurable business outcomes
* Experience with marketplace dynamics and the levers that drive both sides of the ecosystem
* Comfort managing technical tradeoffs and collaborating closely with engineers
* Passion for performance\-driven UX and scalable product infrastructure
* Strong analytical skills and the ability to turn data into clear product priorities and decisions
**Benefits**
* Flexible, hybrid work environment at our convenient Soho location
* Unlimited vacation
* 100% paid employee health benefit options (including medical, dental, and vision)
* Commuter benefits
* 401(k) with employer\-funded match
* Corporate wellness programs with Wellhub
* Sabbatical leave (for employees with 5\+ years of service)
* Competitive paid parental leave and fertility/family planning reimbursement
* Cell phone reimbursement
* Catered lunch every day along with beverages and snacks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$160,000—$215,000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59">
      <c r="A59" t="inlineStr">
        <is>
          <t>li-4341847686</t>
        </is>
      </c>
      <c r="B59" t="inlineStr">
        <is>
          <t>Principal Product Manager</t>
        </is>
      </c>
      <c r="C59" t="inlineStr">
        <is>
          <t>Circle</t>
        </is>
      </c>
      <c r="D59" t="inlineStr">
        <is>
          <t>linkedin</t>
        </is>
      </c>
      <c r="E59" t="inlineStr"/>
      <c r="F59" t="inlineStr"/>
      <c r="G59" t="inlineStr"/>
      <c r="H59" t="inlineStr"/>
      <c r="I59"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As a Principal Product Manager at Circle, you will own the strategy and execution of our risk platform, ensuring it scales to support new products, markets, and global regulatory requirements. You will act as a cross\-functional leader, partnering with compliance, legal, engineering, data science, and business stakeholders to align priorities and deliver resilient infrastructure that supports both crypto and traditional financial rails. By combining product vision, technical fluency, and deep compliance expertise, you will enable Circle to manage risk with precision, meet evolving regulatory expectations, and uphold the highest standards of trust and safety.
****What you’ll work on****
* Design and scale a modular, extensible risk platform that supports crypto\- and traditional financial rails, as well as risk\-related use cases across onboarding, account linking, and other customer lifecycle events — with a focus on building a user\-friendly rules engine and intuitive tooling for risk operators.
* Define and implement observability strategies to ensure risk platform integrity, including monitoring performance, validating critical flows, and surfacing key risk indicators to inform prioritization and executive decision\-making.
* Evolve Circle’s travel rule platform to ensure jurisdictional coverage, interoperability, and seamless integration with internal systems and partner networks.
* Leverage AI/ML to automate risk decisioning and operational processes; lead feature/context engineering, model development, evaluation/monitoring frameworks.
* Maintain clear, comprehensive documentation of platform design, functionality, and dependencies to ensure internal transparency and audit readiness.
* Translate regulatory requirements and business needs into clear product requirements, insights, and user stories for engineering execution.
* Represent the risk platform in senior leadership and regulatory forums, aligning cross\-functional strategy and demonstrating how Circle’s infrastructure meets evolving compliance obligations at scale.
****What you’ll bring to Circle****
****Core Requirements****
* 10\+ years of product management experience building risk, compliance, or trust \&amp; safety platforms in fintech, crypto, or financial services.
* Deep expertise in fraud, AML, sanctions screening, and onboarding compliance (e.g., KYC/KYB), with hands\-on experience crafting risk rules based on real\-world typologies.
* Track record of translating regulatory requirements into scalable, policy\-driven platform capabilities that support both real\-time and asynchronous risk decisioning across crypto and fiat rails.
* Experience leading modular platform design, including refactoring monolithic services into scalable, service\-oriented architectures.
* Skilled in collaborating with engineering, data science, and operations teams to ship complex infrastructure products; able to influence senior stakeholders and drive alignment across functions.
* Highly analytical and data\-driven, with experience applying ML, risk signals, and scoring models to improve detection, decisioning, and operational efficiency.
* Strong technical fluency, including working knowledge of APIs, event\-driven architectures like SNS/SQS or equivalent, SQL, GitHub or equivalent.
******Preferred Requirements******
* Background in RegTech, banking, or scaled fintech, with direct exposure to complex regulatory environments.
* Expertise in blockchain technologies and crypto compliance, including chain types, on\-chain travel rule requirements, blockchain monitoring, and evolving crypto regulations.
* Experience with rapid prototyping using AI tools to accelerate product exploration, workflow automation, or internal tooling development.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60">
      <c r="A60" t="inlineStr">
        <is>
          <t>li-4363999451</t>
        </is>
      </c>
      <c r="B60" t="inlineStr">
        <is>
          <t>Technical Product Owner/ Engineer</t>
        </is>
      </c>
      <c r="C60" t="inlineStr">
        <is>
          <t>Guardian Life</t>
        </is>
      </c>
      <c r="D60" t="inlineStr">
        <is>
          <t>linkedin</t>
        </is>
      </c>
      <c r="E60" t="inlineStr"/>
      <c r="F60" t="inlineStr"/>
      <c r="G60" t="inlineStr">
        <is>
          <t>Holmdel, NJ</t>
        </is>
      </c>
      <c r="H60" t="inlineStr"/>
      <c r="I60"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 Lead the efforts of development team(s) consisting of resources spread across multiple time zones and countries. Work with offshore counterparts to coordinate completion of all team assignments, ensuring deadlines and milestones are met.
* Work with the development team(s) to ensure consistent software architecture and coding practices are used in all applications. Look for opportunities to create shared code modules to use across applications.
* Take a leadership and mentoring role when working with less experienced staff, always raising the bar of technical expertise within the organization.
* Inform project stakeholders on progress and potential problems that jeopardize deadlines and milestones. Make recommendations and modifications; remove obstacles.
* Help define roles and responsibilities within the development team. Be agile and flexible, shifting resources to align with changing priorities.
* As a Technical Product Owner/Engineer in a Product Operating Model:
+ Partner closely with the Product Manager to shape and execute the product vision, roadmap, and prioritization based on customer and business value.
+ Co\-own backlog refinement by defining, writing, and prioritizing technical stories, spikes, and enablers; write clear Jira stories with acceptance criteria that reflect functional and technical needs.
+ Align technical solutions with product strategy, long\-term architecture, and non\-functional requirements (security, performance, scalability, reliability).
+ Drive an outcome\-focused delivery approach using measurable objectives (e.g., OKRs) and product health metrics (e.g., reliability, cycle time, defect trends).
* Work with Business Product Owners and Agile Coaches on feasibility analysis, cost, and resource projections; facilitate architects and teams to generate technical design plans; ensure product specifications and quality standards are met.
* Operate across the full product lifecycle (build → release → run → improve):
+ Collaborate with Production Support and Product teams to ensure seamless transition of features into production, maintain comprehensive documentation, and provide support for critical incidents as part of the product lifecycle.
+ Establish and monitor product SLIs/SLOs, error budgets, and observability practices; use telemetry and customer feedback to inform prioritization and continuous improvement.
* Work with architects to determine the best technical solutions and applications for overall use in company products. Provide technical consultation to executive staff in determining competitive strategies.
* Lead implementation efforts for new applications and code updates. Work with enterprise and shared service teams on infrastructure setup, review board approvals, and deployment coordination.
* Stay abreast of new technology trends and advantages. Make recommendations for the direction of new and existing products. Define application roadmaps, including a strategy for minimizing technical debt and advancing modernization.
* Review and approve coding and documentation, user manuals, testing documentation, and procedures for existing and future applications.
* Ensure compliance with security, privacy, legal, infrastructure, and administrative/corporate processes and policies.
*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61">
      <c r="A61" t="inlineStr">
        <is>
          <t>li-4318355740</t>
        </is>
      </c>
      <c r="B61" t="inlineStr">
        <is>
          <t>Distribution and Marketing Data Product Manager</t>
        </is>
      </c>
      <c r="C61" t="inlineStr">
        <is>
          <t>Beazley</t>
        </is>
      </c>
      <c r="D61" t="inlineStr">
        <is>
          <t>linkedin</t>
        </is>
      </c>
      <c r="E61" t="inlineStr"/>
      <c r="F61" t="inlineStr"/>
      <c r="G61" t="inlineStr">
        <is>
          <t>Atlanta, GA</t>
        </is>
      </c>
      <c r="H61" t="inlineStr"/>
      <c r="I61"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Proven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
 We are an equal opportunities employer and as such, we will make reasonable adjustments to our selection process for candidates that indicate that, owing to disability, our arrangements might otherwise disadvantage them. If you have a disability, including dyslexia or other non\-visible ones, which you believe may affect your performance in selection, please advise us in good time and we’ll make reasonable adjustments to our processes for you.</t>
        </is>
      </c>
    </row>
    <row r="62">
      <c r="A62" t="inlineStr">
        <is>
          <t>li-4382397394</t>
        </is>
      </c>
      <c r="B62" t="inlineStr">
        <is>
          <t>Director, Digital Product Manager, Clinical Execution</t>
        </is>
      </c>
      <c r="C62" t="inlineStr">
        <is>
          <t>Thermo Fisher Scientific</t>
        </is>
      </c>
      <c r="D62" t="inlineStr">
        <is>
          <t>linkedin</t>
        </is>
      </c>
      <c r="E62" t="inlineStr"/>
      <c r="F62" t="inlineStr"/>
      <c r="G62" t="inlineStr">
        <is>
          <t>Juneau, AK</t>
        </is>
      </c>
      <c r="H62" t="inlineStr"/>
      <c r="I62" t="inlineStr">
        <is>
          <t>**Work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Thermo Fisher Scientific is an EEO/Affirmative Action Employer and does not discriminate on the basis of race, color, religion, sex, sexual orientation, gender identity, national origin, protected veteran status, disability or any other legally protected status.</t>
        </is>
      </c>
    </row>
    <row r="63">
      <c r="A63" t="inlineStr">
        <is>
          <t>li-4382383981</t>
        </is>
      </c>
      <c r="B63" t="inlineStr">
        <is>
          <t>Director, Digital Product Manager, Clinical Execution</t>
        </is>
      </c>
      <c r="C63" t="inlineStr">
        <is>
          <t>Thermo Fisher Scientific</t>
        </is>
      </c>
      <c r="D63" t="inlineStr">
        <is>
          <t>linkedin</t>
        </is>
      </c>
      <c r="E63" t="inlineStr"/>
      <c r="F63" t="inlineStr"/>
      <c r="G63" t="inlineStr">
        <is>
          <t>Greenville, NC</t>
        </is>
      </c>
      <c r="H63" t="inlineStr"/>
      <c r="I63" t="inlineStr">
        <is>
          <t>**Work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Thermo Fisher Scientific is an EEO/Affirmative Action Employer and does not discriminate on the basis of race, color, religion, sex, sexual orientation, gender identity, national origin, protected veteran status, disability or any other legally protected status.</t>
        </is>
      </c>
    </row>
    <row r="64">
      <c r="A64" t="inlineStr">
        <is>
          <t>li-4343500156</t>
        </is>
      </c>
      <c r="B64" t="inlineStr">
        <is>
          <t>Sr. Product Manager - Kernels, AI/ML, Annapurna Labs</t>
        </is>
      </c>
      <c r="C64" t="inlineStr">
        <is>
          <t>Amazon Web Services (AWS)</t>
        </is>
      </c>
      <c r="D64" t="inlineStr">
        <is>
          <t>linkedin</t>
        </is>
      </c>
      <c r="E64" t="inlineStr"/>
      <c r="F64" t="inlineStr"/>
      <c r="G64" t="inlineStr">
        <is>
          <t>Cupertino, CA</t>
        </is>
      </c>
      <c r="H64" t="inlineStr"/>
      <c r="I64" t="inlineStr">
        <is>
          <t>**Description**
 AWS Neuron is looking for an experienced Technical Product Manager to define and drive product strategy for the Neuron Kernel Interface (NKI), a compiler library enabling custom kernel development and optimization. You will be part of the AWS Neuron Product Management team, driving innovation in machine learning acceleration software. AWS Neuron is the software stack for Trainium and Inferentia, the AWS Machine Learning chips, delivering best\-in\-class ML performance in the cloud. You will lead NKI requirements working backward from customer needs, drive kernel library features definition, and drive developer experience for custom kernel development, enabling customers to successfully and independently develop and optimize ML workloads on AWS Neuron through deep understanding of compiler systems, kernel optimization, and hardware acceleration.
 The ideal candidate will have solid understanding of compiler technologies, computer architecture, and ML systems. They should be able to assess technical implications of compiler architecture decisions, understand customer needs, and drive developer experience strategy. Experience with ML frameworks, model architectures, and distributed computing is highly valuable.
**Additionally, The Ideal Candidate Should Have**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Demonstrated success in representing customer needs and driving alignment during executive\-level prioritization
* Track record of delivering results in fast\-paced, ambiguous environments, particularly in early\-stage programs
* Experience with modern software development and collaborative open\-source projects
**About AWS Neuron**
 AWS Neuron is the software of Trainium and Inferentia, the AWS Machine Learning chips. Inferentia delivers best\-in\-class ML inference performance at the lowest cost in the cloud to our AWS customers. Trainium is designed to deliver the best\-in\-class ML training performance at the lowest training cost in the cloud, and it’s all being enabled by AWS Neuron. Neuron is a Software that include ML compiler and native integration into popular ML frameworks. Our products are being used at scale with external customers like Anthropic and Databricks as well as internal customers like Alexa, Amazon Bedrocks, Amazon Robotics, Amazon Ads, Amazon Rekognition and many more.
 Key job responsibilities
**In This Role, You Will**
* Drive and execute product strategy and roadmap working backwards from customer requirements in collaboration with engineering technical leadership
* Assess technical implications of product architecture and optimization decisions
* Drive technical alignment across Neuron components, Neuron workflows and dependencies
* Work directly with software engineering teams to define and execute on new features
* Produce clear and concise documents such as PRFAQ and PRD documents
* Write user stories, and validate features meet developer needs
* Drive feature discussions with customers, engineering, and other stakeholders
* Anticipate bottlenecks, manage risk and escalations, balancing technical constraints
* Find opportunities to innovate on behalf of our customers, design features related to these opportunities, and always push to improve our product developer experience
* Build ecosystem partnerships and stay connected with industry trends
* Represent the product in relevant industry events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**About Amazon Annapurna Labs**
 Amazon Annapurna Labs team (our organization within AWS UC) is responsible for building innovation in silicon and software for our AWS customers. We are at the forefront of innovation by combining cloud scale with the world’s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
**About AWS Utility Computing (UC)**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A3141385</t>
        </is>
      </c>
    </row>
    <row r="65">
      <c r="A65" t="inlineStr">
        <is>
          <t>li-4372069962</t>
        </is>
      </c>
      <c r="B65" t="inlineStr">
        <is>
          <t>Content Security Technical Program Manager</t>
        </is>
      </c>
      <c r="C65" t="inlineStr">
        <is>
          <t>The Walt Disney Company</t>
        </is>
      </c>
      <c r="D65" t="inlineStr">
        <is>
          <t>linkedin</t>
        </is>
      </c>
      <c r="E65" t="inlineStr"/>
      <c r="F65" t="inlineStr"/>
      <c r="G65" t="inlineStr">
        <is>
          <t>Glendale, CA</t>
        </is>
      </c>
      <c r="H65" t="inlineStr"/>
      <c r="I65" t="inlineStr">
        <is>
          <t>**CONTENT SECURITY TECHNICAL PROGRAM MANAGER**
**Job Summary**
 The Walt Disney Studios Content Security organization is chartered with the securing and protection of all creative content throughout the production lifecycle. We do this by relying on deep technical expertise, strong and authentic partnerships and leveraging knowledge and best practices of the world of cybersecurity, technology and production. The Content Security organization is a part of the broader Studio Technology organization, reporting into the Studio’s Chief Technology Officer (CTO).
 The Content Security Program Manager reports into the Director of Content Security Engineering and is a Monday to Thursday in the office in\-person role based in Glendale, CA. Fridays are remote.
 This technical program manager will partner directly with assessment and engineering teams responsible for secure design and integration across cloud platforms, application tools, and AI technologies. You will drive cross\-functional programs that enable secure collaboration, ensuring that security principles are embedded throughout the creative and technical pipeline. This role requires strong project and program management skills with technical acumen, and the ability to translate complex requirements into actionable plans.
**Key Responsibilities**
* Program Leadership: Develop and coordinate a strong program with consideration of the needs of stakeholders and the capabilities and resource availability of the team.
* Technical Partnership: Serve as a liaison, guiding partners through the process of having our subject matter experts advise on secure design, architectural reviews, and technical assessments for custom and vendor\-supplied tools.
* Cross\-Functional Collaboration: Build strong relationships within Content Security, across Studio Technology, and business stakeholders to align security initiatives with studio goals and creative workflows.
* Process Optimization: Drive continuous improvement, identifying bottlenecks in security workflows, and automating common use cases.
* Assessment \&amp; Metrics: Develop and maintain dashboards with KPIs to monitor program effectiveness, stakeholder response, and operational metrics. Present program health reports and actionable insights to leadership.
* Emerging Technology: Stay ahead of trends in AI, cloud security, and content pipeline tooling
* Problem Solving: Lead solutioning for challenges, eliminate roadblocks, and ensure timely delivery of security initiatives.
**Basic Qualifications**
* Bachelor's degree in related field or equivalent years of experience
* 5\+ years of experience in technical program management
* Technical knowledge of cybersecurity and cloud environments (AWS, GCP, Azure)
* Proven success leading cross\-functional programs and interfacing with engineering teams to implement and optimize security tools.
* Excellent communication skills, with experience presenting technical concepts to executive audiences.
**Preferred Qualifications**
* Entertainment/media industry experience preferred
* PMP or equivalent security certifications preferred
* Experience with technical tools such as Smartsheet, Tableau, Power BI, and common media production platforms (Adobe, Davinci, Aspera etc..).
 The hiring range for this position in Glendale, CA, is $134,000 to $149,000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66">
      <c r="A66" t="inlineStr">
        <is>
          <t>li-4365511106</t>
        </is>
      </c>
      <c r="B66" t="inlineStr">
        <is>
          <t>Program Manager, Record Label Licensing , Record Label Licensing</t>
        </is>
      </c>
      <c r="C66" t="inlineStr">
        <is>
          <t>Amazon Music</t>
        </is>
      </c>
      <c r="D66" t="inlineStr">
        <is>
          <t>linkedin</t>
        </is>
      </c>
      <c r="E66" t="inlineStr"/>
      <c r="F66" t="inlineStr"/>
      <c r="G66" t="inlineStr">
        <is>
          <t>Brooklyn, NY</t>
        </is>
      </c>
      <c r="H66" t="inlineStr"/>
      <c r="I66" t="inlineStr">
        <is>
          <t>**Description**
 Amazon Music is an immersive audio entertainment service that connects fans, artists, and creators through music, podcasts, and culture. Amazon Music brings fans closer to what they love, with curated and personalized playlists, artist livestreams, artist merch, and Amazon Exclusive podcasts. Prime members get access to over 100 million songs in shuffle mode, All\-Access playlists, plus the largest catalog of top ad\-free podcasts, included with their membership. Customers can upgrade to Amazon Music Unlimited for full, on\-demand access to 100 million songs in HD and a growing catalog of Ultra HD and Spatial audio. Anyone can listen to Amazon Music by downloading the free Amazon Music app, or wherever they listen to music including Alexa\-enabled devices. Learn more at https://www.amazon.com/music.
 As a Program Manager overseeing record label and strategic partnership licensing operations, you will play a pivotal role in orchestrating complex, cross\-functional programs that are critical to Amazon's digital music licensing accuracy and efficiencies. This challenging position requires a unique blend of strategic thinking, operational expertise, and interpersonal finesse. You will be the cornerstone connecting various teams, vendors and labels, ensuring seamless rights management and reporting, efficient licensing process implementation, and strong label relationships. Your ability to navigate ambiguity, drive data\-informed decisions, and influence diverse stakeholders will be crucial in optimizing our operational performance. This role offers an exciting opportunity to make a significant impact on Amazon's music licensing success, requiring you to balance tactical execution with strategic vision while adapting to the ever\-evolving landscape of digital music rights.
 Key job responsibilities
* Own and manage cross\-functional programs across rights management, licensing team support and provider service programs, driving execution from inception to completion.
* Define program strategy, set objectives, and establish clear measurable success criteria. Drive timely decisions and delivery to meet deadlines and program goals.
* Serve as the key point of contact between the Record Label Licensing team and partner teams (e.g., Catalog, Royalties, Legal). Build and manage productive relationships with stakeholders at all levels.
* Be the expert on Amazon organizational and AI tools to identify opportunities and drive improvements in licensing efficiency and operational performance.
* Collaborate with tech teams or stakeholder project managers to influence roadmaps, make recommendations on system/feature improvements, and drive prioritization of technical requirements.
* Negotiate effectively with stakeholders on operational expectations, resource allocation, best practices, and compliance issues to meet business objectives.
* Manage and apply operational tactics to remove roadblocks, handle exceptions, and improve efficiencies across the record label licensing team’s outputs.
* Drive and manage the implementation of new initiatives related to territory expansion, new label on/off\-boardings, strategic partnership processes, new terms reporting and handovers, label relations collaborations, product launches, and business models.
**Basic Qualifications**
* 3\+ years of program or project management experience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Brooklyn \- 81,600\.00 \- 142,800\.00 USD annually
**Company** 
 \- Amazon.com Services LLC
 Job ID: A3165412</t>
        </is>
      </c>
    </row>
    <row r="67">
      <c r="A67" t="inlineStr">
        <is>
          <t>li-4343278948</t>
        </is>
      </c>
      <c r="B67" t="inlineStr">
        <is>
          <t>Sr. Product Manager - Kernels, AI/ML, Annapurna Labs</t>
        </is>
      </c>
      <c r="C67" t="inlineStr">
        <is>
          <t>Amazon Web Services (AWS)</t>
        </is>
      </c>
      <c r="D67" t="inlineStr">
        <is>
          <t>linkedin</t>
        </is>
      </c>
      <c r="E67" t="inlineStr"/>
      <c r="F67" t="inlineStr"/>
      <c r="G67" t="inlineStr">
        <is>
          <t>Seattle, WA</t>
        </is>
      </c>
      <c r="H67" t="inlineStr"/>
      <c r="I67" t="inlineStr">
        <is>
          <t>**Description**
 AWS Neuron is looking for an experienced Technical Product Manager to define and drive product strategy for the Neuron Kernel Interface (NKI), a compiler library enabling custom kernel development and optimization. You will be part of the AWS Neuron Product Management team, driving innovation in machine learning acceleration software. AWS Neuron is the software stack for Trainium and Inferentia, the AWS Machine Learning chips, delivering best\-in\-class ML performance in the cloud. You will lead NKI requirements working backward from customer needs, drive kernel library features definition, and drive developer experience for custom kernel development, enabling customers to successfully and independently develop and optimize ML workloads on AWS Neuron through deep understanding of compiler systems, kernel optimization, and hardware acceleration.
 The ideal candidate will have solid understanding of compiler technologies, computer architecture, and ML systems. They should be able to assess technical implications of compiler architecture decisions, understand customer needs, and drive developer experience strategy. Experience with ML frameworks, model architectures, and distributed computing is highly valuable.
**Additionally, The Ideal Candidate Should Have**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Demonstrated success in representing customer needs and driving alignment during executive\-level prioritization
* Track record of delivering results in fast\-paced, ambiguous environments, particularly in early\-stage programs
* Experience with modern software development and collaborative open\-source projects
**About AWS Neuron**
 AWS Neuron is the software of Trainium and Inferentia, the AWS Machine Learning chips. Inferentia delivers best\-in\-class ML inference performance at the lowest cost in the cloud to our AWS customers. Trainium is designed to deliver the best\-in\-class ML training performance at the lowest training cost in the cloud, and it’s all being enabled by AWS Neuron. Neuron is a Software that include ML compiler and native integration into popular ML frameworks. Our products are being used at scale with external customers like Anthropic and Databricks as well as internal customers like Alexa, Amazon Bedrocks, Amazon Robotics, Amazon Ads, Amazon Rekognition and many more.
 Key job responsibilities
**In This Role, You Will**
* Drive and execute product strategy and roadmap working backwards from customer requirements in collaboration with engineering technical leadership
* Assess technical implications of product architecture and optimization decisions
* Drive technical alignment across Neuron components, Neuron workflows and dependencies
* Work directly with software engineering teams to define and execute on new features
* Produce clear and concise documents such as PRFAQ and PRD documents
* Write user stories, and validate features meet developer needs
* Drive feature discussions with customers, engineering, and other stakeholders
* Anticipate bottlenecks, manage risk and escalations, balancing technical constraints
* Find opportunities to innovate on behalf of our customers, design features related to these opportunities, and always push to improve our product developer experience
* Build ecosystem partnerships and stay connected with industry trends
* Represent the product in relevant industry events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**About Amazon Annapurna Labs**
 Amazon Annapurna Labs team (our organization within AWS UC) is responsible for building innovation in silicon and software for our AWS customers. We are at the forefront of innovation by combining cloud scale with the world’s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
**About AWS Utility Computing (UC)**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A3141385</t>
        </is>
      </c>
    </row>
    <row r="68">
      <c r="A68" t="inlineStr">
        <is>
          <t>li-4372743252</t>
        </is>
      </c>
      <c r="B68" t="inlineStr">
        <is>
          <t>Senior Staff Technical Program Manager</t>
        </is>
      </c>
      <c r="C68" t="inlineStr">
        <is>
          <t>Intuit</t>
        </is>
      </c>
      <c r="D68" t="inlineStr">
        <is>
          <t>linkedin</t>
        </is>
      </c>
      <c r="E68" t="inlineStr"/>
      <c r="F68" t="inlineStr"/>
      <c r="G68" t="inlineStr">
        <is>
          <t>Mountain View, CA</t>
        </is>
      </c>
      <c r="H68" t="inlineStr"/>
      <c r="I68" t="inlineStr">
        <is>
          <t>**Overview**
 Come join Intuit’s Go\-To\-Market Technology (GTM Tech) Platform team as a Senior Staff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TPM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Intuit has embraced a hybrid working model with the expectation of working from our Mountain View office 3 days per week.
**Responsibilities**
* Lead with Influence: Drive strategic programs in partnership with VP\+ leaders, accelerating business outcomes and ensuring alignment with Intuit's overall strategy.
* Ready to take on more responsibility? You'll play a key role in shaping Intuit's overall strategy, leading initiatives with company\-wide impact, and influencing strategic direction at the highest levels.
* Champion Change: Foster a culture of collaboration and open communication, effectively navigating organizational change and driving continuous improvement.
* Are you a natural influencer? You'll lead transformational change across Intuit, influencing senior leadership and driving adoption of new strategies, technologies, and organizational structures.
* Deliver Exceptional Results: Develop and execute high\-quality program plans, utilizing data to track progress, mitigate risks, and communicate effectively with stakeholders.
**Qualifications**
* Proven Leadership: 12\+ years of experience building, leading and delivering complex, large\-scale technical programs within a matrixed organization.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Operating at Scale: Manage multiple programs effectively, demonstrating the ability to focus on or broaden out from details as required.
* Exceptional Communicator: Excellent communication and interpersonal skills, with the ability to influence at all levels in a matrix organization,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$193,500 \- $262,000 USD</t>
        </is>
      </c>
    </row>
    <row r="69">
      <c r="A69" t="inlineStr">
        <is>
          <t>li-4382390145</t>
        </is>
      </c>
      <c r="B69" t="inlineStr">
        <is>
          <t>Technical Program Manager - Customer Health &amp; Success Program</t>
        </is>
      </c>
      <c r="C69" t="inlineStr">
        <is>
          <t>Microsoft</t>
        </is>
      </c>
      <c r="D69" t="inlineStr">
        <is>
          <t>linkedin</t>
        </is>
      </c>
      <c r="E69" t="inlineStr"/>
      <c r="F69" t="inlineStr"/>
      <c r="G69" t="inlineStr">
        <is>
          <t>Redmond, WA</t>
        </is>
      </c>
      <c r="H69" t="inlineStr"/>
      <c r="I6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Success \&amp; Delivery (CSD) team creates compelling digital experiences by leveraging the full breadth of Microsoft technology and solutions to realize measurable business outcomes across Customer Success, Delivery, and Engineering teams.
 As a Senior
 **Technical Program Manager (TPM)** 
 focused on Success Programs and Customer Health, you will serve as a technical and data‑driven orchestrator for complex, cross‑functional initiatives. This role is not a traditional delivery PM position. Instead, it is a design‑ and feasibility‑first TPM role responsible for translating business intent into executable, data‑backed programs that can scale.
 You will work at the intersection of business strategy, data, and technology—ensuring that success programs are technically feasible, measurable, and aligned to real customer outcomes before execution begins.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Design \&amp; Feasibility Ownership:
* Own the technical and data feasibility of Success Programs and Customer Health initiatives prior to execution.
* Translate ambiguous business goals into clear technical, data, and reporting requirements.
* Act as a design‑phase gatekeeper, ensuring programs are viable, measurable, and scalable before approval.
**Data \&amp; Measurement Leadership**
* Partner with BI, data engineering, and analytics teams to define data sources, KPIs, and measurement strategies.
* Ensure success programs have clear baselines, outcome metrics, and adoption measures.
* Identify data limitations early and prevent teams from pursuing non‑feasible reporting or analytics paths.
**Cross‑Functional Orchestration**
* Orchestrate delivery across Customer Success, Engineering, Product, BI, and external partners.
* Drive alignment across teams without direct authority, ensuring shared accountability and execution readiness.
* Coordinate discovery, phased releases, deployment planning, and continuous improvement cycles.
**Technical Program Leadership**
* Serve as a trusted technical advisor to business and delivery leaders.
* Partner with engineering and platform teams to align program needs with product and platform roadmaps.
* Support agentic and AI‑enabled initiatives by ensuring technical rigor, governance, and measurement.
**Continuous Improvement \&amp; Change Enablement**
* Drive iterative improvement based on usage, adoption, and outcome signals.
* Contribute to lightweight change management, enablement, and feedback loops to support adoption at scale.
* Identify opportunities to standardize, simplify, and reuse program patterns across CSD.
**Other**
* Embody our culture and values
**Qualifications**
**Required/minimum qualifications**
* Bachelor's Degree AND 4\+ years experience in engineering, product/technical program management, data analysis, or product development OR equivalent experience.
* 2\+ years of experience managing cross\-functional and/or cross\-team projects.
**Additional Or Preferred Qualifications**
* Bachelor's Degree AND 8\+ years experience engineering, product/technical program management, data analysis, or product development OR equivalent experience.
* 6\+ years of experience managing cross\-functional and/or cross\-team projects.
* 1\+ year(s) of experience reading and/or writing code (e.g., sample documentation, product demos).
* Demonstrated ability to translate business objectives into technical and data requirements.
* Proficient communication and influence skills; comfortable operating without direct authority.
* Experience working with Microsoft data and platform technologies (e.g., Power Platform, Power BI, Dynamics 365, Microsoft Copilot Studio, Azure data services).
* Experience supporting Customer Success or Service delivery models, including adoption, enablement, or success measurement.
* Proven ability to operate effectively in high‑ambiguity environments and bring structure without over‑process.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0">
      <c r="A70" t="inlineStr">
        <is>
          <t>li-4382399280</t>
        </is>
      </c>
      <c r="B70" t="inlineStr">
        <is>
          <t>BMC2 Heart Failure Program Manager</t>
        </is>
      </c>
      <c r="C70" t="inlineStr">
        <is>
          <t>Michigan Medicine</t>
        </is>
      </c>
      <c r="D70" t="inlineStr">
        <is>
          <t>linkedin</t>
        </is>
      </c>
      <c r="E70" t="inlineStr"/>
      <c r="F70" t="inlineStr"/>
      <c r="G70" t="inlineStr">
        <is>
          <t>Ann Arbor, MI</t>
        </is>
      </c>
      <c r="H70" t="inlineStr"/>
      <c r="I70"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The BMC2 Heart Failure Program Manager will partner with the BMC2 Heart Failure Director to develop the Heart Failure registry, entitled BMC2\-HF. Support for BMC2 is provided by Blue Cross and Blue Shield of Michigan and Blue Care Network as part of the BCBSM Value Partnerships Program.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Lead colleagues and stakeholders to build, operationalize, and sustain the BMC2 Heart Failure registry.
* Contribute to strategic decision\-making in conjunction with the BMC2 Heart Failure Director and BMC2 Leadership.
* Build and nurture relationships with stakeholders, direct reports, payors, and diverse partners across the state by consistently demonstrating integrity in all interactions.
* Direct a portion of BMC2 Coordinating Center staff, including alignment of daily work with strategic priorities and monitoring program deliverables.
* Identify and build relationships with healthcare partners statewide to support registry expansion.
 Required Qualifications\*
* Masters degree in a recognized field of science or learning which is directly related to the duties of the position.
* Clinical experience, RN preferred.
* Previous experience managing 3\+ direct reports.
* Previous experience building \&amp; leading strategic initiatives or registries.
* Demonstrated growth mindset to actively seek opportunities to learn, adapt, and apply new skills and knowledge to enhance team and personal performance.
* Ability to thrive at an intersection of innovation, curiosity, and grit.
* Ability to analyze, compare and evaluate various courses of action to make independent decisions on matters of significance, free from immediate direction, within the scope of responsibilities.
* Ability to perform primary activities that affect business operations to a substantial degree with independent decision\-making authority.
* Demonstrated ability to communicate effectively across a large spectrum of stakeholders of varying levels and backgrounds.
* Demonstrated ability to manage daily operations while executing long\-term strategic planning goals.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71">
      <c r="A71" t="inlineStr">
        <is>
          <t>li-4362276892</t>
        </is>
      </c>
      <c r="B71" t="inlineStr">
        <is>
          <t>Technical Program Manager- Photonics</t>
        </is>
      </c>
      <c r="C71" t="inlineStr">
        <is>
          <t>Applied Materials</t>
        </is>
      </c>
      <c r="D71" t="inlineStr">
        <is>
          <t>linkedin</t>
        </is>
      </c>
      <c r="E71" t="inlineStr"/>
      <c r="F71" t="inlineStr"/>
      <c r="G71" t="inlineStr">
        <is>
          <t>Santa Clara, CA</t>
        </is>
      </c>
      <c r="H71" t="inlineStr"/>
      <c r="I71"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boundaries of materials science and engineering to create next generation technology, join us to deliver material innovation that changes the world.
**What We Offer**
 Salary:
 $140,000\.00 \- $192,500\.00
 Location:
 Santa Clara,CA
 You’ll benefit from a supportive work culture that encourages you to learn, develop, and grow your career as you take on challenges and drive innovative solutions for our customers. We empower our team to push the boundaries of what is possible—while learning every day in a supportive leading global company. Visit our Careers website to learn more.
 At Applied Materials, we care about the health and wellbeing of our employees. We’re committed to providing programs and support that encourage personal and professional growth and care for you at work, at home, or wherever you may go. Learn more about our benefits.
**Job Description**
 We are actively recruiting a Technical Program Manager for our Optical Interconnect program in the Photonics Platforms Business (PPB).
 PPB is a rapidly growing business within Applied Materials. We are harnessing the power of Applied Material’s world\-leading material science and nano\-fabrication capabilities to enable the next generation of Optical Interconnects for AI Data Centers. Experience in the Photonics domain is essential.
**Key Responsibilities**
* Prepares project plans and drives the project from conception and planning to implementation. Will participate in the development of strategies, processes and resources.
* Manages project schedule and task details by utilizing project management tools such as reports, tracking charts, checklist and project scheduling software.
* Coordinates allocated resources from within the Division to achieve on\-time and within budget performance objectives for the project. Initiates and manages purchase requisitions, and purchase orders.
* Drives cost schedule performance of Devices for internal and external customers and vendors worldwide.
* Participates on multifunctional design teams comprised of internal, external and/or matrixed headcount to complete projects. Provides technical input to team members to achieve project goals.
* Interfaces and coordinates within the division to define project objectives, provide status updates and prepare for release and deployment.
* Provides engineering and business process expertise to team and other members on various standard programs / issues.
* Identifies and resolves potential complications within the project and develops solutions for resolution.
* Organize the work of the team, make a master program plan, project plan for each project
* Make a master schedule of milestones, run PLC meetings.
* Drive cross\-functional teams to meet their milestones through the PLC meeting
* Participate in partner/ customer meetings to drive schedules
* force schedule discipline in the team
* ask the hard questions of the project and refine the cost schedule performance for the overall program
**Functional Knowledge**
* Demonstrates depth and/or breadth of expertise in own specialized discipline or field
**Business Expertise**
* Interprets internal/external business challenges and recommends best practices to improve products, processes or services
**Leadership**
* May lead functional teams or projects with moderate resource requirements, risk, and/or complexity
**Problem Solving**
* Leads others to solve complex problems; uses sophisticated analytical thought to exercise judgment and identify innovative solutions
**Impact**
* Impacts the achievement of customer, operational, project or service objectives; work is guided by functional policies
**Interpersonal Skills**
* Communicates difficult concepts and negotiates with others to adopt a different point of view
**Additional Information**
**Time Type:**
 Full time
**Employee Type:**
 Assignee / Regular
**Travel:**
 Yes, 10% of the Time
**Relocation Eligible:**
 Yes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 the Target Total Cash (TTC) range for the role, which is the sum of base salary and target bonus amount at 100% goal achievement.
 Applied Materials is an Equal Opportunity Employer. Qualified applicants will receive consideration for employment without regard to race, color, national origin, citizenship, ancestry, religion, creed, sex, sexual orientation, gender identity, age, disability, veteran or military status, or any other basis prohibited by law.
 In addition, Applied endeavors to make our careers site accessible to all users. If you would like to contact us regarding accessibility of our website or need assistance completing the application process, please contact us via e\-mail at Accommodations\_Program@amat.com, or by calling our HR Direct Help Line at 877\-612\-7547, option 1, and following the prompts to speak to an HR Advisor. This contact is for accommodation requests only and cannot be used to inquire about the status of applications.</t>
        </is>
      </c>
    </row>
    <row r="72">
      <c r="A72" t="inlineStr">
        <is>
          <t>li-4381360951</t>
        </is>
      </c>
      <c r="B72" t="inlineStr">
        <is>
          <t>ASSISTANT DIVISION CHIEF/PROGRAM MANAGER, DEPARTMENT OF MOTOR VEHICLES</t>
        </is>
      </c>
      <c r="C72" t="inlineStr">
        <is>
          <t>Caltrans District 3</t>
        </is>
      </c>
      <c r="D72" t="inlineStr">
        <is>
          <t>linkedin</t>
        </is>
      </c>
      <c r="E72" t="inlineStr"/>
      <c r="F72" t="inlineStr"/>
      <c r="G72" t="inlineStr">
        <is>
          <t>Sacramento, CA</t>
        </is>
      </c>
      <c r="H72" t="inlineStr"/>
      <c r="I72" t="inlineStr">
        <is>
          <t>Job Posting: Operations Manager
 Department of Motor Vehicles
 JC\-510338
 Operations Manager
 ASSISTANT DIVISION CHIEF/PROGRAM MANAGER, DEPARTMENT OF MOTOR VEHICLES
 $10,802\.00 \- $12,267\.00 per Month
 New to State candidates will be hired into the minimum salary of the classification or minimum of alternate range when applicable.
 Final Filing Date: 3/19/2026
****Application Methods:****
 Electronic (Using your CalCareer Account)
 By Mail
 Drop\-off
 Print Job
 Save Job
**Job Description And Duties**
 Applicants who previously applied in response to Job Posting JC\-480621 with the final filing date of 06/20/2025, must reapply to be considered for this recruitment.
 This position is located at the DMV Headquarters in Sacramento.
 Under the direction of the DSB Chief, the Program Manager serves as the section manager over Incoming and Outgoing Mail Operations, Printing Services, the Digital Imaging and Review Units, and the Sierra Point Warehouse. The Program Manager is responsible for overseeing the activities of employees responsible for mailing the department's products to customers, routing incoming correspondence, fulfilling supply orders, printing forms and documents, and capturing digital images of hard copy documents.
 All eligible applicants may apply. A training and development assignment may be considered. SROA/Surplus candidates are encouraged to apply.
 The position(s) being advertised may be subject to allocation approval by the Human Resources Branch. Fingerprint/Criminal Record Clearance is required before hire. The Salary Range shown is the minimum and maximum for a full\-time appointment. Moving and relocation expenses will not be reimbursed for this position.
 To be considered for this job vacancy, applicants must indicate the Job Control/Code (JC) number and position number(s) in the "EXAMINATION(S) OR JOB TITLE(S) FOR WHICH YOU ARE APPLYING" box of the Examination/Employment Application (STD. 678\), and submit all items listed under Required Application Documents below by the Final Filing Date. Employment history information must be submitted on the Examination/Employment Application (STD. 678\); attaching a resume shall not be sufficient for the purposes of providing employment history. Failure to indicate required information on the STD. 678 or submit all items by the Final Filing Date may result in elimination from the recruitment process.
 You will find additional information about the job in the
 **Duty Statement** 
 .
**Minimum Requirements**
 You will find the Minimum Requirements in the Class Specification.
* ASSISTANT DIVISION CHIEF/PROGRAM MANAGER, DEPARTMENT OF MOTOR VEHICLES
 Additional Documents
* Job Application Package Checklist
* Duty Statement
 Position Details
**Job Code \#:**
 JC\-510338
**Position \#(s):**
 525\-244\-4621\-001
****Working Title:****
**Operations Manager**
****Classification:****
 ASSISTANT DIVISION CHIEF/PROGRAM MANAGER, DEPARTMENT OF MOTOR VEHICLES
 $10,802\.00 \- $12,267\.00
 New to State candidates will be hired into the minimum salary of the classification or minimum of alternate range when applicable.
**\# of Positions:**
 1
**Work Location:**
 Sacramento County
****Telework:****
 In Office
****Job Type:****
 Permanent, Full Time
****Work Shift:****
 8:00 a.m. to 5:00 p.m.
****Work Week:****
 Monday through Friday
 Department Information
 The Department of Motor Vehicles (DMV) is a recognized leader in public service and has existed for over 100 years. The DMV is responsible for registering approximately 36 million vehicles in California, and serving 30 million driver license and identification card holders, collecting over $11 billion in annual revenue. The DMV also maintains and oversees many other functions. The DMV provides quality licensing and motor vehicle\-related services in its field offices located throughout California and online at www.dmv.ca.gov.
 Special Requirements
* The position(s) require(s) a Background Investigation be cleared prior to being hired.
 Applicants
 **must** 
 be eligible for appointment (e.g., must take and pass examination); see Who May Apply section below for more information. Additionally, applicants must have authorization to work in the United States. Please note that we are unable to provide visa sponsorship at this time.
 Using the online application system as specified in this announcement is the preferred method of applying for civil service job opportunities; however, applicants may instead apply by way of U.S. mail, parcel delivery or courier service, or in person, as set forth in this announcement. Advertisement may be used for subsequent vacancies within 180 days.
 Do NOT include ANY confidential information on any documents you submit for a job vacancy, such as your Examination/Employment Application (STD. 678\), resume, or educational transcripts. Confidential information that should be excluded or removed from these documents includes, but is not limited to, your Social Security number (SSN), birthdate, student identification number, driver license number (unless required), photograph, basis of eligibility, examination results, Limited Examination and Appointment Program (LEAP) status, gender, marital status, ethnicity, and age. Confidential information on STD. 678s submitted electronically online, such as SSN, will automatically be redacted upon submission.
 Possession of the Minimum Qualifications will be verified prior to interview and/or appointment. If it is determined that you do not meet the Minimum Qualifications, your name will be removed or withheld from the eligibility list, rendering your eligibility as inactive and ineligible to be hired for the position. Candidates whose names have been withheld from an eligibility list may file an appeal with the State Personnel Board.
**If you are using education to meet the minimum qualifications, please include a copy of your unofficial transcripts for verification. Foreign transcripts must be accompanied by an academic credential evaluation. Below is the link to a list of approved agencies.**
* Foreign Transcript Evaluation (CL\-635\)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3/19/2026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Individuals who are eligible for a Training and Development assignment may also be considered for this position(s).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Motor Vehicles
 DMV \- ASD \- HRB \- Talent Acquisition
 Attn: JC\-510338
 2415 First Avenue, MS E678
 Sacramento, CA 95818
 Address for Drop\-Off Application Packages
 You may drop off your application and any applicable or required documents at:
 Department of Motor Vehicles
 DMV \- ASD \- HRB \- Talent Acquisition
 JC\-510338
 2415 First Avenue, MS E678
 Sacramento, CA 95818
 Place in the “MS E678 Drop Box” located at the 1st Floor Lobby.
 09:00 AM \- 04:00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 Other \- A written response to the item(s) listed in the Written Response section below, no more than 2 page(s) in length with no less than Arial 12\-point font and 1\-inch margins, submitted as a separate document. A Resume does not take the place of a written response.
 Written responses may be similar in format to a Statement of Qualifications. Be sure to follow all instructions closely. For helpful tips on crafting a strong SOQ, view CalHR’s video at https://www.youtube.com/watch?v\=NA\-mGmyx1TY.
**Candidates Are Advised To:**
* use simple formatting (avoid justified text, large text boxes, or custom bullets),
* use standard fonts like Arial or Times New Roman,
* left\-align the text,
* save the written response as a PDF document, and “flatten” it before uploading by printing to PDF or using the “Save as PDF” feature, and
* submit or upload the written response PDF document as part of the application package.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The Department of Motor Vehicles and the State of California offer many benefits to its employees. These include health, vision, and dental benefits; retirement plans (CalPERS); savings plans (401K and 457b); leave benefits; insurance (such as group legal insurance and group long term disability insurance); and employee assistance program. Benefits may be based on the job classification, bargaining unit, tenure, time base, and length of appointment. Click on each web link below for more information.
* Benefits summary \- https://www.calhr.ca.gov/Pages/California\-State\-Civil\-Service\-Employee\-Benefits\-Summary.aspx
* Benefits afforded by membership in the California Public Employees Retirement System \- https://www.calhr.ca.gov/Pages/California\-State\-Civil\-Service\-Employee\-Benefits\-Summary.aspx (click on "CalPERS")
* Benefits and protections provided to public employees by the State Civil Service \- https://www.calhr.ca.gov/Training/Pages/performance\-management\-merit\-system\-principles.aspx
* Job descriptions and pay scales \- https://www.calhr.ca.gov/employees/Pages/salary\-and\-benefits.aspx
 Contact Information
 The Hiring Unit Contact is available to answer questions regarding the position or application process.
**Hiring Unit Contact:**
 Andrew Gonzalez
 (925\) 628\-7150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Office of Civil Rights and Resolution
 (916\) 657\-7553
 California Relay Service: 1\-800\-735\-2929 (TTY), 1\-800\-735\-2922 (Voice) TTY is a Telecommunications Device for the Deaf, and is reachable only from phones equipped with a TTY Device.
 Job Application Package Checklist
 Contrary to the "How To Apply" and "Alternate Application Process" sections of this job posting, the Job Application Package Checklist is not required. However, applicants must submit all Required Application Documents identified under the "Application Instructions" section by the final filing date.
 Written Response
* Describe your knowledge of and experience in monitoring, developing, and implementing employee development plans; your demonstrated ability to address substandard performance; and staffing through subordinate managers.
* Describe your knowledge of and experience implementing change in an organization.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73">
      <c r="A73" t="inlineStr">
        <is>
          <t>li-4372787298</t>
        </is>
      </c>
      <c r="B73" t="inlineStr">
        <is>
          <t>Program Manager, Card Network Office (CNO)</t>
        </is>
      </c>
      <c r="C73" t="inlineStr">
        <is>
          <t>Stripe</t>
        </is>
      </c>
      <c r="D73" t="inlineStr">
        <is>
          <t>linkedin</t>
        </is>
      </c>
      <c r="E73" t="inlineStr"/>
      <c r="F73" t="inlineStr"/>
      <c r="G73" t="inlineStr">
        <is>
          <t>New York, United States</t>
        </is>
      </c>
      <c r="H73" t="inlineStr"/>
      <c r="I73"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Global Partner Engineering and Operations (PE\&amp;O) team is a vital part of Stripe’s Global Partnerships organization, playing a key role in our overall success. We manage the technical and operational dimensions of new and existing strategic product partnerships and programs. Positioned at the nexus of product development, engineering, and partnerships, we facilitate seamless collaboration essential for supporting Stripe’s rapid growth.
 Our team is a diverse mix of technical and business professionals dedicated to executing operations with financial ecosystem partners. We ensure efficient technical onboarding and implementation, while also overseeing ongoing KTLO (Keep\-The\-Lights\-On) activities and achieving strict quality and performance benchmarks. Additionally, the PE\&amp;O team initiates partner\-agnostic programs and solutions to tackle broad ecosystem challenges, developing tools that enhance operational efficiency and scalability.
 In This Role
 The team is establishing a new function to oversee Card Network Compliance. In this position, you will be responsible for developing programs and processes to address Stripe’s card network changes and their implications for both Stripe and its users. This role is crucial for ensuring we stay informed about ongoing card network announcements, enhancing our strategic position, and driving operational efficiency in response to changes.
 This is an exciting opportunity to contribute significantly to building a function from the ground up and to help formulate strategies that align with the best interests of Stripe and its users!
**What You’ll Do**
* Implement Release Management Process: Establish a release management process for Stripe in accordance with Card Network mandates, advising all cross\-functional partners on the impacts, changes, and timelines associated with network updates. Conduct comprehensive analyses of how these mandates affect existing processes and services.
* Review Card Network Releases: Review, analyze, and assess biannual card network releases to identify key initiatives that will significantly impact Stripe’s business. Collaborate cross\-functionally with various teams to ensure proper visibility and prioritization of these initiatives. Facilitate communication between engineering teams and the card networks' Technical Partner Managers (TPaMs) to streamline clarifications and negotiations regarding complex mandates and programs.
* Monitor Compliance: Establish a framework and process for monitoring compliance with card network requirements and internal policies. Ensure regular audits and assessments are conducted to identify gaps and drive continuous improvement strategies.
* Develop Metrics and Dashboards: Create and implement comprehensive metrics and JIRA dashboards to effectively monitor, review, and analyze mandates for each release cycle. Regularly update and refine the dashboards to reflect current business priorities and challenges, enabling teams to make informed decisions and proactively address potential issues related to card network mandates.
* Manage Mandate Intake Process: Oversee the network mandate intake process, ensuring timely review, assessment, and prioritization of mandates. Lead the proactive management of waiver requests, liaising between compliance and operational teams for resolution.
* Engage with External Partners: Actively engage with external network partners by participating in councils, forums, and regular strategic meetings. Establish and nurture relationships that facilitate mutual understanding of goals and objectives.
* Advocate for Stripe: Serve as a dedicated advocate for Stripe within the card network ecosystem, ensuring that the unique perspectives, challenges, and opportunities faced by Stripe are considered by network stakeholders.
 Who you are
 We're looking for someone who meets the minimum requirements to be considered for the role. If you meet these requirements, you are encouraged to apply. The preferred qualifications are a bonus, not a requirement.
**Minimum Requirements**
* 5\+ years of experience in the payments industry, with significant expertise in working with card networks and understanding card network rules and compliance activities.
* In\-depth understanding of acquiring platforms and systems, and their interactions with card network products and processes.
* Proficient in navigating and using JIRA for project management and tracking. Familiarity with card network portals for managing and monitoring compliance activities. Comfortable utilizing Google Workspace tools (such as Sheets, Docs, and Slides) for collaboration and documentation.
* Proven track record of effectively collaborating with product and engineering teams to develop new processes and strategies in partnership with them.
* Strong program and project management abilities, with the capacity to engage and influence stakeholders outside of direct control.
* Excellent written and verbal communication skills to effectively engage with both internal and external partners and drive change.
* Ability to thrive with minimal guidance, navigating uncertainty and ambiguity while shaping a new program and function at Stripe.
* Strategic thinker adept at identifying cross\-functional issues, providing innovative solutions, and communicating the implications of these solutions across existing processes, systems, and teams.
**Preferred Qualifications**
* Prior experience at a payment service provider (PSP), card network, or high\-growth technology company is preferred.
* Bachelor’s degree in a relevant field (e.g., Finance, Technology) is preferred.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$101,800 \- $152,800\.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4">
      <c r="A74" t="inlineStr">
        <is>
          <t>li-4371761711</t>
        </is>
      </c>
      <c r="B74" t="inlineStr">
        <is>
          <t>Senior Program Manager, Ads Planning</t>
        </is>
      </c>
      <c r="C74" t="inlineStr">
        <is>
          <t>Google</t>
        </is>
      </c>
      <c r="D74" t="inlineStr">
        <is>
          <t>linkedin</t>
        </is>
      </c>
      <c r="E74" t="inlineStr"/>
      <c r="F74" t="inlineStr"/>
      <c r="G74" t="inlineStr">
        <is>
          <t>Los Angeles, CA</t>
        </is>
      </c>
      <c r="H74" t="inlineStr"/>
      <c r="I74" t="inlineStr">
        <is>
          <t>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8 years of experience in program or project management.
**Preferred qualifications:**
* 8 years of experience managing cross\-functional or cross\-team projects.
* Experience defining and driving operations for large work groups, including establishing processes, leading larger group summits/discussions, and decision\-making frameworks.
* Experience in orchestrating complex program portfolios.
* Ability to lead organizations changes smoothly, including building effective program teams and managing the impact of change across multiple groups.
* Ability to navigate high levels of ambiguity to define long\-term objectives, decompose them into executable work\-streams, and ensure delivery OKRs.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guide and continually optimize strategic and complex programs that reach across the Ads Planning ecosystem to guide consistency, efficiency, and economies of scale. You will orchestrate program strategy and lead program teams to deliver business, operational, and technical improvements that address significant challenges and directly impact level Objectives and Key Results (OKRs).
 In this role, you will navigate through high levels of ambiguity to define and drive cross\-functional programs such as outcome\-based planning, creator\-centric strategy, and AI\-based tool portfolio simplification balancing long\-term objectives with near\-term deliverables. Success requires building deep alignment with other YouTube Ads teams and across broader Ads organizations including Customer Engagement (CE) and Advertiser Platform (AP). You will act as a primary bridge between technical and business domains, working cross\-functionally across engineering, product, UX, and sales to ensure executive stakeholder alignment and drive a unified strategy that maximizes returns for Google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Guide progress, alignment, and support for Ads Planning initiatives, including execution coordination all the way to larger roadmap development and alignment with executive leadership.
* Navigate complex organizational structures to build consensus and drive consistency across Ads Planning, YouTube Ads and other Ads organization, be a partner in the development and delivery of executive\-level communications.
* Lead the operations and strategy for the organization, including the design and execution of OKR processes, leadership and launch reviews, and strategy alignment and communication to ensure organizational effectiveness.
* Manage the planning and tracking of key resources such as Operational Expenditure (OpEx), landing strategies that optimize budget and resource allocation for high\-priority business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li-4365533491</t>
        </is>
      </c>
      <c r="B75" t="inlineStr">
        <is>
          <t>Product Manager - Revenue Accounting</t>
        </is>
      </c>
      <c r="C75" t="inlineStr">
        <is>
          <t>Everest Systems</t>
        </is>
      </c>
      <c r="D75" t="inlineStr">
        <is>
          <t>linkedin</t>
        </is>
      </c>
      <c r="E75" t="inlineStr"/>
      <c r="F75" t="inlineStr"/>
      <c r="G75" t="inlineStr">
        <is>
          <t>Mountain View, CA</t>
        </is>
      </c>
      <c r="H75" t="inlineStr"/>
      <c r="I75" t="inlineStr">
        <is>
          <t>**About Everest Systems** 
 Everest is ERP reinvented for the AI era. Founded in 2020, we’re building the first enterprise\-grade ERP designed for the modern enterprise combining finance, operations, people, and cloud cost management in a single, AI\-native platform. With $140M raised from Sutter Hill Ventures, Altimeter, Redpoint, and D1, we operate as a global team across Mountain View, Heidelberg, London and Porto Alegre.
 Our product replaces the fragile “GL \+ add\-ons” stack with a unified system that automates billing, revenue recognition, multi\-entity accounting, spend, and more. With innovations like Everest’s Live Sandbox and AI\-powered agents, we make it safe and fast for companies to change pricing, launch new products, expand internationally, and operate with real\-time visibility.
 We’re a builder\-led company with deep roots in enterprise software and we’re on a mission to redefine the operational core for the next generation of companies.
**Revenue Accounting Product Manager Job Description** 
 Everest, a leading ERP company, is seeking skilled accounting and finance professionals who are interested in transitioning into a product management role focused on building modern financial systems. We believe that knowledgeable domain experts are best suited to define requirements and build solutions that address the everyday needs of ERP users, ultimately enhancing the quality of their work.
 The core responsibility of a Revenue Accounting Product Manager (PM) is to translate complex revenue accounting requirements into feature definitions and models that the development team can implement in the ERP product. You will leverage your detailed functional knowledge to explain feature requirements to developers effectively. This role is ideal for someone who thrives in a collaborative environment, enjoys working with technology, and is passionate about delivering software products that users love. You should be comfortable in a fast\-paced environment, able to work at both a user and systems level, and maintain a strong focus on outcomes.
**Responsibilities** 
* Translate Market and Customer Needs: Analyze and interpret customer requirements to determine appropriate revenue recognition treatment in accordance with ASC 606 into product requirements and definitions.
* Support Accounting Principles: Ensure that the product supports underlying accounting principles and processes in accordance with US Generally Accepted Accounting Principles (GAAP).
* Collaborate on Feature Ideas: Work with the design team on feature ideas and prototypes to bring potential solutions to life.
* Guide Feature Development: Collaborate with development and other PM team members to guide feature development and prioritization.
* Work with QA: Partner closely with QA to ensure comprehensive coverage on acceptance and regression testing.
* Assist Documentation Team: Help the documentation team create customer\-facing documentation for new features.
* Communicate Business Value: Convey the business value of specific product capabilities to executive management and the sales team.
* Understand Market Trends: Maintain a general understanding of the current ERP financial software market and competitors.
**Skills and Experience** 
* Communication Skills: Excellent verbal and written communication skills.
* Accounting Experience: 2\-3 years of public accounting experience plus an additional 2\-3 years in a corporate accounting or finance role. Extensive experience with the Quote to Cash (Q2C) process. In\-depth knowledge of ASC 606 and other revenue recognition standards.
* Professional Certification: CPA or equivalent certification is preferred.
* Educational Background: Bachelor's degree in Accounting, Finance, or a related field.
* Financial Software Knowledge: Direct experience with financial software and a deep understanding of accounting processes.
* Technological Enthusiasm: Enthusiastic about new technology and its transformational abilities.
* Self\-Discipline and Motivation: Ability to be productive in a globally distributed team through self\-discipline and self\-motivation.
* Adaptability: Comfortable working in a fast\-paced environment with a strong focus on outcomes.
* Collaborative Spirit: Enjoys heavy collaboration and teamwork.
**Benefits\*\*** 
**Compensation** 
 Compensation for this role consists of a base salary and an options grant, with the base salary expected to range from $150,000 to $200,000\. Individual compensation will be commensurate with the candidate’s experience.
**Benefits** 
* Medical, Vision and Dental coverage (PPO, HMO, and FSA or HSA options available; 100% premium coverage of several PPO and HMO plans for employees)
* 401(k) plan
* Supplemental coverage such as Life Insurance, Short and Long Term Disability (also 100% covered by employer)
*Everest Systems is committed to equal employment opportunity. We will not discriminate against employees or applicants for employment on any legally‑recognized basis \[“protected class”] including, but not limited to: veteran status, uniform service member status, race, color, religion, sex, national origin, age, physical or mental disability or any other protected class under federal, state or local law.*</t>
        </is>
      </c>
    </row>
    <row r="76">
      <c r="A76" t="inlineStr">
        <is>
          <t>li-4382390149</t>
        </is>
      </c>
      <c r="B76" t="inlineStr">
        <is>
          <t>Principal Technical Program Manager - Applied Science</t>
        </is>
      </c>
      <c r="C76" t="inlineStr">
        <is>
          <t>Microsoft</t>
        </is>
      </c>
      <c r="D76" t="inlineStr">
        <is>
          <t>linkedin</t>
        </is>
      </c>
      <c r="E76" t="inlineStr"/>
      <c r="F76" t="inlineStr"/>
      <c r="G76" t="inlineStr">
        <is>
          <t>Redmond, WA</t>
        </is>
      </c>
      <c r="H76" t="inlineStr"/>
      <c r="I76" t="inlineStr">
        <is>
          <t>**Overview**
 The OneDrive and SharePoint (ODSP) Applied Science team is driving high‑ambition applied research that reshapes how knowledge is created, discovered, reasoned over, and acted upon across Microsoft 365\. Our work spans areas such as agentic AI, large‑scale retrieval and reasoning, content understanding, evaluation‑driven development, and new human‑AI collaboration paradigms (e.g., proactivity), aiming not just to improve existing experiences, but to define what comes next.
 We are seeking a Principal Technical Program Manager to act as a force multiplier for high‑ambition science: helping the organization place bold bets, sustain them over time, and ensure they land with real product and platform impact. This role exists to enable invention at scale, protecting scientific ambition while creating the structure, clarity, and alignment needed to ship and scale it.
 This is not a delivery‑only role. It is a leadership role at the intersection of scientific vision, execution strategy, and organizational influence.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This role works in close partnership with Applied Science leadership and broader product leadership, including Engineering, Product Management, Design, and key partner organizations, to help shape and drive the applied science strategy across ODSP.
* The focus is on advancing both high‑value scientific investments that deliver clear product and customer impact and high‑ambition efforts that push the frontier of applied AI, focused on knowledge work.
* You will collaborate with leaders to inform portfolio‑level decisions spanning exploratory research, applied invention, and scaled product impact, helping surface tradeoffs, clarify priorities, and ensure different kinds of science are intentionally cultivated and sustained.
* Acting as a technical program manager for complex, science‑heavy initiatives, such as agentic systems, evaluation frameworks, knowledge retrieval, and content understanding, you will help define success in terms of scientific progress and learning, not just near‑term delivery.
* Along the way, you will support the translation of ambitious ideas into enduring capabilities, align teams on paths from concept to scale, and help build the narratives and mechanisms that allow bold science to consistently turn into durable impact.
* Embody our Culture and Values.
**Qualifications**
**Required Qualifications:**
* Bachelor's Degree AND 6\+ years experience in engineering, product/technical program management, data analysis, or product development
+ OR equivalent experience.
* 3\+ years of experience managing cross\-functional and/or cross\-team projects.
* Solid technical depth and comfort engaging with applied science, AI systems, experimentation, and evaluation.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AND 10\+ years experience engineering, product/technical program management, data analysis, or product development
+ OR equivalent experience.
* 8\+ years of experience managing cross\-functional and/or cross\-team projects.
* 1\+ year(s) of experience reading and/or writing code (e.g., sample documentation, product demos).
* Experience working closely with applied research or applied science teams.
* Demonstrated strategic vision for applied science, with the ability to connect frontier scientific ideas to durable product and platform impact.
* Track record of enabling high‑ambition, invention‑driven work in product environments, including shaping execution models for frontier technologies.
* Exceptional ability to synthesize complex scientific work into clear strategic narratives that inform leadership decision‑making.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li-4382386245</t>
        </is>
      </c>
      <c r="B77" t="inlineStr">
        <is>
          <t>Sr. Supply Chain Product Manager, Electrical Assemblies</t>
        </is>
      </c>
      <c r="C77" t="inlineStr">
        <is>
          <t>Amazon Web Services (AWS)</t>
        </is>
      </c>
      <c r="D77" t="inlineStr">
        <is>
          <t>linkedin</t>
        </is>
      </c>
      <c r="E77" t="inlineStr"/>
      <c r="F77" t="inlineStr"/>
      <c r="G77" t="inlineStr">
        <is>
          <t>Seattle, WA</t>
        </is>
      </c>
      <c r="H77" t="inlineStr"/>
      <c r="I77"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or Master's degree in supply chain, business, engineering, finance or related technical or quantitative field
* 5\+ years of supply chain experience
* 6\+ years of program, project or product management, or leading product implementation experience
* 5\+ years of data analysis using tools such as Excel, Pivot Tables, SQL, Tableau, or equivalent experience
**Preferred Qualifications**
* MBA, or Bachelor's degree in BI, finance, engineering, statistics, computer science, mathematics, finance or equivalent quantitative field
* Experience communicating and handling cross\-functional programs including project stakeholders, technical program managers, and software development teams
* Experience leading global teams
* Experience handling ambiguous or undefined challenges through strong problem solving abilities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\- 162,700\.00 \- 220,200\.00 USD annually
 USA, TX, Austin \- 147,900\.00 \- 200,100\.00 USD annually
 USA, WA, Seattle \- 147,900\.00 \- 200,100\.00 USD annually
**Company** 
 \- Amazon Data Services, Inc.
 Job ID: A3198808</t>
        </is>
      </c>
    </row>
    <row r="78">
      <c r="A78" t="inlineStr">
        <is>
          <t>li-4364522354</t>
        </is>
      </c>
      <c r="B78" t="inlineStr">
        <is>
          <t>Digital Transformation Program Manager</t>
        </is>
      </c>
      <c r="C78" t="inlineStr">
        <is>
          <t>Nitto Avecia</t>
        </is>
      </c>
      <c r="D78" t="inlineStr">
        <is>
          <t>linkedin</t>
        </is>
      </c>
      <c r="E78" t="inlineStr"/>
      <c r="F78" t="inlineStr"/>
      <c r="G78" t="inlineStr">
        <is>
          <t>Milford, MA</t>
        </is>
      </c>
      <c r="H78" t="inlineStr"/>
      <c r="I78" t="inlineStr">
        <is>
          <t>**About This Opportunity**
 The Digital Transformation Program Manager is responsible for planning, coordinating, and executing cross\-functional projects supporting electronic quality management system (eQMS), Laboratory Information Management System (LIMS), Electronic Batch Records (eBR), and AI\-enabled Quality initiatives. This role ensures projects are delivered on time, within scope, and in compliance with GxP and data integrity requirements.
 The Program Manager works closely with Quality, IT, Manufacturing, QC, Validation, Regulatory, and Data teams to translate business needs into structured, executable project plans.
**Key Responsibilities**
* Manage end\-to\-end delivery of Quality digital projects, including eQMS, LIMS, eBR, and AI use cases
* Develop project charters, schedules, milestones, RAID logs, and communication plans
* Track scope, timelines, risks, and dependencies across multiple workstreams
* Ensure clear handoffs between design, build, validation, deployment, and sustainment phases
* Act on behalf of project owners to enforce agreed timelines, track commitments, and drive cross\-functional teams toward timely completion and formal project closure
* Facilitate project meetings and working sessions across internally across all department and with vendors.
* Drive alignment on requirements, priorities, and deliverables
* Escalate risks and issues in a timely, structured manner
* Support change management and user adoption activities
* Coordinate project activities to ensure compliance with data integrity, and CSV expectations
* Support validation planning, documentation readiness, and change control execution
* Maintain inspection ready project documentation
* Support implementation of AI\-enabled initiatives (e.g., batch record review, deviation triage, enhanced PowerBI reporting)
* Coordinate activities between cross functional teams
* Track risks related to AI use in regulated environments and ensure appropriate governance steps are followed
* Provide periodic summaries to Quality and Digital leadership on relevant AI advancements, case studies, and potential applications applicable to Avecia operations
* Identify opportunities where emerging AI capabilities could improve efficiency, compliance, data integrity, or inspection readiness
* Prepare routine project status updates for Quality leadership
* Maintain dashboards and metrics on project health
* Ensure transparency on progress, risks, and decision points
**Required Skills/Abilities**
* Bachelor’s degree in Engineering, Life Sciences, IT, or related field
* 5\+ years of experience as a Project or Program Manager in regulated industries (pharma, biotech, medical device)
* Demonstrated experience managing system implementation or upgrade projects (eQMS, LIMS, MES/eBR, or similar)
* Strong understanding of GxP environments and cross\-functional Quality processes
* Proficiency with standard PM tools (MS Project, Smartsheet, Jira, or similar)
* Exposure to AI, Power BI, machine learning, or large language model projects
* Familiarity with AI governance, validation considerations, and risk assessments
* Experience working with vendors such as Veeva, TrackWise, Biovia, or Siemens
* PMP or equivalent project management certification
 The annualized salary range for this role is $152,600\.00 \- $186,700\.00\.</t>
        </is>
      </c>
    </row>
    <row r="79">
      <c r="A79" t="inlineStr">
        <is>
          <t>li-4343367616</t>
        </is>
      </c>
      <c r="B79" t="inlineStr">
        <is>
          <t>Senior Technical Program Manager, Device Software &amp; Services</t>
        </is>
      </c>
      <c r="C79" t="inlineStr">
        <is>
          <t>Amazon</t>
        </is>
      </c>
      <c r="D79" t="inlineStr">
        <is>
          <t>linkedin</t>
        </is>
      </c>
      <c r="E79" t="inlineStr"/>
      <c r="F79" t="inlineStr"/>
      <c r="G79" t="inlineStr">
        <is>
          <t>Seattle, WA</t>
        </is>
      </c>
      <c r="H79" t="inlineStr"/>
      <c r="I79" t="inlineStr">
        <is>
          <t>**Description**
 Shape the future of Amazon's device development tools by driving technical program execution across our most complex, cross\-platform initiatives. As a Senior Technical Program Manager, you'll lead cross\-functional programs that enable large\-scale product management for millions of Amazon devices worldwide \- from Echo and Alexa to Fire TV, Kindle, and emerging connected devices. You'll also drive AI\-powered automation initiatives that enhance device development workflows and enable intelligent tooling for our engineering teams.
 You'll be the leader defining execution strategies and driving delivery across multiple service teams, working directly with senior leadership to set program vision and priorities. This role offers the opportunity to simplify complex technical work and deliver measurable impact while building trust through clear communication and demonstrated results.
* Lead program execution for horizontally\-scaled services supporting all Amazon device product lines
* Drive cross\-team alignment on technical standards and delivery milestones that impact millions of customers
* Partner with engineering teams to balance speed with scale, finding practical paths forward
* Build trust with diverse stakeholders by making program value visible and communicating progress clearly
* Influence technical priorities and organizational changes to enable innovative customer experiences
 Key job responsibilities
 This role combines strategic program management, technical leadership, and stakeholder collaboration to deliver large\-scale platform capabilities that serve multiple product lines.
 Program Strategy \&amp; Execution
* Lead complex cross\-functional technical programs from conception through delivery
* Define and drive program strategy, roadmaps, and success metrics
* Coordinate dependencies and unblock delivery across multiple engineering teams
* Identify and escalate risks effectively to drive timely resolution
 Technical Leadership
* Review and influence technical designs and architecture decisions
* Champion AI/ML integration opportunities to automate workflows and enhance developer productivity across the platform
* Drive adoption of technical standards across teams
* Define integration approaches that scale across multiple services
* Create technical implementation plans that balance speed and quality
 Stakeholder Management
* Build and maintain relationships with engineering teams and senior leadership
* Drive alignment and resolution of contentious technical issues
* Negotiate resources and priorities across organizational boundaries
* Provide timely and clear updates on program status and risks
 A day in the life
 As a Senior Technical Program Manager in Device Software and Services, you'll drive complex technical initiatives that enable efficient development and management of Amazon devices at scale. You'll find yourself whiteboarding with developers to map out technical solutions, reviewing PR/FAQs that shape quarterly priorities, and helping teams successfully launch new services. You'll explore opportunities to leverage AI and machine learning to automate repetitive tasks, improve developer workflows, and create intelligent features that make device development more efficient.
 Stakeholders \&amp; Customers: You'll partner with Engineering Managers, Product Leaders, and technical teams across Amazon's device organization. Your work streamlines processes for internal teams who build and manage devices, ultimately helping them deliver better experiences to millions of customers worldwide.
 Problems You'll Solve: You'll dive deep into architecture discussions with senior engineers, coordinate complex technical programs across teams, and find elegant solutions to challenging integration problems. Your impact comes from making complex systems work together seamlessly and helping diverse technical organizations deliver faster for our customers.
**About The Team**
 Amazon's device organization is at the forefront of innovation, developing products like Alexa, Echo, Fire TV, Kindle, Ring, and more that enrich the lives of millions of customers worldwide. We provide the essential tools and services that power the development of these devices, from concept to launch and beyond.
 Our team builds the unified development platform that brings together these diverse tools and services. We're reimagining how Amazon builds devices at scale by simplifying complex technical processes and creating standardized patterns that help teams work more efficiently to bring new products to life.
**Basic Qualifications**
* 7\+ years of working directly with engineering teams experience
* 5\+ years of technical product or program management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defining KPI's/SLA's used to drive multi\-million dollar businesses and reporting to senior leadership
* Experience working with customers with a passion for delivering exceptional service, or experience in technical support and experience that includes strong analytical skills, attention to detail, and effective communication 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\- 148,700\.00 \- 201,200\.00 USD annually
 USA, WA, Seattle \- 148,700\.00 \- 201,200\.00 USD annually
**Company** 
 \- Amazon.com Services LLC
 Job ID: A3142152</t>
        </is>
      </c>
    </row>
    <row r="80">
      <c r="A80" t="inlineStr">
        <is>
          <t>li-4321303745</t>
        </is>
      </c>
      <c r="B80" t="inlineStr">
        <is>
          <t>Technical Program Manager, ISS</t>
        </is>
      </c>
      <c r="C80" t="inlineStr">
        <is>
          <t>Pure Storage</t>
        </is>
      </c>
      <c r="D80" t="inlineStr">
        <is>
          <t>linkedin</t>
        </is>
      </c>
      <c r="E80" t="inlineStr"/>
      <c r="F80" t="inlineStr"/>
      <c r="G80" t="inlineStr">
        <is>
          <t>Lehi, UT</t>
        </is>
      </c>
      <c r="H80" t="inlineStr"/>
      <c r="I80"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**What You'll Do**
 Pure Storage is seeking an energetic Technical Program Manager to become experienced in leading engineering projects and implementing scalable processes. Working with fellow engineering managers, you will utilize your skills to manage and provide visibility into engineering infrastructure and services roadmap, budget, headcount, mitigating risks and communicating them to major stakeholders. You’ll be developing and exercising independent judgment and recommendations that translate into a course of action. You will also be challenged with responsibilities including:
* Building timelines and integrations for new products
* Develop and drive new processes, recommend tools or streamline existing processes.
* Interact with diverse technical and non\-technical groups, spanning all organizational levels including executives.
* Collaborate with software and infrastructure teams to ensure full product integration is achieved
* Manage technical projects or programs, develop and manage milestones, schedules and budgets.
* Manage risks/issues and develop mitigation strategies among a cross\-functional team of engineers
* Reporting of project deliverables and targets with extensive use of Jira Plan and Jira Dashboards
* Use exceptional communication skills to understand and communicate project strategy, engineering issues and dependencies.
* Parts ordering and forecasting
* End to end asset lifecycle project management
* Assist with data center capacity planning
* Deployment scheduling for R\&amp;D equipment into multiple locations
* Deployment scheduling and facilitation of infrastructure hardware in Pure Storage datacenter
* Facilitate project management of Infrastructure Shared Services projects collaborating across multiple business units to deliver on their objectives
* We are primarily an in\-office environment and therefore, you will be expected to work from the Lehi, UT office in compliance with Everpure’s policies, unless you are on PTO, or work travel, or other approved leave.
**What You Bring**
* Data Center experience
* 5\+ years experience in project management.
* Extensive experience of using Jira for roadmap planning, ticket queue management and dash\-boarding is a must
* Technical aptitude, as evidenced by relevant education, or related experience in technical/quantitative fields \- or equivalent practical experience.
* Product Management expertise and experience, with a strong understanding of product lifecycles and integration strategies.
* Customer service focus, with the ability to communicate with technical management teams and superb follow\-through.
* A team player and creative thinker who is able to lead technical teams, cross functional groups and vendors.
* Sound organizational, project management, communication skills and product lifecycle knowledge.
* Ability to manage competing priorities efficiently. Ability to quickly surface major issues and engage across team boundaries to get to resolution.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$117,000—$176,000 USD
**What You Can Expect From Us**
* Innovation: We celebrate those who think critically, like a challenge, and aspire to be trailblazers.
* Growth: We give you the space and support to grow along with us and to contribute to something meaningful. We have been named Fortune's Best Workplaces in Technology™, Fortune's Best Workplaces in the Bay Area™, and certified as a Great Place to Work®!
*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row>
    <row r="81">
      <c r="A81" t="inlineStr">
        <is>
          <t>li-4372988266</t>
        </is>
      </c>
      <c r="B81" t="inlineStr">
        <is>
          <t>Material Program Manager</t>
        </is>
      </c>
      <c r="C81" t="inlineStr">
        <is>
          <t>Raytheon</t>
        </is>
      </c>
      <c r="D81" t="inlineStr">
        <is>
          <t>linkedin</t>
        </is>
      </c>
      <c r="E81" t="inlineStr"/>
      <c r="F81" t="inlineStr"/>
      <c r="G81" t="inlineStr">
        <is>
          <t>Tucson, AZ</t>
        </is>
      </c>
      <c r="H81" t="inlineStr"/>
      <c r="I81" t="inlineStr">
        <is>
          <t>**Date Posted:**
 2026\-02\-13
**Country:**
 United States of America
**Location:**
 US\-AZ\-TUCSON\-807 \~ 1151 E Hermans Rd \~ BLDG 807
**Position Role Type:**
 Onsite
**U.S. Citizen, U.S. Person, or Immigration Status Requirements:**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Standard Missile 3 team is seeking an experienced supply chain professional to join the SM\-3 IIA program as a Material Program Manager located onsite in Tucson, Arizona. We are looking for a self\-starter who can develop and achieve program objectives in a matrixed environment and is able to successfully interface with functional and program leadership. In this role, you will be the liaison between Supply Chain and the Program Team for Supply Chain. This role will support development and obsolescence efforts, ensuring material strategies align with evolving program requirements and integration into the production flow. This includes identifying future at\-risk components, developing mitigation plans, and supporting overall material readiness. You’ll contribute to the execution of Material Program Strategies and Plans to ensure the flawless execution of products and programs from the front end of the business through integration to production.
 The successful candidate will influence and communicate effectively across multiple areas outside of one’s own job function as well as with parties external to the organization.
***Applicant must be located in Tucson or willing to relocate. There is NO relocation assistance for this role.***
**What You Will Do:**
- Brief program and customer leadership teams on Supply Chain status, material constraints and risk mitigation or opportunity capture plans
- Support supplier negotiations and drive PO placement as required to meet program cost and schedule objectives
- Contribute to timely and compliant quarterly Estimates At Completion (EACs) to include Risk \&amp; Opportunity management
- Identifying Customer Prime Contract Flow\-Downs and obtaining any required Terms Attachments (T\-Attachments) and/or Modifications (TCMs).
- Assisting with the generation of Supplier Statements of Work (SSOWs).
- Generating Supplier Request for Information/Proposals/Quotes (RFIs/RFPs/RFQs) and obtaining and understanding supplier proposals/quotes.
- Generating and processing Supplier New Add / Re\-Activation requests.
- Participating in and co\-leading supplier engagements and reviews to ensure supplier performance.
 Willingness to travel domestically/internationally, as required (expected to be
**Qualifications You Must Have:**
* Typically requires: A University Degree or equivalent experience and minimum 5 years prior relevant experience, or An Advanced Degree in a related field and minimum 3 years experience in Program Management, Material Program Management, Procurement, Contracts, Finance, Operations, and/or Strategic Sourcing
* Experienced professional who has worked in an Integrated Product Team (IPT) environment.
* Experience with Supply Chain, Production Control, and/or Procurement processes and requirements.
* The ability to obtain and maintain a U.S. government issued security clearance is required. U.S. citizenship is required, as only U.S. citizens are eligible for a security clearance
**Qualifications We Prefer:**
* Experience in Microsoft Office (Word, Excel, Power Point).
* Procurement / supplier management experience
* CORE or similar Six Sigma Specialist
* Proposals/Estimating and/or Basis of Estimates (BOEs) experience
* Experience with Prime Contract Requirements and Statements of Work (SSOWs).
* Experience using supply chain planning tools (i.e. SAP, Kinaxis, etc.)
* Execution experience of multiple program and contract types (i.e EMD, LRIP, FRP, Cost and Fixed Price)
* Excellent reporting/communication skills.
**What We Offer**
* Our values drive our actions, behaviors, and performance with a vision for a safer, more connected world. At RTX we value: Trust, Respect, Accountability, Collaboration, and Innovation.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82">
      <c r="A82" t="inlineStr">
        <is>
          <t>li-4337056831</t>
        </is>
      </c>
      <c r="B82" t="inlineStr">
        <is>
          <t>Deputy Program Manager</t>
        </is>
      </c>
      <c r="C82" t="inlineStr">
        <is>
          <t>Sev1Tech LLC</t>
        </is>
      </c>
      <c r="D82" t="inlineStr">
        <is>
          <t>linkedin</t>
        </is>
      </c>
      <c r="E82" t="inlineStr"/>
      <c r="F82" t="inlineStr"/>
      <c r="G82" t="inlineStr">
        <is>
          <t>Arlington, VA</t>
        </is>
      </c>
      <c r="H82" t="inlineStr"/>
      <c r="I82" t="inlineStr">
        <is>
          <t>CISA’s information technology (IT) landscape has historically produced networks and systems individually managed and maintained within each of its Divisions as well as its MEOs. This task order is to provide Enterprise Engineering and Operations Support Services (EEOSS) to CISA/OCIO to establish enterprise IT capabilities. These enterprise IT capabilities shall support CISA’s ability to continue establishing a modern IT infrastructure; engaging in various initiatives to evaluate and implement emerging technologies; migrating to the cloud; supporting mobility and collaboration platforms; and continually improving the performance, security, and availability of enterprise IT services.
**Position is on\-site Monday \- Friday during core business hours.** 
 There are 27 teams and over 150 employees and multiple sub\-contractors that role up to this position.
**Summary Description**
 The
 **Deputy Program Manager** 
 will assist the Program Manager in overseeing a large\-scale IT Enterprise Program (CEEOSS) for the Cybersecurity and Infrastructure Security Agency (CISA). This individual will support the management of a diverse team of 100\+ professionals, ensuring the successful execution of complex projects across various technical domains, including network, Wi\-Fi, mobile platforms, Identity, Credential, and Access Management (ICAM), Zero Trust architecture, cloud services, and enterprise service operations. The Deputy Program Manager will play a key role in leading high\-level meetings, preparing and presenting detailed briefs to senior government executives, and maintaining a steady leadership presence in high\-pressure, fast\-paced, and ever\-evolving environments.
**Key Responsibilities**
**Leadership \&amp; Team Support:**
* Assist the Program Manager in leading and managing a multidisciplinary team of 100\+ personnel, providing direction, mentorship, and support.
* Support the creation of a collaborative and inclusive team environment, encouraging innovation and professional growth.
**Technical Oversight Assistance**
* Aid in providing technical guidance and oversight in areas such as network infrastructure, Wi\-Fi, mobile platforms, ICAM, Zero Trust, cloud computing, and enterprise service operations.
* Work with the Program Manager to ensure the alignment of technical solutions with project goals and government standards.
**Strategic Planning \&amp; Execution Support**
* Assist in developing and implementing comprehensive program plans, including scope, schedule, budget, and resource allocation.
* Monitor program performance alongside the Program Manager, identifying and mitigating risks, and ensuring the timely delivery of high\-quality results.
**Stakeholder Engagement**
* Support the Program Manager in acting as a key point of contact for CISA and other key stakeholders, fostering strong relationships and open communication.
* Help prepare and present briefs, reports, and presentations to senior government officials and executives, conveying complex technical information in an accessible manner.
**Operational Excellence**
* Assist in ensuring compliance with all contract requirements, government regulations, and industry standards.
* Contribute to implementing and maintaining best practices in program management, process improvement, and quality assurance.
**Adaptability \&amp; Problem\-Solving**
* Support the Program Manager in navigating and managing high\-stress situations with composure, making informed decisions in a rapidly changing environment.
* Anticipate and address challenges, working with the Program Manager to adapt strategies and solutions as needed to meet program objectives .
**Minimum Qualifications**
**Education:**
* Bachelor's degree in Information Technology , Computer Science, Engineering, or a related field. Advanced degree preferred. Education may be substituted with 4 additional years of relevant experience than defined below.
**Experience**
* Minimum of 10 years of experience in program management, with at least 5 years in a leadership role overseeing large teams in a government contracting environment.
* Demonstrated experience in managing IT projects involving network, Wi\-Fi, mobile platforms, ICAM, Zero Trust, cloud, and enterprise service operations.
**Certifications**
* PMP or PgMP certification preferred .
* ITIL 4 Foundation preferred .
* Relevant technical certifications (e.g., CISSP, AWS, Azure, etc.) are a plus.
**Skills \&amp; Competencies**
* Strong leadership and interpersonal skills, with the ability to inspire and motivate a diverse team.
* Excellent communication and presentation skills, capable of conveying complex technical concepts to non\-technical audiences.
* Proven ability to manage multiple priorities in a fast\-paced, dynamic environment.
* Strong analytical and problem\-solving skills, with a proactive approach to identifying and resolving issues.
* Must be eligible to obtain a Department of Homeland Security EOD clearance ( Requirements 1\. US Citizenship, 2\. Favorable Background Investigation) Proof of US Citizenship is a baseline requirement for this clearance.
**Clearance Preference**
**Desired Qualifications**
* DHS EOD \- 1st priority
* Any DHS badge \+ DoD Top Secret or Secret \- 2nd choice
* DoD Secret or Top Secret \+ willingness to get EOD clearance \- 3rd choice (it can take 45 days to obtain EOD clearance – work can only begin once the clearance is fully adjudicated)
**About Sev1Tech LLC**
 Founded in 2010 and recently acquired by ERT in early 2026, Sev1Tech, an ERT Company provides IT, engineering, and program management solutions delivery to critical missions across Federal and Commercial Clients. With its acquisition by ERT, Sev1Tech expanded its ability to offer secure, mission\-aligned digital solutions to support modernization, resilience and operational effectiveness for government customers operating in highly regulated mission environments. ERT and Sev1Tech together become a fully diversified engineering and federal technology solutions firm with broad reach into space, civilian, and defense markets.
 Please apply directly at: https://careers\-sev1tech.icims.com . For questions or to submit a referral, please contact: recruiting@sev1tech.com
 Sev1Tech is an Equal Opportunity and Affirmative Action Employer. All qualified applicants will receive consideration for employment without regard to race, color, religion, sex, pregnancy, sexual orientation, gender identity, national origin, age, protected veteran status, or disability status.</t>
        </is>
      </c>
    </row>
    <row r="83">
      <c r="A83" t="inlineStr">
        <is>
          <t>li-4374036241</t>
        </is>
      </c>
      <c r="B83" t="inlineStr">
        <is>
          <t>Controls Program Manager – New Steam Turbine Generator Controls</t>
        </is>
      </c>
      <c r="C83" t="inlineStr">
        <is>
          <t>Toshiba America Energy Systems</t>
        </is>
      </c>
      <c r="D83" t="inlineStr">
        <is>
          <t>linkedin</t>
        </is>
      </c>
      <c r="E83" t="inlineStr"/>
      <c r="F83" t="inlineStr"/>
      <c r="G83" t="inlineStr">
        <is>
          <t>West Allis, WI</t>
        </is>
      </c>
      <c r="H83" t="inlineStr"/>
      <c r="I83" t="inlineStr">
        <is>
          <t>TOSHIBA AMERICA ENERGY SYSTEMS CORPORATION
 Job Description
**Job Title:** 
 Program Manager – New Steam Turbine Generator Controls
**Business Unit:** 
 Thermal Services / New STG
**Location:** 
 West Allis, WI (Hybrid / Travel as Required)
**FLSA Status:** 
 Exempt
**Manager Level:** 
 Individual Contributor
**Reports To:** 
 Controls Director / Dotted Line to Director of New STG Projects
 Job Summary
 The Project Manager – Steam Turbine Generator Controls is responsible for planning, coordinating, and executing multiple concurrent, long\-term controls projects in support of new Steam Turbine Generator installations. This role serves as the primary interface between customers, internal engineering teams, field services, suppliers, and Toshiba Japan, ensuring projects are delivered safely, on schedule, within scope, and in compliance with contractual, regulatory, and cybersecurity requirements.
 In addition to project execution, this role is responsible for coordinating and supporting New Unit customer training and capability development related to turbine and generator control systems.
 Project Management \&amp; Execution
* Manage multiple concurrent, long\-duration Steam Turbine Generator controls projects from contract award through commissioning and closeout.
* Develop and maintain integrated project execution plans, schedules, and risk registers across multiple projects.
* Coordinate internal resources across Controls Engineering, Field Services, Commercial, Supply Chain, and Quality.
* Track project milestones, deliverables, and financial performance; identify and mitigate execution risks.
* Lead scope, schedule, and cost change management activities with customers and internal stakeholders.
* Own end\-to\-end commercial execution for controls projects, including procurement strategy, vendor quotation management, billing milestones, invoicing coordination, and financial closeout.
 Controls \&amp; Cybersecurity Awareness
* Maintain working knowledge of turbine and generator control and protection systems.
* Ensure compliance with applicable cybersecurity requirements and customer cyber policies.
* Coordinate cybersecurity reviews, documentation, and testing activities with subject matter experts.
* Support audits, inspections, and regulatory reviews related to controls and cybersecurity compliance.
* Demonstrated working knowledge of industrial control system (ICS) architectures, including SCADA, PLCs, HMIs, servers/workstations, and associated networking and cybersecurity components (e.g., switches, firewalls, virtualization, authentication, and remote access technologies).
* Experience with RADIUS, edge protection, pattern recognition a plus.
 Customer Communication \&amp; Stakeholder Management
* Serve as frontline customer point of contact for controls project execution.
* Lead project status meetings, technical reviews, and executive communications.
* Prepare and deliver clear project reports, schedules, and presentations.
* Manage customer expectations and resolve issues in a professional and timely manner.
* Produce cost estimates and proposals for additional project opportunities
 New Unit Customer Training \&amp; Development
* Coordinate New Unit customer training programs related to turbine and generator control systems.
* Define training scope, schedules, and deliverables aligned with project milestones.
* Ensure completion of training materials and system familiarization prior to commissioning.
* Support factory, classroom, and site\-based customer training activities.
* Define and lead a training portfolio modernization roadmap focused on reducing delivery cost and internal labor while enhancing scalability and customer experience.
 Compliance, Quality \&amp; Safety
* Ensure adherence to Toshiba policies, contractual requirements, and regulatory standards.
* Promote safety culture and compliance with EHS requirements.
* Support quality reviews, lessons learned, and continuous improvement initiatives.
 Required Qualifications
* Bachelor’s degree in Engineering, Project Management, or a related technical discipline.
* 5–10 years of project management experience, preferably in controls or power generation.
* Demonstrated ability to manage multiple concurrent, long\-term projects.
* Strong communication, organization, and stakeholder management skills.
* Proficiency with Microsoft Office and project management tools.
 Preferred Qualifications
* Experience supporting new equipment installations in OEM or EPC environments.
* Familiarity with industrial cybersecurity requirements.
* Experience with installation or operation of server, PC, and networking infrastructure within NERC CIP regulatory framework, or grid power generation a plus.
* Experience coordinating customer training and operational readiness activities.
* PMP or equivalent certification.
 Travel Requirements
* Travel up to 20–30% to support customer meetings, factory testing, training, and site execution.
 Working Conditions
* Combination of office, factory, and field environments.
* Ability to manage competing priorities across multiple long\-term projects.</t>
        </is>
      </c>
    </row>
    <row r="84">
      <c r="A84" t="inlineStr">
        <is>
          <t>li-4382389856</t>
        </is>
      </c>
      <c r="B84" t="inlineStr">
        <is>
          <t>Program Manager – Regulatory Compliance</t>
        </is>
      </c>
      <c r="C84" t="inlineStr">
        <is>
          <t>Terracon</t>
        </is>
      </c>
      <c r="D84" t="inlineStr">
        <is>
          <t>linkedin</t>
        </is>
      </c>
      <c r="E84" t="inlineStr"/>
      <c r="F84" t="inlineStr"/>
      <c r="G84" t="inlineStr">
        <is>
          <t>Nashville, TN</t>
        </is>
      </c>
      <c r="H84" t="inlineStr"/>
      <c r="I84" t="inlineStr">
        <is>
          <t>**Job Description**
**Terracon is seeking an experienced Senior Regulatory Compliance Manager to join our National EHS Services Team!**
 This is an excellent opportunity for a highly motivated individual to manage teams responsible for the execution of programmatic environmental compliance services within our National EHS Services Team.
**Some of the compliance skills that may be needed for this role include:**
* Air permitting (Title V and minor source)
* Stormwater/SWPPP
* RCRA/Hazardous waste
* Compliance auditing
* Oil Storage/SPCC plans
* SARA Title III (Tier II/TRI) reporting
* Industrial wastewater/NPDES
* Sustainability/ESG
 To be successful in this role, you will need to be able to build and maintain strong long\-term relationships with clients through effective communication, responsiveness, and trust. You will also need to provide direction and lead efforts to standardize policies, practices and procedures among team members to provide programmatic environmental compliance services. You will also mentor and monitor the performance of teams and facilitate training, site visits, quality audits and safety incident investigation. You may also participate in marketing activities and the recruitment of new team members.
 You will need to be confident and possess a strong technical background with proven leadership skills. You will manage projects, prepare reports and other deliverables, and review documents prepared by others for accuracy, completeness, and quality following company and client standards. You will also develop client relationships and train, mentor, and direct staff on projects.
 Terracon is a 100\-percent employee\-owned consulting engineering firm providing quality services to clients. Terracon currently has more than 7,500 employees in more than 180 offices with services available in all 50 states. Terracon’s growth is due to valued employees exceeding expectations in client service and growing their careers with new and exciting opportunities in the marketplace. Terracon’s vision of “Together, we are best at people” is best demonstrated by offering a flexible work schedule, striving for employees to have a proper work/life balance, and enabling employees to work remotely when appropriate. In addition, Terracon offers an excellent compensation and benefits package. Based on eligibility, we offer many programs including medical, dental, vision, life insurance, 401(k) plan with matching (monetary and company stock), paid time off and holidays, education reimbursement, a company stock purchases plan, and various bonus programs. Come explore with us!
**Essential Roles And Responsibilities**
* Execute the initiatives of the National EHS Services Team.
* Oversee and ensure consistent operations and practices of teams by executing programmatic work for national clients.
* Monitor the performance of program teams through site visits, safety incident investigation, quality audits and metrics.
* Provide leadership and direction on practices and workforce/equipment utilization to local management.
* Partner with operations outside the National EHS Services team to develop and deliver coordinated and consistent services across all regions.
* Monitor safety, quality, and production of national teams and provide recommendations.
* Assist local offices with marketing activities related to the business segment including pricing and planning.
* Participate and provide input in the recruitment, interview and selection process for National EHS Services team members.
* Manage risk related to projects. Ensure contracts are signed and fully executed prior to commencing work. Monitor adherence to corporate risk policies and practices. Hold Managers accountable for mitigating or eliminating risk.
* Communicate safety initiatives, rules and guidelines to staff.
* Promote continuous quality monitoring and improvement on projects.
**Requirements**
* Bachelor’s degree in technical discipline practiced by the Firm including Engineering, Environmental Science, or Geology and a minimum of 10 years’ related experience
* Proven ability to engage and lead a team of technical staff and mentor their growth,
 Experience managing large environmental compliance focused programs
* Demonstrated high level of technical writing ability,
* Excellent analytical and communication skills,
* Strong working knowledge of Microsoft Excel and Word,
* Ability to prioritize, organize, and accomplish work and possess a positive attitude,
* Valid driver’s license with acceptable violation history
**Preferred Certification**
* Project Management Professional (PMP) certification preferred.
* Professional Engineer (PE), Professional Geologist (PG) or similar professional registration/certification relevant to the type of services and projects being managed.
* 40\-Hour OSHA HAZWOPER and current 8\-Hr refresher preferred.
**About Terracon**
 Terracon is a 100 percent employee\-owned multidiscipline consulting firm comprised of more than 8,000 curious minds focused on solving engineering and technical challenges from more than 200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row>
    <row r="85">
      <c r="A85" t="inlineStr">
        <is>
          <t>li-4312368079</t>
        </is>
      </c>
      <c r="B85" t="inlineStr">
        <is>
          <t>Development Program Manager (Data Center Construction)</t>
        </is>
      </c>
      <c r="C85" t="inlineStr">
        <is>
          <t>QTS Data Centers</t>
        </is>
      </c>
      <c r="D85" t="inlineStr">
        <is>
          <t>linkedin</t>
        </is>
      </c>
      <c r="E85" t="inlineStr"/>
      <c r="F85" t="inlineStr"/>
      <c r="G85" t="inlineStr">
        <is>
          <t>Eagle Mountain, UT</t>
        </is>
      </c>
      <c r="H85" t="inlineStr"/>
      <c r="I85" t="inlineStr">
        <is>
          <t>**Who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**Who You Are and the** 
**Impact You Will Have** 
**:**
 The Development Program Manager (Data Center Construction) is primarily responsible for leading and managing the design, pre\-construction and construction activities on a given project. The Development Program Manager (Data Center Construction) will interact on a daily basis with Facilities, Contractors, Designers, Engineers, Commissioning Agents, Vendors, and Data Center Operations staff and should have both written and oral communication skills commensurate with this level of regular communication.
**What You Will Do:**
* Manage multiple projects on a campus(es) and maintain updated budgets, schedules, and status reports for each
* Create and communicate updates on development program \&amp; project status on a monthly basis suitable for executive level reviews. Effectively present information in a manner to support efficient decision making
* Work with QTS stakeholders, design, and construction teams to create a master development program for site(s), including a complete campus design solution and capital budget.
* Manage entitlement and permitting needs for each assigned site project(s)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Work closely with strategic procurement team on equipment procurement and delivery process
* Ensure appropriate submittals are coordinated with site stakeholders
* Monitor \&amp; create project budget/cost\-to\-date against overall project budget.
* Establish project schedules and manage teams to on\-time completion
* Review and approve monthly pay applications from the contractors
* Review change order requests from contractors and negotiate pricing
* Establish site construction security procedures in conjunction with site security team
* Develop plans for product deployment and review/communicate plans with QTS staff involved
* Collaborate with Sales Engineers and Product teams to aid in custom deal solutioning for prospective clients within the applicable schedule and budget for an assigned location.
* Establish and maintain relationships serving as liaison with key QTS stakeholders
* Represent QTS interests as leader in OAC meetings
* Create \&amp; build relationships that enhance QTS's ability to be a leader in creating the World's Most Valuable Data Center Real Estate
* Aid in due diligence efforts for potential new sites on an as\-needed basis
* Work with the internal development team to enhance project management processes and protocols
**What You Will Need to be Successful (basic qualifications):**
* Bachelor's degree in Science or Engineering or equivalent professional experience
* Eight or more years of professional experience in commercial construction practices and procedures, including management of Lump Sum, Construction Management at Risk, and Design Build project delivery methods from conceptual development through procurement to close out
* Experience with Microsoft Office suite, specifically PowerPoint for use in communicating program updates to executive level, and Excel to create and maintain site program \&amp; individual project budgets
* Be able to travel up to 50% of the time
**Other Key Skills:**
* MBA, Masters in Engineering, Management, or related field desirable
* Experience with delivery of mission critical data center facilities
* Extensive experience with management of MEP trades
**The Perks (and these are just a few!):**
* Q\-Rest Sabbatical
* Employee Stock Purchase Plan
* QTS scholarship for dependents
* Eagle Club Award Trip Eligibility
* Paid Volunteer and Floating days
* Tuition Assistance, Parental Leave and Military Leave Assistance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86">
      <c r="A86" t="inlineStr">
        <is>
          <t>li-4329976015</t>
        </is>
      </c>
      <c r="B86" t="inlineStr">
        <is>
          <t>Senior Rail Engineer Program Manager</t>
        </is>
      </c>
      <c r="C86" t="inlineStr">
        <is>
          <t>RailPros</t>
        </is>
      </c>
      <c r="D86" t="inlineStr">
        <is>
          <t>linkedin</t>
        </is>
      </c>
      <c r="E86" t="inlineStr"/>
      <c r="F86" t="inlineStr"/>
      <c r="G86" t="inlineStr">
        <is>
          <t>Seattle, WA</t>
        </is>
      </c>
      <c r="H86" t="inlineStr"/>
      <c r="I86" t="inlineStr">
        <is>
          <t>**Who WE Are**
 RailPros is the
 **premier provider** 
 of engineering and diversified safety services to
 **America’s rail and transit industry** 
 . Driven by a
 **passion** 
 for our people, clients, and communities, we are committed to solving our customers’ challenges and earning their trust through
 **teamwork, continuous improvement, and service excellence** 
 . As a
 **people\-first organization** 
 , we prioritize the well\-being and growth of our employees, fostering a culture of
 **caring and support** 
 . We believe that when our people thrive, our company thrives.
 Our mission is to
 **enhance mobility, safety, and quality of life** 
 for residents, passengers, and partner companies. We do more than just provide services – we are constantly
 **innovating** 
 and staying abreast of industry developments to help our customers succeed.
 **Join us** 
 in our shared goal of
 **keeping America moving** 
 and ensuring customer satisfaction in an environment where your contributions are valued and your growth is encouraged.
 **Apply now** 
 and become a part of our
 **exciting journey** 
 !
**Job Summary**
 The
 **Senior Rail Engineer Program Manager** 
 will be an accomplished Engineering
 **leader** 
 with a proven ability to
 **generate new business** 
 , oversee technical delivery, and establish a strong local team of engineers. They will use creativity, foresight, and sound judgment to address complex challenges and drive impactful decisions. The Senior Rail Engineer Program Manager will
 **balance competing priorities** 
 and
 **lead programs** 
 with advanced technical and organizational complexity.
**Essential Duties \&amp; Responsibilities**
* Drive business development and lead project delivery, while also building and developing a local engineering team.
* Lead a major program team for the organization.
* Perform other duties as assigned to meet business needs.
**Qualifications**
**Knowledge, Skills, \&amp; Abilities:**
* Skilled in developing relationships with key clients with an ability to drive business growth.
* Proficient with electronic communications (e\-mail, text) and standard office applications (Microsoft Office Suite).
* Exceptional oral and written communication skills.
* Skilled in persuasion and negotiation of critical issues.
**Required Education And Experience**
* Bachelor’s Degree in Engineering from an ABET/EAC accredited program.
**Preferred Education And Experience**
* Master’s Degree in Civil Engineering.
* 15\+ years of prior experience.
* 5\+ years of experience as a program manager.
* Committed to life\-long learning to stay informed about contemporary issues.
* Established relationships with railroad clients.
* Strong business development skills.
* In\-depth knowledge of industry standards and guidelines.
**Additional Qualifications, Certifications, Etc.**
* Professional Engineer (PE), equivalent, or authorization of CLPO.
* Membership in a professional practice organization, national board member or officer, recognized expert on statewide activity, and resource for national activities and organization.
**Supervisory Responsibilities**
* Build and empower high\-performing technical teams to achieve superior outcomes and client satisfaction.
* Supervise several organizational segments or teams.
* Recommend facilities, personnel, and funds required to execute programs.
* Oversee the technical, legal, and financial issues of an entire program.
* Determine program objectives and requirements.
* Develop standards and guidelines.
**Why RailPros**
* Competitive Salary and a robust benefits package.
* Leadership Opportunities with significant impact on major projects and organizational activities.
* Innovative Work Environment that values creative solutions and strategic thinking.
* Commitment to Professional Development and continuous learning within a dynamic and supportive team.
**Benefits \&amp; Perks**
* Comprehensive Health Insurance: Includes medical, dental, and vision coverage.
* Additional Coverage Plans: Accident plan, critical illness plan, and hospital indemnity with employee\-to\-family coverage.
* Legal ID, Shield ID, Pet Insurance.
* Life \&amp; Disability Insurance: Employer\-paid with additional voluntary options available.
* Retirement Savings: 401(k) plan with employer match.
* Paid Time Off (PTO): Generous paid time off.
* Wellness Programs: Access to various wellness initiatives and resources.
* Discount Programs: Exclusive discounts on products and services.
* Company Merchandise Allowance: Company\-funded allowance for our online store.
* Health Savings Accounts (HSA): With employer match.
* Health Reimbursement Arrangement (HRA): Employer\-funded.
* Flexible Spending Accounts (FSA): For dependent care expenses.
* Employee Assistance Programs (EAP): Support for personal and professional challenges.
* Professional Development: Opportunities for training and career growth.
* Work\-Life Balance: Initiatives designed to support a balanced and fulfilling work life.
**Join RailPros** 
 for a fulfilling career in a thriving and stable industry. Our
 **core values** 
 drive us to excel as a team, prioritize customer satisfaction, and adapt to industry changes swiftly. Be part of a
 **passionate and dedicated team** 
 that values
 **continuous improvement, trust, and problem\-solving** 
 .
 **Apply now** 
 for an opportunity to contribute to our success.
**Equal Employment Opportunity (EEO)**
 RailPros provides equal employment opportunities to all qualified candidates, regardless of race, religion, color, national origin, citizenship, sex, sexual orientation, gender identity, age, veteran status, disability, genetic information, or any other protected characteristic. We are committed to making reasonable accommodations for known physical or mental limitations of qualified employees and applicants with disabilities unless such accommodations would impose undue hardship on our business operations. If you are considering applying for a job and require a reasonable accommodation in accordance with the ADA, please reach out to us at peopleoperations@railpros.com. We value diversity and strive to create an inclusive environment for all employees.
 Follow us on Social Media!</t>
        </is>
      </c>
    </row>
    <row r="87">
      <c r="A87" t="inlineStr">
        <is>
          <t>li-4338401509</t>
        </is>
      </c>
      <c r="B87" t="inlineStr">
        <is>
          <t>Clinical Program Manager - Sage Ridge 10697</t>
        </is>
      </c>
      <c r="C87" t="inlineStr">
        <is>
          <t>Colorado Coalition for the Homeless</t>
        </is>
      </c>
      <c r="D87" t="inlineStr">
        <is>
          <t>linkedin</t>
        </is>
      </c>
      <c r="E87" t="inlineStr"/>
      <c r="F87" t="inlineStr"/>
      <c r="G87" t="inlineStr">
        <is>
          <t>Aurora, CO</t>
        </is>
      </c>
      <c r="H87" t="inlineStr"/>
      <c r="I87" t="inlineStr">
        <is>
          <t>The mission of the Colorado Coalition for the Homeless is to work collaboratively toward the prevention of homelessness and the creation of lasting solutions for homeless and at\-risk families, children, and individuals throughout Colorado. The Coalition advocates for and provides a continuum of housing and a variety of services to improve the health, well\-being, and stability of those it serves.
**Our Philosophy of Service:** 
 We believe all people have the right to adequate housing and health care. We work to remove the barriers that restrict access to these rights. Society benefits when adequate housing and health care are available to everyone. We create lasting solutions to homelessness by:
* Honoring the inherent dignity of those we serve, affirming their capabilities and fostering their hope that a better life is possible.
* Building strong, caring and trauma\-informed communities through the integration of housing, health care and supportive services.
* Advocating for social and racial equity, inclusion and diversity, and challenging the status quo in partnership with our workforce members and those we serve.
* Achieving excellence through continuous quality assurance, innovation and professional development.
* Using resources judiciously and effectively.
 This position is based at Sage Ridge in Watkins, CO.
 The
 ***Clinical Program Manager***
 provides leadership and oversight of daily program operations to ensure high\-quality behavioral health and supportive service delivery aligned with organizational values and goals. This role is responsible for supervising and developing staff, facilitating team coordination, and ensuring compliance with internal policies and external requirements. The Clinical Program Manager serves as an advocate and educator regarding best practices in serving persons who have complex needs and significant trauma histories who are experiencing homelessness.
**NOTE:** 
 In order to ensure that our consumers receive the best possible care the candidate chosen to fill this position will be required to complete our internal credentialing and privileging process prior to a start date.
 **The credentialing and privileging timeline is dependent on the selected candidate's submission of documents necessary for clearance.** 
 Please note that a start date will be scheduled once credentialing and privileging is complete.
**Additional Requirement**
* Valid driver’s license required. This requirement may be waived, if necessary, based on overall candidate experience and current needs of the business.
**Coalition Benefits**
* Choice of HMO or PPO health insurance coverage options: full\-time employees contribute only 1% of their earnings for their own HMO health coverage and no more than 4% of their earnings for coverage of eligible dependents. We’re proud to offer same\-and opposite\-sex domestic partner coverage.
* Choice of dental insurance or discount plan.
* Vision insurance.
* Flexible spending accounts for health care / dependent care / parking expenses.
* Free basic life and AD\&amp;D insurance coverage.
* Employee Assistance Program, a problem\-solving resource available to you and your household members.
* Dollar\-for\-dollar retirement plan matching contributions up to 5% of earnings with 3\-year vesting.
* Extensive paid time\-off, including 9 holidays, 12 days of sick leave, and three weeks of vacation for new full\-time employees in their first year.
*The effective date for your benefits will be the first of the month following your date of hire.*
**Essential Job Functions**
* Recruits, hires, trains, and supervises program staff in alignment with departmental and organizational goals.
* Meets with unlicensed or pre\-licensed staff on a weekly basis, and with licensed staff at least every other week or as needed, depending on program operations and staff supervision needs to provide coaching, support, career development, and performance management.
* Establishes, strengthens, and maintains collaborative relationships with internal and external partners, outside agencies, departments, stakeholders, referral sources, and other community homeless services organizations, which may include grantors and other funding sources and public entities to support effective coordination of care and program operations.
* Participates in providing clinical care to program participants and facilitates team meetings in accordance with CCH model of care delivery.
* Sets and monitors staff performance objectives to ensure progress toward individual, programmatic, and organizational goals.
* Provides oversight of day\-to\-day program operations to ensure alignment with internal policies, funding requirements, and evidence\-based practices.
* Supports the implementation of Trauma\-Informed Care, Support\-Centered Housing, services that reduce harm and promote recovery, and other evidence\-based service models.
* Participates in quality improvement, peer review and peer clinical audit efforts by supporting implementation, documentation, monitoring, and follow\-up.
* Assists in the development and oversight of program budgets, grants, and reporting deliverables, as assigned.
* Reviews and assists with risk assessments and appropriate follow\-up care for any client requiring risk assessments within department.
* Assures compliance with funding requirements, including Medicaid requirements, and coordinates Medicaid billing for team.
* Demonstrates competency in EHR (Electronic Health Record), HMIS (Homeless Management Information System), and other data systems and ensures own and staff compliance with documentation standards.
* Maintains timely, accurate, and complete client records in the EHR and ensures all required data is captured and reported.
* Maintains a respectful and inclusive work environment that supports equity, diversity, teamwork, and collaboration.
* Understands and adheres to organizational policies, procedures, and compliance requirements. As well as assisting with ensuring compliance with funder and Medicaid requirements, when applicable.
* Strong critical thinking and sound decision\-making skills, with the ability to maintain confidentiality.
* Excellent interpersonal, customer service, and assertive communication skills; high degree of emotional intelligence.
* Effective oral and written communication skills; able to engage diverse audiences.
* Ability to organize and prioritize multiple responsibilities and manage tasks independently.
* Attention to detail and accuracy in data management and reporting.
* Proficient in using office equipment and software, including Microsoft Word, Excel, PowerPoint, Office 365, email, and HR systems.
* Skilled in negotiation and mediation, especially in high\-stakes or sensitive situations.
* Ability to work effectively in dynamic environments that may include interpersonal conflict or operational challenges.
* Ability to foster and maintain a productive, inclusive team environment and retain high\-performing staff.
* Capacity to advocate and negotiate with professionalism while maintaining healthy boundaries.
* Commitment to trauma\-informed care, recovery\-oriented, and client\-centered service models.
* Valid driver’s license required. This requirement may be waived, if necessary, based on overall candidate experience and current needs of the agency.
* Successful completion of the privileging and credentialing process for Behavioral Health Clinical Supervisors at the Coalition.
* Must pass a Colorado Bureau of Investigation (CBI) background check.
* Performs other duties as assigned to support program and organizational effectiveness.
**Qualifications Summary**
* Demonstrated knowledge and experience in the fields of substance use treatment, mental health, and homelessness.
* Experience working with chronically homeless individuals, particularly those with serious mental illness, substance use disorders, or complex barriers to engagement.
* Proven program management and supervisory experience, including staff development and team leadership.
* Familiarity with non\-profit organizational management practices.
* Understanding of basic accounting principles and their application in a program setting.
* Working knowledge of HIPAA federal and state compliance requirements.
* Knowledge of homeless issues and sensitivity to the needs of underserved populations.
* Education and Work Experience
* Master’s degree in social work or counseling required. Licensed as mental health provider (LCSW, LPC, LMFT) required.  LAC,CAS or CAT preferred.
* Active license in Colorado without restrictions, conditions, or stipulations from DORA for at least two years.
* Two years of management and supervisory experience preferred.
* Active certification in basic life support or able to obtain certification within 30 days of employment.
 $77,306 \- $88,902 a year
 WHERE A CANDIDATE IS PLACED IN THE COMPENSATION RANGE DEPENDS ON TOTAL RELEVANT YEARS OF EXPERIENCE
*Employee must be able to perform essential job functions with or without reasonable accommodation and without posing a direct threat to safety or health of self or others. To perform this job successfully, an individual must be able to perform each essential function satisfactorily. Employee will perform job according to applied laws. The requirements listed above are representative of the knowledge, skill, and/or ability required. Reasonable accommodations may be made to enable individuals with disabilities to perform the essential functions.*
 The Colorado Coalition for the Homeless is committed to delivering services, making employment\-related decisions, selecting volunteers, and selecting vendors without regard to age over 40, race, sex, color, religion, creed, national origin, ancestry, disability, genetic information, marital status, sexual orientation, gender identity, gender expression, pregnancy, medical condition related to pregnancy, military status, or any other applicable status protected by law.</t>
        </is>
      </c>
    </row>
    <row r="88">
      <c r="A88" t="inlineStr">
        <is>
          <t>li-4363988097</t>
        </is>
      </c>
      <c r="B88" t="inlineStr">
        <is>
          <t>Senior Stormwater Program Manager/Senior Engineer</t>
        </is>
      </c>
      <c r="C88" t="inlineStr">
        <is>
          <t>Arcadis</t>
        </is>
      </c>
      <c r="D88" t="inlineStr">
        <is>
          <t>linkedin</t>
        </is>
      </c>
      <c r="E88" t="inlineStr"/>
      <c r="F88" t="inlineStr"/>
      <c r="G88" t="inlineStr">
        <is>
          <t>Seattle, WA</t>
        </is>
      </c>
      <c r="H88" t="inlineStr"/>
      <c r="I88" t="inlineStr">
        <is>
          <t>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**Role description:**
 Arcadis is seeking an experienced and forward thinking Senior Stormwater Program Manager / Senior Engineer to lead complex stormwater management and green infrastructure (GI/GSI) projects across the Seattle region and western Washington. This role will oversee planning, design, permitting, and delivery of innovative urban water resilience programs, while collaborating with multidisciplinary teams, municipal partners, and community stakeholders.
 The ideal candidate brings deep technical expertise, proven program leadership experience, and an understanding of regional practices, particularly those aligned with Seattle Public Utilities (SPU) and similar organizations.
**Role accountabilities:**
 As a Senior Stormwater Program Manager / Senior Engineer, you will lead the planning, design, and permitting of stormwater management and green infrastructure projects from feasibility through construction while managing multidisciplinary teams to ensure delivery within scope, schedule, and budget. You will direct collaborative and alternative delivery programs for municipal stormwater and GI initiatives, aligning project outcomes with broader urban resilience and sustainability goals. As a technical expert in stormwater systems, natural channel design, low\-impact development (LID), and green stormwater solutions, you will guide project approaches and provide oversight on stakeholder coordination with partners such as SPU, community groups, regulatory agencies, and design consultants. Additionally, you will mentor engineering and project management staff offering strategic direction and quality review, and support business development through proposal preparation, client relationship management, and program growth.
**Qualifications \&amp; Experience:**
**Required Qualifications:**
* Masters Degree in Civil, Environmental, Landscape Architecture or Water Resources Engineering or related field.
* 10–15\+ years of experience in the planning, design, and permitting of stormwater management and green infrastructure (GI/GSI) projects.
**Preferred Qualifications:**
* Demonstrated success leading collaborative delivery and alternative delivery programs for municipal stormwater and urban resilience projects (strongly preferred).
* Experience working in Seattle with Seattle Public Utilities (SPU), King County, and similar clients, on GI, natural channel design, or similar programs.
* Professional Engineer (PE) license in Washington State.
* Strong understanding of local, state, and federal stormwater regulations and permitting pathways.
* Excellent leadership, communication, and client facing skills.
* Background in sustainable water infrastructure, climate resilience, and nature\-based solutions.
* Experience managing large, multiyear capital programs.
* Familiarity with Washington State Department of Ecology and local stormwater manuals.
* Ability to represent the organization in technical conferences, workshops, and community meetings.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Join Arcadis. Create a Legacy.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We are an equal opportunity and affirmative action employer. Women, minorities, people with disabilities and veterans are strongly encouraged to apply. We are dedicated to a policy of non\-discrimination in employment on any basis including race, creed, color, religion, national origin, sex, age, disability, marital status, sexual orientation, gender identity, citizenship status, disability, veteran status, or any other basis prohibited by law.
 Arcadis offers benefits for full time and part time positions. These benefits include medical, dental, and vision, EAP, 401K, STD, LTD, AD\&amp;D, life insurance, paid parental leave, reward \&amp; recognition program and optional benefits including wellbeing benefits, adoption assistance and tuition reimbursement. We offer nine paid holidays and 20 days PTO that accrue per year. The salary range for this position is $109,186 \- $185,616\. Actual salaries will vary and are based on several factors, such as experience, education, budget, internal equity, project and location.
 \#Resilience\-ANA
 \#Water\-ANA</t>
        </is>
      </c>
    </row>
    <row r="89">
      <c r="A89" t="inlineStr">
        <is>
          <t>li-4321361192</t>
        </is>
      </c>
      <c r="B89" t="inlineStr">
        <is>
          <t>Senior Program Manager, UMKC Student Veteran Support Services</t>
        </is>
      </c>
      <c r="C89" t="inlineStr">
        <is>
          <t>University of Missouri-Kansas City</t>
        </is>
      </c>
      <c r="D89" t="inlineStr">
        <is>
          <t>linkedin</t>
        </is>
      </c>
      <c r="E89" t="inlineStr"/>
      <c r="F89" t="inlineStr"/>
      <c r="G89" t="inlineStr">
        <is>
          <t>Kansas City, MO</t>
        </is>
      </c>
      <c r="H89" t="inlineStr"/>
      <c r="I89" t="inlineStr">
        <is>
          <t>Hiring Department
 Student Veterans Affairs, within UMKC Student Affairs
**Job Description**
****Research and Outreach:****
* Serve as the primary point of contact for all military\-affiliated students and veterans at UMKC
* Oversee VA education benefits, VA workforce reemployment benefits, DoD Tuition Assistance benefits
* Lead and support VA audit activities, including preparation of documentation, data verification, and timely responses to audit findings for the Veterans Support Office.
* Manage military\-affiliated scholarships, including promotion, outreach, awarding, and tracking
* Revise and promote the Boots to Books Training throughout the year in order to increase campus and community awareness of best practices for supporting student veterans
* Collaborate with UMKC Strategic Marketing and Communications to develop marketing materials for veteran support programs
* Support recruitment and enrollment efforts by meeting with prospective student veteran students through Operation Enrollment to increase yield rates
* Serve as the co\-advisor to the UMKC Student Veteran Organization (SVO)
* Maintain and update the student veteran support services website to ensure accurate and accessible information
* Work in collaboration with the UMKC Offices of Admissions, Student Affairs and Academic Affairs to develop a recruitment and onboarding for new and returning student veterans
* Provide oversight and management of the At Ease Zone to ensure a supportive environment for student veterans
* Conduct and evaluate the annual Student Veteran Needs Assessment, producing an executive summary with detailed analysis, process documentation, and high\-level recommendations for program transformation and improvement.
* Plan, coordinate, and implement events, workshops, and outreach activities. Develop, facilitate, and collaborate with campus departments to deliver a wide range of workshops on topics such as transitioning to college, the application and registration process, student success, and scholarship applications. Provide referrals to appropriate on\- and off\-campus resources
**Student Success, Compliance, And Strategic Initiatives**
* Build coalition and lead efforts to maintain Military Friendly Institution (Gold)
* Maintain the Orientation and Onboarding Program to support student veterans in their transition to college and increase awareness of available resources.
* Collaborate with UMKC Career Services to implement innovative programs and partnerships to promote education and career pathways for veterans. (VFW, American Legion, LinkedIn, Microsoft, Regional/US/International).
* Foster sense of community \&amp; school identity through coordination of co\-curricular \&amp; curricular events
* Manage military\-affiliated scholarships in promotion and awarding.
* Develop and lead facilitated discussions and workshops throughout the year for both the campus community and student veterans throughout the year on student veteran issues
* Develop and implement spouse and dependent programming and outreach
* Elevate support for transparency and accountability of student veteran retention and on\-time graduation rates
* Lead Military social protocol advisor for all military events, ceremonies, observances and DV/VIP (Distinguished Visitor/VIP) visitors/guests
* Work with the Offices of Admissions, Financial Aid, Cashier’s, Student Accessibility Services and Academic Advising to coordinate incoming student veteran’s intake system including initial application, VA disability rating/accommodations, course enrollment/degree completion, and management of VA certification process, VA work\-study, graduation, and support of transitional activities.
* Maintain compliance of the University in accordance to federal regulations related to all types of VA and DoD benefits
****Community and Alumni Engagement and Recruitment****
* Promote program offerings on social media (e.g., Facebook, LinkedIn, and GoArmyED).
* Coordinate with UMKC Alumni Office to ensure success UMKC Veterans Alumni Network
* Provide leads to the Development Office that will result in non\-tuition revenue.
* Assist with efforts to raise money for scholarship support
* Develop and maintain strategic partnerships with military/veteran, city/ state/ federal agencies, local community resources, legislative leaders and organizations
**Minimum Qualifications**
 A Bachelor's degree or an equivalent combination of education and experience and at least four (4\) years of experience from which comparable knowledge and skills can be acquired is necessary
**Preferred Qualifications**
* A Master’s degree is preferred.
* Certifying Official Credentials preferred
* Military veteran experience and/or 3\-5 years of prior experience working with active\-duty service members, retired military personnel, veterans, spouse and dependents is essential.
* Ability to manage multiple priorities, work independently as a self\-starter, and respond effectively to the needs of veteran students
 Anticipated Hiring Range
 The anticipated hiring range for this position has been established as $60,000 \- $63,000 annually.
 Salary is determined by a variety of factors, including but not limited to, the individual’s particular combination of education, skills, and experience, as well as organizational requirements.
 Your total compensation goes beyond the number on your paycheck. The University of Missouri provides generous leave, health plans, and retirement contributions that add to your bottom line.
 Grade: 11
 University Title: SENIOR PROGRAM MANAGER STUDENT SUPPORT SERVICES
 To review the University of Missouri’s Staff Compensation Structure you can view the Job Code detail page. Internal applicants can determine their university title by accessing the Talent Profile tile in myHR.
 Application Materials
 Application materials must include an updated resume or CV. Cover letters are highly encouraged, but not required.
 Application Deadline
 For best consideration, submit application materials by February 6, 2026\. Applications will continue to be accepted and reviewed until filled.
 Other Information
**Travel**
* The senior program manager position is in\-person and based at UMKC’s Volker Campus; however, it requires occasional travel to UM System campuses in Columbia, MO, as well as participation in veteran recruitment events within and near the Kansas City metropolitan area.
* Attend professional conferences to maintain knowledge and training
* Local travel is required to fulfill outreach initiatives.
 Community Information
 Kansas City offers the best of both worlds—a vibrant, urban community with Midwestern appeal. The city’s rich history and its modern\-day, innovative thinking come together to create an eclectic group of neighborhoods that offer a little something for everyone. From thriving arts districts, an energetic downtown nightlife, casual to upscale shopping and champion sports teams, you will have no problem making yourself at home. Of course, one of Kansas City’s biggest claims to fame is its food, especially its world\-famous barbecue. Foodies will delight in the culinary scene found throughout the city. Ranging from award\-winning chefs to cozy pizza joints, Kansas City definitely is not lacking any flavor.
 UMKC’s campuses are conveniently nestled in the middle of all the action. Volker Campus is just minutes from the legendary Country Club Plaza, perfect for shopping or restaurants for lunch or after\-work happy hours. Surrounded by hip neighborhoods and eateries, the Health Sciences Campus is located downtown near University Health Truman Medical Center and Children’s Mercy Hospital.
 UMKC is proud to be “Kansas City’s university,” and the campus and its people celebrate all the characteristics of the surrounding community. To learn more about life in Kansas City and find more resources, visit VisitKC.com.
 Benefit Eligibility
 This position is eligible for University benefits. As part of your total compensation, the University offers a comprehensive benefits package, including medical, dental and vision plans, retirement, paid time off, short\- and long\-term disability, paid parental leave, paid caregiver leave, and educational fee discounts for all four UM System campuses. For additional information on University benefits, please visit the Faculty \&amp; Staff Benefits website at https://www.umsystem.edu/totalrewards/benefits.
**Equal Employment Opportunity**
 The University of Missouri is an Equal Opportunity Employer.
 To request ADA accommodations, please call the Office of Equity \&amp; Title IX at 816\-235\-6910\.</t>
        </is>
      </c>
    </row>
    <row r="90">
      <c r="A90" t="inlineStr">
        <is>
          <t>li-4372940033</t>
        </is>
      </c>
      <c r="B90" t="inlineStr">
        <is>
          <t>Residential Program Manager</t>
        </is>
      </c>
      <c r="C90" t="inlineStr">
        <is>
          <t>Community Options, Inc.</t>
        </is>
      </c>
      <c r="D90" t="inlineStr">
        <is>
          <t>linkedin</t>
        </is>
      </c>
      <c r="E90" t="inlineStr"/>
      <c r="F90" t="inlineStr"/>
      <c r="G90" t="inlineStr">
        <is>
          <t>Scotch Plains, NJ</t>
        </is>
      </c>
      <c r="H90" t="inlineStr"/>
      <c r="I90" t="inlineStr">
        <is>
          <t>**Description**
**Community Options, Inc.** 
 is a national non\-profit agency providing services to individuals with disabilities in 12 states.
 We are actively seeking an experienced
 **Residential Program Manager** 
 in
 **Scotch Plains,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91">
      <c r="A91" t="inlineStr">
        <is>
          <t>li-4381209014</t>
        </is>
      </c>
      <c r="B91" t="inlineStr">
        <is>
          <t>Director, Digital Product Manager, Analytical Services</t>
        </is>
      </c>
      <c r="C91" t="inlineStr">
        <is>
          <t>myGwork - LGBTQ+ Business Community</t>
        </is>
      </c>
      <c r="D91" t="inlineStr">
        <is>
          <t>linkedin</t>
        </is>
      </c>
      <c r="E91" t="inlineStr"/>
      <c r="F91" t="inlineStr"/>
      <c r="G91" t="inlineStr"/>
      <c r="H91" t="inlineStr"/>
      <c r="I91" t="inlineStr">
        <is>
          <t>**This job is with Thermo Fisher Scientific, an inclusive employer and a member of myGwork – the largest global platform for the LGBTQ\+ business community. Please do not contact the recruiter directly.**
**Work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 Analytical Services (ASD)** 
 will lead the strategy, vision, and execution of flagship digital capabilities supporting the Analytical Services Division within the Clinical Research Group. This role is responsible for defining and delivering scalable, user\-centric digital solutions that enable laboratory operations, scientific data management, and customer engagement across internal and external stakeholders.
 You will align product roadmaps with business objectives, customer needs, and regulatory requirements, while partnering closely with the CRG Digital organization as a primary development partner. This role requires deep expertise in digital product management within regulated environments, strong knowledge of laboratory systems and data, and demonstrated success leading cross\-functional teams in complex, matrixed organizations.
**Key Responsibilities**
 Product Roadmap and Vision:
* Develop and communicate a compelling product vision and multi\-year roadmap aligned with ASD strategic objectives and CRG digital priorities.
* Conduct market analysis, voice\-of\-customer research, and competitive intelligence to identify opportunities for innovation in laboratory digital capabilities.
* Align product investments with measurable business value, operational efficiency, and customer impact.
* Provide transparency and executive\-level reporting on product pipeline, milestones, risks, and outcomes.
**Detailed Product Definition And Execution**
* Translate complex laboratory, operational, and business requirements into detailed product specifications, features, and user stories.
* Partner closely with engineering, UX/UI, lab operations, quality, and scientific stakeholders to ensure precise execution.
* Lead agile product development cycles, ensuring clarity of requirements, rapid iteration, and high\-quality delivery.
* Oversee and coordinate internal and external development partners to ensure timely, scalable delivery of digital capabilities.
* Represent ASD product needs within the broader CRG Digital organization and ensure alignment across shared platforms.
**Laboratory Domain Expertise \&amp; Digital Enablement**
* Apply deep understanding of laboratory operations, laboratory data flows, and systems such as LIMS, ELNs, and related digital platforms.
* Drive integration strategies across internal systems, external platforms, and customer\-facing capabilities.
* Ensure product design accounts for data integrity, auditability, regulatory standards, and quality system requirements within clinical research environments.
* Identify opportunities to modernize and digitize analytical workflows to improve efficiency, traceability, and customer experience.
**Advanced Analytics And AI Enablement**
* Collaborate effectively with data scientists and ML engineers; demonstrate fluency in AI/ML concepts (e.g., regression, classification, NLP, predictive modeling) and their application in laboratory and clinical contexts.
* Leverage advanced analytics and AI to enhance data interpretation, operational insights, forecasting, and customer value delivery.
* Ensure responsible, compliant deployment of AI\-driven capabilities within regulated environments.
**User\-Centric Product Development**
* Champion intuitive, high\-impact user experiences across scientific, operational, and customer\-facing workflows.
* Validate product concepts through structured user research, feedback loops, and analytics\-driven insights.
* Continuously refine solutions to maximize adoption, usability, and measurable business outcomes.
**Stakeholder Leadership And Communication**
* Collaborate across business leaders, lab operations, quality, regulatory, digital engineering teams, and external partners.
* Clearly articulate product vision, tradeoffs, and progress to senior leadership and external stakeholders.
* Influence investment decisions through data\-driven analysis and compelling strategic narratives.
* Manage and strengthen relationships with external development partners and key technology stakeholders.
**Leadership And Team Development**
* Lead and mentor product managers and product owners, emphasizing execution excellence, data\-driven decision\-making, and customer focus.
* Foster a culture of innovation, accountability, and cross\-functional collaboration.
* Demonstrate strong people leadership experience managing global and matrixed teams.
**Education And Experience**
* Bachelor’s degree; advanced degree in healthcare, life sciences, computer science, business, or related field preferred.
* Previous product management experience delivering complex digital software solutions, with significant experience in clinical research, laboratory services, life sciences, or other regulated industries that provides the knowledge, skills, and abilities to perform the job (comparable to 12\+ years’ experience)
* 2\+ years of people leadership experience managing global or matrixed teams.
* In some cases, an equivalency, consisting of appropriate education, training, and/or directly related experience will be considered sufficient for an individual to meet the requirements of the role.
**Knowledge, Skills And Abilities**
* Strong business acumen and demonstrated ability to drive digital innovation and measurable growth.
* Deep understanding of full product lifecycle management from concept through commercialization.
* Prior experience with laboratory operations and systems (LIMS, ELN, scientific data platforms) strongly preferred.
* Experience working within quality systems and regulatory frameworks applicable to clinical research and laboratory environments.
* Proven success leading cross\-functional teams in large, matrixed organizations.
* Exceptional communication, executive storytelling, and stakeholder management skills.
* Experience collaborating with external development partners.
* Familiarity with agile product management tools (e.g., Jira, Aha!, Azure DevOps).
* Experience applying AI/ML concepts within data\-intensive environments preferred.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]]\&gt;</t>
        </is>
      </c>
    </row>
    <row r="92">
      <c r="A92" t="inlineStr">
        <is>
          <t>li-4382384991</t>
        </is>
      </c>
      <c r="B92" t="inlineStr">
        <is>
          <t>Director, Digital Product Manager, Clinical Execution</t>
        </is>
      </c>
      <c r="C92" t="inlineStr">
        <is>
          <t>Thermo Fisher Scientific</t>
        </is>
      </c>
      <c r="D92" t="inlineStr">
        <is>
          <t>linkedin</t>
        </is>
      </c>
      <c r="E92" t="inlineStr"/>
      <c r="F92" t="inlineStr"/>
      <c r="G92" t="inlineStr">
        <is>
          <t>Wilmington, NC</t>
        </is>
      </c>
      <c r="H92" t="inlineStr"/>
      <c r="I92" t="inlineStr">
        <is>
          <t>**Work Schedule**
 Standard (Mon\-Fri)
**Environmental Conditions**
 Office
**Job Description**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**Qualifications**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
 Thermo Fisher Scientific is an EEO/Affirmative Action Employer and does not discriminate on the basis of race, color, religion, sex, sexual orientation, gender identity, national origin, protected veteran status, disability or any other legally protected status.</t>
        </is>
      </c>
    </row>
    <row r="93">
      <c r="A93" t="inlineStr">
        <is>
          <t>li-4337161312</t>
        </is>
      </c>
      <c r="B93" t="inlineStr">
        <is>
          <t>Product Manager  - Commerce Trust</t>
        </is>
      </c>
      <c r="C93" t="inlineStr">
        <is>
          <t>Commerce Trust</t>
        </is>
      </c>
      <c r="D93" t="inlineStr">
        <is>
          <t>linkedin</t>
        </is>
      </c>
      <c r="E93" t="inlineStr"/>
      <c r="F93" t="inlineStr"/>
      <c r="G93" t="inlineStr">
        <is>
          <t>Kansas City, MO</t>
        </is>
      </c>
      <c r="H93" t="inlineStr"/>
      <c r="I93" t="inlineStr">
        <is>
          <t>**About Working At Commerce**
 Building a career here is more than just steps on a ladder. It’s about helping people find financial safety and success, helping businesses thrive, and making sure people and their money are taken care of. And our commitment doesn’t stop there. Our culture is about our people, the ones in our communities and the ones that work with us.
 Here, you’ll find opportunities to grow and learn, to connect with others, and build relationships with the people around you. You’ll have the space and resources to grow into the best version of yourself. Because our number one investment is you.
 Creating an award\-winning culture doesn't come easy. And after 160 years, we know Commerce Bank is only at its best when our people are. If this sounds interesting to you, keep reading and let’s talk.
**Compensation Range**
 Hourly: $91,000\.00 \- $121,000\.00 (Amount based on relevant experience, skills, and competencies.)
 For more than a century, Commerce Trust has been a leading provider of wealth management services including financial planning, estate and tax planning, investment management, private banking and trust administration services. Our approach to wealth management means assembling a team of seasoned wealth management professionals across disciplines who collaborate to ensure each client’s financial journey is uniquely crafted for their goals. Commerce Trust is a division of Commerce Bank.
 As a fiduciary and Wealth Management expert the Private Client Advisor Associate’s primary responsibility is the support of our Private Client Relationship Managers who are accountable for the delivery of wealth management advisory services to ultra\-high net worth clientele and their business partners.
 The Wealth Management Private Banking Product Manager is a key point of contact supporting our Private Banking service offering within Commerce Trust Company. Commerce Trust Company, a division of Commerce Bank, is ranked among the top 25 investment advisors in the U.S. with over $55 billion in client assets. The Commerce Trust Company concentrates on serving individuals, families, business owners and institutions investment management needs through a combination of world class capabilities and resources, objective advice, customized solutions and unparalleled service.
**About This Job**
 The main purpose of this job is to drive the decisioning, planning, execution and communication of the Private Banking Program and ensure the competitiveness of existing and evaluation of new products and systems within Commerce Trust. The Private Banking Program covers complex and integrated solutions across the organization.
**Essential Functions**
* Partner with business line leaders to define, lead and influence the execution of Private Banking strategic business initiatives
* Lead and influence strategic initiatives to maintain competitiveness of current offerings and assess opportunities for new products, systems, and feature
* Make recommendations to business line leadership in concert with the strategic direction
* Independently create the vision and implementation timeline of identified program features and deliverables
* Prepare business cases for new products and drive prioritization of initiatives
* Create and confidently communicate the business roadmap vision and status to senior leaders and stakeholders
* Serve as the primary decision\-maker, directing and authorizing execution efforts across all participating teams
* Lead vendor analysis efforts and provide input to product marketing plans
* Independently lead vendor and technology partner relationships in the execution of the strategic plan
* Consult and guide the development of product training and oversee the transition of product support to designated day\-to\-day support teams
* Perform other duties as assigned
**Knowledge, Skills \&amp; Abilities Required**
* Proficient in understanding product infrastructure and relevant legal and regulatory requirements
* Proficient knowledge and hands\-on experience in Product Management
* Proficient knowledge and hands\-on experience in Program Management
* Excellent relationship management skills
* Demonstrated ability to resolve problems and identify and drive process improvements
* Demonstrated ability to set goals, monitor and drive results
* Demonstrated ability to autonomously work and lead multiple priority projects
* Proven track record in building and leading projects of a wide variety of disciplines and backgrounds
* Demonstrated strong business acumen and the ability to make timely and sound business decisions
* Motivated and organized self\-starter with strong attention to detail
* Inquisitive, agile and strong team player with excellent written, verbal and interpersonal communication skills
* Ability to remain adaptable and resilient to all situations with an optimistic outlook and cast a positive shadow that is aligned with our culture and Core Values
* Intermediate knowledge of Microsoft Excel, Word and Outlook
**Education \&amp; Experience**
* Bachelor’s degree in Business, or an equivalent combination of education and experience
* 2\+ years of experience required in Product or Program management or a similar capacity
* 2\+ years of experience preferred in leading a cross\-functional team
* 2\+ years of experience preferred with financial products and systems
* Experience preferred in the finance or investment management industries
 The Wealth Management Private Banking Product Manager is a key influencer and leader of our Private Banking within Commerce Trust. Commerce Trust, a division of Commerce Bank, is ranked among the top 25 investment advisors in the U.S. with over $75 billion in client assets. Commerce Trust concentrates on serving individuals, families, business owners and institutions investment management needs through a combination of world class capabilities and resources, objective advice, customized solutions and unparalleled service.
* Level of role is determined by knowledge, experience, skills, abilities, and education
* For individuals applying, assigned and/or hired to work in areas with pay transparency requirements, Commerce is required by law to include a reasonable estimate of the compensation range for some roles. This compensation range is for the Product Manager II \&amp; Senior \- CTC job and contemplates a wide range of factors that are considered in determining most appropriate job level and making compensation decisions, including but not limited to location, skill sets, education, relevant experience and training, licensure and certifications, and other business and organizational needs. The disclosed range estimate has not been adjusted for any applicable differentials (geographic, bilingual, or shift) that could be associated with the position or where it is filled. At Commerce, compensation decisions are dependent on the facts and circumstances of each situation. A reasonable estimate of the current base pay is $91,000 to $121,000 annually. Depending on the job level, this position may be eligible for additional compensation through performance\-based incentive plan(s) that will correspond to meeting performance goals.
 The candidate selected for this position may be eligible for the following employment benefits: employer sponsored health, dental, and vision insurance, 401(k), life insurance, paid vacation, and paid personal time. In addition, we offer career development, education assistance, and voluntary supplemental benefits. Click here to learn more.
 Location: 922 Walnut St, Kansas City, Missouri 64106
 Time Type:
 Full time</t>
        </is>
      </c>
    </row>
    <row r="94">
      <c r="A94" t="inlineStr">
        <is>
          <t>li-4372995880</t>
        </is>
      </c>
      <c r="B94" t="inlineStr">
        <is>
          <t>Principal Product Manager</t>
        </is>
      </c>
      <c r="C94" t="inlineStr">
        <is>
          <t>Microsoft</t>
        </is>
      </c>
      <c r="D94" t="inlineStr">
        <is>
          <t>linkedin</t>
        </is>
      </c>
      <c r="E94" t="inlineStr"/>
      <c r="F94" t="inlineStr"/>
      <c r="G94" t="inlineStr">
        <is>
          <t>Redmond, WA</t>
        </is>
      </c>
      <c r="H94" t="inlineStr"/>
      <c r="I94"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Global Customer Success (GCS) organization, an organization within CE\&amp;S, is leading the effort to enable customer success on the Microsoft Cloud by harnessing leading, AI\-powered capabilities and human expertise to deliver innovation solutions that accelerate business value, drive operational excellence and nurture long term loyalty.
 As a Principal Product Manager, you will be responsible for driving the strategy that underpins a unified portfolio catalog across Microsoft Unified and our AI Consulting business (Industry Solutions Delivery). We are looking for an experienced product strategy and product management leader who thrives in dynamic, cross functional environments and is passionate about helping customers solve complex challenges through an integrated, end\-to\-end One Services portfolio.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Strategic Leadership:
* Formulate and drive the strategy, product vision, and roadmap for your One Services portfolio, aligning to Microsoft’s business goals \&amp; customer needs.
* Work with individual Services product owners to ensure product roadmaps align across the portfolio to meet customer needs, drive to a single Offerings portfolio strategy, and achieve our Services growth and company impact ambitions.
 Strategic Problem Solving \&amp; Insights
* Define and lead cross\-functional Portfolio Strategy project(s) as a project to lead through goals, deliverables, feedback, and timing expectations, proactively identifying and addressing roadblocks.
* Synthesize findings into insights across projects, including implications that inform business decisions, leveraging executive presence to influence decisions and proactively identifying impactful ideas for the One Services portfolio strategy
**Customer \&amp; Market Insights**
* Use quantitative and qualitative analyses (telemetry, customer and partner feedback, expert calls, stakeholder feedback, market reports) to identify new opportunities for the Microsoft One Services portfolio, inform portfolio decisions and validate market fit.
* Engage directly with customers and partners to solicit feedback and understand their experiences.
* Leverage AI to analyze customer and market signals to identify portfolio opportunities
**Go\-To\-Market \&amp; Evangelism**
* Collaborate with Offer Development teams, Business Planning, Finance and Product Marketing teams to develop One Services portfolio release criteria, customer acquisition, retention, and monetization strategies, when relevant.
* Lead presentations and evangelize the single services catalog at executive briefings and industry events.
 Other
* Embody our culture and values.
**Qualifications**
 Required Qualifications:
* Bachelor's Degree AND 8\+ years' experience in strategy consulting OR product strategy/planning OR product/service/program management or software development OR equivalent experience.
**Preferred Qualifications**
* Demonstrated skills in decision making oriented problem solving (strategy framing, analytical thinking, creativity, systems thinking), cross\-functional leadership and influence (verbal and written communication, adaptability, relationship building, influencing/conflict resolution), and product/portfolio vision definition
* Understanding of the Microsoft Services portfolio (ISD, Unified), competitive position, strategic priorities and opportunities, and experience in Consulting Services or Customer Support and Success portfolio strategy/management in a global technology company
* Bachelor's Degree AND 15\+ years' experience in top strategy consulting firms OR product strategy/planning OR product/service/program management or software development OR equivalent experience.
* 6\+ years' experience taking a product strategy, product or experience to market (e.g., design, addressing product market fit, and launch, internal tool/framework).
* 8\+ years' experience disrupting a market for a product, feature, or experience (e.g., competitive disruption, taking the place of an established competing product).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li-4364485184</t>
        </is>
      </c>
      <c r="B95" t="inlineStr">
        <is>
          <t>Senior Product Manager - Technical, GenAI Evaluation Media (GEM)</t>
        </is>
      </c>
      <c r="C95" t="inlineStr">
        <is>
          <t>Amazon</t>
        </is>
      </c>
      <c r="D95" t="inlineStr">
        <is>
          <t>linkedin</t>
        </is>
      </c>
      <c r="E95" t="inlineStr"/>
      <c r="F95" t="inlineStr"/>
      <c r="G95" t="inlineStr">
        <is>
          <t>Seattle, WA</t>
        </is>
      </c>
      <c r="H95" t="inlineStr"/>
      <c r="I95" t="inlineStr">
        <is>
          <t>**Description**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WA, Seattle \- 151,200\.00 \- 204,600\.00 USD annually
**Company** 
 \- Amazon.com Services LLC
 Job ID: A3159612</t>
        </is>
      </c>
    </row>
    <row r="96">
      <c r="A96" t="inlineStr">
        <is>
          <t>li-4372753743</t>
        </is>
      </c>
      <c r="B96" t="inlineStr">
        <is>
          <t>Principal Product Manager - AI Governance (Azure AI Foundry)</t>
        </is>
      </c>
      <c r="C96" t="inlineStr">
        <is>
          <t>Microsoft</t>
        </is>
      </c>
      <c r="D96" t="inlineStr">
        <is>
          <t>linkedin</t>
        </is>
      </c>
      <c r="E96" t="inlineStr"/>
      <c r="F96" t="inlineStr"/>
      <c r="G96" t="inlineStr">
        <is>
          <t>Redmond, WA</t>
        </is>
      </c>
      <c r="H96" t="inlineStr"/>
      <c r="I96" t="inlineStr">
        <is>
          <t>**Overview**
 AI is transforming how organizations operate, and with it comes a new frontier of governance. Microsoft’s Azure AI Foundry team is looking for a Principal Product Manager to lead the AI Governance area, defining how enterprises manage trust, compliance, and control across their AI systems.
 As AI agents and copilots become central to enterprise workflows, this role drives the development of governance experiences that unify security, policy, and observability across the AI lifecycle. You’ll shape how customers ensure responsible operation of AI agents through integrations with Microsoft Entra, Purview, Defender, and AI Foundry, building the foundation for continuous compliance and agentic trust at scale.
 This is a highly visible and technical product role at the intersection of AI safety, compliance engineering, and enterprise infrastructure. You will partner with cross\-company teams in Responsible AI (RAI), OCTO, Purview, Entra, and Azure Security to bring AI governance into the core of the Microsoft cloud ecosystem — enabling every organization to innovate confidently and responsibly.
 Why Join Us?
* You’ll join a mission\-driven team shaping the world’s most comprehensive AI governance platform — unifying trust, compliance, and security for the age of AI agents.
* Your work will directly influence how governments, enterprises, and developers build AI responsibly on the world’s most trusted cloud.
**Responsibilities**
* Lead the AI Governance product area within Azure AI Foundry — defining the long\-term vision, strategy, and roadmap for policy management, compliance automation, and regulatory readiness.
* Design and deliver core governance experiences, including agent\-level policies, data sensitivity signals, prohibited action controls, and AI system compliance dashboards.
* Integrate Foundry governance with Microsoft’s broader security and compliance stack — Entra (identity and A2A policies), Purview (data classification and DLP), and Defender (threat insights).
* Translate emerging AI regulations (EU AI Act, ISO 42001, NIST AI RMF) into actionable platform capabilities and customer experiences.
* Partner with Responsible AI researchers and engineering teams to operationalize ethical principles into measurable safeguards and evaluators.
* Collaborate with customers, industry bodies, and policymakers to help shape standards for trustworthy AI deployment.
* Establish and track success metrics (governance coverage, compliance posture, customer adoption), ensuring measurable impact and clarity across engineering and partner orgs.
* Represent the product in executive and customer forums, evangelizing Microsoft’s approach to responsible, governed AI systems.
**Qualifications**
 Required Qualifications
* Bachelor’s Degree AND 8\+ years in product management, program management, or technical leadership roles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Deep familiarity with AI/ML systems, model governance, or enterprise compliance frameworks.
* Proven experience driving cross\-functional initiatives with engineering, security, and policy teams.
* Excellent communication skills with demonstrated ability to influence across organizational boundaries.
* 10\+ years of product management or applied AI experience, ideally in enterprise cloud or responsible AI domains.
* Knowledge of AI governance frameworks (EU AI Act, NIST AI RMF, ISO 42001, SOC 2, etc.).
* Experience building or integrating security, compliance, or observability products.
* Familiarity with agentic AI systems and associated risk classes (e.g., sensitive data leakage, prohibited actions, task drift, jailbreaks).
* Hands\-on technical depth to collaborate effectively with engineers and architects.
* Solid storytelling and executive communication skills; ability to inspire trust and drive alignment in complex, cross\-org environments
 \#coreai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7">
      <c r="A97" t="inlineStr">
        <is>
          <t>li-4315484331</t>
        </is>
      </c>
      <c r="B97" t="inlineStr">
        <is>
          <t>Senior Program Manager (Software)</t>
        </is>
      </c>
      <c r="C97" t="inlineStr">
        <is>
          <t>N-able</t>
        </is>
      </c>
      <c r="D97" t="inlineStr">
        <is>
          <t>linkedin</t>
        </is>
      </c>
      <c r="E97" t="inlineStr"/>
      <c r="F97" t="inlineStr"/>
      <c r="G97" t="inlineStr">
        <is>
          <t>Burlington, MA</t>
        </is>
      </c>
      <c r="H97" t="inlineStr"/>
      <c r="I97" t="inlineStr">
        <is>
          <t>**Why N\-able**
 At N\-able, we’re not just helping businesses be secure —we’re redefining what it means to be cyber resilient. Our end\-to\-end platform blends AI\-powered capabilities and flexible tech stacks, so customers can manage, secure, and recover with confidence. But the real power behind it all? Our people. We’re a global crew of N\-ablites, who love solving complex problems, sharing knowledge, and delivering solutions that actually make a difference. If you're into meaningful work, fast growth, and a team that’s got your back, you’ll be surrounded by people who believe in what they do—and in you.
 In this role, you’ll need to love the details and be a pro at bringing order to chaos. The ideal candidate will have a strong background in project and program management, executive\-level stakeholder engagement, and experience leading cross\-functional strategic initiatives. This person must have a strong desire and proven ability to make things happen across various teams to get them done and surface problems as early as possible. This individual plays a critical and central role in the N\-able product launch process, with responsibility for managing software delivery to go\-to\-market plans for new products and services. This is both a strategic and tactical role for an individual who is looking to manage day\-to\-day activities, as well as larger, long\-term initiatives for multiple projects at a time.
 Success in this role requires a solid foundation to understand the Data Protection, Security, and Remote Monitoring solutions we are deploying and a relentless drive to make things happen. You will act as a strategic thought partner and advisor to leadership and will work with many N\-able teams: our Product and Engineering teams, and other Go\-To\-Market stakeholders to create and maintain detailed project tracking and drive roll\-out plans.
**What You'll Do**
* Hybrid role that will sit in our Burlington, MA Collaboration Hub Tuesday through Thursday.
* Manage the project delivery stream for an N\-able product function, to ensure on time, quality, delivery from concept to market.
* Develop and manage project plans, timelines, and deliverables across multiple workstreams and cross\-functional teams.
* Collaborate with Marketing, Sales, Engineering, Legal, Training and other teams related to the project.
* Identify impediments and remove project barriers and blockers.
* Ensure projects are completed holistically, using documentation, training, escalation paths, etc.
* Develop and present executive\-ready communications (including emails, documentation and presentations), by quantitative and qualitative insights.
* Lead and facilitate meetings, status updates, and ensure clear documentation of project progress.
* Act as a thoughtful partner to product area executive leadership to enhance the effectiveness of the team, allowing leaders to focus on high\-level decision making while ensuring that operational details are managed efficiently.
* Coordinate cross\-team communication to ensure alignment on strategy, messaging, and seamless execution.
* Apply your experience, knowledge and creativity to drive projects forward.
* Lead program level business unit meetings.
**What You'll Bring**
* Minimum 10 years of project management experience preferably in a technology company.
* Minimum 5 years of demonstrated project management experience working with product launch teams in go\-to\-market projects.
* Experience in security, endpoint management, and data backup technologies a plus.
* Highly driven self\-starter, motivated, with excellent communication, organization skills and the ability to influence cross\-functional teams and drive results.
* Ability to effectively operate in a matrix environment in coordinating people and resources from multiple areas of the company.
* Troubleshooting and creative problem\-solving skills.
* Excellent written and verbal communication skills.
* Knowledge of project management tools, techniques, and processes.
* Excellent communication and presentation skills, including experience collaborating with and presenting to senior leadership. Adept at conveying complex information in a clear and compelling manner.
* Strategic thinking with a strong bias for action—you know how to connect the dots between executive priorities and on\-the\-ground execution.
* Strong interpersonal skills; ability to communicate at all levels of the organization.
* Ability to manage multiple projects simultaneously.
* Demonstrated ability to structure and manage multitrack launch project plans, identifying and tracking all cross\-functional workstreams.
 This position has a starting base salary range of $115,000 to $132,900 per year. Actual starting pay is determined by a number of factors, including relevant skills, qualifications, and experience. This position is also eligible for bonus.
**Purple Perks**
**What do we offer you?**
* Medical, dental and vision – for employee, partner, and children!
* Generous PTO and observed holidays
* 2 Paid VoluNteer Days per year
* Pension Plan with company\-contribution
* Employee Stock Purchase Program
* Discounted gym access at several local facilities
* FuN\-raising opportunities as part of our giving program
* N\-ablite Learning – custom learning experience as part of our investment in you
* The Way We Work – our hybrid working model based on trust and flexibility
**About N\-able**
 At N\-able, our mission is to protect businesses against evolving cyberthreats with an end\-to\-end cyber resilience platform to manage, secure, and recover. Our scalable technology infrastructure includes AI\-powered capabilities, market\-leading third\-party integrations, and the flexibility to employ technologies of choice—to transform workflows and deliver critical security outcomes. Our partner\-first approach combines our products with experts, training, and peer\-led events that empower our customers to be secure, resilient, and successful.</t>
        </is>
      </c>
    </row>
    <row r="98">
      <c r="A98" t="inlineStr">
        <is>
          <t>li-4372920104</t>
        </is>
      </c>
      <c r="B98" t="inlineStr">
        <is>
          <t>Senior Associate, Product Manager - Capital One Travel</t>
        </is>
      </c>
      <c r="C98" t="inlineStr">
        <is>
          <t>Capital One</t>
        </is>
      </c>
      <c r="D98" t="inlineStr">
        <is>
          <t>linkedin</t>
        </is>
      </c>
      <c r="E98" t="inlineStr"/>
      <c r="F98" t="inlineStr"/>
      <c r="G98" t="inlineStr">
        <is>
          <t>New York, NY</t>
        </is>
      </c>
      <c r="H98" t="inlineStr"/>
      <c r="I98" t="inlineStr">
        <is>
          <t>****Product Management****
 Product Management at Capital One is a booming, vibrant craft that requires reimagining the status quo, finding value creation opportunities, and driving innovative and sustainable customer experiences through technology.
**About The Role**
 Do you want to build and launch new Capital One Travel experiences from 0\-to\-1? Do you want to scale these features to millions of travel eligible customers? Do you dream of well\-designed and intuitive products and customer experiences? Do you want to be part of a highly innovative team within a growing organization? If you answered yes to all of these questions, then this product management role at Capital One may be a fit for you.
 Join the fast\-growing Capital One Travel team, as we seek to transform the way customers book travel. Capital One Travel is a fast\-moving, highly innovative, digital\-first business within Capital one’s Premium Products and Experiences organization. We aim to grow an industry leading travel booking platform that customers love and deliver unique, differentiated benefits to our millions of customers while also powering the headline marketable benefits of our credit card products.
****In this role you will:****
* Launch net new Capital One Travel experiences by working across cross\-functional internal and external partners
* Be the intent owner for multiple pieces of intent, working seamlessly across both backend and front end developers to bring customer facing experiences to life
* Ideate, prioritize, build, test, and measure net new features to accelerate customer adoption and engagement
* Enable growth by leading A/B tests \&amp; experimentations to drive impact across Acquisition, Activation, Engagement, Retention, and Revenue metrics
* Develop and deliver on best in class testing strategies to ensure that we consistently launch the highest performing product features.
* Put the best of travel booking technology into the hands of millions who are excited to travel.
* Dream up and deliver on new travel features and experiences, developing the product strategy and backlog for Capital One Travel in close partnership with our business peers.
****In this role, you’ll learn the essentials of being a product manager, and we’ll invest in you to grow in four key areas** 
 :**
* Human Centered
+ You’ll collaborate with tech teams to build comprehensive acceptance criteria, identifying and elevating any need for additional research to define future feature design
+ You'll breakdown business epics into features and further into user stories, driving your team towards lowest effort or Minimal Viable Product (MVP) for a valid feature test
* Business Focused
+ Demonstrating a growth mindset, you’ll effectively use hypothesis\-driven assessment of data to ensure your product or feature delivers on real business needs
+ You’ll own and prioritize feature development roadmaps, ensuring all necessary processes and procedures are followed to manage risk
* Technology Driven
+ You’ll work autonomously in an agile environment, to conduct research and develop features that utilize new and evolving technology
+ You’ll collaborate with designers, technologists, data scientists and subject\-matter experts to build cutting edge solutions to help customers
+ You’ll deliver well\-managed product platforms for customers by seeking to understand technology trends and architecture strategy
* Transformational Leadership
+ By actively participating in horizontal forums, you’ll harness a network of trusted relationships among tech teams, designers, key internal stakeholders and partner teams
+ You’ll articulate a succinct product roadmap to deliver business value and share with with stakeholders, elevating your team’s results and becoming a product matter expert
****We want you if you are:****
* Intellectually Curious. You ask why, you explore, you're not afraid to blurt out your crazy idea or follow an email chain for weeks to find someone with an answer. Comfortable with ambiguity, a hunger to learn and a seeker of new challenges
* Communicator \&amp; Influencer. You can communicate complex ideas clearly regardless of your audience. Our team knows their priorities and why they’re doing what they’re doing. You always can rally associates to work with you
* Do\-er. You’re biased toward action, you try things and sometimes you fail. You can get around roadblocks and stay focused on your goals. You’re well organized, able to multitask and able to prioritize your work
* Passionate \&amp; Customer Focus. You care about growing others and bringing them together around what’s possible. You get a thrill from the journey of building and shipping products, and you have a desire and ability to connect with our external or internal customers to fully understand their needs
* Learner. You have an appetite to learn new things or new technologies all while exhibiting humbleness when the time comes to ask for help
* Team Player. You enjoy working with diverse people and driving the team toward a common goal. You have the ability to put the team before yourself and establish long\-lasting relationships
****Basic Qualifications:****
* Bachelor’s degree or military experience
* At least 1 year of product management experience or at least 1 year of experience in product design, agile delivery, business analysis, data science, or software engineering
****Preferred Qualifications:****
* Bachelor’s degree in computer science or engineering
* 1\+ years translating business strategy or analysis into consumer facing digital products
* 1\+ years of experience working on core product platforms powering digital experiences
* 1\+ years working with cross functional teams as a product owner in an agile development process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$121,300 \- $138,400 for Sr. Associate,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li-4364465009</t>
        </is>
      </c>
      <c r="B99" t="inlineStr">
        <is>
          <t>Senior Technical Program Manager I, Infrastructure, Google Cloud</t>
        </is>
      </c>
      <c r="C99" t="inlineStr">
        <is>
          <t>Google</t>
        </is>
      </c>
      <c r="D99" t="inlineStr">
        <is>
          <t>linkedin</t>
        </is>
      </c>
      <c r="E99" t="inlineStr"/>
      <c r="F99" t="inlineStr"/>
      <c r="G99" t="inlineStr">
        <is>
          <t>Sunnyvale, CA</t>
        </is>
      </c>
      <c r="H99" t="inlineStr"/>
      <c r="I9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in a relevant field, or equivalent practical experience.
* 8 years of experience in program management.
* 8 years of infrastructure work experience.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0">
      <c r="A100" t="inlineStr">
        <is>
          <t>li-4372988972</t>
        </is>
      </c>
      <c r="B100" t="inlineStr">
        <is>
          <t>Sr. Technical Program Manager - Opportunity Analytics</t>
        </is>
      </c>
      <c r="C100" t="inlineStr">
        <is>
          <t>Microsoft</t>
        </is>
      </c>
      <c r="D100" t="inlineStr">
        <is>
          <t>linkedin</t>
        </is>
      </c>
      <c r="E100" t="inlineStr"/>
      <c r="F100" t="inlineStr"/>
      <c r="G100" t="inlineStr">
        <is>
          <t>New York, United States</t>
        </is>
      </c>
      <c r="H100" t="inlineStr"/>
      <c r="I100" t="inlineStr">
        <is>
          <t>**Overview**
 Microsoft Advertising (MSA) is a worldwide Sales, Marketing, Business and Operations organization on the cutting edge of the digital advertising industry. We are the engine that powers the buying and selling of digital advertising across all aspects of our digital portfolio including our high\-growth search engine, Bing, and consumer services like MSN, Microsoft News, Xbox, and Outlook.
 We are looking for a
 **Sr.** 
**Technical Program Manager \- Opportunity Analytics** 
 team within the Global Business Planning function of Microsoft Advertising (MSA). As a TPM at MSA, you will focus on analyzing monetization performance and identifying growth opportunities across regions, products, and advertiser segments within the global business. In this position, you’ll work with large data sets to gain a thorough understanding of the factors that drive growth across our ad platform, publishers, advertisers, and consumers in international markets. A key responsibility will be developing strategies to translate marketplace trends into actionable advertiser growth opportunities, collaborating with stakeholders to create sales initiatives, and measuring the impact and effectiveness of these programs.
 This role requires an individual with depth of knowledge of the global advertising space \- in particular performance advertising and audience\-led buying across search, display, native or programmatic \- a keen intellect for generating data driven answers to complex business questions as well as superior communication skills to influence a range of different partners and stakeholders.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Lead \&amp; develop an effective framework to identify growth opportunities through analysis of marketplace, advertiser and monetization trends for the global markets and drive demand programs in partnership with relevant teams to help execute against the opportunities
* Serve as the key partner to Business Planning, Demand Planning, Market Sciences, and Sales Strategy teams on opportunities, programs and measurement.
* Work on ad\-hoc projects with the basic theme of analyzing large quantities of data to generate meaningful actionable insights for our advertisers
* Collaborate with different parts/teams of the Microsoft Advertising eco system, as required, to leverage diverse assets and tools towards solving on\-demand business problems
* Showcase thought leadership by unlocking newer and lesser explored areas of driving sustainable advertiser demand growth through effective monitoring of demand performance, quality, and diversification including the development of suitable frameworks and building the case for Leadership team buy\-in, where appropriate.
* Research evolving industry trends and our competitive landscape to understand implications for our business and advertiser base – develop and land strategic recommendations with our business leadership.
* Be a Strategic Advisor: Provide thought leadership, advice, influence and insight to partners across other teams.
**Other**
* Embody our culture and values.
**Qualifications**
**Required Qualifications:**
* Bachelor's Degree AND 4\+ years experience in engineering, product/technical program management, data analysis, or product development OR equivalent experience.
* 2\+ years of experience managing cross\-functional and/or cross\-team projects.
**Preferred Qualifications**
* 6\+ years of experience of applying sophisticated analytics to solve complex business questions.
* Well\-developed critical thinking and problem\-solving skills.
* Experience with turning large scale data into actionable insights and decisions.
* Hands\-on approach to data analysis / data mining with a solid focus on quality.
* Experience with MS Excel.
* Superior communications skills, both verbal and written and ability to engage with business partners and executives to influence and drive data based strategic decisions.
* Experience with SQL, PowerBI and Python.
 \#MicrosoftAI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li-4382372769</t>
        </is>
      </c>
      <c r="B101" t="inlineStr">
        <is>
          <t>Supply Chain Product Manager, Amazon Custom Modules - Power / Mechanical / Thermal</t>
        </is>
      </c>
      <c r="C101" t="inlineStr">
        <is>
          <t>Amazon Web Services (AWS)</t>
        </is>
      </c>
      <c r="D101" t="inlineStr">
        <is>
          <t>linkedin</t>
        </is>
      </c>
      <c r="E101" t="inlineStr"/>
      <c r="F101" t="inlineStr"/>
      <c r="G101" t="inlineStr">
        <is>
          <t>Seattle, WA</t>
        </is>
      </c>
      <c r="H101" t="inlineStr"/>
      <c r="I101"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cutting\-edge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role will lead sourcing, pricing, geo\-diversity, and second source manufacturing efforts for supply resiliency for AI/ML products added to our product roadmap.This role will manage the additional supply chain complexity when qualifying suppliers and manufacturing lines when transitioning from development to Mass Production. Additionally, this role will deliver our component multi\-sourcing strategies, pricing, and enable contract manufacturing for the same platforms to ensure supply chain resiliency for our expanding AI/ML roadmap. This role will lead line qualification, capacity planning, and contract agreements during product development so that at launch, manufacturing capacity is scalable to meet our customer needs.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Mechanical/Electrical Assembly sourcing strategies for AWS hardware infrastructure.
* Develop and implement sourcing strategies for AWS hardware infrastructure.
* Understand industry and technology trends.
* Identify key technology trends in the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core\-team updates, deliver executive level updates on a monthly basis, and will be responsible for vendor escalations in order to resolve any issues related to his/her category.
* Present to senior leadership via written narratives.
**About The Team**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procurement, supply chain, inventory management, contract management, lease administration or operations experience
* 5\+ years of relevant strategic sourcing including vendor negotiations, global contract management, process improvement, operational and financial analysis experience
* Bachelor's degree in Supply Chain, Business, Engineering, Finance, or a related technical field
* Experience in procurement, supply chain, inventory management, contract management, lease administration or operations
* Experience in strategic sourcing including vendor negotiations, global contract management, process improvement, operational and financial analysis
* Experience with data analysis tools such as Advanced Excel, SQL, Tableau, Python
* Experience in global supply chain management, managing cross\-functional teams in a fast\-paced consumer electronics product company
**Preferred Qualifications**
* 4\+ years of program, project, product management, or leading a product implementation process experience
* Master's degree in Business Administration, Finance, Economics, Computer Science, or a related field
* Experience in program, project, product management, or leading a product implementation process
* Experience in data centers, infrastructure service providers, or related technology companies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\- 82,700\.00 \- 139,100\.00 USD annually
**Company** 
 \- Amazon Data Services, Inc.
 Job ID: A3198818</t>
        </is>
      </c>
    </row>
    <row r="102">
      <c r="A102" t="inlineStr">
        <is>
          <t>li-4364119534</t>
        </is>
      </c>
      <c r="B102" t="inlineStr">
        <is>
          <t>Technical Program Manager III, Software Engineering, Core</t>
        </is>
      </c>
      <c r="C102" t="inlineStr">
        <is>
          <t>Google</t>
        </is>
      </c>
      <c r="D102" t="inlineStr">
        <is>
          <t>linkedin</t>
        </is>
      </c>
      <c r="E102" t="inlineStr"/>
      <c r="F102" t="inlineStr"/>
      <c r="G102" t="inlineStr">
        <is>
          <t>San Francisco, CA</t>
        </is>
      </c>
      <c r="H102" t="inlineStr"/>
      <c r="I10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3">
      <c r="A103" t="inlineStr">
        <is>
          <t>li-4371756864</t>
        </is>
      </c>
      <c r="B103" t="inlineStr">
        <is>
          <t>Program Manager III, Data Center Equipment Spend Planning</t>
        </is>
      </c>
      <c r="C103" t="inlineStr">
        <is>
          <t>Google</t>
        </is>
      </c>
      <c r="D103" t="inlineStr">
        <is>
          <t>linkedin</t>
        </is>
      </c>
      <c r="E103" t="inlineStr"/>
      <c r="F103" t="inlineStr"/>
      <c r="G103" t="inlineStr">
        <is>
          <t>Kirkland, WA</t>
        </is>
      </c>
      <c r="H103" t="inlineStr"/>
      <c r="I10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**Atlanta, GA, USA; Kirkland, WA, USA** 
 .
 **Minimum qualifications:**
* Bachelor's degree or equivalent practical experience.
* 5 years of experience in program or project management.
* Experience creating process improvements, working with spreadsheet/database models and ERP and planning systems such as Kinaxis, SAP, or other similar tools.
* Experience in data center spend planning or developing CAPEX and OPEX procurement and governance policies.
**Preferred qualifications:**
* 10 years of experience in supply chain operations or planning, planning materials, and costs for new product launches and transitions in the tech industry.
* 5 years of experience managing cross\-functional or cross\-team projects.
* Experience in using enterprise resource planning and product life\-cycle management systems and tools like Kinaxis, SAP, or other IBP tools.
* Experience leading functional system implementations (gathering requirements, writing BRDs, managing user acceptance testing) working alongside engineering/development teams.
* Knowledge of S\&amp;OP processes and experience in development and implementation of scalable planning systems and processes.
* Knowledge of financial and cost accounting practices and analytics/SQL/BigQuery.
**About the job** 
 A problem isn’t truly solved until it’s solved for all. That’s why Googlers build products that help create opportunities for everyone, whether down the street or across the globe. As a Program Manager at Google, you’ll lead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Our team procures and delivers the cooling and electrical gear that power our data centers. The end result of our work is the delivery of Google's products and services to billions of users around the world. As a Spend Planning Program Manager, you will be responsible for the budgeting, forecasting, and governance of CAPEX and OPEX needed to support our supply chain for existing and new products. You will be responsible for the interpretation of the data center demand signal and translating it to a capital plan for our supply chain driving optimal funding decisions. You will work closely with equipment and data center planning, purchasing, engineering, fulfillment, commodity management, and contract manufacturing teams to develop and manage the execution of an accurate funding plan supporting procurement activities and business strategies.
 You will use your skills to establish metrics, process, and system improvements to accomplish efficiency and scalability goals and ensure proper governance influencing our rapidly growing data center infrastructure supply chain.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short\- and long\-term capital forecast models supporting material supply and justify funding allocation strategies to optimize costs and service levels. Communicate capital plans to stakeholders and lead the quarterly spend approval process for critical equipment.
* Manage end\-to\-end CAPEX and OPEX plans for product demand, coordinating cross\-functionally to align with fluctuating requirements.
* Resolve funding gaps, document process requirements, and manage performance metrics for supply chain capital management and governance.
* Utilize market intelligence to create governance models and improve inventory models and supply chain buffers.
* Lead the transition from manual planning to automated systems (e.g., Kinaxis, Anaplan, SAP), owning the lifecycle from writing BRD to evaluating vendors/systems and partnering with engineering teams to drive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4">
      <c r="A104" t="inlineStr">
        <is>
          <t>li-4364465019</t>
        </is>
      </c>
      <c r="B104" t="inlineStr">
        <is>
          <t>Technical Program Manager III, Software Engineering, Core</t>
        </is>
      </c>
      <c r="C104" t="inlineStr">
        <is>
          <t>Google</t>
        </is>
      </c>
      <c r="D104" t="inlineStr">
        <is>
          <t>linkedin</t>
        </is>
      </c>
      <c r="E104" t="inlineStr"/>
      <c r="F104" t="inlineStr"/>
      <c r="G104" t="inlineStr">
        <is>
          <t>Sunnyvale, CA</t>
        </is>
      </c>
      <c r="H104" t="inlineStr"/>
      <c r="I10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San Francisco, CA, USA; Sunnyvale, CA, USA** 
 .
 **Minimum qualifications:**
* Bachelor's degree in a relevant field, or equivalent practical experience.
* 5 years of experience in program management.
* Experience with software development and managing execution of programs that span multiple engineering teams.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5">
      <c r="A105" t="inlineStr">
        <is>
          <t>li-4371761757</t>
        </is>
      </c>
      <c r="B105" t="inlineStr">
        <is>
          <t>Technical Program Manager III, Data Center Design</t>
        </is>
      </c>
      <c r="C105" t="inlineStr">
        <is>
          <t>Google</t>
        </is>
      </c>
      <c r="D105" t="inlineStr">
        <is>
          <t>linkedin</t>
        </is>
      </c>
      <c r="E105" t="inlineStr"/>
      <c r="F105" t="inlineStr"/>
      <c r="G105" t="inlineStr">
        <is>
          <t>Moncks Corner, SC</t>
        </is>
      </c>
      <c r="H105" t="inlineStr"/>
      <c r="I105" t="inlineStr">
        <is>
          <t>Note: By applying to this position you will have an opportunity to share your preferred working location from the following:
 **Moncks Corner, SC 29461, USA; New York, NY, USA; Reston, VA, USA** 
 .
 **Minimum qualifications:**
* Bachelor's degree in a technical field, or equivalent practical experience.
* 5 years of experience in program management.
* Experience managing multi\-group, multi\-disciplinary construction projects and designs.
**Preferred qualifications:**
* Master's degree or PhD in Electrical, Mechanical or Industrial Engineering, Architecture, Construction Management, or a related technical field.
* Professional Engineer (PE), Registered Engineer, Chartered Engineer, or equivalent technical professional license or certification.
* 5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in data center or equivalent environments, including switchgear, generators, chillers, cooling towers, building controls, security monitoring, and fire safety systems, with an understanding of startup and commissioning processes.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at Google, you’ll use your technical expertise to lead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simultaneous data center design projects from detailed design through construction administration and finally closeout and handover to operations.
* Gather internal requirements, generating potential options, presenting to the leadership team, and delivering design solutions that satisfy customers' needs.
* Create and manage strategies for the execution of designs that leverage a standard baseline plan of record. Be responsible for managing strategy for projects that require deviation from the baseline design.
* Overcome critical tests while maintaining adherence to project timelines, quality and costs, and managing a cross\-functional set of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li-4382388305</t>
        </is>
      </c>
      <c r="B106" t="inlineStr">
        <is>
          <t>Principal Technical Program Manager</t>
        </is>
      </c>
      <c r="C106" t="inlineStr">
        <is>
          <t>Microsoft</t>
        </is>
      </c>
      <c r="D106" t="inlineStr">
        <is>
          <t>linkedin</t>
        </is>
      </c>
      <c r="E106" t="inlineStr"/>
      <c r="F106" t="inlineStr"/>
      <c r="G106" t="inlineStr">
        <is>
          <t>Redmond, WA</t>
        </is>
      </c>
      <c r="H106" t="inlineStr"/>
      <c r="I106" t="inlineStr">
        <is>
          <t>**Overview**
 The Microsoft Ads Marketplace connects advertisers with billions of daily queries across global search partners. Ensuring that this marketplace remains healthy, efficient, and innovative is essential to delivering high‑quality ad experiences and strong business outcomes for both publishers and advertisers. As a Technical Program Manager on the Marketplace Management team, you will own critical components of this ecosystem, driving product capabilities, partner integrations, and marketplace health initiatives that shape the future of Microsoft Ads.
 The role requires deep analytical judgment to evaluate publisher‑level and ecosystem‑level performance, identify structural opportunities, and influence long‑term marketplace direction.
 This role demands exceptional cross‑functional leadership, driving alignment and decisions across Microsoft Advertising, Engineering. Success requires strong executive‑level communication, the ability to navigate ambiguity, and a partner‑obsessed mindset with a track record of solving complex, systemic problems and translating them into scalable marketplace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Manage the end‑to‑end lifecycle of marketplace capabilities for Search publishers, including defining requirements, prioritizing features, and driving execution across engineering teams.
* Lead the delivery of new marketplace features and enhancements that improve partner performance, system efficiency, and advertiser outcomes.
* Ensure marketplace configurations, policies, and controls are aligned with business goals and partner commitments.
* Drive strategic discussions with Search publishers to understand their marketplace commitments, identify gaps, and align on improvements that strengthen the ecosystem.
* Continuously analyze marketplace health metrics, including traffic quality, revenue performance, discrepancy trends, and partner‑specific signals.
* Investigate anomalies or discrepancies, synthesize insights, and recommend corrective actions to internal teams and external partners.
* Build frameworks, dashboards, and processes that improve visibility into marketplace performance and enable proactive issue detection.
* Collaborate closely with engineering, data science, product management, and business development to deliver high‑impact marketplace improvements.
* Drive alignment across teams by articulating problem statements, defining success metrics, and ensuring timely execution of deliverables.
* Manage program risks, dependencies, and communication plans to keep stakeholders informed and accountable.
**Qualifications**
**Required Qualifications:**
* Bachelor's Degree AND 6\+ years experience in engineering, product/technical program management, data analysis, or product development
+ OR equivalent experience.
* 3\+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engineering, product/technical program management, data analysis, or product development
+ OR equivalent experience. 8\+ years of experience managing cross\-functional and/or cross\-team projects.
* Proficient use of data analysis tools (e.g., Kusto, SQL, Python) and comfort working with large datasets.
 \#MicrosoftAI \#Ads \#Advertising \#A/BTesting \#Experimentation,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7">
      <c r="A107" t="inlineStr">
        <is>
          <t>li-4372009287</t>
        </is>
      </c>
      <c r="B107" t="inlineStr">
        <is>
          <t>Technical Program Manager III, Compute Resource Planning, Platforms and Devices</t>
        </is>
      </c>
      <c r="C107" t="inlineStr">
        <is>
          <t>Google</t>
        </is>
      </c>
      <c r="D107" t="inlineStr">
        <is>
          <t>linkedin</t>
        </is>
      </c>
      <c r="E107" t="inlineStr"/>
      <c r="F107" t="inlineStr"/>
      <c r="G107" t="inlineStr">
        <is>
          <t>Mountain View, CA</t>
        </is>
      </c>
      <c r="H107" t="inlineStr"/>
      <c r="I107" t="inlineStr">
        <is>
          <t>**Minimum qualifications:**
* Bachelor's degree in a technical field, or equivalent practical experience.
* 5 years of experience in program management.
* Experience building, automating, and developing distributed systems from ideation to deployment.
* Experience with continuous improvement methodologies (e.g., lean, six sigma, kanban, kaizen etc.).
**Preferred qualifications:**
* 5 years of experience managing cross\-functional or cross\-team projects.
* Experience identifying process improvements and quantifying impact.
* Experience in navigating ambiguity.
* Understanding of machine resource provisioning, allocating, and queueing/scheduling systems.
* Understanding of accounting\-based or capacity planning principles.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Compute Resource Management Team performs demand signaling, manages allocations, and monitors utilization of pools of compute resources for Product Groups within the Platforms and Devices.
 In this role, you will execute technical initiatives related to machine resource planning, operational programs for demand signaling and allocation, metrics collection and analysis, and the rollout of new tools and capabilities. You will work cross\-functionally with key Product Group stakeholders across different disciplines and with unique resource users to help them identify ways to access compute resources easily and educate them on efficient usage and new platform features. You will also collaborate across Google and Alphabet to share best practices and provide user feedback on our constantly evolving infrastructure.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roll out operational processes and tools for compute resources based on best practices and feedback from vertical stakeholders and users.
* Establish metrics to inform planning decisions and measure efficiency and utilization, including reporting and alerting.
* Collaborate with team members and stakeholders to understand and identify work problems, define goals, obtain prioritized deliverables, and discuss program impact.
* Prioritize program goals. Understand and translate stakeholder needs into program goals and prioritized deliverables with minimal assistance. Contribute to decisions on prioritizing goals and deliverables.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8">
      <c r="A108" t="inlineStr">
        <is>
          <t>li-4382608146</t>
        </is>
      </c>
      <c r="B108" t="inlineStr">
        <is>
          <t>Language Access Program Manager</t>
        </is>
      </c>
      <c r="C108" t="inlineStr">
        <is>
          <t>City of Philadelphia</t>
        </is>
      </c>
      <c r="D108" t="inlineStr">
        <is>
          <t>linkedin</t>
        </is>
      </c>
      <c r="E108" t="inlineStr"/>
      <c r="F108" t="inlineStr"/>
      <c r="G108" t="inlineStr">
        <is>
          <t>Philadelphia, PA</t>
        </is>
      </c>
      <c r="H108" t="inlineStr"/>
      <c r="I108" t="inlineStr">
        <is>
          <t>A best\-in\-class city that attracts best\-in\-class talent, Philadelphia is an incredible place to build a career. From our thriving arts scene and rich history to our culture of passion and grit, there are countless reasons to love living and working here. With a workforce of over 30,000 people, and more than 1,000 different job categories, the City of Philadelphia offers boundless opportunities to make an impact.
 As an employer, the City of Philadelphia values inclusion, integrity, innovation, empowerment, and hard work above all else. We offer a vibrant work environment, comprehensive health care and benefits, and the experience you need to grow and excel. If you’re interested in working with a passionate team of people who care about the future of Philadelphia, start here.
***What we offer***
* Impact \- The work you do here matters to millions.
* Growth \- Philadelphia is growing, why not grow with it?
* Diversity \&amp; Inclusion \- Find a career in a place where everyone belongs.
* Benefits \- We care about your well\-being.
**Agency Description**
 The Managing Director manages and oversees the operations of the City. Working with five Cabinet\-level Deputies, operational oversight is divided into specific departmental clusters: Health and Human Services, Community and Culture, Community Services, Public Safety and Criminal Justice, and Transportation and Infrastructure. The Community Services cluster oversees several outward\-facing programs that provide services directly to the public. These offices and programs focus on enhancing quality of life and improving how citizens engage with their communities and their city government.
 The Office of Immigrant Affairs (OIA) promotes and strengthens the well\-being of Philadelphia’s immigrant communities. We do this by recommending and developing policies and programs, which in turn provide opportunity and access to services. We help facilitate the successful inclusion of immigrants into the civic, economic, and cultural life of the city. We also highlight the essential role that immigrants have played and continue to play in our city.
**Job Description**
**Position Summary**
 The Office of Immigrant Affairs seeks a detail\-oriented individual with exceptional contracting, data analysis, and process improvement skills to join the department as a full\-time Program Manager for the City’s Language Access Program. The primary focus of this position is to monitor and evaluate the technical and administrative aspects of the language access program’s contracts, ensuring the contractor delivers the required services according to the contract terms. Additionally, the Program Manager builds and oversees OIA’s Language Access and other programmatic data analysis. The Program Manager provides technical assistance and training to appointed Language Access Coordinators (city staff who request and use services from translation product contractors), and serves as an in\-house consultant in support of Language Access Plans across city government.
**Essential Functions:**
* Oversee annual and quarterly reports, as well as systems to collect data from all City departments
* Compile, analyze, report qualitative and quantitative data and create visuals and narratives to present comprehensive data to inform policy changes or resource allocation
* Design Language Access Plans templates to be completed by Language Access Coordinators and their respective offices and departments
* Develop, implement and oversee a data\-focused dashboard that shows language access program deliverable status and track turnaround time for responses and resolutions
* Review procurement documents and actions for adherence to rules, policies, and procedures; participates in the negotiation process for new contracts resulting from requests for quotes or requests for proposals.
* Provide guidance to OIA and city staff in developing specifications, statements of work, scope of services, and other contract requirements with regard to Language Access Program
* Build and operate a checkout and request system for City staff seeking Language Access resources
* Manage and present Language Access service data for internal and external audiences regarding to costs and customer services
* Update systems of receiving, processing and presenting, as well as evaluating quality and compliance of vendor service data
* Analyze data for trends and report on these trends to the language access program and program stakeholders
* Oversee cost projections for interpretation, translation, and vendor contracts based on historical usage
* Compare vendor performance and costs to ensure accountability
* Collaborate with City offices regarding the integration of emerging technologies in Language Access
* Coordinate with the Office of Information Technology to understand and support the security needs of the City in Language Access services
* Consult with City agencies regarding the implementation of new technologies and digital services
**OIA Training Support and Data Analysis**
* Support the entire Office of Immigrant Affairs as the team’s internal and external professional development training subject matter expert
* Project based support, focused on data analysis and visualizations, in support of the Office’s strategic communications and community outreach portfolios
* Project based support, focused grantmaking and cooperative agreements with OIA’s strategic and community partners
* Provide support around qualitative and quantitative measures of performance and success in support of strategic OIA initiatives
**Competencies, Knowledge, Skills And Abilities**
 Knowledge of program management.
 Ability to work with data analytics platform (PowerBI or similar platform)
 Data tracking and analysis; building and management of data dashboards for decision\-making
 Knowledge of procurement methods and procedures.
 Knowledge of technical writing and contract principles.
 Extensive contract, grants and cooperative agreements experience, with demonstrated ability to ensure vendor compliance with negotiated terms, conditions, and policies by writing cure letters and other corrective actions.
 Ability to meet deadlines with keen attention to details and follow through
 Excellent interpersonal skills, maintaining tact and diplomacy in all situations
 Excellent written and oral communication
 Multilingual or bilingual proficiency
**Qualifications**
 Graduation with Bachelor's degree from an accredited college or university with major course work in a field related to the job, plus six (5\) years of experience in a field related to the job, including two (2\) years of experience which were in a procurement, grants management, or program management capacity.
**Additional Information**
**TO APPLY:** 
**Interested candidates must submit a cover letter, resume, writing sample, and references.**
 Salary Range: $65,000 \- $75,000
**Discover the Perks of Being a City of Philadelphia Employee:**
* Transportation: City employees get unlimited FREE public transportation all year long through SEPTA’s Key Advantage program. Employees can ride on SEPTA buses, subways, trolleys, and regional rail for their daily commute and more.
* Parental Benefits: The City offers its employees 8 weeks of paid parental leave.
* We offer Comprehensive health coverage for employees and their eligible dependents.
* Our wellness program offers eligibility into the discounted medical plan
* Employees receive paid vacation, sick leave, and holidays
* Generous retirement savings options are available
* Pay off your student loans faster \- As a qualifying employer, City of Philadelphia employees are eligible to participate in the Public Service Loan Forgiveness program. Join the ranks of hundreds of employees who have already benefited from this program and achieved student loan forgiveness.
* Unlock Tuition Discounts and Scholarships \- The City of Philadelphia has forged partnerships with over a dozen esteemed colleges and universities in the area, ensuring that our employees have access to a wide range of tuition discounts and scholarships. Experience savings of 10% to 40% on your educational expenses, extending not only to City employees but in some cases, spouse and dependents too!
 Join the City of Philadelphia team today and seize these incredible benefits designed to enhance your financial well\-being and personal growth!
* The successful candidate must be a city of Philadelphia resident within six months of hire
 Effective May 22, 2023, vaccinations are
 **no longer required** 
 for new employees that work in non\-medical, non\-emergency or patient facing positions with the City of Philadelphia. As a result, only employees in positions providing services that are patient\-facing medical care (ex: Nurses, doctors, emergency medical personnel), must be fully vaccinated.
 The City of Philadelphia is an Equal Opportunity employer and does not permit discrimination based on race, ethnicity, color, sex, sexual orientation, gender identity, religion, national origin, ancestry, age, disability, marital status, source of income, familial status, genetic information or domestic or sexual violence victim status. If you believe you were discriminated against, call the Philadelphia Commission on Human Relations at 215\-686\-4670 or send an email to faqpchr@phila.gov.
 For more information, go to: Human Relations Website: http://www.phila.gov/humanrelations/Pages/default.aspx</t>
        </is>
      </c>
    </row>
    <row r="109">
      <c r="A109" t="inlineStr">
        <is>
          <t>li-4371741829</t>
        </is>
      </c>
      <c r="B109" t="inlineStr">
        <is>
          <t>Information Security Program Manager - Governance, Risk, &amp; Compliance (GRC)</t>
        </is>
      </c>
      <c r="C109" t="inlineStr">
        <is>
          <t>Upstart</t>
        </is>
      </c>
      <c r="D109" t="inlineStr">
        <is>
          <t>linkedin</t>
        </is>
      </c>
      <c r="E109" t="inlineStr"/>
      <c r="F109" t="inlineStr"/>
      <c r="G109" t="inlineStr"/>
      <c r="H109" t="inlineStr"/>
      <c r="I10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Information Security Governance, Risk, and Compliance (GRC) team** 
 is passionate about building clear, scalable approaches to security governance, risk management, and regulatory compliance. We believe effective security governance should enable innovation, move at the speed of the business, and support informed, risk\-based decision\-making. Our team’s mission is to protect customer trust and meet regulatory and contractual commitments by defining, assessing, and maintaining strong security controls across our product platforms and enterprise. We achieve this through thoughtful automation, close collaboration with engineering and business partners, and a focus on delivering a low\-friction, positive experience for Upstarters.
 As an
 **Information Security Program Manager** 
 within
 **GRC** 
 , you will own and execute defined GRC programs that help protect customer trust, support regulatory requirements, and enable secure business growth. You will work closely with technical, operational, and business partners to assess risk, support compliance initiatives, and help embed security practices into day\-to\-day operations.
**How You’ll Make An Impact**
* Enable teams to move faster and more securely by acting as a trusted GRC partner, translating audit, risk, and compliance requirements into practical guidance.
* Ensure audit readiness and successful outcomes by coordinating core assurance activities, including SOX IT and SOC 2, across engineering, IT, and business teams.
* Protect customer and partner trust by managing security due diligence requests from prospective and existing business partners, delivering clear and timely responses.
* Strengthen security governance by owning policy management, including drafting, maintaining, reviewing, and driving awareness of information security policies and standards.
* Reduce third\-party risk by supporting and executing the information security third\-party risk management program, including vendor assessments, risk tracking, and remediation follow\-up.
* Improve the efficiency and consistency of GRC operations through process improvement and thoughtful use of automation and tooling.
**Minimum Qualifications**
* 5\+ years of experience in information security, GRC, or IT/Information Security audit.
* Demonstrated experience operating GRC programs (supporting audits, risk assessments, control testing activities, policy management, 3rd party security risk) in a regulated technology or financial services environment.
* Working knowledge and ability to apply common security and compliance frameworks (SOC 2, NIST CSF 2\.0, NIST SSDF, NYDFS, etc.).
* Strong written and verbal communication skills with both technical and non\-technical audiences.
* Ability to design metrics, KRIs, and reporting for diverse stakeholders.
**Preferred Qualifications**
* Experience in cloud\-native environments (AWS preferred).
* Experience using GRC automation tools.
* Relevant certifications (CISSP, CISA, CRISC, CISM).
* Scripting or light coding skills to automate workflows and system integrations is a plus.
* Familiarity with privacy and data protection requirements (e.g., GDPR, CCPA).
**Position location** 
 This role is available in the following locations: Remote, San Mateo, Columbus, Austin
**Time zone requirements** 
 The team operates on the East Coast/Central/Mountain/West Coast time zones.
**Travel requirements** 
 As a digital first company, the majority of your work can be accomplished remotely. The majority of our employees can live and work anywhere in the U.S but are expected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$115,800—$160,100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10">
      <c r="A110" t="inlineStr">
        <is>
          <t>li-4371874704</t>
        </is>
      </c>
      <c r="B110" t="inlineStr">
        <is>
          <t>Benefit Program Manager – Life Insurance Programs</t>
        </is>
      </c>
      <c r="C110" t="inlineStr">
        <is>
          <t>Brown &amp; Brown</t>
        </is>
      </c>
      <c r="D110" t="inlineStr">
        <is>
          <t>linkedin</t>
        </is>
      </c>
      <c r="E110" t="inlineStr"/>
      <c r="F110" t="inlineStr"/>
      <c r="G110" t="inlineStr">
        <is>
          <t>Iowa, United States</t>
        </is>
      </c>
      <c r="H110" t="inlineStr"/>
      <c r="I110" t="inlineStr">
        <is>
          <t>Built on meritocracy, our unique company culture rewards self\-starters and those who are committed to doing what is best for our customers.
**About The Role**
 This role partners with the client’s team to drive the design, implementation, and governance of life insurance programs, ensuring vendor solutions, platforms, and partnerships meet business needs and regulatory requirements. Incumbent will manage complex, regulated initiatives, driving RFPs, implementations, audit readiness, and performance management from strategy through execution. The role acts as a key connector across compliance, legal, operations, technology, and external vendors to deliver compliant, scalable, and high‑quality life insurance solutions.
**Responsibilities**
* Design, expand, and manage life insurance programs, vendors, and strategic partnerships.
* Evaluate life insurance products, platforms, and vendors using knowledge of administration and regulatory requirements.
* Develop compliant, innovative solutions to address gaps in standard vendor offerings.
* Lead and support RFP processes, including requirements development, vendor evaluation, selection, and onboarding.
* Plan and execute implementations and integrations for new or evolving life insurance programs and vendors.
* Ensure audit readiness and regulatory compliance through documentation, evidence management, and issue tracking.
* Partner with internal teams and external vendors to meet contractual, regulatory, and quality standards.
* Serve as day\-to\-day project lead for multiple, complex, regulated initiatives.
* Translate business and compliance requirements into project plans, timelines, and deliverables.
* Track progress, manage risks, resolve issues, and escalate as appropriate.
* Define and monitor metrics to assess program performance and priorities.
* Act as a liaison across compliance, legal, operations, vendors, and technology teams to drive effective execution.
**Skills Needed**
* Bachelor’s degree or equivalent experience, with 5 years of program and/or project management experience in life insurance or insurance benefits.
* Strong project and implementation management skills, including experience supporting RFP processes and compliance‑driven decision‑making.
* Ability to analyze and synthesize information to assess risk, support sound business judgment, and inform recommendations.
* Demonstrated ability to work independently while collaborating effectively with cross‑functional teams.
* Strong written and verbal communication skills, with the ability to build credibility and influence stakeholders at all levels.
* Proven problem‑solving skills with the ability to anticipate needs, troubleshoot issues, and develop compliant, client‑focused solutions.
* Exceptional organizational skills and attention to detail, with the ability to manage multiple priorities and deadlines.
* Ability to handle highly sensitive information and maintain confidentiality related to benefit programs, vendors, and audits.
* Proficiency in Microsoft Word, PowerPoint, and Excel.
**Teammate Benefits \&amp; Total Well\-Being**
 We go beyond standard benefits, focusing on the total well\-being of our teammates, including:
* Health Benefits: Medical/Rx, Dental, Vision, Life Insurance, Disability Insurance
* Financial Benefits: ESPP; 401k; Student Loan Assistance; Tuition Reimbursement
* Mental Health \&amp; Wellness: Free Mental Health \&amp; Enhanced Advocacy Services
*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row>
    <row r="111">
      <c r="A111" t="inlineStr">
        <is>
          <t>li-4372777882</t>
        </is>
      </c>
      <c r="B111" t="inlineStr">
        <is>
          <t>Staff Supply Chain Program Manager</t>
        </is>
      </c>
      <c r="C111" t="inlineStr">
        <is>
          <t>Form Energy</t>
        </is>
      </c>
      <c r="D111" t="inlineStr">
        <is>
          <t>linkedin</t>
        </is>
      </c>
      <c r="E111" t="inlineStr"/>
      <c r="F111" t="inlineStr"/>
      <c r="G111" t="inlineStr">
        <is>
          <t>Berkeley, CA</t>
        </is>
      </c>
      <c r="H111" t="inlineStr"/>
      <c r="I111"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Form Energy is seeking a powerhouse Staff Program Manager to serve as the primary orchestrator for our global supply chain as we enter our defining 2026 Launch Year. You will report directly to the VP of Supply Chain and serve as the interface between Engineering, Operations, Advanced Manufacturing, Finance, and the Executive PMO. You are responsible for driving plan creation, aligning the players, and ensuring the flawless execution of a complex, multi\-gigawatt manufacturing supply chain. You are uncomfortable with the status quo and are constantly looking for ways to automate the mundane so you can tackle the next big bottleneck.
*Relocation assistance is available.*
**What You'll Do**
* Orchestrate the Launch \&amp; Ramp: Own the end\-to\-end supply chain execution plan for launch and scale up.
* You will drive excellence across workstreams, ensuring that Manufacturing Operations and Engineering are in perfect lockstep with sourcing strategies.
* Collaborate closely with your Supply Chain team members, including Global Supply Managers, Supplier Industrialization Engineers, Material Planners, and Logistics Managers across all commodities on behalf of Supply Chain leadership.
* Strategic Scenario Modeling: Design and execute complex supply/demand scenarios to inform ramp scenarios, identifying bottlenecks in raw materials or CAPEX long before they impact the line.
* Make vs. Buy Engineering: Develop comprehensive Total Cost of Ownership (TCO) models. You will work with cross\-functional leaders to develop the "source\-of\-truth" recommendations to the executive team on whether we vertically integrate or partner with our global supply base.
* Drive the Product Development Process (PDP): Establish and enforce best practices for supply chain readiness within the PDP, ensuring that every component and supplier is qualified and ready for commercial scale.
* AI\-Accelerated Workflows: Leverage AI and LLM tools to automate workflows.
* Executive Interface: Facilitate key technical and strategic decisions, bringing together engineering and executive stakeholders to maintain program momentum and solve "unsolvable" bottlenecks.
**What You'll Bring**
* 7\+ years of experience in Program Management, Supply Chain, or Manufacturing Operations within a high\-growth hardware environment (EV, Aerospace, or Robotics).
* Proficient knowledge of technical requirements, designs and manufacturing processes of energy products and be able to influence cross\-functional partners with detailed analysis that supports optimized process and product sourcing decisions.
* Experience with mechanical engineering concepts related to the commodity and ability to generate bottom\-up should costs based on the understanding of the manufacturing process.
* Technical \&amp; commercial understanding of tooling and manufacturing processes on metal forming.
* Executive Presence: Exceptional communication skills with the ability to articulate complex technical risks and strategic recommendations to the VP and Executive Team.
* You thrive in high\-intensity “launch year” conditions, operating effectively amid ambiguity, making decisions with imperfect information, and driving progress where urgency is constant and impact is lasting.
* Bachelor's or Master's in Engineering, Supply Chain, Finance, Engineering, Program Management, or similar discipline.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$128,662 \- $160,807</t>
        </is>
      </c>
    </row>
    <row r="112">
      <c r="A112" t="inlineStr">
        <is>
          <t>li-4325999588</t>
        </is>
      </c>
      <c r="B112" t="inlineStr">
        <is>
          <t>HR Vendor Program Manager</t>
        </is>
      </c>
      <c r="C112" t="inlineStr">
        <is>
          <t>Kyndryl</t>
        </is>
      </c>
      <c r="D112" t="inlineStr">
        <is>
          <t>linkedin</t>
        </is>
      </c>
      <c r="E112" t="inlineStr"/>
      <c r="F112" t="inlineStr"/>
      <c r="G112" t="inlineStr"/>
      <c r="H112" t="inlineStr"/>
      <c r="I112"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Are you ready to take on an exhilarating role as a HR Vendor Program Manager at Kyndryl? Prepare to embark on a journey where you will be at the helm of delivering value\-add transformative programs for Kyndryl and our customers. Your ultimate mission? To deliver a truly extraordinary outcome for our customers and propel our business to new heights.
 As a HR Vendor Program Manager, you have the ability to break down a strategic vision into discrete interconnected projects, each one delivering its own critical component to realize the vision. As the interface for the project managers leading each interconnected project, your choices will have a resounding impact across projects and secure successful program outcomes.
 Equipped with the power of data and analysis, you will possess the unique ability to predict, understand, and influence the outcomes of each project. Your strategic foresight will fuel effective decision\-making, as you navigate the intricate complexities of our interconnected projects, establishing objective and milestone commitments, managing risk, and ensuring budgets and time requirements are appropriately defined. You will successfully deliver the scope of each program by assembling a Kyndryl team with the required skills and provide ongoing coaching and mentoring to our dedicated project managers and teams.
 As a Kyndryl HR Vendor Program Manager, you'll play a vital role in our mission, bringing innovation and collaboration to the table. Join us and be part of a team that's revolutionizing the future while charting an exciting career path filled with growth and opportunities. Apply now and let's transform the future together.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Bachelors degree.
* Minimum 5\+ years of project or program management experience working with strategic suppliers.
* Experience in procurement managing vendor relationships and contracts.
* Hands on knowledge of SAP Ariba and Fieldglass with understanding of how the sourcing works, supplier on\-boarding process, and balance of trade.
* Proven track record of successfully managing complex IT projects or programs, preferably in a services business, with experience of working with customers across multiple project phases, industries and geographies
* Expertise in cost \&amp; scope management, change control, and overall project governance and managing supplier performance.
* Experience in identifying and tracking dependent tasks across projects, proactively identifying and mitigating risks related to dependencies, and guiding effective staffing choices to leverage expertise and/or knowledge between projects
* Proficiency with establishing program governance and management systems, managing interdependencies of various projects to develop a master schedule, cost benefit assessment and trade\-off decisions, and asset and resource prioritization
* Knowledge of business intelligence, data analysis, dashboards, business intelligence reporting, business metrics, and operational reporting
* Ability to thrive in a dynamic agile environment, adapting to changing priorities while remaining outcome focused
* Proficiency in MS Project.
**Preferred Skills And Experience**
* Advanced degree.
* Human Resource experience preferred.
* Leadership experience.
* Negotiation experience preferred.
* Understanding market trends.
* Project Management certification such as PMP (Project Management Professional) or PRINCE2 (Projects IN Controlled Environments) or PgMP (Program Management Professional)
* Familiarity with Agile methodologies (e.g., Scrum, Kanban) and DevOps practices
* Flexible with up to 10% global travel.
**Compensation**
 The compensation range for the position in the U.S. is $120,360 to $228,840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$132,480 to $274,560
 Colorado: $120,360 to $228,840
 New York City: $144,480 to $274,560
 Washington: $132,480 to $251,640
 Washington DC: $132,480 to $251,640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All qualified applicants will receive consideration for employment without regard to race, color, religion, sex, sexual orientation, gender identity, national origin, disability, or status as a protected veteran.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113">
      <c r="A113" t="inlineStr">
        <is>
          <t>li-4371883532</t>
        </is>
      </c>
      <c r="B113" t="inlineStr">
        <is>
          <t>Benefit Program Manager – Life Insurance Programs</t>
        </is>
      </c>
      <c r="C113" t="inlineStr">
        <is>
          <t>Brown &amp; Brown</t>
        </is>
      </c>
      <c r="D113" t="inlineStr">
        <is>
          <t>linkedin</t>
        </is>
      </c>
      <c r="E113" t="inlineStr"/>
      <c r="F113" t="inlineStr"/>
      <c r="G113" t="inlineStr">
        <is>
          <t>Kansas, United States</t>
        </is>
      </c>
      <c r="H113" t="inlineStr"/>
      <c r="I113" t="inlineStr">
        <is>
          <t>Built on meritocracy, our unique company culture rewards self\-starters and those who are committed to doing what is best for our customers.
**About The Role**
 This role partners with the client’s team to drive the design, implementation, and governance of life insurance programs, ensuring vendor solutions, platforms, and partnerships meet business needs and regulatory requirements. Incumbent will manage complex, regulated initiatives, driving RFPs, implementations, audit readiness, and performance management from strategy through execution. The role acts as a key connector across compliance, legal, operations, technology, and external vendors to deliver compliant, scalable, and high‑quality life insurance solutions.
**Responsibilities**
* Design, expand, and manage life insurance programs, vendors, and strategic partnerships.
* Evaluate life insurance products, platforms, and vendors using knowledge of administration and regulatory requirements.
* Develop compliant, innovative solutions to address gaps in standard vendor offerings.
* Lead and support RFP processes, including requirements development, vendor evaluation, selection, and onboarding.
* Plan and execute implementations and integrations for new or evolving life insurance programs and vendors.
* Ensure audit readiness and regulatory compliance through documentation, evidence management, and issue tracking.
* Partner with internal teams and external vendors to meet contractual, regulatory, and quality standards.
* Serve as day\-to\-day project lead for multiple, complex, regulated initiatives.
* Translate business and compliance requirements into project plans, timelines, and deliverables.
* Track progress, manage risks, resolve issues, and escalate as appropriate.
* Define and monitor metrics to assess program performance and priorities.
* Act as a liaison across compliance, legal, operations, vendors, and technology teams to drive effective execution.
**Skills Needed**
* Bachelor’s degree or equivalent experience, with 5 years of program and/or project management experience in life insurance or insurance benefits.
* Strong project and implementation management skills, including experience supporting RFP processes and compliance‑driven decision‑making.
* Ability to analyze and synthesize information to assess risk, support sound business judgment, and inform recommendations.
* Demonstrated ability to work independently while collaborating effectively with cross‑functional teams.
* Strong written and verbal communication skills, with the ability to build credibility and influence stakeholders at all levels.
* Proven problem‑solving skills with the ability to anticipate needs, troubleshoot issues, and develop compliant, client‑focused solutions.
* Exceptional organizational skills and attention to detail, with the ability to manage multiple priorities and deadlines.
* Ability to handle highly sensitive information and maintain confidentiality related to benefit programs, vendors, and audits.
* Proficiency in Microsoft Word, PowerPoint, and Excel.
**Teammate Benefits \&amp; Total Well\-Being**
 We go beyond standard benefits, focusing on the total well\-being of our teammates, including:
* Health Benefits: Medical/Rx, Dental, Vision, Life Insurance, Disability Insurance
* Financial Benefits: ESPP; 401k; Student Loan Assistance; Tuition Reimbursement
* Mental Health \&amp; Wellness: Free Mental Health \&amp; Enhanced Advocacy Services
* Beyond Benefits: Paid Time Off, Holidays, Preferred Partner Discounts and more.
*Not reflective of all benefits. Enrollment waiting periods or eligibility criteria may apply to certain benefits. Benefit details and offerings may vary for subsidiary entities or in specific geographic locations.*
**The Power To Be Yourself**
 As an Equal Opportunity Employer, we are committed to fostering an inclusive environment comprised of people from all backgrounds, with a variety of experiences and perspectives, guided by our Diversity, Inclusion \&amp; Belonging (DIB) motto, “The Power to Be Yourself”.</t>
        </is>
      </c>
    </row>
    <row r="114">
      <c r="A114" t="inlineStr">
        <is>
          <t>li-4382386256</t>
        </is>
      </c>
      <c r="B114" t="inlineStr">
        <is>
          <t>Program Manager, Executive Content and Programs, Global Executive Marketing</t>
        </is>
      </c>
      <c r="C114" t="inlineStr">
        <is>
          <t>Amazon Web Services (AWS)</t>
        </is>
      </c>
      <c r="D114" t="inlineStr">
        <is>
          <t>linkedin</t>
        </is>
      </c>
      <c r="E114" t="inlineStr"/>
      <c r="F114" t="inlineStr"/>
      <c r="G114" t="inlineStr">
        <is>
          <t>Arlington, VA</t>
        </is>
      </c>
      <c r="H114" t="inlineStr"/>
      <c r="I114" t="inlineStr">
        <is>
          <t>**Description**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5\+ years of program or project management experience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A3125520</t>
        </is>
      </c>
    </row>
    <row r="115">
      <c r="A115" t="inlineStr">
        <is>
          <t>li-4341565241</t>
        </is>
      </c>
      <c r="B115" t="inlineStr">
        <is>
          <t>Regional Program Manager, SoCal</t>
        </is>
      </c>
      <c r="C115" t="inlineStr">
        <is>
          <t>Johnson &amp; Johnson MedTech</t>
        </is>
      </c>
      <c r="D115" t="inlineStr">
        <is>
          <t>linkedin</t>
        </is>
      </c>
      <c r="E115" t="inlineStr"/>
      <c r="F115" t="inlineStr"/>
      <c r="G115" t="inlineStr">
        <is>
          <t>Orange, CA</t>
        </is>
      </c>
      <c r="H115" t="inlineStr"/>
      <c r="I115"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MedTech Sales
**Job Sub Function**
 Clinical Sales – Hospital/Hospital Systems (Commission)
**Job Category**
 Professional
**All Job Posting Locations:**
 Danvers, Massachusetts, United States of America, Orange, California, United States, San Bernardino, California, United States, San Diego, California, United States of America
**Job Description**
**About Cardiovascular**
 Fueled by innovation at the intersection of biology and technology, we’re developing the next generation of smarter, less invasive, more personalized treatments.
 Are you passionate about improving and expanding the possibilities of Cardiovascular? Ready to join a team that’s reimagining how we heal? Our Cardiovascular team develops leading solutions for heart recovery, electrophysiology, and stroke. You will join a proud heritage of continually elevating standards of care for stroke, heart failure and atrial fibrillation (AFib) patients.
 Your unique talents will help patients on their journey to wellness. Learn more at https://www.jnj.com/medtech
 This is a field\-based role. While specific cities are listed in the Locations section for reference, please note that they are examples only and do not limit your application. We invite candidates from any location to apply.
 Purpose: The Regional Program Manager (RPM) will play a critical role in supporting the development and expansion of heart recovery programs within designated regions. Working closely with the Physician Program Director (PPD), the RPM will serve as the primary point of contact for spoke hospitals and regional sites, implementing account plans, establishing protocols, and ensuring seamless communication and coordination across health systems. The RPM will focus on patient flow, program visibility, and cross\-functional stakeholder alignment to facilitate optimal patient outcomes and program growth. Additionally, this role will have responsibility for education in the broader hospital community including disease state awareness in heart failure clinics, emergency medicine departments and cardiovascular practices.
**Key Responsibilities**
* Account Support \&amp; Point of Contact: Act as the primary call point for spoke hospitals aligned with PPD hubs and regional single sites, fostering strong relationships and ensuring consistent communication.
* Implement Spoke Account Plans: Execute regional account strategies, focusing on patient escalation, movement within the health system, and establishing protocols for heart team transport and patient flow. Develop regional pathways for patients with CAD and/or Heart Failure for advanced therapy evaluation to include Impella protected procedures
* Protocol \&amp; Workflow Best Practices: Align spoke heart team and transport protocols, ensuring alignment with hub protocols and internal standards. Share best practices of patient care pathways that identify high\-risk patients and flag the need for Ischemic Evaluation
* Visibility \&amp; Communication: Maintain clear communication channels to provide visibility into hub protocols and regional activities, ensuring all stakeholders are informed and aligned.
* Account Planning \&amp; Execution: Develop and execute regional and, where applicable, single\-site account plans to support program growth and sustainability.
* Cross\-Functional Alignment: Collaborate with internal teams and hospital stakeholders to ensure alignment on goals, protocols, and program activities.
* Disease State Awareness Education: Education on disease states for patient identification in the outpatient and inpatient settings. Provide clinical expertise and educate physicians, APPs, educators, nursing staff and other health care providers on the indications and selection of patients that are candidates for Impella
**Experience \&amp; Qualifications**
* Education: BA/BS required; advanced degree (e.g., MBA, MSN, or related field) preferred.
* Experience:
+ 3 or more successful years of sales experience within Abiomed OR \&gt;5 years of related industry experience in healthcare, hospital operations, or clinical program management with proven success
+ Prior experience supporting or managing cardiac or vascular programs is highly desirable.
+ Prior experience working collaboratively with hospital administrators
+ Proven success in implementing protocols, workflows, or account plans within a hospital or health system setting.
+ Experience working with multidisciplinary teams and hospital stakeholders, including clinical staff and administrators.
* Skills \&amp; Competencies:
+ Strong understanding of hospital operations, patient flow, and health system dynamics.
+ Outstanding interpersonal skills, experienced developing relationships at all organizational levels to influence business objectives.
+ Ability to balance strategic thinking with intricate planning and strong tactical execution.
+ Demonstrates responsiveness and a sense of urgency with ability to prioritize work and manage multiple priorities
+ Demonstrated ability to project manage effectively and drive initiatives to completion
+ Excellent written and oral communication skills, including strong presentation skills.
+ Mastery of cardiac anatomy and clinical data.
+ Proficient in computer skills, with strong expertise in Microsoft Excel, Word, and PowerPoint for data analysis, documentation, and presentations.
+ Excellent communication and relationship\-building skills, with the ability to influence and collaborate across diverse stakeholders.
 The expected base pay range for this position is $114,000 \- $182,850\.
 The Company maintains a highly competitive sales incentive compensation program. Under current guidelines, this position is eligible for participation in this program in accordance with the terms of the applicable plan.
 This position is eligible for a company car allowance through the Company’s FLEET program.
 Subject to the terms of their respective plans, employees and/or eligible dependents are eligible to participate in the following Company sponsored employee benefit programs: medical, dental, vision, life insurance, short\- and long\-term disability, business accident insurance, and group legal insurance.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Condolence Leave – 30 days for an immediate family member: 5 days for an extended family member
* Caregiver Leave – 10 days
* Volunteer Leave – 4 days
* Military Spouse Time\-Off – 80 hours
 For additional general information on Company benefits, please go to:
* https://www.careers.jnj.com/employee\-benefits
 This job posting is anticipated to close on 11/12/2025\. The Company may however extend this time\-period, in which case the posting will remain available on https://www.careers.jnj.com to accept additional applications.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**The anticipated base pay range for this position is :**
 $114,000\.00 \- $182,850\.00</t>
        </is>
      </c>
    </row>
    <row r="116">
      <c r="A116" t="inlineStr">
        <is>
          <t>li-4372992366</t>
        </is>
      </c>
      <c r="B116" t="inlineStr">
        <is>
          <t>Technical Infrastructure Program Manager, Dedicated Infrastructure Planning and Delivery (Government Regions)</t>
        </is>
      </c>
      <c r="C116" t="inlineStr">
        <is>
          <t>Amazon Web Services (AWS)</t>
        </is>
      </c>
      <c r="D116" t="inlineStr">
        <is>
          <t>linkedin</t>
        </is>
      </c>
      <c r="E116" t="inlineStr"/>
      <c r="F116" t="inlineStr"/>
      <c r="G116" t="inlineStr">
        <is>
          <t>Herndon, VA</t>
        </is>
      </c>
      <c r="H116" t="inlineStr"/>
      <c r="I116" t="inlineStr">
        <is>
          <t>**Description**
 Amazon Web Services (AWS) is the world leader in providing a highly reliable, scalable, low\-cost infrastructure platform in the cloud powering hundreds of thousands of businesses in hundreds of countries around the world. As part of the AWS Infrastructure organization, Data Center Planning and Delivery (DCPD) prepares for, plans, and builds the data centers that comprise the AWS cloud.
 We’re seeking an experienced Technical Infrastructure Program Manager in San Antonio TX, Herndon VA, or Seattle WA, to oversee data center infrastructure expansion projects in support of U.S. Government customers. The Technical Infrastructure Program Manager will lead cross\-functional and technical teams from conceptual design feasibility through requirements, budget, completed design, implementation, testing, and deployment. Along the way, they will use judgment, negotiation skills, ability to influence without authority, analytical talent, technical aptitude, and leadership to collaborate with a diverse set of stakeholders across multiple time zones, manage capital budgets, eliminate non\-value\-add activity, design solutions, remove blockers, and find creative ways to accelerate project delivery.
 At Amazon, along with technical strength, we expect our leaders to interact with internal and external customers, partners and suppliers to understand our joint business goals and priorities, and to execute rapidly, delivering high\-quality functionality.
 The ideal candidate will be an exceptionally strong communicator, both written and verbally, and possess experience in tactical project management of highly technical initiatives. Calibrated judgment, negotiation skills, ability to influence without authority, analytical talent and leadership is a must, along with the capacity to thrive and succeed in an entrepreneurial and fast\-paced environment. Experience in managing data center infrastructure deployments is a plus. Candidates possessing a Bachelor's degree in architecture/design, mechanical/electrical engineering, software/network engineering, data center infrastructure/operations, and/or construction management, who have transitioned to a program management discipline will have a distinct advantage.
 The Technical Infrastructure Program Manager will be fully competent in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This position requires that the candidate selected be a US Citizen and obtain and maintain an active TS/SCI security clearance.
 If you meet these qualifications, exude passion, and enjoy the challenges of deploying highly technical and innovative projects at massive scale, this job is for you!
 Key job responsibilities
 Technical Infrastructure Program Managers lead a matrixed team through influence in the execution of data center capacity projects. They are mindful of cost, schedule, and quality during all aspects of their builds. They look around corners to identify risks early and are quick to take action. They effectively balance ownership and holding partner teams to high standards of responsibility. They stand ready to leverage their technical and project\-focused backgrounds to deep dive issues and develop mitigations to minimize impact. They strive to ensure data center capacity is delivered ahead of customer demand.
 A day in the life
 There is no typical day in the life of a Technical Infrastructure Program Manager. On one day, they may review demand forecasts for their assigned region to ensure that future builds are triggered on time. They may ensure that design reviews are effectively conducted. They may deep dive a material delivery issue that threatens their project schedule or resolve a technical challenge uncovered through execution. They work both in corporate offices and on the job site depending on the state of their projects.
**About The Team**
 Dedicated Infrastructure Planning and Delivery are the team responsible for the delivery of physical data center infrastructure to serve government customers. Our team has a diverse background including commercial, prior military service and former government experience. Our team is split between the Seattle Metro and the DMV area and we manage projects across the US, while interfacing with our peers overseas.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We value work\-life harmony. Achieving success at work should never come at the expense of sacrifices at home, which is why we strive for flexibility as part of our working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We’re continuously raising our performance bar as we strive to become Earth’s Best Employer. That’s why you’ll find endless knowledge\-sharing, mentorship and other career\-advancing resources here to help you develop into a better\-rounded professional.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Experience developing and executing/delivering product and technical roadmaps influencing internal and external stakeholders
* Experience building and evaluating system\-level technical design
* Master's degree or advanced professional certifications in management of complex, high\-value technical infrastructure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San Antonio \- 127,100\.00 \- 171,900\.00 USD annually
 USA, VA, Arlington \- 127,100\.00 \- 171,900\.00 USD annually
 USA, VA, Herndon \- 127,100\.00 \- 171,900\.00 USD annually
 USA, WA, Seattle \- 127,100\.00 \- 171,900\.00 USD annually
**Company** 
 \- Amazon Data Services, Inc.
 Job ID: A3181271</t>
        </is>
      </c>
    </row>
    <row r="117">
      <c r="A117" t="inlineStr">
        <is>
          <t>li-4382381571</t>
        </is>
      </c>
      <c r="B117" t="inlineStr">
        <is>
          <t>Principal Security Program Manager - Windows Security</t>
        </is>
      </c>
      <c r="C117" t="inlineStr">
        <is>
          <t>Microsoft</t>
        </is>
      </c>
      <c r="D117" t="inlineStr">
        <is>
          <t>linkedin</t>
        </is>
      </c>
      <c r="E117" t="inlineStr"/>
      <c r="F117" t="inlineStr"/>
      <c r="G117" t="inlineStr">
        <is>
          <t>Redmond, WA</t>
        </is>
      </c>
      <c r="H117" t="inlineStr"/>
      <c r="I117" t="inlineStr">
        <is>
          <t>**Overview**
 The Microsoft Windows Security team is responsible for protecting billions of Windows devices by driving platform‑level security, risk reduction, and resilient\-by\-design engineering across the Windows ecosystem.
 We are seeking a
 **Principal Security Program Manager** 
 to lead our
 **end‑to‑end security assurance** 
 effort including
 **security compliance, risk assessment,** 
 and supporting our
 **vulnerability research** 
 and
 **security tooling** 
 efforts across Windows. This role sits at the intersection of
 **platform security architecture, threat intelligence, vulnerability discovery, and execution** 
 , with broad influence across Windows engineering and other internal and external security assurance and research partners.
 This is a
 **principal level individual contributor** 
 role with
 **wide organizational scope** 
 , high executive visibility, and responsibility for shaping how Windows identifies, prioritizes, and mitigates security risks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the Windows EnS security risk assessment framework, driving systematic identification, prioritization, and tracking of security risks across OS, firmware, silicon, drivers, and ecosystem dependencies.
* Partner with engineering, architecture, and threat intelligence teams to translate emerging threats, vulnerability trends, and attacker techniques into actionable platform investments.
* Develop and drive the security assurance process for Windows teams utilizing a shared responsibility approach that supports the scale of the Windows org while ensuring broad compliance and a risk based approach towards scaling security review and depth engagement.
* Act as virtual lead for a small security PM team by managing PM coverage across the team’s charter, leading planning and engagement with EnS security engineering, and owning key cross team partnerships.
**Qualifications**
**Required Qualifications:**
* Master's Degree in Statistics, Mathematics, Computer Science, Risk Management, Cyber Security, or related field AND 4\+ years experience in software development lifecycle, large scale computing, threat modeling, cyber security, or anomaly detection
+ OR Bachelor's Degree in Statistics, Mathematics, Computer Science, Risk Management, Cyber Security, or related field AND 6\+ years experience in software development lifecycle, large scale computing, threat modeling, cyber security, or anomaly detection
+ OR equivalent experience.
**Preferred Qualification**
* Ability to create clarity, energy, and cohesion across the team.
* Ability to influence and drive security initiatives across groups.
* 10\+ years of experience in a software engineering or security\-related engineering.
* Demonstrated experience in security research, especially around vulnerability discovery.
* Experience exploiting bugs and bypassing security mitigations in operating systems.
* Familiarity with Microsoft Windows architecture.
 \#W\+DJOBS
 \#windowssecurity
 \#SecurityEngineering
 \#PlatformSecurity
 \#SecurityLeadership
 \#EngineeringLeadership
 Security Assurance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8">
      <c r="A118" t="inlineStr">
        <is>
          <t>li-4372931529</t>
        </is>
      </c>
      <c r="B118" t="inlineStr">
        <is>
          <t>Residential Program Manager</t>
        </is>
      </c>
      <c r="C118" t="inlineStr">
        <is>
          <t>Community Options, Inc.</t>
        </is>
      </c>
      <c r="D118" t="inlineStr">
        <is>
          <t>linkedin</t>
        </is>
      </c>
      <c r="E118" t="inlineStr"/>
      <c r="F118" t="inlineStr"/>
      <c r="G118" t="inlineStr">
        <is>
          <t>Totowa, NJ</t>
        </is>
      </c>
      <c r="H118" t="inlineStr"/>
      <c r="I118" t="inlineStr">
        <is>
          <t>**Description**
**Community Options, Inc.** 
 is a national non\-profit agency providing services to individuals with disabilities in 12 states.
 We are actively seeking an experienced
 **Residential Program Manager** 
 in
 **Totowa,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119">
      <c r="A119" t="inlineStr">
        <is>
          <t>li-4372716711</t>
        </is>
      </c>
      <c r="B119" t="inlineStr">
        <is>
          <t>EHS Program Manager, Labs R&amp;D, Environmental Health &amp; Safety (EHS)</t>
        </is>
      </c>
      <c r="C119" t="inlineStr">
        <is>
          <t>Amazon</t>
        </is>
      </c>
      <c r="D119" t="inlineStr">
        <is>
          <t>linkedin</t>
        </is>
      </c>
      <c r="E119" t="inlineStr"/>
      <c r="F119" t="inlineStr"/>
      <c r="G119" t="inlineStr">
        <is>
          <t>Sunnyvale, CA</t>
        </is>
      </c>
      <c r="H119" t="inlineStr"/>
      <c r="I119" t="inlineStr">
        <is>
          <t>**Description**
 We're seeking an experienced Environmental, Health, and Safety (EHS) Program Manager to transform workplace safety and drive innovative risk management strategies. In this critical role, you'll develop comprehensive programs that protect our team, optimize our operations, and set new industry standards for workplace excellence.
 Your day will be dynamic and purpose\-driven. You'll collaborate across multiple teams, designing proactive safety solutions, conducting strategic risk assessments, and creating meaningful training programs. You'll move between lab spaces, leadership meetings, and collaborative planning sessions, always focused on creating a safer, more resilient work environment.
 Based in Sunnyvale, CA, our Lab126 EHS team is dedicated to creating a culture of safety, innovation, and continuous improvement. We view safety not as a compliance requirement, but as a fundamental commitment to our most valuable asset \- our people. By joining our team, you'll be part of a collaborative group that believes in preventing risks before they occur and empowering every team member to contribute to a safer workplace.
 Key job responsibilities
* Assess and cost\-effectively implement programs to manage Lab EHS\-related risks, with the long\-term objective to reduce risks and eliminate hazards, while supporting innovation.
* Conduct investigations of working conditions in lab spaces for the prevention of occupational disease and industrial health hazards, with specific references to chemicals, lasers, radiation, robotics, noise and other potential employee health hazards.
* Develop and implement EHS training programs that will engage all levels of Lab teams on EHS responsibilities, compliance requirements and safety cultural progression within the Global Labs portfolio.
* Provide leadership on EHS issues within the labs team, assist senior leaders in understanding business impacts of EHS issues, thereby enabling prudent allocation of resources and decision\-making.
* Support and conduct lab EHS audits and develop action plans to resolve EHS findings and implement solutions and countermeasures promptly and effectively.
* Serve as a key contact for state and local government agencies that have jurisdiction over Lab126 sites.
* Collaborate with colleagues across multiple disciplines within the company to assure effective EHS program implementation and cohesiveness.
* Perform data analytics on company and industry EHS information to drive improvement initiatives.
* Ensure full compliance with applicable laws, regulations and customer requirements.
* Remain up\-to\-date and conversant with relevant laws, regulations and other statutory requirements that affect EHS in a laboratory setting.
 A day in the life
 In this role, you'll spend your days analyzing workplace safety challenges systematically, developing scalable solutions that protect our team members while maintaining operational efficiency. You'll manage your own project portfolio, prioritizing multiple EHS initiatives based on risk assessment and business impact, all while meeting critical implementation deadlines that keep our safety programs on track.
 Your typical day involves collaborating with operations leaders, facilities teams, and frontline employees to design innovative solutions for complex Environmental, Health and Safety challenges unique to our business. The fast\-paced environment means you'll need to quickly adapt your approach as business needs evolve and new safety priorities emerge, making each day dynamic and engaging.
 Success in this position comes from driving measurable safety improvements by balancing independent action with cross\-functional teamwork. You'll partner with operations, engineering, and leadership teams in our entrepreneurial culture, where your ability to work both autonomously and collaboratively will help create safer workplaces across our organization.
**Basic Qualifications**
* Bachelor's degree or equivalent, or 5\+ years of increasing responsibilities in EHS or environmental programs in manufacturing, production, or service operations experience
* 5\+ years of increasing responsibilities in EHS or environmental programs in manufacturing, production, or service operations experience
* 5\+ years of working directly with government officials and regulatory bodies experience
* 3\+ years of implementing safety standards experience
* 7\+ years of increasingly responsible roles in safety and/or environmental programs within manufacturing, production, service operations, or other relevant experience
**Preferred Qualifications**
* Master's degree in an EHS related discipline
* EHS\-related licenses, or certifications (i.e. Certified Industrial Hygienist, Certified Safety Professional, Certified Hazardous Materials Manager, or similar).
* 2\+ years of experience in managing EHS programs in a fast pace, high tech organization, at a regional/global level.
* A proven track record of driving the EHS agenda in a multi\-stakeholder organization, and possess the ability to engage the workforce at all levels in the journey to build a strong EHS culture for Lab126\.
* Experience managing one or more of the following programs: Electrical safety, laser safety and/or related programs in an R\&amp;D setting.
* Operational or business management experience, with lean manufacturing tools and techniques.
* Have a collaborative, team\-oriented approach to EHS management across the enterprise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\- 160,200\.00 \- 239,300\.00 USD annually
**Company** 
 \- Amazon.com Services LLC
 Job ID: A3179987</t>
        </is>
      </c>
    </row>
    <row r="120">
      <c r="A120" t="inlineStr">
        <is>
          <t>li-4382384299</t>
        </is>
      </c>
      <c r="B120" t="inlineStr">
        <is>
          <t>Infrastructure Technical Program Manager, Global Connectivity Infrastructure Delivery - Long Haul Fiber Deployment, GCID-FD</t>
        </is>
      </c>
      <c r="C120" t="inlineStr">
        <is>
          <t>Amazon Web Services (AWS)</t>
        </is>
      </c>
      <c r="D120" t="inlineStr">
        <is>
          <t>linkedin</t>
        </is>
      </c>
      <c r="E120" t="inlineStr"/>
      <c r="F120" t="inlineStr"/>
      <c r="G120" t="inlineStr">
        <is>
          <t>Herndon, VA</t>
        </is>
      </c>
      <c r="H120" t="inlineStr"/>
      <c r="I120" t="inlineStr">
        <is>
          <t>**Description**
 Application deadline: Mar 11, 2026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is looking for an Infrastructure Technical Program Manager to support and deploy one of the world’s largest and most complex telecommunication networks. The role is responsible for the execution of a strategic plan to improve the business processes and deployment of hyper\-scaled cloud infrastructure, , pre/post\-inspections for design validation, creation of quality control system and piloting stakeholder communication for delivery schedules. This opportunity is within the Global Connectivity Infrastructure Delivery \- Fiber Deployment organization, which is responsible for program management, quality and delivery of fiber capacity for the physical network solutions that drive Amazon’s internal infrastructure and connect our services to the world.
 Key job responsibilities
 Program management skills to monitor vendor delivery of physical infrastructure projects. Technical skills of either fiber optic outside plant, process engineering, construction \&amp; engineer vendor management or quality control systems are required.
**Key Responsibilities Include**
* Reports to the GCID\-FD Deployment Manager, and updates regularly with Global Senior management.
* Serve as a key member of the GCID\-FD team helping to drive overall Network Infrastructure strategy.
* Vendor management to deploy on time, measure progress, and rate through quality Key performance Indicators.
* Develop a focused quality management program that tracks defects, mitigates risks, standardizes root cause analysis, and implements key performance measures to rate vendor success.
* Establish and utilize reporting mechanisms and provide regular progress updates on program deployment to management and stakeholders.
* Periodically report on the overall network development program status across the assigned region.
* Manage and track approved network plans with internal customers and stakeholders such as technical business developers or construction vendors until the infrastructure is in service.
* Manage multiple competing cross\-functional projects/programs simultaneously, some on a global scale.
* Interact with engineers, technicians, vendors and senior management on a daily basis
* Audit completed construction work, review fiber test results, and hand\-off completed delivery to internal customers
* Run meetings, create and maintain timelines, and keep large, diverse groups informed of progress and obstacles.
* Anticipate bottlenecks, manage risk and escalations, and balance the business needs versus technical constraints.
* Coordinate access and approvals to security\-regulated sites
 25\-40%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to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technical infrastructure management experience
* Knowledge of best practices and emerging technologies, related to infrastructure (i.e. network, data center, hardware, software)
* Experience with varying scenarios of infrastructure builds
**Preferred Qualifications**
* Experience with AutoCAD and/or Building Information Modeling (BIM), as well as scheduling software (Primavera, MS Project, or similar)
* Experience with reporting and Data Visualization tools such as Quick Sight / Tableau / Power BI or other BI packages
* Experience in scripting for automation (e.g. Python) and advanced SQL skills.
* Has led multiple large greenfield network construction programs preferably backbone/longhaul.
* Has an understanding of OSP and ISP construction standards in multiple regions.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CO, Denver \- 127,100\.00 \- 171,900\.00 USD annually
 USA, GA, Atlanta \- 127,100\.00 \- 171,900\.00 USD annually
 USA, TX, Austin \- 127,100\.00 \- 171,900\.00 USD annually
 USA, VA, Herndon \- 127,100\.00 \- 171,900\.00 USD annually
**Company** 
 \- Amazon Data Services, Inc.
 Job ID: A3198809</t>
        </is>
      </c>
    </row>
    <row r="121">
      <c r="A121" t="inlineStr">
        <is>
          <t>li-4372933455</t>
        </is>
      </c>
      <c r="B121" t="inlineStr">
        <is>
          <t>Residential Program Manager</t>
        </is>
      </c>
      <c r="C121" t="inlineStr">
        <is>
          <t>Community Options, Inc.</t>
        </is>
      </c>
      <c r="D121" t="inlineStr">
        <is>
          <t>linkedin</t>
        </is>
      </c>
      <c r="E121" t="inlineStr"/>
      <c r="F121" t="inlineStr"/>
      <c r="G121" t="inlineStr">
        <is>
          <t>Westfield, NJ</t>
        </is>
      </c>
      <c r="H121" t="inlineStr"/>
      <c r="I121" t="inlineStr">
        <is>
          <t>**Description**
**Community Options, Inc.** 
 is a national non\-profit agency providing services to individuals with disabilities in 12 states.
 We are actively seeking an experienced
 **Residential Program Manager** 
 in
 **Westfield, New Jersey.** 
 The Program Manager leads a team to provide person\-centered care tailored to meet the needs of individuals with intellectual and developmental disabilities. This person will support teams with day\-to\-day operations and challenges to achieve programmatic goals.
***Starting pay is $51,5000/ 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122">
      <c r="A122" t="inlineStr">
        <is>
          <t>li-4372920960</t>
        </is>
      </c>
      <c r="B122" t="inlineStr">
        <is>
          <t>Day Program Manager</t>
        </is>
      </c>
      <c r="C122" t="inlineStr">
        <is>
          <t>Community Options, Inc.</t>
        </is>
      </c>
      <c r="D122" t="inlineStr">
        <is>
          <t>linkedin</t>
        </is>
      </c>
      <c r="E122" t="inlineStr"/>
      <c r="F122" t="inlineStr"/>
      <c r="G122" t="inlineStr">
        <is>
          <t>Forked River, NJ</t>
        </is>
      </c>
      <c r="H122" t="inlineStr"/>
      <c r="I122" t="inlineStr">
        <is>
          <t>**Description**
**Community Options, Inc.** 
 is a national non\-profit agency providing services to individuals with disabilities in 12 states.
 We are actively seeking an experienced
 **Day Program Manager** 
 in
 **Forked River, New Jersey.** 
 The Day Program Manager leads a team to provide person\-centered care tailored to meet the needs of individuals with intellectual and developmental disabilities. This person will develop and implement all day habilitation activities, assisting individuals in scheduled and regular community activities, and/ or volunteer educational programs.
***Starting pay is $46\.000/per year***
**Responsibilities**
* Manage staff schedules and ensure shifts are adequately staffed
* Manage team performance through effective communication, training, performance management, staff meetings, and employee recognition
* Assist with obtaining and processing referrals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day programs, and in the community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t>
        </is>
      </c>
    </row>
    <row r="123">
      <c r="A123" t="inlineStr">
        <is>
          <t>li-4365178937</t>
        </is>
      </c>
      <c r="B123" t="inlineStr">
        <is>
          <t>Product Manager, ML Foundations and GenAI</t>
        </is>
      </c>
      <c r="C123" t="inlineStr">
        <is>
          <t>Stripe</t>
        </is>
      </c>
      <c r="D123" t="inlineStr">
        <is>
          <t>linkedin</t>
        </is>
      </c>
      <c r="E123">
        <f>HYPERLINK("https://www.linkedin.com/jobs/view/4365178937", "https://www.linkedin.com/jobs/view/4365178937")</f>
        <v/>
      </c>
      <c r="F123">
        <f>HYPERLINK("https://stripe.com/jobs/listing/product-manager-ml-foundations-and-genai/7517535?gh_src=73vnei&amp;urlHash=wbrT", "https://stripe.com/jobs/listing/product-manager-ml-foundations-and-genai/7517535?gh_src=73vnei&amp;urlHash=wbrT")</f>
        <v/>
      </c>
      <c r="G123" t="inlineStr"/>
      <c r="H123" t="inlineStr"/>
      <c r="I12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4">
      <c r="A124" t="inlineStr">
        <is>
          <t>li-4365141148</t>
        </is>
      </c>
      <c r="B124" t="inlineStr">
        <is>
          <t>Product Manager, ML Foundations and GenAI</t>
        </is>
      </c>
      <c r="C124" t="inlineStr">
        <is>
          <t>Stripe</t>
        </is>
      </c>
      <c r="D124" t="inlineStr">
        <is>
          <t>linkedin</t>
        </is>
      </c>
      <c r="E124">
        <f>HYPERLINK("https://www.linkedin.com/jobs/view/4365141148", "https://www.linkedin.com/jobs/view/4365141148")</f>
        <v/>
      </c>
      <c r="F124">
        <f>HYPERLINK("https://stripe.com/jobs/listing/product-manager-ml-foundations-and-genai/7517535?gh_src=73vnei&amp;urlHash=wbrT", "https://stripe.com/jobs/listing/product-manager-ml-foundations-and-genai/7517535?gh_src=73vnei&amp;urlHash=wbrT")</f>
        <v/>
      </c>
      <c r="G124" t="inlineStr">
        <is>
          <t>New York, United States</t>
        </is>
      </c>
      <c r="H124" t="inlineStr"/>
      <c r="I12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5">
      <c r="A125" t="inlineStr">
        <is>
          <t>li-4365124485</t>
        </is>
      </c>
      <c r="B125" t="inlineStr">
        <is>
          <t>Product Manager, ML Foundations and GenAI</t>
        </is>
      </c>
      <c r="C125" t="inlineStr">
        <is>
          <t>Stripe</t>
        </is>
      </c>
      <c r="D125" t="inlineStr">
        <is>
          <t>linkedin</t>
        </is>
      </c>
      <c r="E125">
        <f>HYPERLINK("https://www.linkedin.com/jobs/view/4365124485", "https://www.linkedin.com/jobs/view/4365124485")</f>
        <v/>
      </c>
      <c r="F125">
        <f>HYPERLINK("https://stripe.com/jobs/listing/product-manager-ml-foundations-and-genai/7517535?gh_src=73vnei&amp;urlHash=wbrT", "https://stripe.com/jobs/listing/product-manager-ml-foundations-and-genai/7517535?gh_src=73vnei&amp;urlHash=wbrT")</f>
        <v/>
      </c>
      <c r="G125" t="inlineStr">
        <is>
          <t>San Francisco, CA</t>
        </is>
      </c>
      <c r="H125" t="inlineStr"/>
      <c r="I12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6">
      <c r="A126" t="inlineStr">
        <is>
          <t>li-4382615940</t>
        </is>
      </c>
      <c r="B126" t="inlineStr">
        <is>
          <t>Sr. Technical Product Manager</t>
        </is>
      </c>
      <c r="C126" t="inlineStr">
        <is>
          <t>Jobgether</t>
        </is>
      </c>
      <c r="D126" t="inlineStr">
        <is>
          <t>linkedin</t>
        </is>
      </c>
      <c r="E126">
        <f>HYPERLINK("https://www.linkedin.com/jobs/view/4382615940", "https://www.linkedin.com/jobs/view/4382615940")</f>
        <v/>
      </c>
      <c r="F126" t="inlineStr"/>
      <c r="G126" t="inlineStr"/>
      <c r="H126" t="inlineStr"/>
      <c r="I126" t="inlineStr">
        <is>
          <t>**This position is posted by Jobgether on behalf of a partner company. We are currently looking for a Sr. Technical Product Manager in United States.**
 In this role, you will lead the development and evolution of a cutting\-edge data and AI platform that powers advanced geospatial insights and enterprise\-scale data products. You will work at the intersection of product strategy, data engineering, and machine learning to transform AI\-generated outputs into scalable platform capabilities. This position involves shaping how complex datasets are structured, governed, and distributed through APIs and modern data ecosystems. Collaborating closely with engineering, research, and go\-to\-market teams, you will drive initiatives that enable secure, high\-performance, and monetizable data services. The role offers an opportunity to influence platform architecture, guide product strategy, and deliver impactful solutions for enterprise customers. It is ideal for a technically minded product leader passionate about building data\-driven platforms and AI\-enabled products.
**Accountabilities**
* Define and drive the product roadmap for a scalable data and AI platform, focusing on ML\-derived datasets and enterprise distribution models.
* Establish data taxonomy, schema governance, versioning, and lineage requirements to support structured and reliable data ecosystems.
* Translate machine learning research outputs into production\-ready platform capabilities and enterprise\-grade data products.
* Develop product requirement documents (PRDs) for AI\-generated features, including attributes, quality frameworks, and confidence scoring mechanisms.
* Collaborate with data engineering, architecture, and ML teams to ensure performance, availability, and scalability requirements are clearly defined.
* Define requirements for API\-first distribution models, geospatial data pipelines, event\-driven workflows, and AI integration frameworks.
* Enable data monetization strategies such as Data\-as\-a\-Service (DaaS) and API\-based consumption models.
* Partner with product, go\-to\-market teams, and internal stakeholders to translate industry use cases into scalable platform capabilities.
* Establish success metrics, telemetry, and observability standards to measure adoption, performance, latency, and reliability.
* Lead cross\-functional alignment and backlog prioritization, ensuring smooth collaboration between engineering, research, and business teams.
**Requirements**
* 8\+ years of experience in Technical or Platform Product Management, ideally focused on data platforms, AI systems, or cloud technologies.
* Strong understanding of machine learning lifecycle and productionization processes.
* Deep knowledge of data engineering concepts, distributed systems, and API\-first platform design.
* Experience defining requirements for enterprise\-scale data platforms and AI\-integrated architectures.
* Familiarity with data modeling, schema governance, and data lifecycle management.
* Experience working with cloud platforms such as AWS or equivalent environments.
* Strong ability to translate complex technical systems into clear product requirements and strategic roadmaps.
* Excellent analytical thinking, communication, and stakeholder management skills, including the ability to engage senior leadership.
* Experience with SQL/NoSQL databases, vector databases, feature stores, or modern AI architectures is a plus.
* Background in geospatial data, imagery platforms, data monetization models, or enterprise SaaS ecosystems is advantageous.
**Benefits**
* Salary range: $110,000 – $157,600 annually, with bonus eligibility
* Fully remote work environment across the United States
* Comprehensive medical, dental, and vision insurance
* Paid time off, sick leave, and parental leave
* 401(k) retirement plan with company participation
* Health Savings Account (HSA) options
* Life insurance and employee assistance programs
* Additional benefits such as pet insurance and wellness resources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7">
      <c r="A127" t="inlineStr">
        <is>
          <t>li-4365250586</t>
        </is>
      </c>
      <c r="B127" t="inlineStr">
        <is>
          <t>Product Manager, ML Foundations and GenAI</t>
        </is>
      </c>
      <c r="C127" t="inlineStr">
        <is>
          <t>Stripe</t>
        </is>
      </c>
      <c r="D127" t="inlineStr">
        <is>
          <t>linkedin</t>
        </is>
      </c>
      <c r="E127">
        <f>HYPERLINK("https://www.linkedin.com/jobs/view/4365250586", "https://www.linkedin.com/jobs/view/4365250586")</f>
        <v/>
      </c>
      <c r="F127">
        <f>HYPERLINK("https://stripe.com/jobs/listing/product-manager-ml-foundations-and-genai/7517535?gh_src=73vnei&amp;urlHash=wbrT", "https://stripe.com/jobs/listing/product-manager-ml-foundations-and-genai/7517535?gh_src=73vnei&amp;urlHash=wbrT")</f>
        <v/>
      </c>
      <c r="G127" t="inlineStr">
        <is>
          <t>Seattle, WA</t>
        </is>
      </c>
      <c r="H127" t="inlineStr"/>
      <c r="I12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28">
      <c r="A128" t="inlineStr">
        <is>
          <t>li-4382634343</t>
        </is>
      </c>
      <c r="B128" t="inlineStr">
        <is>
          <t>Remote Sr. Product Manager</t>
        </is>
      </c>
      <c r="C128" t="inlineStr">
        <is>
          <t>Jobgether</t>
        </is>
      </c>
      <c r="D128" t="inlineStr">
        <is>
          <t>linkedin</t>
        </is>
      </c>
      <c r="E128">
        <f>HYPERLINK("https://www.linkedin.com/jobs/view/4382634343", "https://www.linkedin.com/jobs/view/4382634343")</f>
        <v/>
      </c>
      <c r="F128">
        <f>HYPERLINK("https://jobs.lever.co/jobgether/5c8826fa-9e99-4cdb-b566-330dde09874d/apply?source=LinkedIn&amp;urlHash=K8Bu", "https://jobs.lever.co/jobgether/5c8826fa-9e99-4cdb-b566-330dde09874d/apply?source=LinkedIn&amp;urlHash=K8Bu")</f>
        <v/>
      </c>
      <c r="G128" t="inlineStr">
        <is>
          <t>Texas, United States</t>
        </is>
      </c>
      <c r="H128" t="inlineStr"/>
      <c r="I128"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9">
      <c r="A129" t="inlineStr">
        <is>
          <t>li-4382630476</t>
        </is>
      </c>
      <c r="B129" t="inlineStr">
        <is>
          <t>Remote Sr. Product Manager</t>
        </is>
      </c>
      <c r="C129" t="inlineStr">
        <is>
          <t>Jobgether</t>
        </is>
      </c>
      <c r="D129" t="inlineStr">
        <is>
          <t>linkedin</t>
        </is>
      </c>
      <c r="E129">
        <f>HYPERLINK("https://www.linkedin.com/jobs/view/4382630476", "https://www.linkedin.com/jobs/view/4382630476")</f>
        <v/>
      </c>
      <c r="F129">
        <f>HYPERLINK("https://jobs.lever.co/jobgether/566e295a-586a-4675-b46a-d19c609e39e9/apply?source=LinkedIn&amp;urlHash=LfUe", "https://jobs.lever.co/jobgether/566e295a-586a-4675-b46a-d19c609e39e9/apply?source=LinkedIn&amp;urlHash=LfUe")</f>
        <v/>
      </c>
      <c r="G129" t="inlineStr">
        <is>
          <t>Florida, United States</t>
        </is>
      </c>
      <c r="H129" t="inlineStr"/>
      <c r="I129"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0">
      <c r="A130" t="inlineStr">
        <is>
          <t>li-4243637726</t>
        </is>
      </c>
      <c r="B130" t="inlineStr">
        <is>
          <t>Product Manager</t>
        </is>
      </c>
      <c r="C130" t="inlineStr">
        <is>
          <t>ReachMobi</t>
        </is>
      </c>
      <c r="D130" t="inlineStr">
        <is>
          <t>linkedin</t>
        </is>
      </c>
      <c r="E130">
        <f>HYPERLINK("https://www.linkedin.com/jobs/view/4243637726", "https://www.linkedin.com/jobs/view/4243637726")</f>
        <v/>
      </c>
      <c r="F130" t="inlineStr"/>
      <c r="G130" t="inlineStr">
        <is>
          <t>Bonita Springs, FL</t>
        </is>
      </c>
      <c r="H130" t="inlineStr"/>
      <c r="I130" t="inlineStr">
        <is>
          <t>**About Us** 
 An industry\-leading mobile app developer, ReachMobi works tirelessly to connect users to a mobile experience that is completely tailored around the end\-user. Our invaluable array of apps provides users with the power to transform their devices into something that perfectly aligns with their personalities and passions while enhancing functionality and customization.
 We are looking for an entrepreneurial Product Manager who can execute the vision provided by the App Studio Manager (ASM) and drive product success. This role requires someone who can dive deep into data, analyze what’s working and what’s not, and make strategic decisions to improve product performance. Rather than being the one who invents the product, this individual will drive the product forward through data\-driven insights and execution.
**How You’ll Make an Impact** 
* **Lead \&amp; Collaborate:** 
 Work closely with our App Studio Manager to guide teams through ideation, technical development, and product launches.
* 
* **Own \&amp; Grow:** 
 Take full ownership of your product area, helping to expand a ReachMobi vertical (big keyboard, email, messenger, etc.) with a strong focus on Android Launchers.
* 
* **Launch \&amp; Iterate:** 
 Develop, launch, and refine new products and features based on performance data and user insights.
* 
* **Think Strategically:** 
 Stay ahead of industry trends, mobile user acquisition strategies, and competitor movements to fuel growth.
* 
* **Execute \&amp; Adapt:** 
 Deeply understand the technical details and key performance indicators of our products, ensuring continuous optimization.
* 
* **Problem\-Solve in Real Time:** 
 Execute on a vision—when given a formula for success, be able to implement it, assess the results, and make data\-driven adjustments to improve outcomes.
**What You Need** 
* 3 years’ experience creating product roadmap(s) and product strategy.
* Strong analytical skills with hands\-on experience in Excel (pivot tables, VLOOKUP, visualization, etc.).
* SQL querying experience to extract and analyze data.
* Ability to break down complex problems into actionable steps that drive product development in a fast\-paced environment.
* Understanding of key product metrics, including cost per acquisition (CPA), revenue per user, click\-through rates (CTR), retention rates, and lifetime value (LTV).
**Why ReachMobi?** 
* We offer a fun, work hard – play hard culture
* No dress code policy! Wear your flip flops and shorts in the summer
* Hybrid schedule
* Unlimited Paid Time Off along with 10 paid holidays
* 401k match up to 4%, Health/Vision/Dental, Flexible Spending Accounts
* Life Insurance, AD\&amp;D, STD and LTD 100% employer paid
* Sponsorship available
* Complimentary snacks, beverages, beer fridge, as well as catered lunches
* Located next to world\-class shopping and restaurants
* Regular company\-sponsored social events to connect with your team and fellow colleagues! \- check out our
 Instagram
 to see more
* This is an opportunity to be with an industry leading company that continues to experience tremendous growth</t>
        </is>
      </c>
    </row>
    <row r="131">
      <c r="A131" t="inlineStr">
        <is>
          <t>li-4382629406</t>
        </is>
      </c>
      <c r="B131" t="inlineStr">
        <is>
          <t>Sr. Product Manager - REMOTE</t>
        </is>
      </c>
      <c r="C131" t="inlineStr">
        <is>
          <t>Jobgether</t>
        </is>
      </c>
      <c r="D131" t="inlineStr">
        <is>
          <t>linkedin</t>
        </is>
      </c>
      <c r="E131">
        <f>HYPERLINK("https://www.linkedin.com/jobs/view/4382629406", "https://www.linkedin.com/jobs/view/4382629406")</f>
        <v/>
      </c>
      <c r="F131" t="inlineStr"/>
      <c r="G131" t="inlineStr">
        <is>
          <t>Colorado, United States</t>
        </is>
      </c>
      <c r="H131" t="inlineStr"/>
      <c r="I131"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li-4382632377</t>
        </is>
      </c>
      <c r="B132" t="inlineStr">
        <is>
          <t>Senior Product Manager - Remote</t>
        </is>
      </c>
      <c r="C132" t="inlineStr">
        <is>
          <t>Jobgether</t>
        </is>
      </c>
      <c r="D132" t="inlineStr">
        <is>
          <t>linkedin</t>
        </is>
      </c>
      <c r="E132">
        <f>HYPERLINK("https://www.linkedin.com/jobs/view/4382632377", "https://www.linkedin.com/jobs/view/4382632377")</f>
        <v/>
      </c>
      <c r="F132">
        <f>HYPERLINK("https://jobs.lever.co/jobgether/3e02f4fa-6b44-461d-941c-64941acec69d/apply?source=LinkedIn&amp;urlHash=5BxO", "https://jobs.lever.co/jobgether/3e02f4fa-6b44-461d-941c-64941acec69d/apply?source=LinkedIn&amp;urlHash=5BxO")</f>
        <v/>
      </c>
      <c r="G132" t="inlineStr">
        <is>
          <t>North Carolina, United States</t>
        </is>
      </c>
      <c r="H132" t="inlineStr"/>
      <c r="I132"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li-4382637105</t>
        </is>
      </c>
      <c r="B133" t="inlineStr">
        <is>
          <t>Remote Senior Product Manager</t>
        </is>
      </c>
      <c r="C133" t="inlineStr">
        <is>
          <t>Jobgether</t>
        </is>
      </c>
      <c r="D133" t="inlineStr">
        <is>
          <t>linkedin</t>
        </is>
      </c>
      <c r="E133">
        <f>HYPERLINK("https://www.linkedin.com/jobs/view/4382637105", "https://www.linkedin.com/jobs/view/4382637105")</f>
        <v/>
      </c>
      <c r="F133">
        <f>HYPERLINK("https://jobs.lever.co/jobgether/dfc38306-4552-4a77-81d7-9a192eadb2ed/apply?source=LinkedIn&amp;urlHash=SA5m", "https://jobs.lever.co/jobgether/dfc38306-4552-4a77-81d7-9a192eadb2ed/apply?source=LinkedIn&amp;urlHash=SA5m")</f>
        <v/>
      </c>
      <c r="G133" t="inlineStr">
        <is>
          <t>California, United States</t>
        </is>
      </c>
      <c r="H133" t="inlineStr"/>
      <c r="I133"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li-4382626552</t>
        </is>
      </c>
      <c r="B134" t="inlineStr">
        <is>
          <t>Remote Product Manager - REMOTE</t>
        </is>
      </c>
      <c r="C134" t="inlineStr">
        <is>
          <t>Jobgether</t>
        </is>
      </c>
      <c r="D134" t="inlineStr">
        <is>
          <t>linkedin</t>
        </is>
      </c>
      <c r="E134">
        <f>HYPERLINK("https://www.linkedin.com/jobs/view/4382626552", "https://www.linkedin.com/jobs/view/4382626552")</f>
        <v/>
      </c>
      <c r="F134">
        <f>HYPERLINK("https://jobs.lever.co/jobgether/e836f841-02fc-48db-b018-07563ca03bea/apply?source=LinkedIn&amp;urlHash=5dk3", "https://jobs.lever.co/jobgether/e836f841-02fc-48db-b018-07563ca03bea/apply?source=LinkedIn&amp;urlHash=5dk3")</f>
        <v/>
      </c>
      <c r="G134" t="inlineStr">
        <is>
          <t>Indiana, United States</t>
        </is>
      </c>
      <c r="H134" t="inlineStr"/>
      <c r="I134"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5">
      <c r="A135" t="inlineStr">
        <is>
          <t>li-4382627527</t>
        </is>
      </c>
      <c r="B135" t="inlineStr">
        <is>
          <t>Remote Senior Product Manager</t>
        </is>
      </c>
      <c r="C135" t="inlineStr">
        <is>
          <t>Jobgether</t>
        </is>
      </c>
      <c r="D135" t="inlineStr">
        <is>
          <t>linkedin</t>
        </is>
      </c>
      <c r="E135">
        <f>HYPERLINK("https://www.linkedin.com/jobs/view/4382627527", "https://www.linkedin.com/jobs/view/4382627527")</f>
        <v/>
      </c>
      <c r="F135" t="inlineStr"/>
      <c r="G135" t="inlineStr">
        <is>
          <t>Illinois, United States</t>
        </is>
      </c>
      <c r="H135" t="inlineStr"/>
      <c r="I135"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6">
      <c r="A136" t="inlineStr">
        <is>
          <t>li-4382638490</t>
        </is>
      </c>
      <c r="B136" t="inlineStr">
        <is>
          <t>Senior Product Manager, Generative AI</t>
        </is>
      </c>
      <c r="C136" t="inlineStr">
        <is>
          <t>Uber</t>
        </is>
      </c>
      <c r="D136" t="inlineStr">
        <is>
          <t>linkedin</t>
        </is>
      </c>
      <c r="E136">
        <f>HYPERLINK("https://www.linkedin.com/jobs/view/4382638490", "https://www.linkedin.com/jobs/view/4382638490")</f>
        <v/>
      </c>
      <c r="F136" t="inlineStr"/>
      <c r="G136" t="inlineStr">
        <is>
          <t>Sunnyvale, CA</t>
        </is>
      </c>
      <c r="H136" t="inlineStr"/>
      <c r="I136" t="inlineStr">
        <is>
          <t>**About The Role**
 Are you an AI/ML enthusiast? Does working on Agentic AI excite you? Are you thrilled about building great user experiences? If yes, read on!
 At Uber, Generative AI is becoming a foundational technology across a diverse range of product lines. It powers increasingly intelligent and personalized user experiences in areas such as product discovery \&amp; recommendations, customer support, document processing, merchant assistance, and internal developer productivity tools like coding copilots and on\-call assistants.
 The Applied AI team at Uber is a multidisciplinary team of ML Engineers, Applied Scientists, Backend Engineers, Mobile Engineers and AI Product Managers responsible for developing compelling AI\-driven user\-facing experiences, and leading innovation in Computer Vision, Natural Language Processing, Personalization \&amp; Recommendations, and Generative AI Applications\-at global scale. We need a vision\-driven PM to turn Gen AI breakthroughs into daily delight.
**What The Candidate Will Do**
* Craft and execute bold Gen\-AI products for Riders, Eaters or Drivers.
* Translate fuzzy user pain into lovable, metric\-moving features.
* Partner with Eng/DS/Design to launch fast and iterate faster.
* Understand emerging AI trends and inject the best ideas into the roadmap.
**Basic Qualifications**
* 5\+ years of Product Management experience delivering highly technical ML products.
* Experience launching Gen AI applications or agentic systems, from initial conception to launch.
* Bachelors degree in CS/Eng. This person must be able to spar technically without blinking.
**Preferred Qualifications**
* Former experience as a ML Engineer or Data Scientist
* Data\-driven, driving clarity, collaboration, and ruthless prioritization.
* Elite written \&amp; verbal comms; mjust be mission\-aligned.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37">
      <c r="A137" t="inlineStr">
        <is>
          <t>li-4382618870</t>
        </is>
      </c>
      <c r="B137" t="inlineStr">
        <is>
          <t>Senior Product Manager - remote</t>
        </is>
      </c>
      <c r="C137" t="inlineStr">
        <is>
          <t>Jobgether</t>
        </is>
      </c>
      <c r="D137" t="inlineStr">
        <is>
          <t>linkedin</t>
        </is>
      </c>
      <c r="E137">
        <f>HYPERLINK("https://www.linkedin.com/jobs/view/4382618870", "https://www.linkedin.com/jobs/view/4382618870")</f>
        <v/>
      </c>
      <c r="F137" t="inlineStr"/>
      <c r="G137" t="inlineStr">
        <is>
          <t>Iowa, United States</t>
        </is>
      </c>
      <c r="H137" t="inlineStr"/>
      <c r="I137"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8">
      <c r="A138" t="inlineStr">
        <is>
          <t>li-4382625575</t>
        </is>
      </c>
      <c r="B138" t="inlineStr">
        <is>
          <t>Sr. Product Manager remote</t>
        </is>
      </c>
      <c r="C138" t="inlineStr">
        <is>
          <t>Jobgether</t>
        </is>
      </c>
      <c r="D138" t="inlineStr">
        <is>
          <t>linkedin</t>
        </is>
      </c>
      <c r="E138">
        <f>HYPERLINK("https://www.linkedin.com/jobs/view/4382625575", "https://www.linkedin.com/jobs/view/4382625575")</f>
        <v/>
      </c>
      <c r="F138">
        <f>HYPERLINK("https://jobs.lever.co/jobgether/461a9242-1cda-42ee-92f4-de20b36001eb/apply?source=LinkedIn&amp;urlHash=pvM0", "https://jobs.lever.co/jobgether/461a9242-1cda-42ee-92f4-de20b36001eb/apply?source=LinkedIn&amp;urlHash=pvM0")</f>
        <v/>
      </c>
      <c r="G138" t="inlineStr">
        <is>
          <t>Maine, United States</t>
        </is>
      </c>
      <c r="H138" t="inlineStr"/>
      <c r="I138"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9">
      <c r="A139" t="inlineStr">
        <is>
          <t>li-4382619795</t>
        </is>
      </c>
      <c r="B139" t="inlineStr">
        <is>
          <t>Sr. Product Manager (Remote)</t>
        </is>
      </c>
      <c r="C139" t="inlineStr">
        <is>
          <t>Jobgether</t>
        </is>
      </c>
      <c r="D139" t="inlineStr">
        <is>
          <t>linkedin</t>
        </is>
      </c>
      <c r="E139">
        <f>HYPERLINK("https://www.linkedin.com/jobs/view/4382619795", "https://www.linkedin.com/jobs/view/4382619795")</f>
        <v/>
      </c>
      <c r="F139">
        <f>HYPERLINK("https://jobs.lever.co/jobgether/3e47b02a-a877-44a5-bc39-76824d11ffb4/apply?source=LinkedIn&amp;urlHash=QRz5", "https://jobs.lever.co/jobgether/3e47b02a-a877-44a5-bc39-76824d11ffb4/apply?source=LinkedIn&amp;urlHash=QRz5")</f>
        <v/>
      </c>
      <c r="G139" t="inlineStr">
        <is>
          <t>Arizona, United States</t>
        </is>
      </c>
      <c r="H139" t="inlineStr"/>
      <c r="I139"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0">
      <c r="A140" t="inlineStr">
        <is>
          <t>li-4382639028</t>
        </is>
      </c>
      <c r="B140" t="inlineStr">
        <is>
          <t>Remote Product Manager - REMOTE</t>
        </is>
      </c>
      <c r="C140" t="inlineStr">
        <is>
          <t>Jobgether</t>
        </is>
      </c>
      <c r="D140" t="inlineStr">
        <is>
          <t>linkedin</t>
        </is>
      </c>
      <c r="E140">
        <f>HYPERLINK("https://www.linkedin.com/jobs/view/4382639028", "https://www.linkedin.com/jobs/view/4382639028")</f>
        <v/>
      </c>
      <c r="F140">
        <f>HYPERLINK("https://jobs.lever.co/jobgether/7b676101-9370-4e21-9af6-93801d0c28b6/apply?source=LinkedIn&amp;urlHash=j0tP", "https://jobs.lever.co/jobgether/7b676101-9370-4e21-9af6-93801d0c28b6/apply?source=LinkedIn&amp;urlHash=j0tP")</f>
        <v/>
      </c>
      <c r="G140" t="inlineStr">
        <is>
          <t>Washington, United States</t>
        </is>
      </c>
      <c r="H140" t="inlineStr"/>
      <c r="I140"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1">
      <c r="A141" t="inlineStr">
        <is>
          <t>li-4382631427</t>
        </is>
      </c>
      <c r="B141" t="inlineStr">
        <is>
          <t>Lead Product Manager - remote</t>
        </is>
      </c>
      <c r="C141" t="inlineStr">
        <is>
          <t>Jobgether</t>
        </is>
      </c>
      <c r="D141" t="inlineStr">
        <is>
          <t>linkedin</t>
        </is>
      </c>
      <c r="E141">
        <f>HYPERLINK("https://www.linkedin.com/jobs/view/4382631427", "https://www.linkedin.com/jobs/view/4382631427")</f>
        <v/>
      </c>
      <c r="F141">
        <f>HYPERLINK("https://jobs.lever.co/jobgether/ba8d6d20-6a3b-41a1-ba8f-029789ca8a1e/apply?source=LinkedIn&amp;urlHash=wlzY", "https://jobs.lever.co/jobgether/ba8d6d20-6a3b-41a1-ba8f-029789ca8a1e/apply?source=LinkedIn&amp;urlHash=wlzY")</f>
        <v/>
      </c>
      <c r="G141" t="inlineStr">
        <is>
          <t>Wisconsin, United States</t>
        </is>
      </c>
      <c r="H141" t="inlineStr"/>
      <c r="I141"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li-4382631416</t>
        </is>
      </c>
      <c r="B142" t="inlineStr">
        <is>
          <t>Remote Senior Product Manager</t>
        </is>
      </c>
      <c r="C142" t="inlineStr">
        <is>
          <t>Jobgether</t>
        </is>
      </c>
      <c r="D142" t="inlineStr">
        <is>
          <t>linkedin</t>
        </is>
      </c>
      <c r="E142">
        <f>HYPERLINK("https://www.linkedin.com/jobs/view/4382631416", "https://www.linkedin.com/jobs/view/4382631416")</f>
        <v/>
      </c>
      <c r="F142">
        <f>HYPERLINK("https://jobs.lever.co/jobgether/f01d286d-fa9f-4006-a259-8091938dd9d7/apply?source=LinkedIn&amp;urlHash=VKLh", "https://jobs.lever.co/jobgether/f01d286d-fa9f-4006-a259-8091938dd9d7/apply?source=LinkedIn&amp;urlHash=VKLh")</f>
        <v/>
      </c>
      <c r="G142" t="inlineStr">
        <is>
          <t>New Jersey, United States</t>
        </is>
      </c>
      <c r="H142" t="inlineStr"/>
      <c r="I142"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3">
      <c r="A143" t="inlineStr">
        <is>
          <t>li-4382620843</t>
        </is>
      </c>
      <c r="B143" t="inlineStr">
        <is>
          <t>Remote Senior Product Manager</t>
        </is>
      </c>
      <c r="C143" t="inlineStr">
        <is>
          <t>Jobgether</t>
        </is>
      </c>
      <c r="D143" t="inlineStr">
        <is>
          <t>linkedin</t>
        </is>
      </c>
      <c r="E143">
        <f>HYPERLINK("https://www.linkedin.com/jobs/view/4382620843", "https://www.linkedin.com/jobs/view/4382620843")</f>
        <v/>
      </c>
      <c r="F143" t="inlineStr"/>
      <c r="G143" t="inlineStr">
        <is>
          <t>Kentucky, United States</t>
        </is>
      </c>
      <c r="H143" t="inlineStr"/>
      <c r="I143"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li-4382628453</t>
        </is>
      </c>
      <c r="B144" t="inlineStr">
        <is>
          <t>Remote Lead Product Manager - REMOTE</t>
        </is>
      </c>
      <c r="C144" t="inlineStr">
        <is>
          <t>Jobgether</t>
        </is>
      </c>
      <c r="D144" t="inlineStr">
        <is>
          <t>linkedin</t>
        </is>
      </c>
      <c r="E144">
        <f>HYPERLINK("https://www.linkedin.com/jobs/view/4382628453", "https://www.linkedin.com/jobs/view/4382628453")</f>
        <v/>
      </c>
      <c r="F144">
        <f>HYPERLINK("https://jobs.lever.co/jobgether/20c4ba56-af39-42b2-9ea3-731a1fafd7a0/apply?source=LinkedIn&amp;urlHash=Y_f-", "https://jobs.lever.co/jobgether/20c4ba56-af39-42b2-9ea3-731a1fafd7a0/apply?source=LinkedIn&amp;urlHash=Y_f-")</f>
        <v/>
      </c>
      <c r="G144" t="inlineStr">
        <is>
          <t>Virginia, United States</t>
        </is>
      </c>
      <c r="H144" t="inlineStr"/>
      <c r="I144" t="inlineStr">
        <is>
          <t>This position is posted by Jobgether on behalf of a partner company. We are currently looking for a Senior Product Manager. In this role, you will reinvent the consumer online buying experience for dealerships, focusing on providing the best tools in the industry. Your efforts will directly influence the product development process, helping our partner deliver innovative solutions. You'll work in a dynamic and engaging environment where collaboration is key and your contributions will make a significant impact. This is an opportunity to lead transformational projects that enhance our product offerings, and ultimately the customer experience across various markets.
**Accountabilities**
* Develop a keen understanding of the market and customer needs.
* Identify customer problems and come up with targeted solutions.
* Translate requirements into clear epics and user stories.
* Communicate product vision to the team and stakeholders.
* Develop and test product concepts with dealers.
* Build, prioritize, and maintain team backlog for sprint iteration planning.
* Actively participate in the development process and bring clarity to the team’s work.
* Own product planning and execution of the roadmap.
* Collaborate with team stakeholders to triage issues.
* Develop tactical plans to support the whole product including installation, support, and measurement of customer ROI.
* Define KPIs and leverage the data in future product planning.
* Manage release milestones and guide the development process.
* Work across organizations to plan and lead successful product launches.
* Be an evangelist for your products within the company and the industry.
* Engage with customer\-facing teams to gather and share product feedback critical to the product development lifecycle.
**Requirements**
* 5\+ years of experience in senior product management of GTM products in a SaaS\-based environment.
* Product experience with automotive or recreational dealership software platforms a plus.
* Experience developing software using SCRUM or other Agile methodologies.
* Proven success building and executing product strategy across multiple integrated businesses.
* Excellent presentation development with the ability to communicate technical information effectively.
* Excellent written and verbal communication skills.
* Proven ability to influence cross\-functional teams without formal authority.
* In\-depth understanding of technology and software product development.
* Strong internal motivation with a great work ethic.
* Solid customer engagement skills.
* Rapid and data\-driven decision\-maker.
* Ability to travel up to 10%.
**Benefits**
* Flexible working hours and remote work opportunities.
* Collaborative and innovative work environment.
* Opportunities for professional development and growth.
* Engaging and diverse team culture.
* Chance to lead impactful projects within the industry.
* Competitive salary and benefits package.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5">
      <c r="A145" t="inlineStr">
        <is>
          <t>li-4382640381</t>
        </is>
      </c>
      <c r="B145" t="inlineStr">
        <is>
          <t>AI Agile Product Manager</t>
        </is>
      </c>
      <c r="C145" t="inlineStr">
        <is>
          <t>Elevance Health</t>
        </is>
      </c>
      <c r="D145" t="inlineStr">
        <is>
          <t>linkedin</t>
        </is>
      </c>
      <c r="E145">
        <f>HYPERLINK("https://www.linkedin.com/jobs/view/4382640381", "https://www.linkedin.com/jobs/view/4382640381")</f>
        <v/>
      </c>
      <c r="F145" t="inlineStr"/>
      <c r="G145" t="inlineStr">
        <is>
          <t>Indianapolis, IN</t>
        </is>
      </c>
      <c r="H145" t="inlineStr"/>
      <c r="I145" t="inlineStr">
        <is>
          <t>Location: This role requires associates to be in\-office 1 day per week, fostering collaboration and connectivity, while providing flexibility to support productivity and work\-life balance. This approach combines structured office engagement with the autonomy of virtual work, promoting a dynamic and adaptable workplace. Â Ideal candidates will be able to report to one of our Pulse Point locations in Atlanta, GA or Indianapolis, IN.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**AI Agile Product Manager** 
 is responsible for representing the needs and desires of the stakeholder community to the team of Agile teams and will be the experts on the market and the customer. Accountable for one or more Agile teams and drives the solution concept across these multiple teams.
**How You Will Make An Impact**
* Understands the customer needs and participates in validation of proposed solutions.
* Collaborates to continuously develop and communicate the vision for the scrum teams and are key to efficient and effective development.
* Manages the program Epic/Initiative backlog at the Agile Lean Program Level.
* Partners with the stakeholders to develop the business case for Epics/features that affect the Agile Release Train (ART) or Team of Agile Teams and makes decisions regarding what epics/features the product or program will have based on the understanding of the customer needs.
* Utilizes the right key performance indicators (KPIs) to measure the product performance.
* Supports portfolio work including budget parameters and strategic themes.
* Advocates for current and future funding and drives requests for funding and secures budget for the continuous flow of value to customers.
* Collaborates with the system and solution architects to assist with decision\-making and sequencing of the key technical aspects to support the new business functionality.
* Builds an effective product manager/product owner team for multiple trains in support of their value stream but may not necessarily report to the same organization.
* Mentors Product Managers to confidently drive solutions across teams.
* Drives business value delivery at the program level.
* Designs and runs evaluations to assess product performance.
* Applies Agile at scale.
* Manages backlog management, sprint planning, and writes clear user stories, acceptance criteria, and evaluation frameworks.
* Launches and scales products in complex or regulated industries.
* Codes/prototypes to validate ideas and accelerate innovation.
**Minimum Requirements**
* Requires a BA/BS and minimum of 8 years of experience with writing business/functional requirements and experience implementing Agile methodologies; or any combination of education and experience, which would provide an equivalent background.
* Requires a SAFe (SA) certification.
**Preferred Skills, Capabilities And Experiences**
* Proven experience with SAFe (SA), CSPO or equivalent (Certified Scrum Product Owner) and/or SPO/PM (SAFE Product Owner/Product Manager) highly preferred.
* Demonstrated success in leading AI\-enabled product development and integrating large language models, predictive analytics, or automation into consumer or enterprise\-facing solutions highly preferred.
* Strong experience delivering seamless digital products (mobile apps, portals, or self\-service platforms) that elevate user experience and adoption highly preferred.
* Expertise with scaling Agile practices (e.g., SAFe, LeSS) across large, complex organizations while maintaining product velocity and delivery quality highly preferred.
* Experience identifying and developing new product opportunities at the intersection of AI, healthcare data, and digital experience highly preferred.
* Experience Vibe coding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46">
      <c r="A146" t="inlineStr">
        <is>
          <t>li-4381394702</t>
        </is>
      </c>
      <c r="B146" t="inlineStr">
        <is>
          <t>Sr Client Product Manager</t>
        </is>
      </c>
      <c r="C146" t="inlineStr">
        <is>
          <t>IDEAS</t>
        </is>
      </c>
      <c r="D146" t="inlineStr">
        <is>
          <t>linkedin</t>
        </is>
      </c>
      <c r="E146">
        <f>HYPERLINK("https://www.linkedin.com/jobs/view/4381394702", "https://www.linkedin.com/jobs/view/4381394702")</f>
        <v/>
      </c>
      <c r="F146">
        <f>HYPERLINK("https://ideas-sas.icims.com/jobs/36572/sr-client-product-manager/job?mode=job&amp;iis=Job+Posting&amp;iisn=LinkedIn&amp;urlHash=3-_e", "https://ideas-sas.icims.com/jobs/36572/sr-client-product-manager/job?mode=job&amp;iis=Job+Posting&amp;iisn=LinkedIn&amp;urlHash=3-_e")</f>
        <v/>
      </c>
      <c r="G146" t="inlineStr">
        <is>
          <t>Minneapolis, MN</t>
        </is>
      </c>
      <c r="H146" t="inlineStr"/>
      <c r="I146" t="inlineStr">
        <is>
          <t>Passionate people. Loyal clients. Leading solutions.
 With a rich culture of creative collaboration and professional growth, IDeaS’ team members build successful careers with us.
 IDeaS is proud to be a global powerhouse of innovation and excellence; challenge and reward. No matter where we’re working, our teams come together to create leading revenue management solutions that accelerate our clients’ growth through revenue optimization.
**Now we just need you!**
 The Sr. Product Champion/ Solution Lead will be responsible for the product planning and execution throughout the product lifecycle for assigned clients, including gathering and prioritizing product and customer requirements, defining the product vision, and working closely with Development, Account Management, Marketing and Support teams, to ensure revenue, product project goals and customer satisfaction goals are met.
**What You’ll Be Doing...**
* Identify strategic client objectives and opportunities for IDeaS to deepen our partnership with assigned clients
* Support ongoing client requirements and roadmap definition
* Agree definition of deliverables with client, document Business Requirement Documents (BRDs) and agree with assigned clients
* Manage client\-associated Product Management deliverables by scoping, creating, and updating BRDs and then turning into SOW, continually monitoring and documenting project activities and communicating project status and changes
* Discuss with internal Tech Lead and agree solution in detailed design discussions related to how to execute on building functionality
* Work with Tech Lead to hand off to Team(s) who will work on item. Support as ongoing SME during dev and again in roll\-out prep.
* Supports ongoing discussions with SDQA teams as development begins on an item and technical or functional requirement questions arise and acts as an ongoing liaison with key stakeholders (within or external to IDeaS) to gather information required to continue with development efforts within agreed requirements
* Demonstrates excellent product knowledge with external audiences, such as press, thought leaders, analysts, speaking engagements at trade shows and client meetings
* Participates heavily in the development and execution of the product vision and roadmap
* Ensures knowledge transfer of product functionality to client support teams, Marketing \&amp; Sales or Account Management
* Delivers technical, fact\-oriented content for pricing, positioning and collateral
* May manage OEM/Technical provider relationships
* Run beta and pilot programs with early\-stage products and samples \- ensure measurement of success against defined KPIs for the project.
* Performs other duties, as assigned.
**What You’ll Bring To Us…**
* Bachelor’s degree in a business Marketing, Engineering, Computer Science or quantitative field (Operations Research, Industrial Engineering or similar.)
* 5\+ years’ experience in Product Management, Marketing, Sales, Consulting or related function in the technology industry
* 3\+ years’ experience working with data integrations
* Demonstrably strong ability to translate business requirements to analytical and product needs and communicate effectively to Technology, Development and Analytics teams
* Ability to understand product features and describe associated customer value
* Ability to map market and client requirements into product features
* Proven ability to influence cross\-functional teams without formal authority
* Full understanding of the product management skills; ability to resolve a wide range of issues in creative ways
* Skilled in effective communication, influencing and negotiation
* Organizational skills for managing commitments, schedules, and deadlines.
**We Support Who You Are….**
 As a global company, we strive to create an inclusive environment where diverse perspectives spark innovation and meet the challenges of an evolving world. Whether you’re launching a new career or expanding your current one, IDeaS is a company where you can balance great work with all other aspects of your life.
 At IDeaS, we also aspire to live our values each day by being Accountable, Curious, Passionate and Authentic. And we continue our quest to build a more inclusive environment that attracts, represents and provides a place for diverse ideas, unique perspectives, and authentic voices.
***Additional Information***
 To qualify, applicants must be legally authorized to work in the
 *United States* 
 ,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Equivalent combination of education, training, and relevant experience may be considered in place of the education requirement stated above.
 Resumes may be considered in the order they are received.
 IDeaS/SAS employees performing certain job functions may require access to technology or software subject to export or import regulations. To comply with these regulations, IDeaS/SAS may obtain nationality or citizenship information from applicants for employment.
 IDeaS/SAS collects this information solely for trade law compliance purposes and does not use it to discriminate unfairly in the hiring process.
 \#IDeaS</t>
        </is>
      </c>
    </row>
    <row r="147">
      <c r="A147" t="inlineStr">
        <is>
          <t>li-4381256069</t>
        </is>
      </c>
      <c r="B147" t="inlineStr">
        <is>
          <t>PPO Network Product Manager</t>
        </is>
      </c>
      <c r="C147" t="inlineStr">
        <is>
          <t>Pegasus Knowledge Solutions, Inc.</t>
        </is>
      </c>
      <c r="D147" t="inlineStr">
        <is>
          <t>linkedin</t>
        </is>
      </c>
      <c r="E147">
        <f>HYPERLINK("https://www.linkedin.com/jobs/view/4381256069", "https://www.linkedin.com/jobs/view/4381256069")</f>
        <v/>
      </c>
      <c r="F147" t="inlineStr"/>
      <c r="G147" t="inlineStr"/>
      <c r="H147" t="inlineStr"/>
      <c r="I147" t="inlineStr">
        <is>
          <t>Network Product Manager
 Location : Remote
 Duration : FT Hire
 The
 **Network Product Manager** 
 is a strategic leadership role responsible for defining, building, and evolving Client’s
 **Medical Bill Processing, PPO Repricing, and Cost Containment Network products** 
 . This role owns the
 **network product vision and roadmap** 
 , including the
 **systematic evaluation, selection, and optimization of PPO networks and sub\-networks** 
 , ensuring MedRisk partners with the
 **strongest and most effective network ecosystem** 
 in the market.
 The role will position "the client" as the
 **industry leader in Medical Bill Review, repricing, and cost containment solutions** 
 , balancing national scale with regional strength and specialty expertise. Success requires deep strategic thinking across
 **network evaluation frameworks, provider access, pricing effectiveness, compliance, and product differentiation** 
 , in close partnership with Operations, Sales, Legal, and Technology teams.</t>
        </is>
      </c>
    </row>
    <row r="148">
      <c r="A148" t="inlineStr">
        <is>
          <t>li-4381387528</t>
        </is>
      </c>
      <c r="B148" t="inlineStr">
        <is>
          <t>FinTech Product Manager</t>
        </is>
      </c>
      <c r="C148" t="inlineStr">
        <is>
          <t>Jobs via Dice</t>
        </is>
      </c>
      <c r="D148" t="inlineStr">
        <is>
          <t>linkedin</t>
        </is>
      </c>
      <c r="E148">
        <f>HYPERLINK("https://www.linkedin.com/jobs/view/4381387528", "https://www.linkedin.com/jobs/view/4381387528")</f>
        <v/>
      </c>
      <c r="F148" t="inlineStr"/>
      <c r="G148" t="inlineStr">
        <is>
          <t>Charlotte, NC</t>
        </is>
      </c>
      <c r="H148" t="inlineStr"/>
      <c r="I148" t="inlineStr">
        <is>
          <t>Dice is the leading career destination for tech experts at every stage of their careers. Our client, Strategic Staffing Solutions, is seeking the following. Apply via Dice today!
 FinTech Product Manager
**Location:** 
 Charlotte, NC (Onsite)
**Duration:** 
 2/23/2026 5/22/2026
**Line of Business:** 
 Technology \&amp; Data
**Overview**
 We are seeking an experienced
 **FinTech Product Manager** 
 to support complex, large\-scale initiatives within a financial services technology organization. This role will focus on the launch and modernization of financial products within data\-sharing and payments ecosystems, including open banking frameworks.
 The ideal candidate brings strong product strategy, systems consulting, and stakeholder alignment experience within banking, fintech, or financial data platforms.
 Key Responsibilities
* Lead and support modernization and launch of financial data and payment products
* Drive initiatives related to open banking, API\-based data sharing, and payments ecosystems
* Translate business requirements into actionable product and system specifications
* Facilitate alignment across technology, product, compliance, and business teams
* Navigate complex, matrixed technology environments to deliver seamless customer experiences
* Analyze large\-scale, multi\-faceted challenges and provide structured solutions
* Ensure accuracy, compliance, and quality across deliverables
* Present findings, recommendations, and product updates to senior stakeholders
**Required Qualifications**
* 5\+ years of experience in Product Management, Business Systems Consulting, or Business Systems Design
* Direct experience launching or modernizing financial products
* Experience working in data\-sharing ecosystems, payments, or API\-driven platforms
* Strong understanding of open banking frameworks (e.g., FDX or similar standards)
* Exceptional written, verbal, and presentation skills
* Strong analytical mindset with high attention to detail
* Experience collaborating across complex technology and business matrices
**Preferred Background**
* Prior experience at a financial institution, fintech, or data aggregator
* Familiarity with Financial Data Exchange (FDX) standards
* Experience supporting payment platforms or digital financial services products
 Ideal Candidate Profile
* Strategic thinker with strong execution capabilities
* Comfortable working in regulated financial environments
* Highly organized and able to manage competing priorities
* Skilled at driving consensus among diverse stakeholders</t>
        </is>
      </c>
    </row>
    <row r="149">
      <c r="A149" t="inlineStr">
        <is>
          <t>li-4380059092</t>
        </is>
      </c>
      <c r="B149" t="inlineStr">
        <is>
          <t>Product Manager</t>
        </is>
      </c>
      <c r="C149" t="inlineStr">
        <is>
          <t>Jobs via Dice</t>
        </is>
      </c>
      <c r="D149" t="inlineStr">
        <is>
          <t>linkedin</t>
        </is>
      </c>
      <c r="E149">
        <f>HYPERLINK("https://www.linkedin.com/jobs/view/4380059092", "https://www.linkedin.com/jobs/view/4380059092")</f>
        <v/>
      </c>
      <c r="F149" t="inlineStr"/>
      <c r="G149" t="inlineStr">
        <is>
          <t>Davie, FL</t>
        </is>
      </c>
      <c r="H149" t="inlineStr"/>
      <c r="I149" t="inlineStr">
        <is>
          <t>RESPONSIBILITIES:
 A Kforce client is looking for a fully remote Product Manager to join their Strategy \&amp; Operations \- Product team. This role is ideal for a driven digital product professional who is passionate about defining product vision and delivering high\-quality digital experiences in a fast\-paced, growth\-oriented environment.
 Summary:
 The Product Manager will own the end\-to\-end product lifecycle, partnering closely with cross\-functional teams to translate business needs into scalable, high\-impact digital solutions. This role requires strong strategic thinking, execution discipline, and stakeholder collaboration, particularly within complex, regulated environments.
 Key Responsibilities:
* Product Manager will define and communicate product vision and strategy aligned with business objectives
* Own the full product lifecycle from discovery through launch and continuous improvement
* Develop and maintain a prioritized product roadmap based on customer needs and business value
* Gather and document product requirements, functional specifications, and user stories
* Partner with engineering, design, marketing, and business stakeholders to deliver successful product outcomes
* As a Product Manager, you will ensure intuitive, seamless digital user experiences through feedback and data\-driven insights
* Conduct market and competitive analysis to identify innovation opportunities
* Track product performance, KPIs, and user metrics to guide enhancements
* Participate in Agile ceremonies including sprint planning, reviews, and retrospectives
* Communicate product status, risks, milestones, and outcomes to leadership
 REQUIREMENTS:
* Bachelor's degree in Business, Computer Science, Marketing, or related field, or equivalent experience
* 2\+ years of experience in Digital or Technology Product Management
* Experience managing product strategy, roadmap development, and delivery execution
* Experience delivering digital products or integrated product platforms
* Strong understanding of Agile methodologies; Agile certification preferred
* Proficiency with product and delivery tools such as Aha!, Jira, and Confluence
* Strong analytical, problem\-solving, and decision\-making skills
* Excellent written and verbal communication skills
* Proven ability to collaborate across cross\-functional teams
* Ability to manage multiple priorities in a fast\-paced environment
 Preferred Qualifications:
* Experience in Financial Services or highly regulated industries
* Exposure to servicing or loan servicing platforms
* Background in Accounting or Finance
* Familiarity with the Nortridge Loan System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0">
      <c r="A150" t="inlineStr">
        <is>
          <t>li-4379485735</t>
        </is>
      </c>
      <c r="B150" t="inlineStr">
        <is>
          <t>Senior Product Manager</t>
        </is>
      </c>
      <c r="C150" t="inlineStr">
        <is>
          <t>Jobs via Dice</t>
        </is>
      </c>
      <c r="D150" t="inlineStr">
        <is>
          <t>linkedin</t>
        </is>
      </c>
      <c r="E150">
        <f>HYPERLINK("https://www.linkedin.com/jobs/view/4379485735", "https://www.linkedin.com/jobs/view/4379485735")</f>
        <v/>
      </c>
      <c r="F150" t="inlineStr"/>
      <c r="G150" t="inlineStr">
        <is>
          <t>Midvale, UT</t>
        </is>
      </c>
      <c r="H150" t="inlineStr"/>
      <c r="I150" t="inlineStr">
        <is>
          <t>Zions Bancorporation 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We are seeking a bold, entrepreneurial, and persuasive
 **Senior Product Manager** 
 to lead the charge in ourInnovation Lab. In this highly visible role, you will not just manage products; you will be the visionary "CEO" of new initiatives, rapidly driving concepts from napkin sketches to market\-ready pilots. You will own the strategy for disruptive technologies specifically focusing onAI and Cloud and will be responsible for evangelizing these ideas across the enterprise. We need a leader withstartup DNAwho thrives in ambiguity, possesses the executive presence to command a room of senior leaders, and has the tenacity to navigate the complexities of a regulated environment to bring revolutionary products to life.
**Responsibilities:**
* Rapid Product Build\-Out:Drive the end\-to\-end lifecycle of innovation products, moving with extreme speed from ideation to MVP (Minimum Viable Product) and pilot launch.
* Executive Evangelism:articulate compelling narratives and "sell" complex, forward\-looking product visions to C\-level executives and key stakeholders to secure buy\-in and funding.
* Startup Mindset:Operate with a "founder" mentality pivoting quickly based on market feedback, resourcefully overcoming blockers, and prioritizing speed and learning over perfection.
* AI \&amp; Tech Strategy:Define and support the building of feasible, viable, and sustainable AI\-driven solutions, staying ahead of market trends in Generative AI and FinTech.
* Strategic Liaison:Act as the single point of contact for strategic decision\-making, effectively bridging the gap between the agile engineering teams in the Lab and the broader corporate governance structures.
* Backlog \&amp; Roadmap:Ruthlessly prioritize the product backlog, defining epics and features that deliver immediate value while maintaining a long\-term strategic roadmap.
* Stakeholder Management:Navigate the "corporate immune system" by building strong alliances with Legal, Compliance, and Security teams to clear paths for innovation.
* Team Leadership:Lead, mentor, and inspire cross\-functional squads (engineers, designers, data scientists), fostering a culture of experimentation and psychological safety.
* Market Analysis:Conduct deep customer discovery and market research to validate hypotheses before code is written.
* Other duties as assigned.
**Qualifications:**
* 8\+ years of experience in product management, with amandatory background in high\-growth startupsor corporate innovation labs (founder experience is a huge plus).
* Executive Presence:Proven ability to create high\-impact presentations and confidently present to executive stakeholders, translating technical possibilities into business value.
* 0\-to\-1 Experience:Demonstrated success in launching products from scratch taking them from an initial concept to a live customer\-facing launch.
* Tech Savviness:Experience driving products built on modern technology stacks, specificallyCloud (Google Cloud Platform/Azure/AWS)andArtificial Intelligence/Machine Learning.
* Evangelist Skills:Exceptional storytelling and communication skills, with the ability to evangelize new ideas and drive cultural change within a large organization.
* Regulated Industry Aptitude:Ability to balance the need for speed with the safety and soundness requirements of the financial services industry.
* Advanced knowledge of Agile/Scrum methodologies and product management disciplines (Design Thinking, Lean Startup).
* Strong client relationship, decision\-making, and problem\-resolution skills.
* Bachelor s degree in business, information systems, computer science, or a related field required; MBA or technical background preferred.
**Work Location:**
 This position will be a hybrid work schedule (3 days a week in office) at the new Zions Technology Center in Midvale, UT.
 The Zions Technology Center is a 400,000\-square\-foot technology campus in Midvale, Utah. Located on the former Sharon Steel Mill superfund site, the sustainably built campus is the company 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t>
        </is>
      </c>
    </row>
    <row r="151">
      <c r="A151" t="inlineStr">
        <is>
          <t>li-4382647055</t>
        </is>
      </c>
      <c r="B151" t="inlineStr">
        <is>
          <t>Vice President, Wealth Management Whole Portfolio Product Manager</t>
        </is>
      </c>
      <c r="C151" t="inlineStr">
        <is>
          <t>BlackRock</t>
        </is>
      </c>
      <c r="D151" t="inlineStr">
        <is>
          <t>linkedin</t>
        </is>
      </c>
      <c r="E151">
        <f>HYPERLINK("https://www.linkedin.com/jobs/view/4382647055", "https://www.linkedin.com/jobs/view/4382647055")</f>
        <v/>
      </c>
      <c r="F151">
        <f>HYPERLINK("https://careers.blackrock.com/job/-/-/45831/91410205344?source=LinkedIn&amp;urlHash=y-WC", "https://careers.blackrock.com/job/-/-/45831/91410205344?source=LinkedIn&amp;urlHash=y-WC")</f>
        <v/>
      </c>
      <c r="G151" t="inlineStr">
        <is>
          <t>Princeton, NJ</t>
        </is>
      </c>
      <c r="H151" t="inlineStr"/>
      <c r="I151" t="inlineStr">
        <is>
          <t>**About This Role**
 The US Wealth Portfolio Design and Services Pillar team is responsible for product development and commercialization of Whole Portfolio Solutions business \- one of the fastest growing and most innovative product areas at BlackRock. Whole Portfolio Solutions is a comprehensive offering that helps advisors design, customize and manage portfolios. We are looking for a Vice President to join the team to manage the business operations of our whole portfolio business with a focus on product activation across platform partners.
**Whole Portfolio Vice President Example Responsibilities**
* Manage operational and service functions across whole portfolio implementation partners, supporting roadmap and strategic initiatives.
* Assist in maintaining strong working relationships with partners by tracking requirements, documenting enhancements, and coordinating updates across teams.
* Coordinate and support product integration and activation across platform partners including Custom Model Solutions, Aperio, Fixed income SMA, private markets and SpiderRock.
* Develop resources, content and materials that clearly articulate the whole portfolio vision and roadmap to educate and support internal commercialization and sales teams.
* Oversight of key internal systems such as Coupa, AIM, Audit tools, ServiceNow, and Process Unity to service and support platform operations.
* Partner closely with key stakeholders across BlackRock to support new external platform integrations and whole portfolio expansion initiatives.
* Support workflow and automation projects, helping identify process improvements and develop scalable tools that enhance team productivity.
 For San Francisco, CA and New York, NY Only the salary range for this position is USD$150,000\.00 \- USD$200,000\.00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For Princeton, NJ, Boston, MA and Atlanta, GA Only the salary range for this position is USD$135,000\.00 \- USD$185,000\.00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It is unlawful in Massachusetts to require or administer a lie detector test as a condition of employment or continued employment. An employer who violates this law shall be subject to criminal penalties and civil liability.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152">
      <c r="A152" t="inlineStr">
        <is>
          <t>li-4382642455</t>
        </is>
      </c>
      <c r="B152" t="inlineStr">
        <is>
          <t>Technical Program Manager – Factory Launch</t>
        </is>
      </c>
      <c r="C152" t="inlineStr">
        <is>
          <t>Foundation</t>
        </is>
      </c>
      <c r="D152" t="inlineStr">
        <is>
          <t>linkedin</t>
        </is>
      </c>
      <c r="E152">
        <f>HYPERLINK("https://www.linkedin.com/jobs/view/4382642455", "https://www.linkedin.com/jobs/view/4382642455")</f>
        <v/>
      </c>
      <c r="F152">
        <f>HYPERLINK("https://ats.rippling.com/foundation-robotics/jobs/48ff2bc6-1907-4cab-b792-c82df81e608e&amp;urlHash=XgKK", "https://ats.rippling.com/foundation-robotics/jobs/48ff2bc6-1907-4cab-b792-c82df81e608e&amp;urlHash=XgKK")</f>
        <v/>
      </c>
      <c r="G152" t="inlineStr">
        <is>
          <t>San Francisco, CA</t>
        </is>
      </c>
      <c r="H152" t="inlineStr"/>
      <c r="I152" t="inlineStr">
        <is>
          <t>Foundation is developing the future of general purpose robotics with the goal to address the labor shortage.
 Our mission is to create advanced robots that can operate in complex environments, reducing human risk in conflict zones and enhancing efficiency in labor\-intensive industries.
 We are on the lookout for extraordinary engineers and scientists to join our team. Your previous experience in robotics isn't a prerequisite — it's your talent and determination that truly count.
 We expect that many of our team members will bring diverse perspectives from various industries and fields. We are looking for individuals with a proven record of exceptional ability and a history of creating things that work.
****Our Culture****
 We like to be frank and honest about who we are, so that people can decide for themselves if this is a culture they resonate with. Please read more about our culture here https://foundation.bot/culture.
****Who should join:****
* You like working in person with a team in San Francisco.
* You deeply believe that this is the most important mission for humanity and needs to happen yesterday.
* You are highly technical \- regardless of the role you are in. We are building technology; you need to understand technology well.
* You care about aesthetics and design inside out. If it's not the best product ever, it bothers you, and you need to “fix” it.
* You don't need someone to motivate you; you get things done.
 As the
 ****Technical Program Manager for Factory Launch****
 , you will own the execution of a new humanoid robot manufacturing plant—from facility readiness through production ramp and staged automation deployment.
 You will coordinate engineering, operations, automation, and supply chain teams to bring the factory online and scale production quickly. The work is complex, fast\-paced, and highly cross\-functional. Success requires strong technical judgment, relentless execution, and the ability to solve problems in real time.
 This role sits at the center of one of the most critical programs in the company:
 ****bringing large\-scale humanoid robot manufacturing online.****
**What You’ll Do**
****Own Factory Launch Execution****
 Lead the end\-to\-end execution of a new manufacturing plant launch, including:
* Factory readiness
* Equipment installation
* Production line bring\-up
* Pilot builds
* Production ramp
 Develop and maintain the
 ****master launch schedule****
 and drive teams to meet aggressive milestones.
****Drive Cross\-Functional Alignment****
 Coordinate work across multiple technical teams:
* Manufacturing Engineering
* Process / Industrial Engineering
* Automation \&amp; Controls
* Facilities Engineering
* Supply Chain
* Quality Engineering
* Operations
 Ensure dependencies are managed and blockers are resolved quickly.
****Enable Production Ramp****
 Support the execution of the
 ****production ramp plan****
 , including:
* Initial production launch
* Staged automation deployment
* Capacity expansion phases
 Work closely with engineering and operations teams to ensure the manufacturing system reaches
 ****stable, repeatable output****
 .
****Manage Program Risk****
 Identify program risks early and drive mitigation actions.
 Maintain clear visibility of:
* Schedule
* Program risks
* Critical path activities
 Launch readiness
 Communicate progress and risks to leadership with clarity and urgency.
****Execute with Speed****
 Factory launches involve ambiguity and constant change. You will be expected to:
* Make decisions quickly
* Solve complex problems cross\-functionally
 Remove obstacles that slow execution
**What We’re Looking For**
* 8\+ years of experience managing complex technical programs
* Strong understanding of manufacturing systems or production engineering
* Experience leading large cross\-functional engineering programs
* Ability to drive teams through ambiguity and aggressive timelines
 Strong technical judgment combined with exceptional execution
****Ideal Background****
* Manufacturing plant launches
* Robotics, EV, aerospace, or complex electromechanical products
* Automation deployment and production ramp
* Hardware development programs
**Foundation Hardcore Requirements**
 Foundation operates with a
 ****hardcore execution culture****
 . This role requires individuals who are comfortable working in an environment where speed, ownership, and accountability are essential.
 You must be someone who:
* Takes full ownership of program outcomes
* Moves fast and makes decisions with incomplete information
* Solves problems directly instead of escalating them
* Works effectively under pressure and tight deadlines
* Is willing to step outside defined roles to get the job done
* Prioritizes execution and results over process
 This environment is demanding, but it enables us to move significantly faster than traditional manufacturing organizations.
****Benefits:****
 We provide market standard benefits (health, vision, dental, 401k, etc.). Join us for the culture and the mission, not for the benefits.
****Salary****
 :
 The annual compensation is expected to be between $145,000\+. Exact compensation may vary based on skills, experience, and location.</t>
        </is>
      </c>
    </row>
    <row r="153">
      <c r="A153" t="inlineStr">
        <is>
          <t>li-4382624839</t>
        </is>
      </c>
      <c r="B153" t="inlineStr">
        <is>
          <t>Services Program Manager</t>
        </is>
      </c>
      <c r="C153" t="inlineStr">
        <is>
          <t>Aiwyn</t>
        </is>
      </c>
      <c r="D153" t="inlineStr">
        <is>
          <t>linkedin</t>
        </is>
      </c>
      <c r="E153">
        <f>HYPERLINK("https://www.linkedin.com/jobs/view/4382624839", "https://www.linkedin.com/jobs/view/4382624839")</f>
        <v/>
      </c>
      <c r="F153" t="inlineStr"/>
      <c r="G153" t="inlineStr"/>
      <c r="H153" t="inlineStr"/>
      <c r="I153" t="inlineStr">
        <is>
          <t>**Who is Aiwyn and what do we do?**
 Aiwyn is transforming the way accounting firms manage the entire revenue lifecycle. Backed by top\-tier investors like Bessemer, KKR, and Revolution, we’re one of the fastest\-growing scale\-up SaaS companies in the world. We build category\-defining technology—and we’re doing it with world\-class people, processes, and product.
**Role Overview**
 We’re looking for a
 **Program Manager** 
 to join our Services team. You will lead customers and implementation managers through implementation programs, onboarding and adoption of Aiwyn’s platform, ensuring projects are delivered on time, within scope, and with high customer satisfaction.You’ll manage a portfolio of multiple client projects (assigned to Implementation Managers), coordinate across Product, Engineering, and Customer Success, and play a hands\-on role in shaping how implementations scale as we grow. This is a customer\-facing role with direct visibility into leadership and real influence on client outcomes.
**What will your day\-to\-day responsibilities look like?**
* Lead the programmatic structure for multiple customer implementation projects, from project kickoff to go\-live, ensuring each customer achieves a smooth and successful deployment.
* Own high\-level project planning and execution, managing scope, milestones, and deliverables while keeping all stakeholders informed with clear, timely communication.
* Collaborate with internal teams—from Sales to Customer Success to Product—to ensure seamless handoffs and alignment on client outcomes.
* Facilitate change management strategies, working with client leadership to prepare, train, and engage their teams to maximize long\-term value.
* Proactively identify and mitigate risks, addressing challenges swiftly to maintain project momentum and client confidence.
* Monitor and report on project progress, providing customers and leadership with transparent performance updates and success metrics.
* Championing the client implementation experience, ensuring every interaction reflects Aiwyn’s commitment to partnership, innovation, and measurable impact.
* Drive continuous improvement by contributing to the refinement of playbooks, processes, and tools that make implementations more scalable and efficient.
**The ideal candidate candidate for this role:**
* 3\+ years of program management, consulting, or implementation experience in SaaS or technology services (or equivalent client\-facing experience).
* Strong organizational and communication skills; comfortable managing multiple projects at once.
* Demonstrated ability to lead customer\-facing projects and deliver measurable outcomes.
* Experience working with cross\-functional teams in dynamic environments.
* PMP, CSM, or similar certification is helpful but not required.
* Bachelor’s degree or equivalent work experience.
**Preferred Qualifications**
* Experience working in the accounting firm industry
* Experience with ClickUp Work Management Software
* Experience working with Hubspot and Jira
**Benefits And Perks**
* The big\-picture value proposition of this role is simple: join us, and you'll be paid competitively to have freedom in solving worthwhile, challenging problems alongside other A\-players at a fast growing SaaS startup led by an experienced and successful co\-founding team with industry experience.
 Other benefits include:
* Adventure travel stipend \- you receive a $1,000 travel reimbursement on your work anniversary each year. We encourage our team to recharge and explore the world beyond their home office walls.
* Remote, work\-from\-anywhere culture
* Flexible PTO
* World Class health benefits \- we believe in fostering flourishing teams by providing benefits that go beyond the usual standards \- Health, vision, dental, HSA/FSA, and mental health support.
* Stock options \- every Full Time Employee has ownership in Aiwyn's future and success.
* 401(k) matching
**Our Values:**
* Relentless by Design
* Owners not Renters
* Trust at the Core
 Aiwyn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CCPA privacy notice which can be found here: https://www.aiwyn.ai/ccpa</t>
        </is>
      </c>
    </row>
    <row r="154">
      <c r="A154" t="inlineStr">
        <is>
          <t>li-4379334540</t>
        </is>
      </c>
      <c r="B154" t="inlineStr">
        <is>
          <t>Director, Digital Product Manager, Clinical Execution</t>
        </is>
      </c>
      <c r="C154" t="inlineStr">
        <is>
          <t>Thermo Fisher Scientific</t>
        </is>
      </c>
      <c r="D154" t="inlineStr">
        <is>
          <t>linkedin</t>
        </is>
      </c>
      <c r="E154">
        <f>HYPERLINK("https://www.linkedin.com/jobs/view/4379334540", "https://www.linkedin.com/jobs/view/4379334540")</f>
        <v/>
      </c>
      <c r="F154">
        <f>HYPERLINK("https://jsv3.recruitics.com/redirect?rx_cid=3436&amp;rx_jobId=R-01344067_1001&amp;rx_url=https%3A%2F%2Fjobs.thermofisher.com%2Fglobal%2Fen%2Fjob%2FR-01344067%2FDirector-Digital-Product-Manager-Clinical-Execution%3Frx_ch%3Djobpost%26rx_id%3D018f9d3a-1808-11f1-aa15-13ce537e9d43%26rx_job%3DR-01344067_1001%26rx_medium%3Dpost%26rx_paid%3D0%26rx_r%3Dnone%26rx_source%3Dlinkedin%26rx_ts%3D20260308T024015Z%26rx_vp%3Dlinkedindirectindex%26utm_medium%3Dpost%26utm_source%3Drecruitics_linkedindirectindex&amp;refId=34jd24&amp;urlHash=j9py", "https://jsv3.recruitics.com/redirect?rx_cid=3436&amp;rx_jobId=R-01344067_1001&amp;rx_url=https%3A%2F%2Fjobs.thermofisher.com%2Fglobal%2Fen%2Fjob%2FR-01344067%2FDirector-Digital-Product-Manager-Clinical-Execution%3Frx_ch%3Djobpost%26rx_id%3D018f9d3a-1808-11f1-aa15-13ce537e9d43%26rx_job%3DR-01344067_1001%26rx_medium%3Dpost%26rx_paid%3D0%26rx_r%3Dnone%26rx_source%3Dlinkedin%26rx_ts%3D20260308T024015Z%26rx_vp%3Dlinkedindirectindex%26utm_medium%3Dpost%26utm_source%3Drecruitics_linkedindirectindex&amp;refId=34jd24&amp;urlHash=j9py")</f>
        <v/>
      </c>
      <c r="G154" t="inlineStr">
        <is>
          <t>Alaska, United States</t>
        </is>
      </c>
      <c r="H154" t="inlineStr"/>
      <c r="I154" t="inlineStr">
        <is>
          <t>**Work Schedule**
 Standard (Mon\-Fri)
**Environmental Conditions**
 Office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t>
        </is>
      </c>
    </row>
    <row r="155">
      <c r="A155" t="inlineStr">
        <is>
          <t>li-4379321967</t>
        </is>
      </c>
      <c r="B155" t="inlineStr">
        <is>
          <t>Director, Digital Product Manager, Clinical Execution</t>
        </is>
      </c>
      <c r="C155" t="inlineStr">
        <is>
          <t>Thermo Fisher Scientific</t>
        </is>
      </c>
      <c r="D155" t="inlineStr">
        <is>
          <t>linkedin</t>
        </is>
      </c>
      <c r="E155">
        <f>HYPERLINK("https://www.linkedin.com/jobs/view/4379321967", "https://www.linkedin.com/jobs/view/4379321967")</f>
        <v/>
      </c>
      <c r="F155">
        <f>HYPERLINK("https://jsv3.recruitics.com/redirect?rx_cid=3436&amp;rx_jobId=R-01344067&amp;rx_url=https%3A%2F%2Fjobs.thermofisher.com%2Fglobal%2Fen%2Fjob%2FR-01344067%2FDirector-Digital-Product-Manager-Clinical-Execution%3Frx_ch%3Djobpost%26rx_id%3Dfdfefc85-1807-11f1-aa15-83d64106dd73%26rx_job%3DR-01344067%26rx_medium%3Dpost%26rx_paid%3D0%26rx_r%3Dnone%26rx_source%3Dlinkedin%26rx_ts%3D20260308T024015Z%26rx_vp%3Dlinkedindirectindex%26utm_medium%3Dpost%26utm_source%3Drecruitics_linkedindirectindex&amp;refId=34jd24&amp;urlHash=jwC8", "https://jsv3.recruitics.com/redirect?rx_cid=3436&amp;rx_jobId=R-01344067&amp;rx_url=https%3A%2F%2Fjobs.thermofisher.com%2Fglobal%2Fen%2Fjob%2FR-01344067%2FDirector-Digital-Product-Manager-Clinical-Execution%3Frx_ch%3Djobpost%26rx_id%3Dfdfefc85-1807-11f1-aa15-83d64106dd73%26rx_job%3DR-01344067%26rx_medium%3Dpost%26rx_paid%3D0%26rx_r%3Dnone%26rx_source%3Dlinkedin%26rx_ts%3D20260308T024015Z%26rx_vp%3Dlinkedindirectindex%26utm_medium%3Dpost%26utm_source%3Drecruitics_linkedindirectindex&amp;refId=34jd24&amp;urlHash=jwC8")</f>
        <v/>
      </c>
      <c r="G155" t="inlineStr">
        <is>
          <t>North Carolina, United States</t>
        </is>
      </c>
      <c r="H155" t="inlineStr"/>
      <c r="I155" t="inlineStr">
        <is>
          <t>**Work Schedule**
 Standard (Mon\-Fri)
**Environmental Conditions**
 Office
 At Thermo Fisher’s PPD clinical research business, we’re using digital innovation, data science, and AI to reimagine how life\-changing therapies reach patients. Our teams combine deep scientific expertise with advanced analytics, automation, and digital platforms to make research smarter, faster, and more connected.
 At PPD we know that innovation happens when diverse minds meet. Our Digital Science, Data, and AI professionals collaborate closely with scientists, clinicians, and operational experts to solve real\-world challenges in clinical research. Alongside our partnership with Open AI, you can be part of the collaboration that will help to improve the speed and success of drug development, enabling customers to get medicines to patients faster and more cost effectively.
 You’ll join a culture that values experimentation, learning, and collaboration — where your ideas can help shape how we deliver life\-saving solutions and improve global health outcomes. Whether you’re a data engineer, product manager, software developer, or AI scientist, you’ll find opportunities here to apply your skills to work that truly matters — improving global health outcomes.
**POSITION SUMMARY:**
 The
 **Director, Digital Product Manager, Clinical Execution,** 
 will be responsible for driving the product strategy, vision, and execution of the product roadmap in our clinical execution domain. This role owns the product roadmap from concept through scale, modernization, and when appropriate, responsible transition or sunsetting. You will define and execute a unified strategy that enables real\-time visibility, performance optimization, and cross\-functional coordination across digital products. This role ensures alignment with business objectives and customer needs.
 You will lead cross\-functional teams to deliver innovative, impactful, and user\-centric solutions that enhance clinical trial operations, improve delivery outcomes, and shape the future of clinical research. This position requires hands\-on experience in translating complex business requirements into exceptional software features, along with deep knowledge of clinical operations (Data management and bio statistician), and emerging data and AI technologies.
**Key Responsibilities:**
**Product Roadmap and Vision:**
* Develop and communicate a clear, compelling product vision and roadmap aligned with organizational goals.
* Conduct detailed industry research, competitor analysis, and customer/end user discovery to uncover opportunities and translate them into actionable product initiatives.
* Proactively monitor industry trends, regulatory changes, and advancements in clinical research technology, especially related to AI\-driven data solutions.
**Detailed Product Definition and Execution:**
* Translate complex business requirements into detailed product specifications, features, and user stories that lead to exceptional software experiences and business outcomes.
* Work closely with engineering, data analytics, AI, UX/UI, PMO, business leaders, quality and validation, and clinical operations teams ensuring precise and effective execution of product initiatives.
* Drive agile product development, ensuring clarity in requirements, rapid iteration, and continuous delivery of high\-quality, impactful features.
* Work closely with quality and regulatory teams in ensure compliance, security and maintenance of the product throughout the lifecycle.
* Apply deep knowledge of clinical operations and management processes, regulatory standards, and best practices to guide feature design and implementation.
**Predictive Modeling and Machine Learning:**
* Comfortable working with data scientists and AI/ML engineers; able to understand model types (regression, classification, NLP, and deep learning) and their limitations.
* Leverage AI and advanced analytics to enhance clinical data capabilities, improve operational efficiencies, and deliver innovative solutions to complex research challenges.
**User\-Centric Product Development:**
* Champion exceptional user experience, consistently validating solutions through rigorous user research, analytics, and testing.
* Continuously refine and enhance features based on direct user feedback and analytics\-driven insights to maximize customer satisfaction and adoption.
**Stakeholder Management and Communication** 
 :
* Closely collaborate with internal stakeholders, clinical experts, data scientists, and external partners to ensure products exceed expectations and deliver measurable value.
* Clearly articulate complex product concepts and progress updates to stakeholders, including senior management and external clients.
* Influence decisions through data\-driven insights and compelling justifications of product investments.
**Leadership and Mentorship:**
* Guide and mentor product managers and product owners, emphasizing practical skills in product execution, detailed feature design, and data\-driven decision\-making.
* Foster a culture of collaboration, innovation, accountability, and continuous improvement within the product team.
**Education and Experience:**
* Bachelor’s degree or advanced degree in healthcare, life sciences, computer science, business, or related field preferred. Masters degree preferred.
* Previous product management experience specifically delivering detailed software features, data and AI capabilities) that provides the knowledge, skills, and abilities to perform the job (comparable to 12\+ years’ experience)
* 5\+ years leading products in clinical research, pharmaceutical or healthcare industries preferred.
* In some cases, an equivalency, consisting of appropriate education, training, and/or directly related experience will be considered sufficient for an individual to meet the requirements of the role.
**Knowledge, Skills and Abilities:**
* Sharp intuition for what makes products great and the ability to prioritize features that move the needle vs noise.
* Skilled at managing up and aligning with stakeholders.
* Innovation Scouting: Inject emerging tech (AI/ML, decentralized trials) into roadmap through structured discovery.
* Skilled at executive\-level storytelling, roadmaps, and tradeoff discussions.
* Exceptional skill in translating complex business requirements into intuitive, impactful software features that exceed customer expectations.
* Deep understanding of clinical trial processes, clinical data management, and leveraging AI technologies to address data complexities.
* Proven ability to leverage user insights and data analytics to drive feature development and continuous improvement.
* Outstanding communication and stakeholder management abilities, capable of clearly articulating detailed product requirements and vision.
 At Thermo Fisher Scientific, we are committed to fostering a healthy and harmonious workplace for our employees. We understand the importance of creating an environment that allows individuals to excel. Please see below for the required qualifications for this position, which also includes the possibility of equivalent experience:
* Able to communicate, receive, and understand information and ideas with diverse groups of people in a comprehensible and reasonable manner.
* Able to work upright and stationary for typical working hours.
* Ability to use and learn standard office equipment and technology with proficiency.
* Able to perform successfully under pressure while prioritizing and handling multiple projects or activities.
* May require as\-needed travel (0\-20%).
 Location: Remote US (East Coast preferred). Relocation assistance is NOT provided.
* Must be legally authorized to work in the United States without sponsorship.
* Must be able to pass a comprehensive background check, which includes a drug screening.
 The annual salary range estimated for this position in North Carolina is $185,000\- $215,000 USD. This position may also be eligible to receive a variable annual bonus based on company, team, and/or individual performance results in accordance with company policy.</t>
        </is>
      </c>
    </row>
    <row r="156">
      <c r="A156" t="inlineStr">
        <is>
          <t>li-4382645115</t>
        </is>
      </c>
      <c r="B156" t="inlineStr">
        <is>
          <t>Technical Program Manager, New Product Readiness</t>
        </is>
      </c>
      <c r="C156" t="inlineStr">
        <is>
          <t>NVIDIA</t>
        </is>
      </c>
      <c r="D156" t="inlineStr">
        <is>
          <t>linkedin</t>
        </is>
      </c>
      <c r="E156">
        <f>HYPERLINK("https://www.linkedin.com/jobs/view/4382645115", "https://www.linkedin.com/jobs/view/4382645115")</f>
        <v/>
      </c>
      <c r="F156" t="inlineStr"/>
      <c r="G156" t="inlineStr">
        <is>
          <t>Holmdel, NJ</t>
        </is>
      </c>
      <c r="H156" t="inlineStr"/>
      <c r="I156" t="inlineStr">
        <is>
          <t>NVIDIA is seeking a Technical Program Manager on the Solutions Architecture team. Academic and commercial groups worldwide use NVIDIA products to redefine deep learning, data analytics, and power data centers. Join the team building many of the world's largest and fastest data centers and supercomputers! NVIDIA wants someone to lead planning and readiness of all new products for deployments CSP AI data centers. This includes power and cooling systems, cabling, network provisioning, and bring\-up and validation.
 As the Technical Program Manager, you will implement the lessons learned from previous product launches and ensure we are best prepared to support our internal and external customers while ensuring the integrity of NVIDIA platform infrastructure. You will guarantee that all documentation and training is completed and ensure that dependencies for readiness are identified and documented. This will meet NVIDIA product architecture, operational needs, and industry standards. The readiness infrastructure includes technical lessons learned as well and non\-technical processes. Engaging effectively with customers is also a key responsibility to support a successful product launch at mass production.
**What You Will Be Doing**
* Ensuring that from engineering sample to mass production, that NVIDIA is ready to support with tooling, processes and lessons learned which are implemented and available for internal and external roll out.
* Program management of the status for hardware, software, tooling, and process are defined.
* Lead customer engagement and communication, coordinating planning, and activity preparation.
* Quality Assurance: Establish and implement quality assurance processes to verify that deliverables meet established specifications and quality requirements.
* Continuous Improvement: Drive initiatives to improve efficiency through automation, tooling, and other means to increase speed and accuracy ofreadiness planning.
* Partnership and Communication: Collaborate and communicate across internal teams and customers to facilitate the seamless integration of our readiness capabilities.
**What We Need To See**
* Bachelor's degree in Electrical Engineering, Computer Science, Information Technology, or a related field (or equivalent experience).
* 6\+ years of overall experience in enterprise and/or hyperscale data centers, preferably for high density AI/HPC data centers.
* Proven experience in hardware deployments, or infrastructure planning roles, focusing on large\-scale data center deployments.
* Proven technical and project leadership under fluid situations, ability to adapt to unknowns and change.
* Excellent analytical, problem\-solving, and decision\-making skills, keen attention to detail, and a dedication to quality.
* Effective communication and interpersonal skills, with the ability to engage effectively and expertly with diverse collaborators including customers and facilitate productive discussions.
* Organization \&amp; Time Management – able to plan, schedule, and coordinate tasks related to the job to achieve goals within or ahead of established time frames.
* Willingness to travel (up to 25%).
**Way To Stand Out From The Crowd**
* Experience in large program management projects
* Solid understanding of processes and tooling used in product rollouts
* Outstanding communication skills.
 Your base salary will be determined based on your location, experience, and the pay of employees in similar positions. The base salary range is 168,000 USD \- 258,750 USD for Level 4, and 200,000 USD \- 322,000 USD for Level 5\.
 You will also be eligible for equity and benefits.
 Applications for this job will be accepted at least until March 10,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JR2014433</t>
        </is>
      </c>
    </row>
    <row r="157">
      <c r="A157" t="inlineStr">
        <is>
          <t>li-4382633327</t>
        </is>
      </c>
      <c r="B157" t="inlineStr">
        <is>
          <t>Remote Senior GCP Program Manager</t>
        </is>
      </c>
      <c r="C157" t="inlineStr">
        <is>
          <t>Jobgether</t>
        </is>
      </c>
      <c r="D157" t="inlineStr">
        <is>
          <t>linkedin</t>
        </is>
      </c>
      <c r="E157">
        <f>HYPERLINK("https://www.linkedin.com/jobs/view/4382633327", "https://www.linkedin.com/jobs/view/4382633327")</f>
        <v/>
      </c>
      <c r="F157" t="inlineStr"/>
      <c r="G157" t="inlineStr">
        <is>
          <t>Wisconsin, United States</t>
        </is>
      </c>
      <c r="H157" t="inlineStr"/>
      <c r="I157" t="inlineStr">
        <is>
          <t>This position is posted by Jobgether on behalf of a partner company. We are currently looking for a Google Cloud Platform Solution Leader \- REMOTE. In this role, you will be pivotal in driving the growth and success of the Google Cloud Platform (GCP) Solutions program across multiple markets. As a leader, you will strategize and implement initiatives that not only enhance revenue but also strengthen our partnerships with key hyperscaler players. Your expertise will enable you to guide pre\-sales teams effectively, ensuring they are well\-equipped to present our solutions compellingly to clients. You will also foster strong relationships with client executives and lead innovative projects that set the direction for future service models.
**Accountabilities**
* Lead the GCP Solutions program and related global initiatives.
* Define strategies for business growth associated with the hyperscaler.
* Drive revenue expansion through new business and existing accounts.
* Enhance hyperscaler partnership levels and tiers.
* Develop pre\-sales collateral and supporting materials.
* Educate and train pre\-sales teams on solutions and capabilities.
* Collaborate across delivery and engineering for service model development.
* Support GTM and client conversations in pre\-sales.
* Assist Marketing in enhancing market presence.
* Promote hyperscaler business in Analyst Relations.
* Build and maintain strong relationships with executives in client organizations.
* Lead innovative solutions in client service and project management.
* Help develop expertise within the Solutions Architecture organization.
**Requirements**
* BA/BS degree with 8\+ years of relevant experience or equivalent.
* Master’s degree preferred.
* GCP certification is a must.
* Proven experience in leading cloud solution strategies.
* Strong understanding of market trends and client needs.
* Excellent communication and relationship\-building skills.
* Ability to train and mentor teams effectively.
* Experience in managing major client accounts.
**Benefits**
* Flexible remote working environment.
* Opportunities for professional development and certification.
* Collaborative and inclusive company culture.
* Potential for career growth within a global organization.
* Competitive salary and performance\-based bonuses.
* Health and wellness benefits.
* Variety of employee perks and discounts.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8">
      <c r="A158" t="inlineStr">
        <is>
          <t>li-4382618754</t>
        </is>
      </c>
      <c r="B158" t="inlineStr">
        <is>
          <t>Undergraduate Advisor &amp; Program Manager</t>
        </is>
      </c>
      <c r="C158" t="inlineStr">
        <is>
          <t>University of Indianapolis</t>
        </is>
      </c>
      <c r="D158" t="inlineStr">
        <is>
          <t>linkedin</t>
        </is>
      </c>
      <c r="E158">
        <f>HYPERLINK("https://www.linkedin.com/jobs/view/4382618754", "https://www.linkedin.com/jobs/view/4382618754")</f>
        <v/>
      </c>
      <c r="F158" t="inlineStr"/>
      <c r="G158" t="inlineStr">
        <is>
          <t>Indianapolis, IN</t>
        </is>
      </c>
      <c r="H158" t="inlineStr"/>
      <c r="I158" t="inlineStr">
        <is>
          <t>**Job Description**
 The Undergraduate Academic Advisor provides comprehensive academic advising and student support services to prospective, admitted, and enrolled undergraduate students. The Advisor guides students through academic planning, degree requirements, institutional policies, and personal challenges that impact academic success. The‌ ‌Academic‌ ‌Advisor‌ ‌is‌ ‌committed‌ ‌to‌ ‌being‌ ‌accessible‌ ‌to‌ ‌ students,‌ especially‌ ‌during‌ ‌peak‌ ‌advising‌ ‌cycles. This position plays a critical role in student retention, progression, and graduation by fostering informed decision\-making and maintaining a student\-centered approach aligned with University goals and values.
 **Priority will be given to applications received by February 15\.**
**Requirements/Minimum Qualifications**
*Required Qualifications*
* Bachelor’s degree required.
* Demonstrated commitment to student success and inclusive excellence.
* Excellent communication, interpersonal, and collaboration skills, with the ability to work effectively with faculty, staff, administrators, and external partners.
* Strong organizational and project\-management abilities, with the capacity to manage multiple priorities and meet deadlines in a dynamic environment.
* Commitment to supporting the success of students from diverse backgrounds.
* Demonstrated success in project and time management.
**Preferred Qualifications**
* Master’s degree in Higher Education, Counseling, or a related field preferred.
* Prior experience in academic advising, student services, higher education, or a related field preferred.
* Strong understanding of undergraduate student recruitment, matriculation, and retention processes, especially within business programs.
* Evidence of successful student engagement programming, such as coordinating co\-curricular activities, applied learning initiatives, student organizations, or similar efforts.
* Experience in a business school or college of business, specifically in academic advising.
* Demonstrated success in new\-student initiatives, such as yield strategies, orientation programming, or first\-year experience design.
* Experience developing and executing student engagement initiatives, including applied business learning, case competitions, student events, and co\-curricular programming.
* Knowledge of enrollment management strategies, student data analytics, or CRM systems supporting recruitment and retention.
* Experience collaborating with campus units, such as admissions, academic advising, career services, and student affairs.
* Ability to build community and industry partnerships that support experiential learning, networking, and student success.
* Record of professional engagement or leadership within business education or higher\-education organizations.
**Supervisory Responsibilities**
* Will manage projects and supervise the work of student employees and graduate assistant(s).
**Essential Functions**
**Academic Advising \&amp; Student Support**
* Meet daily with prospective students, accepted students, and currently enrolled students to provide academic guidance and support.
* Advise students on a wide range of academic, personal, and institutional issues, working one\-on\-one to resolve situations in a manner that supports student success while balancing University policies and stakeholder needs.
* Ensure students are progressing toward degree completion and maintaining minimum academic standards, including required grades and GPA.
* Track, monitor, and support students on academic probation, including documentation, intervention planning, and follow\-up.
* Perform degree audits for all assigned cohort students to ensure eligibility for graduation and release of diplomas.
* Assist in coordination of applied projects and experiential learning opportunities for students.
**Orientation, Admissions \&amp; Recruitment Support**
* Plan, coordinate, and execute all aspects of new student orientation, including scheduling, content development, and collaboration with campus partners.
* Meet with prospective and admitted students to explain academic programs, degree pathways, and institutional expectations.
* Work collaboratively with the Admissions Office, as needed, to coordinate campus tours, meetings with Admissions Counselors, and recruitment\-related activities.
* Assist with prospective student events like (e.g. School of Business Day), new student orientation and New Hounds Days.
**Administrative \&amp; Compliance Responsibilities**
* Maintain accurate and timely student records in advising, student information, and degree audit systems.
* Ensure confidential student and faculty records are protected and not compromised.
* Prepare reports, correspondence, and documentation related to advising, academic progress, and student outcomes.
* Support institutional policies, procedures, accreditation requirements, and compliance standards.
**Collaboration \&amp; Institutional Support**
* Collaborate with faculty, staff, and administrators to support student success and resolve complex academic situations.
* Participate in meetings, training, and professional development activities.
* Contribute as a member of the University community toward advancing the mission, goals, and values of the institution.
**Other Expectations**
* Ability to work occasional evenings or weekends for recruitment events, student programming, or special initiatives.
* Demonstrated capacity to lead collaboratively, communicate transparently, and promote an inclusive and student\-centered culture.
* Follow the guidance and direction of supervisor(s).
* Demonstrate respectful, ethical, responsible behavior.
* Abide by the University’s policies, procedures, and rules.
* Perform employee responsibilities as detailed in employee handbooks and policies.
* Demonstrate regular and predictable attendance and punctuality.
* Other duties, including special projects, as required or assigned.
**Competencies/Other Characteristics**
**Professionalism, Ethics \&amp; Confidentiality**
* Maintains confidentiality and responds effectively to the most sensitive inquiries and complaints.
* Ensures confidential student and faculty records are not compromised.
* Demonstrates sound judgment, accuracy, and discretion in decision\-making.
**Customer Service \&amp; Interpersonal Skills**
* Manages difficult or emotional student situations with professionalism and empathy.
* Responds promptly to student needs and requests for service or assistance.
* Demonstrates strong interpersonal skills and the ability to foster a cooperative work environment.
* Works effectively with a wide range of constituencies in a diverse academic community.
**Attendance, Reliability \&amp; Work Ethic**
* Maintains regular, predictable attendance.
* Demonstrates punctuality; arrives consistently on time to work, meetings, and appointments.
* Dependable and accountable; meets commitments and follows instructions and management direction.
**Adaptability \&amp; Initiative**
* Adapts effectively to frequent change, delays, or unexpected events.
* Displays initiative, originality, and creativity in problem\-solving.
* Meets challenges with resourcefulness and pursues self\-development opportunities.
* Asks for and offers assistance when appropriate.
**Organizational, Business \&amp; Time Management Skills**
* Manages multiple priorities while consistently meeting deadlines.
* Prioritizes and plans work activities effectively.
* Uses time and organizational resources efficiently.
* Understands the business and operational implications of decisions.
**Communication Skills**
* Oral Communication: Communicates effectively with students, faculty, staff, and external constituents; demonstrates group presentation skills and active participation in meetings.
* Written Communication: Writes clearly and informatively; edits work for accuracy, grammar, and clarity; presents facts, recommendations, and numerical data effectively.
* Language Skills: Ability to read, analyze, interpret, and prepare business correspondence, reports, policies, and procedural documentation in English.
**Analytical, Reasoning \&amp; Problem\-Solving Skills**
* Ability to define problems, collect and analyze data, establish facts, and draw valid conclusions.
* Organizes work effectively, conceptualizes objectives, and resolves problems in a timely manner.
* Uses intuition and professional experience to complement data\-driven decision\-making.
* Exercises a high degree of creativity, latitude, and independent judgment in accomplishing goals.
**Technical \&amp; Mathematical Skills**
* Ability to calculate figures and amounts relevant to academic records and reporting.
* Strong attention to detail and ability to work accurately with databases, spreadsheets, and student information systems.
**Safety \&amp; Organizational Support**
* Observes University safety and security procedures.
* Actively supports the University’s mission, values, and strategic goals.
**Company Description**
 Thank you for your interest in the University of Indianapolis! The University is a private, liberal arts university located on 65 acres just minutes from downtown Indianapolis. With more than 700 faculty and staff, it is a place where you can become part of a close\-knit campus community that emphasizes the importance of community partnerships in the future growth of the University.
 UIndy’s mission is to prepare its graduates for effective, responsible, and articulate membership in the complex societies in which they live and serve and for excellence and leadership in their personal and professional lives. The motto of "Education for Service" provides the foundation for our work to better our communities, both near and far.
 As University employees, we know the work we do is important to our students and our communities. To accomplish our mission, we welcome talented, civic\-minded, and diverse individuals from all career levels to help maintain our high standards of excellence and quality. If you want to join our dynamic environment and experience hard work, creativity, and teamwork, we welcome your application!
*The University of Indianapolis is an equal opportunity employer. All qualified applicants will receive consideration for employment without regard to race, sex, age, color, religion, national origin, disability, citizenship status, military status, marital status, sexual orientation, gender identity, or gender expression. The University of Indianapolis does not discriminate on the basis of sex in its educational programs and activities, including employment and admission as required by Title IX.*
**Benefits**
* Medical Insurance
* Vision Insurance
* Dental Insurance
* Life Insurance
* Tuition Discount
* Retirement Savings Plan \- 403B
* Paid Vacation and Sick Time Accruals
* Paid Holiday time and additional University days off
* Employee Discounts \&amp; Services
* Free Parking
* Onsite Health \&amp; Wellness Center
 For more information about the benefits of being a staff member at UIndy, visit our Benefits site.</t>
        </is>
      </c>
    </row>
    <row r="159">
      <c r="A159" t="inlineStr">
        <is>
          <t>li-4379482762</t>
        </is>
      </c>
      <c r="B159" t="inlineStr">
        <is>
          <t>Program Manager</t>
        </is>
      </c>
      <c r="C159" t="inlineStr">
        <is>
          <t>Jobs via Dice</t>
        </is>
      </c>
      <c r="D159" t="inlineStr">
        <is>
          <t>linkedin</t>
        </is>
      </c>
      <c r="E159">
        <f>HYPERLINK("https://www.linkedin.com/jobs/view/4379482762", "https://www.linkedin.com/jobs/view/4379482762")</f>
        <v/>
      </c>
      <c r="F159">
        <f>HYPERLINK("https://click.appcast.io/t/4NnRB9y3lmfFTZRylC0xZ1Ehw0-4JBhXwCQ-obKYtWo=&amp;urlHash=GGzd", "https://click.appcast.io/t/4NnRB9y3lmfFTZRylC0xZ1Ehw0-4JBhXwCQ-obKYtWo=&amp;urlHash=GGzd")</f>
        <v/>
      </c>
      <c r="G159" t="inlineStr">
        <is>
          <t>Atlanta, GA</t>
        </is>
      </c>
      <c r="H159" t="inlineStr"/>
      <c r="I159" t="inlineStr">
        <is>
          <t>job summary:
 The program manager will develop and implement data quality policies, procedures, and processes in addition to supporting business requirements and adoption of technological advancements, such as FHIR, in coordination with the IT Application Manager responsible for system design and implementation. The program manager will assist with defining business use cases and requirements for FHIR\-based modernization, in coordination with the IT Application Manager responsible for technical implementation.
 location: Atlanta, Georgia
 job type: Contract
 salary: $89\.15 \- 99\.15 per hour
 work hours: 8am to 5pm
 education: Bachelors
 responsibilities:
 Assists with and coordinates the development and execution of program goals, objectives, and scope to ensure alignment with the State Office of Vital Records strategic vision.
 Assesses the allocation of program staff and funding resources across multiple projects, in coordination with IT leadership for technical and vendor resources.
 Collaborate with senior leadership to prioritize projects.
 Coordinates and tracks program\-level tasks, activities, and milestones with Office staff, in collaboration with appropriate program leadership and IT leadership as applicable.
 Identifies, assesses, and analyzes program, operational, and adoption\-related risks impacting program delivery, in coordination with IT Application Manager for technical, security, and architectural risks.
 Communicates project and program progress to stakeholders, to include all levels of staff up to senior leadership.
 Uses transparent communication and proven processes to foster a collaborative environment.
 Applies program portfolio governance practices to support prioritization, coordination, and reporting across initiatives, while IT Project Managers and Application Managers retain responsibility for project execution and technical delivery standards.
 Creates documentation to support all program management efforts.
 qualifications:
 College degree in business management, public health administration or related degree which supports successful execution of the job responsibilities OR 10 years' experience working with a combination of skills and experience which supports the successful execution of the job responsibilities OR any other combination of education and professional experience that provides the requisite knowledge, skills and ability to successfully perform the job.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60">
      <c r="A160" t="inlineStr">
        <is>
          <t>li-4381381865</t>
        </is>
      </c>
      <c r="B160" t="inlineStr">
        <is>
          <t>ABA Clinical Supervisor (Sr. Program Manager) | BCBA Hours Available</t>
        </is>
      </c>
      <c r="C160" t="inlineStr">
        <is>
          <t>Autism Learning Partners</t>
        </is>
      </c>
      <c r="D160" t="inlineStr">
        <is>
          <t>linkedin</t>
        </is>
      </c>
      <c r="E160">
        <f>HYPERLINK("https://www.linkedin.com/jobs/view/4381381865", "https://www.linkedin.com/jobs/view/4381381865")</f>
        <v/>
      </c>
      <c r="F160">
        <f>HYPERLINK("https://olivia.paradox.ai/co/AutismLearningPartners/Job?job_id=PDX_ALP_28A2DD78-D813-4ED5-9640-754D35BB14DA_21954090&amp;trk=linkedin&amp;urlHash=_pp_", "https://olivia.paradox.ai/co/AutismLearningPartners/Job?job_id=PDX_ALP_28A2DD78-D813-4ED5-9640-754D35BB14DA_21954090&amp;trk=linkedin&amp;urlHash=_pp_")</f>
        <v/>
      </c>
      <c r="G160" t="inlineStr">
        <is>
          <t>Costa Mesa, CA</t>
        </is>
      </c>
      <c r="H160" t="inlineStr"/>
      <c r="I160" t="inlineStr">
        <is>
          <t>Join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2 years!*
**The Basics Of This Opportunity**
* Total 1st year Earning Potential: Equivalent to $75,000 in your first year including productivity bonuses!
* Hourly Rate: $31\.00 \- $37\.50 per hour based on experience, skills, and geography
* Bonus: Attainable monthly/quarterly bonus opportunity ($35,000\+ in your first three years)!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An org chart of nothing but BCBAs between you and the CEO, Dr. Gina Chang, BCBA\-D.
* A clear path to make values\-based clinical decisions based entirely on what is best for your client and family
* Generous health insurance package, 401(k) Retirement Program with employer match, and employer paid short\-term disability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For any new BCBA certificants – we offer the 8\-hour supervision course as approved by the BACB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Motivate and mentor behavior technicians, coordinate client visits, and offer coaching and clinical support to enhance service quality.
* Champion Accountability: Ensure clients receive full clinical prescriptions, maintain accurate records of billable hours, and deliver timely progress reports and treatment plans.
* Adapt and Thrive: Balance direct intervention with supervisory responsibilities, embrace new challenges, prioritize tasks effectively, and remain flexible to manage a dynamic caseload.
* Motivate and Elevate: Support staff productivity, assist in performance evaluations, and provide crucial support to parents and technicians during urgent situations.
**What We’re Looking For**
* Master’s degree in Psychology, Child Development, Special Education, Applied Behavioral Analysis, or related program, required
* Enrolled in a BCBA program and/or obtaining hours towards certification, preferred
* At least one year of experience providing clinical program management (under the supervision of a BCBA)
* Please note that this position is subject to fingerprinting, TB test, Pre\-employment Physical Exam, and have or receive immunities to MMR/ VZV during our onboarding, which we will pay for
 We’re dedicated to the science of Applied Behavior Analysis (ABA). We believe in the power of our science to transform the lives of children and their families touched by Autism and related disorders through the oversight of clinical supervisors such as a BCBA and Senior Program Manager. As a passionate team of clinicians (BCBA) and clinical supervisors, we are committed to delivering best practices, providing hope, support and progress through both home and clinic\-based services. We provide unparalleled levels of personal care, proven ABA science, world\-class business support, and professionalism.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*ALPCOCPMCR102*</t>
        </is>
      </c>
    </row>
    <row r="161">
      <c r="A161" t="inlineStr">
        <is>
          <t>li-4380078899</t>
        </is>
      </c>
      <c r="B161" t="inlineStr">
        <is>
          <t>Technical Task Lead (Program Manager)</t>
        </is>
      </c>
      <c r="C161" t="inlineStr">
        <is>
          <t>Jobs via Dice</t>
        </is>
      </c>
      <c r="D161" t="inlineStr">
        <is>
          <t>linkedin</t>
        </is>
      </c>
      <c r="E161">
        <f>HYPERLINK("https://www.linkedin.com/jobs/view/4380078899", "https://www.linkedin.com/jobs/view/4380078899")</f>
        <v/>
      </c>
      <c r="F161">
        <f>HYPERLINK("https://click.appcast.io/t/JRvhJtkhVClAAUy8kzJaVZGCSeBEAZdmPbUz9hpnoIQ=&amp;urlHash=0Fu4", "https://click.appcast.io/t/JRvhJtkhVClAAUy8kzJaVZGCSeBEAZdmPbUz9hpnoIQ=&amp;urlHash=0Fu4")</f>
        <v/>
      </c>
      <c r="G161" t="inlineStr">
        <is>
          <t>Fort Meade, MD</t>
        </is>
      </c>
      <c r="H161" t="inlineStr"/>
      <c r="I161" t="inlineStr">
        <is>
          <t>**Description \&amp; Requirements**
 Maximus is looking to hire a Technical Task Lead (Program Manager).
**This position is onsite, 5 days a week, and requires a TS/SCI clearance.**
 Maximus TCS (Technology and Consulting Services) Internal Job Profile Code: TCS237, M4, Band 8
**Job\-Specific Essential Duties and Responsibilities:**
* Responsible for the development and implementation of assigned projects.
* Responsible for the technical planning, establishment, execution, and evaluation of a multifaceted program/project.
* Provides day\-to\-day technical/professional guidance and leadership as appropriate to the area of expertise.
* Drives technical vision of systems as provided by the JCC2 PMO and has oversight into and understanding technical system capabilities and specifications.
* Reviews technical documentation produced by contractor team, provides this documentation to the JCC2 PMO, and is responsible for project tracking and analysis.
* Serves as primary touchpoint to the JCC2 PMO regarding overarching technical vision for the JCO system.
* Ensures adherence to technical quality standards and reviews project deliverables.
* Provides technical and analytical guidance to the project team.
* Recommend and take action to direct the analysis and technical solutions of problems.
**Job\-Specific Minimum Requirements:**
* Active TS/SCI clearance required.
* Must be able to report on\-site in Ft Meade, MD up to five days per week based on customer requirements.
* Bachelor's degree in related field required.
+ A Master's degree may substitute for 2 years of experience.
* 10 years of experience in the functional area.
+ 5 years of relevant experience, experience leading complex DevSecOps programs with an emphasis on cloud, cyber and platform technologies.
+ 5 years of experience with CI/CD software development.
+ 3 years of experience managing subcontractors and projects using agile, and/or spiral development models.
+ 3 years of Scaled Agile Framework (SAFe) experience.
* Software Engineering experience or equivalent field.
* Broad understanding of theoretical concept on cloud computing solutions.
* Broad knowledge of distributed systems architecture and microservices.
* Broad Understanding of data analytics development.
* Practical experience using JIRA and Confluence for project management.
**Preferred Skills and Qualifications:**
* Experience with integrating data from unclassified to classified application deployments (using AWS diode).
* Experience managing DOW cyber related contracts.
* Project Management Professional (PMP) is desirable.
* PMI\-ACP is desirable.
* CISSP Certification is desirable.
 \#techjobs \#clearance \#veteransPage \#USCYBERCOM
**Minimum Requirements**
 TCS237, M4, Band 8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
 Minimum Salary
 $ 170,000\.00
 Maximum Salary
 $ 210,000\.00
-</t>
        </is>
      </c>
    </row>
    <row r="162">
      <c r="A162" t="inlineStr">
        <is>
          <t>li-4381380677</t>
        </is>
      </c>
      <c r="B162" t="inlineStr">
        <is>
          <t>Employee Sales Lead Program Manager</t>
        </is>
      </c>
      <c r="C162" t="inlineStr">
        <is>
          <t>Blackbaud</t>
        </is>
      </c>
      <c r="D162" t="inlineStr">
        <is>
          <t>linkedin</t>
        </is>
      </c>
      <c r="E162">
        <f>HYPERLINK("https://www.linkedin.com/jobs/view/4381380677", "https://www.linkedin.com/jobs/view/4381380677")</f>
        <v/>
      </c>
      <c r="F162">
        <f>HYPERLINK("https://careers.blackbaud.com/us/en/job/BLBBUSR0013717EXTERNALENUS/Employee-Sales-Lead-Program-Manager?utm_source=linkedin&amp;utm_medium=phenom-feeds&amp;urlHash=iGK9", "https://careers.blackbaud.com/us/en/job/BLBBUSR0013717EXTERNALENUS/Employee-Sales-Lead-Program-Manager?utm_source=linkedin&amp;utm_medium=phenom-feeds&amp;urlHash=iGK9")</f>
        <v/>
      </c>
      <c r="G162" t="inlineStr">
        <is>
          <t>Charleston, SC</t>
        </is>
      </c>
      <c r="H162" t="inlineStr"/>
      <c r="I162" t="inlineStr">
        <is>
          <t>Employee Sales Lead (ESL) Program Manager
 At Blackbaud—the leading provider of software for powering social impact—we believe every employee can play a role in driving growth and amplifying our mission. The Employee Sales Lead (ESL) Program Manager will own and scale our global ESL Program, empowering employees across all business units to identify, influence, and generate qualified sales opportunities.
 This role sits at the intersection of purpose and performance—turning employee insights into measurable pipeline growth while strengthening our collective mission to power social good.
 What You’ll Lead and Deliver
 Grow and Energize the ESL Program
* Own and scale the global ESL Program, expanding employee participation across regions and functions to drive qualified opportunities that convert to revenue.
* Design and manage quarterly spiffs, incentive structures, and recognition programs (leaderboards, awards, internal communications) that motivate engagement and celebrate top contributors.
* Create clear, compelling program messaging that connects employee participation to both business outcomes and Blackbaud’s mission.
 Enable and Equip Teams for Success
* Partner with Sales Enablement and Product Marketing to educate employees on core customer use cases that can surface meaningful sales opportunities.
* Drive adoption of ESL playbooks and tailor enablement approaches to Customer Success, Renewals, Support, and Professional Services teams.
* Collaborate closely with IT, Revenue Operations, and Customer Success to support a next‑best‑action approach that surfaces timely cross‑sell and upsell opportunities.
 Analyze, Optimize, and Scale Impact
* Track and report on program performance, including submission volume, conversion rates, pipeline contribution, and ROI.
* Use data‑driven insights to continuously refine incentives, improve participation, and deliver sustained, double‑digit year‑over‑year growth in employee‑generated pipeline.
* Identify friction points and opportunities to simplify participation and increase program effectiveness at scale.
 What You Bring
* 3\+ of experience in GTM program management, sales enablement, customer marketing, or a related role within a SaaS or technology‑driven environment.
* Demonstrated success designing and scaling incentive or engagement programs that drive measurable business impact.
* Strong analytical and reporting skills, with hands‑on experience using Salesforce, Power BI, or similar CRM/analytics tools.
* Proven ability to collaborate cross‑functionally and communicate effectively with executives, managers, and front‑line teams.
* Excellent project management, organizational, and change‑management skills.
* Creativity and passion for connecting people to purpose through well‑designed programs, storytelling, and recognition.
 Why This Role Matters
 The ESL Program Manager plays a critical role in unlocking growth that already exists inside Blackbaud—by empowering employees to recognize opportunity, act with confidence, and directly contribute to revenue while advancing social good.
 Stay up to date on everything Blackbaud, follow us on Linkedin, Twitter, Instagram, Facebook and YouTube
 Blackbaud is a remote\-first company which embraces a flexible remote work culture. Blackbaud supports hiring and career development for all roles from the location you are in today!
 Blackbaud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
***A notice to candidates: Recruitment Fraudulent Alert:** 
 Your personal information and online safety as a candidate mean a lot to us! At Blackbaud and our portfolio of companies, recruiters only direct candidates to apply through our official careers page at https://careers.blackbaud.com/us/en or our official LinkedIn page. Recruiters will never request payments, ask for financial account information or sensitive information like social security numbers, or conduct interviews via Skype. Anyone suggesting otherwise is not a representative of Blackbaud. If you are unsure if a message is from Blackbaud, please email blackbaudrecruiting@blackbaud.com.*
 The starting base pay is $61,000\.00 to $77,800\.00\. Blackbaud may pay more or less based on employee qualifications, market value, Company finances, and other operational considerations.
**Benefits Include**
* Medical, dental, and vision insurance
* Remote\-first workforce
* 401(k) program with employer match
* Flexible paid time off
* Generous Parental Leave
* Volunteer for vacation
* Opportunities to connect to build community and belonging
* Pet insurance, legal and identity protection
* Tuition reimbursement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2026-03-08T06:33:24Z</dcterms:created>
  <dcterms:modified xsi:type="dcterms:W3CDTF">2026-03-08T06:33:24Z</dcterms:modified>
</cp:coreProperties>
</file>