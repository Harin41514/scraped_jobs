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in-46ee0264face8bb4</t>
        </is>
      </c>
      <c r="B2" t="inlineStr">
        <is>
          <t>Applied Scientist II, Prime Video Personalization and Discovery Science</t>
        </is>
      </c>
      <c r="C2" t="inlineStr">
        <is>
          <t>Amazon.com</t>
        </is>
      </c>
      <c r="D2" t="inlineStr">
        <is>
          <t>indeed</t>
        </is>
      </c>
      <c r="E2" t="inlineStr"/>
      <c r="F2" t="inlineStr"/>
      <c r="G2" t="inlineStr">
        <is>
          <t>Sunnyvale, CA, US</t>
        </is>
      </c>
      <c r="H2" s="1" t="n">
        <v>46034</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
      <c r="A3" t="inlineStr">
        <is>
          <t>in-fb1ed7dee60f7c40</t>
        </is>
      </c>
      <c r="B3" t="inlineStr">
        <is>
          <t>Sr. Applied Scientist, Amazon Ads</t>
        </is>
      </c>
      <c r="C3" t="inlineStr">
        <is>
          <t>Amazon.com</t>
        </is>
      </c>
      <c r="D3" t="inlineStr">
        <is>
          <t>indeed</t>
        </is>
      </c>
      <c r="E3" t="inlineStr"/>
      <c r="F3" t="inlineStr"/>
      <c r="G3" t="inlineStr">
        <is>
          <t>Sunnyvale, CA,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in-ec961d1aad220856</t>
        </is>
      </c>
      <c r="B4" t="inlineStr">
        <is>
          <t>Sr. Applied Scientist, Amazon Ads</t>
        </is>
      </c>
      <c r="C4" t="inlineStr">
        <is>
          <t>Amazon.com</t>
        </is>
      </c>
      <c r="D4" t="inlineStr">
        <is>
          <t>indeed</t>
        </is>
      </c>
      <c r="E4" t="inlineStr"/>
      <c r="F4" t="inlineStr"/>
      <c r="G4" t="inlineStr">
        <is>
          <t>Palo Alto, CA,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in-b4a63e4702bc9c03</t>
        </is>
      </c>
      <c r="B5" t="inlineStr">
        <is>
          <t>Sr. Applied Scientist, Amazon Ads</t>
        </is>
      </c>
      <c r="C5" t="inlineStr">
        <is>
          <t>Amazon.com</t>
        </is>
      </c>
      <c r="D5" t="inlineStr">
        <is>
          <t>indeed</t>
        </is>
      </c>
      <c r="E5" t="inlineStr"/>
      <c r="F5" t="inlineStr"/>
      <c r="G5" t="inlineStr">
        <is>
          <t>Boston, MA,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in-793f7c9c0f535d1e</t>
        </is>
      </c>
      <c r="B6" t="inlineStr">
        <is>
          <t>Sr. Applied Scientist, Amazon Ads</t>
        </is>
      </c>
      <c r="C6" t="inlineStr">
        <is>
          <t>Amazon.com</t>
        </is>
      </c>
      <c r="D6" t="inlineStr">
        <is>
          <t>indeed</t>
        </is>
      </c>
      <c r="E6" t="inlineStr"/>
      <c r="F6" t="inlineStr"/>
      <c r="G6" t="inlineStr">
        <is>
          <t>Boulder, CO,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in-4754cda29305bf58</t>
        </is>
      </c>
      <c r="B7" t="inlineStr">
        <is>
          <t>Sr. Applied Scientist, Amazon Ads</t>
        </is>
      </c>
      <c r="C7" t="inlineStr">
        <is>
          <t>Amazon.com</t>
        </is>
      </c>
      <c r="D7" t="inlineStr">
        <is>
          <t>indeed</t>
        </is>
      </c>
      <c r="E7" t="inlineStr"/>
      <c r="F7" t="inlineStr"/>
      <c r="G7" t="inlineStr">
        <is>
          <t>Brooklyn, NY,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in-6a211c09f03d6b71</t>
        </is>
      </c>
      <c r="B8" t="inlineStr">
        <is>
          <t>Sr. Applied Scientist, Amazon Ads</t>
        </is>
      </c>
      <c r="C8" t="inlineStr">
        <is>
          <t>Amazon.com</t>
        </is>
      </c>
      <c r="D8" t="inlineStr">
        <is>
          <t>indeed</t>
        </is>
      </c>
      <c r="E8" t="inlineStr"/>
      <c r="F8" t="inlineStr"/>
      <c r="G8" t="inlineStr">
        <is>
          <t>New York, NY,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in-eb25a62925bf76af</t>
        </is>
      </c>
      <c r="B9" t="inlineStr">
        <is>
          <t>Sr. Applied Scientist, Amazon Ads</t>
        </is>
      </c>
      <c r="C9" t="inlineStr">
        <is>
          <t>Amazon.com</t>
        </is>
      </c>
      <c r="D9" t="inlineStr">
        <is>
          <t>indeed</t>
        </is>
      </c>
      <c r="E9" t="inlineStr"/>
      <c r="F9" t="inlineStr"/>
      <c r="G9" t="inlineStr">
        <is>
          <t>Corvallis, OR,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in-c2090b0a0a3a64c2</t>
        </is>
      </c>
      <c r="B10" t="inlineStr">
        <is>
          <t>Sr. Applied Scientist, Amazon Ads</t>
        </is>
      </c>
      <c r="C10" t="inlineStr">
        <is>
          <t>Amazon.com</t>
        </is>
      </c>
      <c r="D10" t="inlineStr">
        <is>
          <t>indeed</t>
        </is>
      </c>
      <c r="E10" t="inlineStr"/>
      <c r="F10" t="inlineStr"/>
      <c r="G10" t="inlineStr">
        <is>
          <t>Santa Monica,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in-00f1fb6c4e8baf57</t>
        </is>
      </c>
      <c r="B11" t="inlineStr">
        <is>
          <t>Sr. Applied Scientist, Amazon Ads</t>
        </is>
      </c>
      <c r="C11" t="inlineStr">
        <is>
          <t>Amazon.com</t>
        </is>
      </c>
      <c r="D11" t="inlineStr">
        <is>
          <t>indeed</t>
        </is>
      </c>
      <c r="E11" t="inlineStr"/>
      <c r="F11" t="inlineStr"/>
      <c r="G11" t="inlineStr">
        <is>
          <t>Seattle, WA,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in-2a0f227b07cf9187</t>
        </is>
      </c>
      <c r="B12" t="inlineStr">
        <is>
          <t>Sr. Applied Scientist, Amazon Ads</t>
        </is>
      </c>
      <c r="C12" t="inlineStr">
        <is>
          <t>Amazon.com</t>
        </is>
      </c>
      <c r="D12" t="inlineStr">
        <is>
          <t>indeed</t>
        </is>
      </c>
      <c r="E12" t="inlineStr"/>
      <c r="F12" t="inlineStr"/>
      <c r="G12" t="inlineStr">
        <is>
          <t>Tukwila, WA, US</t>
        </is>
      </c>
      <c r="H12" s="1"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in-a02f11f30aa71bea</t>
        </is>
      </c>
      <c r="B13" t="inlineStr">
        <is>
          <t>Senior Applied Scientist, Sponsored Products and Brands</t>
        </is>
      </c>
      <c r="C13" t="inlineStr">
        <is>
          <t>Amazon.com</t>
        </is>
      </c>
      <c r="D13" t="inlineStr">
        <is>
          <t>indeed</t>
        </is>
      </c>
      <c r="E13" t="inlineStr"/>
      <c r="F13" t="inlineStr"/>
      <c r="G13" t="inlineStr">
        <is>
          <t>New York, NY, US</t>
        </is>
      </c>
      <c r="H13" s="1" t="n">
        <v>45979</v>
      </c>
      <c r="I1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
      <c r="A14" t="inlineStr">
        <is>
          <t>in-58ad19d4c4623517</t>
        </is>
      </c>
      <c r="B14" t="inlineStr">
        <is>
          <t>Senior Applied Scientist, Sponsored Products and Brands</t>
        </is>
      </c>
      <c r="C14" t="inlineStr">
        <is>
          <t>Amazon.com</t>
        </is>
      </c>
      <c r="D14" t="inlineStr">
        <is>
          <t>indeed</t>
        </is>
      </c>
      <c r="E14" t="inlineStr"/>
      <c r="F14" t="inlineStr"/>
      <c r="G14" t="inlineStr">
        <is>
          <t>Seattle, WA, US</t>
        </is>
      </c>
      <c r="H14" s="1" t="n">
        <v>45979</v>
      </c>
      <c r="I1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5">
      <c r="A15" t="inlineStr">
        <is>
          <t>in-6c3179941412de8b</t>
        </is>
      </c>
      <c r="B15" t="inlineStr">
        <is>
          <t>Applied Scientist II, Prime Video - Personalization and Discovery Science, Personalization and Discovery Science</t>
        </is>
      </c>
      <c r="C15" t="inlineStr">
        <is>
          <t>Amazon.com</t>
        </is>
      </c>
      <c r="D15" t="inlineStr">
        <is>
          <t>indeed</t>
        </is>
      </c>
      <c r="E15" t="inlineStr"/>
      <c r="F15" t="inlineStr"/>
      <c r="G15" t="inlineStr">
        <is>
          <t>Sunnyvale, CA, US</t>
        </is>
      </c>
      <c r="H15" s="1"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in-16daa72a1a717b6d</t>
        </is>
      </c>
      <c r="B16" t="inlineStr">
        <is>
          <t>Applied Scientist II, Prime Video - Personalization and Discovery Science, Personalization and Discovery Science</t>
        </is>
      </c>
      <c r="C16" t="inlineStr">
        <is>
          <t>Amazon.com</t>
        </is>
      </c>
      <c r="D16" t="inlineStr">
        <is>
          <t>indeed</t>
        </is>
      </c>
      <c r="E16" t="inlineStr"/>
      <c r="F16" t="inlineStr"/>
      <c r="G16" t="inlineStr">
        <is>
          <t>New York, NY, US</t>
        </is>
      </c>
      <c r="H16" s="1"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in-a4cea7d866bbce93</t>
        </is>
      </c>
      <c r="B17" t="inlineStr">
        <is>
          <t>Applied Scientist II, Prime Video - Personalization and Discovery Science, Personalization and Discovery Science</t>
        </is>
      </c>
      <c r="C17" t="inlineStr">
        <is>
          <t>Amazon.com</t>
        </is>
      </c>
      <c r="D17" t="inlineStr">
        <is>
          <t>indeed</t>
        </is>
      </c>
      <c r="E17" t="inlineStr"/>
      <c r="F17" t="inlineStr"/>
      <c r="G17" t="inlineStr">
        <is>
          <t>Seattle, WA, US</t>
        </is>
      </c>
      <c r="H17" s="1" t="n">
        <v>45930</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in-0d3ffcedae3b93be</t>
        </is>
      </c>
      <c r="B18" t="inlineStr">
        <is>
          <t>Sr. Applied Scientist, Prime Video - Personalization and Discovery Science</t>
        </is>
      </c>
      <c r="C18" t="inlineStr">
        <is>
          <t>Amazon.com</t>
        </is>
      </c>
      <c r="D18" t="inlineStr">
        <is>
          <t>indeed</t>
        </is>
      </c>
      <c r="E18" t="inlineStr"/>
      <c r="F18" t="inlineStr"/>
      <c r="G18" t="inlineStr">
        <is>
          <t>Sunnyvale, CA, US</t>
        </is>
      </c>
      <c r="H18" s="1"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
      <c r="A19" t="inlineStr">
        <is>
          <t>in-fc2ba9c6efc0287d</t>
        </is>
      </c>
      <c r="B19" t="inlineStr">
        <is>
          <t>Sr. Applied Scientist, Prime Video - Personalization and Discovery Science</t>
        </is>
      </c>
      <c r="C19" t="inlineStr">
        <is>
          <t>Amazon.com</t>
        </is>
      </c>
      <c r="D19" t="inlineStr">
        <is>
          <t>indeed</t>
        </is>
      </c>
      <c r="E19" t="inlineStr"/>
      <c r="F19" t="inlineStr"/>
      <c r="G19" t="inlineStr">
        <is>
          <t>New York, NY,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in-04368b179e19495c</t>
        </is>
      </c>
      <c r="B20" t="inlineStr">
        <is>
          <t>Sr. Applied Scientist, Prime Video - Personalization and Discovery Science</t>
        </is>
      </c>
      <c r="C20" t="inlineStr">
        <is>
          <t>Amazon.com</t>
        </is>
      </c>
      <c r="D20" t="inlineStr">
        <is>
          <t>indeed</t>
        </is>
      </c>
      <c r="E20" t="inlineStr"/>
      <c r="F20" t="inlineStr"/>
      <c r="G20" t="inlineStr">
        <is>
          <t>Sunnyvale, CA,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in-a883bf0adec41700</t>
        </is>
      </c>
      <c r="B21" t="inlineStr">
        <is>
          <t>Applied Scientist II, Prime Video - Personalization and Discovery Science</t>
        </is>
      </c>
      <c r="C21" t="inlineStr">
        <is>
          <t>Amazon.com</t>
        </is>
      </c>
      <c r="D21" t="inlineStr">
        <is>
          <t>indeed</t>
        </is>
      </c>
      <c r="E21" t="inlineStr"/>
      <c r="F21" t="inlineStr"/>
      <c r="G21" t="inlineStr">
        <is>
          <t>Seattle, WA,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in-99c663617e29cae9</t>
        </is>
      </c>
      <c r="B22" t="inlineStr">
        <is>
          <t>Applied Scientist II, Prime Video - Personalization and Discovery Science</t>
        </is>
      </c>
      <c r="C22" t="inlineStr">
        <is>
          <t>Amazon.com</t>
        </is>
      </c>
      <c r="D22" t="inlineStr">
        <is>
          <t>indeed</t>
        </is>
      </c>
      <c r="E22" t="inlineStr"/>
      <c r="F22" t="inlineStr"/>
      <c r="G22" t="inlineStr">
        <is>
          <t>New York, NY,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in-5c4074877dbb42e0</t>
        </is>
      </c>
      <c r="B23" t="inlineStr">
        <is>
          <t>Applied Scientist II, Prime Video - Personalization and Discovery Science</t>
        </is>
      </c>
      <c r="C23" t="inlineStr">
        <is>
          <t>Amazon.com</t>
        </is>
      </c>
      <c r="D23" t="inlineStr">
        <is>
          <t>indeed</t>
        </is>
      </c>
      <c r="E23" t="inlineStr"/>
      <c r="F23" t="inlineStr"/>
      <c r="G23" t="inlineStr">
        <is>
          <t>Sunnyvale, CA, US</t>
        </is>
      </c>
      <c r="H23" s="1"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in-126d6f8d02d5cfc7</t>
        </is>
      </c>
      <c r="B24" t="inlineStr">
        <is>
          <t>Sr. Applied Scientist, Prime Video - Personalization and Discovery Science</t>
        </is>
      </c>
      <c r="C24" t="inlineStr">
        <is>
          <t>Amazon.com</t>
        </is>
      </c>
      <c r="D24" t="inlineStr">
        <is>
          <t>indeed</t>
        </is>
      </c>
      <c r="E24" t="inlineStr"/>
      <c r="F24" t="inlineStr"/>
      <c r="G24" t="inlineStr">
        <is>
          <t>Seattle, WA, US</t>
        </is>
      </c>
      <c r="H24" s="1"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in-fe5f1d02ea68b039</t>
        </is>
      </c>
      <c r="B25" t="inlineStr">
        <is>
          <t>Data Scientist, Rapid &amp; Rural Logistics (R2L)</t>
        </is>
      </c>
      <c r="C25" t="inlineStr">
        <is>
          <t>Amazon.com</t>
        </is>
      </c>
      <c r="D25" t="inlineStr">
        <is>
          <t>indeed</t>
        </is>
      </c>
      <c r="E25" t="inlineStr"/>
      <c r="F25" t="inlineStr"/>
      <c r="G25" t="inlineStr">
        <is>
          <t>New York, NY, US</t>
        </is>
      </c>
      <c r="H25" s="1" t="n">
        <v>46056</v>
      </c>
      <c r="I25"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6">
      <c r="A26" t="inlineStr">
        <is>
          <t>in-4e5fb91fa408f2d5</t>
        </is>
      </c>
      <c r="B26" t="inlineStr">
        <is>
          <t>Data Scientist, Rapid &amp; Rural Logistics (R2L)</t>
        </is>
      </c>
      <c r="C26" t="inlineStr">
        <is>
          <t>Amazon.com</t>
        </is>
      </c>
      <c r="D26" t="inlineStr">
        <is>
          <t>indeed</t>
        </is>
      </c>
      <c r="E26" t="inlineStr"/>
      <c r="F26" t="inlineStr"/>
      <c r="G26" t="inlineStr">
        <is>
          <t>Bellevue, WA, US</t>
        </is>
      </c>
      <c r="H26" s="1" t="n">
        <v>46056</v>
      </c>
      <c r="I26"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7">
      <c r="A27" t="inlineStr">
        <is>
          <t>in-e63d7815929b3494</t>
        </is>
      </c>
      <c r="B27" t="inlineStr">
        <is>
          <t>Director, Data Scientist</t>
        </is>
      </c>
      <c r="C27" t="inlineStr">
        <is>
          <t>USAA</t>
        </is>
      </c>
      <c r="D27" t="inlineStr">
        <is>
          <t>indeed</t>
        </is>
      </c>
      <c r="E27" t="inlineStr"/>
      <c r="F27" t="inlineStr"/>
      <c r="G27" t="inlineStr">
        <is>
          <t>San Antonio, TX, US</t>
        </is>
      </c>
      <c r="H27" s="1" t="n">
        <v>46086</v>
      </c>
      <c r="I2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Leads a team of Data Scientists responsible for identifying, scoping, and translating business problems into applied statistical, machine learning, simulation, and optimization solutions to inform actionable business insights and drive business value through automation, revenue generation, and expense and risk reduction. Works with business leaders to ideate, valuate, and scope projects to meet business needs. Manages the team’s projects and communicates progress updates to senior leadership and other business stakeholders. Responsible for the team’s model inventory and ensures compliance with USAA model risk policies and regulatory expectations. Influences the future of data science at USAA by conducting research on the latest technologies and driving adoption of those technologies.
As a dedicated Director, Data Scientist, you will lead a team of Data Scientists responsible for identifying, scoping, and translating business problems into applied statistical, machine learning, simulation, and optimization solutions to inform actionable business insights and drive business value through automation, revenue generation, and expense and risk reduction. Works with business leaders to ideate, valuate, and scope projects to meet business needs. The incumbent will also manage the team’s projects and communicates progress updates to senior leadership and other business stakeholders. Responsible for the team’s model inventory and ensures compliance with USAA model risk policies and regulatory expectations. The person will be responsible for influencing the future of data science at USAA by conducting research on the latest technologies and driving adoption of those technologies.
This role is remote eligible in the continental U.S. with occasional business travel. However, individuals residing within a 60\-mile radius of a USAA office will be expected to work on\-site four days per week.
Relocation assistance is available for this position.
**What you'll do:**
* Acts as advanced analytics thought leader and advisor to the business to shape strategies that drive competitiveness and differentiation.
* Influences business, data, and technology leaders to invest, sustain and expand advanced analytical capabilities by actively participating in strategy, planning, and budgeting exercises.
* Leads and develops team to build and deploy various advanced analytical solutions in an agile and collaborative environment across business, data, and technology organizations. Enables team’s success by simplifying processes across the model development lifecycle and driving automation.
* Identifies, scopes, and manages complex analytical projects in collaboration with business stakeholders, often translating results to non\-technical business executives.
* Champions and manages efforts to deliver business insights via scalable, automated solutions using machine learning, simulation, and optimization.
* Responsible for ensuring all modeling and machine learning solutions adhere to industry standards, model risk policy, and regulatory expectations.
* Partners with enterprise analytical and IT teams to build USAA core capabilities and processes.
* Identifies additional resource needs ranging from IT investments, 3rd party support or additional analysts.
* Builds and oversees a team of Data Scientists through ongoing execution of recruiting, development, retention, coaching and support, performance management, and managerial activities.
* Ensures risks associated with business activities are effectively identified, measured, monitored, and controlled in accordance with risk and compliance policies and procedures.
**What you have:**
* Bachelor’s degree in mathematics, computer science, statistics, economics, finance, actuarial sciences, science and engineering, or other similar quantitative discipline; OR 4 years of experience in statistics, mathematics, quantitative analytics, or related experience (in addition to the minimum years of experience required) may be substituted in lieu of degree.
* 8 years in predictive modeling, model governance, machine learning and large data analysis., OR Advanced Degree (e.g., Master’s, PhD) in Mathematics, Statistics, Data Science, Computer Science, or related quantitative STEM field (Science, Technology, Engineering and Math) field and 6 years in predictive modeling, model governance, machine learning and large data analysis.
* 3 years of direct management experience.
* Strong communication skills; demonstrated ability to interpret and translate complex technical information to diverse audiences.
* Experience with various languages, applications, and technologies (such as SQL, Python, R, Spark, Hadoop etc.) commonly associated with delivery of Data Science solutions.
* Experience in developing and reviewing modeling solutions based on broad range of techniques – e.g., linear and logistic regressions, time series methods, survival analysis, support vector machines, neural networks, decision trees, random forests, gradient\-boosting methods, deep learning, k\-means and other clustering methods, simulation methods, or other advanced techniques.
* Demonstrated ability to apply best practices in modeling and machine learning techniques to solve business problems.
* Demonstrated ability to write and review complex technical documentation, communicate modeling insights and technical details to business leaders, technical and non\-technical audiences.
* A strong track record of communicating results, insights, and technical solutions to Senior Executive Management (or equivalent).
* Deep technical skills, consulting experience, and business savvy to interface with all levels and disciplines within the organization.
**What sets you apart:**
* Demonstrated leadership across diverse data science teams with a focus on delivering results in banking and financial services.
* Strong communication skills with the ability to influence stakeholders and align cross\-functional teams
* Deep understanding of model governance, regulatory expectations and best practices in AI/ML deployment.
* Proven track record of developing talent fostering collaboration and driving strategic data science initiative across the organization
**Compensation range:** The salary range for this position is: $189,370 \- $361,950**.**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28">
      <c r="A28" t="inlineStr">
        <is>
          <t>in-eb3231dae835e790</t>
        </is>
      </c>
      <c r="B28" t="inlineStr">
        <is>
          <t>Applied Scientist , Prime Video - Personalization and Discovery Science</t>
        </is>
      </c>
      <c r="C28" t="inlineStr">
        <is>
          <t>Amazon.com</t>
        </is>
      </c>
      <c r="D28" t="inlineStr">
        <is>
          <t>indeed</t>
        </is>
      </c>
      <c r="E28" t="inlineStr"/>
      <c r="F28" t="inlineStr"/>
      <c r="G28" t="inlineStr">
        <is>
          <t>Sunnyvale, CA, US</t>
        </is>
      </c>
      <c r="H28" s="1" t="n">
        <v>46069</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9">
      <c r="A29" t="inlineStr">
        <is>
          <t>in-196bfd6852b96d48</t>
        </is>
      </c>
      <c r="B29" t="inlineStr">
        <is>
          <t>Applied Scientist , Prime Video - Personalization and Discovery Science</t>
        </is>
      </c>
      <c r="C29" t="inlineStr">
        <is>
          <t>Amazon.com</t>
        </is>
      </c>
      <c r="D29" t="inlineStr">
        <is>
          <t>indeed</t>
        </is>
      </c>
      <c r="E29" t="inlineStr"/>
      <c r="F29" t="inlineStr"/>
      <c r="G29" t="inlineStr">
        <is>
          <t>Seattle, WA, US</t>
        </is>
      </c>
      <c r="H29" s="1" t="n">
        <v>46069</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0">
      <c r="A30" t="inlineStr">
        <is>
          <t>in-ea0bb4d01e1cbdc0</t>
        </is>
      </c>
      <c r="B30" t="inlineStr">
        <is>
          <t>Senior Applied Scientist, Customer Experience and Business Trends</t>
        </is>
      </c>
      <c r="C30" t="inlineStr">
        <is>
          <t>Amazon.com</t>
        </is>
      </c>
      <c r="D30" t="inlineStr">
        <is>
          <t>indeed</t>
        </is>
      </c>
      <c r="E30" t="inlineStr"/>
      <c r="F30" t="inlineStr"/>
      <c r="G30" t="inlineStr">
        <is>
          <t>Arlington, VA, US</t>
        </is>
      </c>
      <c r="H30" s="1" t="n">
        <v>46062</v>
      </c>
      <c r="I30" t="inlineStr">
        <is>
          <t>**DESCRIPTION**
---------------
Customer Experience and Business Trends (CXBT) is looking for an Applied Scientist to join their team. CXBT's mission is to create best\-in\-class AI agents that seamlessly integrate multimodal inputs like speech, images, and video, enabling natural, empathetic, and adaptive interactions. We leverage advanced architectures, cross\-modal learning, interpretability, and responsible AI techniques to provide coherent, context\-aware responses augmented by real\-time knowledge retrieval.  
The ideal candidate will have expertise in Large Language Models (LLMs), speech, audio, Natural Language processing (NLP) or multimodal learning to pioneer innovations in data simulation, representation, generation, reasoning, retrieval, and evaluation.  
Key job responsibilities  
* Build scalable solutions for real\-time conversational experiences, including multilingual support, customizable personalities, and conversational turn\-taking.
* Develop data simulation approaches that mimic real\-world speech interactions.
* Research and implement novel algorithms and modeling techniques.
* Acquire and curate diverse datasets while ensuring user privacy.
* Create robust evaluation metrics and test sets to assess language model performance.
* Integrate human feedback to improve data selection and model performance.
* Innovate in data representation and model training techniques.
* Apply responsible AI practices throughout the development process.
A day in the life  
Our team is dedicated to improving Amazon's products and services through evaluation of the end\-to\-end customer experience using both internal and external processes and technology. Our mission is to deeply understand our customers' experiences, challenge the status quo, and provide insights that drive innovation to improve that experience. Through our analysis and insights, we inform business decisions that directly impact customer experience as customers of new GenAI and LLM technologies.  
About the team  
Customer Experience and Business Trends (CXBT) is an organization made up of a diverse suite of functions dedicated to deeply understanding and improving customer experience, globally. We are a team of builders that develop products, services, ideas, and various ways of leveraging data to influence product and service offerings – for almost every business at Amazon – for every customer (e.g., consumers, developers, sellers/brands, employees, investors, streamers, gamers).  
Our approach is based on determining the customer need, along with problem solving, and we work backwards from there. We use technical and non\-technical approaches and stay aware of industry and business trends. We are a global team, made up of a diverse set of profiles, skills, and backgrounds – including: Product Managers, Software Developers, Computer Vision experts, Solutions Architects, Data Scientists, Business Intelligence Engineers, Business Analysts, Risk Managers, and more.**BASIC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\- 167,100\.00 \- 226,100\.00 USD annually  
USA, WA, Seattle \- 167,100\.00 \- 226,100\.00 USD annually</t>
        </is>
      </c>
    </row>
    <row r="31">
      <c r="A31" t="inlineStr">
        <is>
          <t>in-70393fd7f50d7b0f</t>
        </is>
      </c>
      <c r="B31" t="inlineStr">
        <is>
          <t>Applied Scientist, AWS Applied AI Solutions</t>
        </is>
      </c>
      <c r="C31" t="inlineStr">
        <is>
          <t>Amazon.com</t>
        </is>
      </c>
      <c r="D31" t="inlineStr">
        <is>
          <t>indeed</t>
        </is>
      </c>
      <c r="E31" t="inlineStr"/>
      <c r="F31" t="inlineStr"/>
      <c r="G31" t="inlineStr">
        <is>
          <t>New York, NY, US</t>
        </is>
      </c>
      <c r="H31" s="1" t="n">
        <v>46061</v>
      </c>
      <c r="I31"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2">
      <c r="A32" t="inlineStr">
        <is>
          <t>in-510c750b9af9bab9</t>
        </is>
      </c>
      <c r="B32" t="inlineStr">
        <is>
          <t>Applied Scientist, AWS Applied AI Solutions</t>
        </is>
      </c>
      <c r="C32" t="inlineStr">
        <is>
          <t>Amazon.com</t>
        </is>
      </c>
      <c r="D32" t="inlineStr">
        <is>
          <t>indeed</t>
        </is>
      </c>
      <c r="E32" t="inlineStr"/>
      <c r="F32" t="inlineStr"/>
      <c r="G32" t="inlineStr">
        <is>
          <t>Seattle, WA, US</t>
        </is>
      </c>
      <c r="H32" s="1" t="n">
        <v>46061</v>
      </c>
      <c r="I32"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3">
      <c r="A33" t="inlineStr">
        <is>
          <t>in-7670f399e61c82a6</t>
        </is>
      </c>
      <c r="B33" t="inlineStr">
        <is>
          <t>Principal Applied Scientist, AWS Marketplace &amp; Partner Services</t>
        </is>
      </c>
      <c r="C33" t="inlineStr">
        <is>
          <t>Amazon Web Services</t>
        </is>
      </c>
      <c r="D33" t="inlineStr">
        <is>
          <t>indeed</t>
        </is>
      </c>
      <c r="E33" t="inlineStr"/>
      <c r="F33" t="inlineStr"/>
      <c r="G33" t="inlineStr">
        <is>
          <t>Seattle, WA, US</t>
        </is>
      </c>
      <c r="H33" s="1" t="n">
        <v>46056</v>
      </c>
      <c r="I3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4">
      <c r="A34" t="inlineStr">
        <is>
          <t>in-735ad88dfa3739f7</t>
        </is>
      </c>
      <c r="B34" t="inlineStr">
        <is>
          <t>Principal Applied Scientist, AWS Marketplace &amp; Partner Services</t>
        </is>
      </c>
      <c r="C34" t="inlineStr">
        <is>
          <t>Amazon Web Services</t>
        </is>
      </c>
      <c r="D34" t="inlineStr">
        <is>
          <t>indeed</t>
        </is>
      </c>
      <c r="E34" t="inlineStr"/>
      <c r="F34" t="inlineStr"/>
      <c r="G34" t="inlineStr">
        <is>
          <t>New York, NY, US</t>
        </is>
      </c>
      <c r="H34" s="1" t="n">
        <v>46056</v>
      </c>
      <c r="I3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5">
      <c r="A35" t="inlineStr">
        <is>
          <t>in-2496633d6a5fc200</t>
        </is>
      </c>
      <c r="B35" t="inlineStr">
        <is>
          <t>Principal Applied Scientist, AWS Marketplace &amp; Partner Services</t>
        </is>
      </c>
      <c r="C35" t="inlineStr">
        <is>
          <t>Amazon Web Services</t>
        </is>
      </c>
      <c r="D35" t="inlineStr">
        <is>
          <t>indeed</t>
        </is>
      </c>
      <c r="E35" t="inlineStr"/>
      <c r="F35" t="inlineStr"/>
      <c r="G35" t="inlineStr">
        <is>
          <t>Austin, TX, US</t>
        </is>
      </c>
      <c r="H35" s="1" t="n">
        <v>46056</v>
      </c>
      <c r="I35"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6">
      <c r="A36" t="inlineStr">
        <is>
          <t>in-6f0667dd6a6baebe</t>
        </is>
      </c>
      <c r="B36" t="inlineStr">
        <is>
          <t>Principal Applied Scientist, AWS Marketplace &amp; Partner Services</t>
        </is>
      </c>
      <c r="C36" t="inlineStr">
        <is>
          <t>Amazon Web Services</t>
        </is>
      </c>
      <c r="D36" t="inlineStr">
        <is>
          <t>indeed</t>
        </is>
      </c>
      <c r="E36" t="inlineStr"/>
      <c r="F36" t="inlineStr"/>
      <c r="G36" t="inlineStr">
        <is>
          <t>San Diego, CA, US</t>
        </is>
      </c>
      <c r="H36" s="1" t="n">
        <v>46056</v>
      </c>
      <c r="I36"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7">
      <c r="A37" t="inlineStr">
        <is>
          <t>in-4c7bf36cfc34c246</t>
        </is>
      </c>
      <c r="B37" t="inlineStr">
        <is>
          <t>Sr. Applied Scientist, AWS Healthcare-AI</t>
        </is>
      </c>
      <c r="C37" t="inlineStr">
        <is>
          <t>Amazon.com</t>
        </is>
      </c>
      <c r="D37" t="inlineStr">
        <is>
          <t>indeed</t>
        </is>
      </c>
      <c r="E37" t="inlineStr"/>
      <c r="F37" t="inlineStr"/>
      <c r="G37" t="inlineStr">
        <is>
          <t>Mountain View, CA, US</t>
        </is>
      </c>
      <c r="H37" s="1" t="n">
        <v>46055</v>
      </c>
      <c r="I37"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8">
      <c r="A38" t="inlineStr">
        <is>
          <t>in-6e24495d9fb0ceaf</t>
        </is>
      </c>
      <c r="B38" t="inlineStr">
        <is>
          <t>Sr. Applied Scientist, AWS Healthcare-AI</t>
        </is>
      </c>
      <c r="C38" t="inlineStr">
        <is>
          <t>Amazon.com</t>
        </is>
      </c>
      <c r="D38" t="inlineStr">
        <is>
          <t>indeed</t>
        </is>
      </c>
      <c r="E38" t="inlineStr"/>
      <c r="F38" t="inlineStr"/>
      <c r="G38" t="inlineStr">
        <is>
          <t>Seattle, WA, US</t>
        </is>
      </c>
      <c r="H38" s="1" t="n">
        <v>46055</v>
      </c>
      <c r="I38"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9">
      <c r="A39" t="inlineStr">
        <is>
          <t>in-63022226f289b24e</t>
        </is>
      </c>
      <c r="B39" t="inlineStr">
        <is>
          <t>Applied Scientist (Contract), Artificial General Intelligence</t>
        </is>
      </c>
      <c r="C39" t="inlineStr">
        <is>
          <t>Amazon.com</t>
        </is>
      </c>
      <c r="D39" t="inlineStr">
        <is>
          <t>indeed</t>
        </is>
      </c>
      <c r="E39" t="inlineStr"/>
      <c r="F39" t="inlineStr"/>
      <c r="G39" t="inlineStr">
        <is>
          <t>Boston, MA, US</t>
        </is>
      </c>
      <c r="H39" s="1" t="n">
        <v>46055</v>
      </c>
      <c r="I3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0">
      <c r="A40" t="inlineStr">
        <is>
          <t>in-f80f2bb5871ad582</t>
        </is>
      </c>
      <c r="B40" t="inlineStr">
        <is>
          <t>Applied Scientist (Contract), Artificial General Intelligence</t>
        </is>
      </c>
      <c r="C40" t="inlineStr">
        <is>
          <t>Amazon.com</t>
        </is>
      </c>
      <c r="D40" t="inlineStr">
        <is>
          <t>indeed</t>
        </is>
      </c>
      <c r="E40" t="inlineStr"/>
      <c r="F40" t="inlineStr"/>
      <c r="G40" t="inlineStr">
        <is>
          <t>Bellevue, WA, US</t>
        </is>
      </c>
      <c r="H40" s="1" t="n">
        <v>46055</v>
      </c>
      <c r="I4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1">
      <c r="A41" t="inlineStr">
        <is>
          <t>in-7c5048ee1e95bcac</t>
        </is>
      </c>
      <c r="B41" t="inlineStr">
        <is>
          <t>Applied Scientist (Contract), Artificial General Intelligence</t>
        </is>
      </c>
      <c r="C41" t="inlineStr">
        <is>
          <t>Amazon.com</t>
        </is>
      </c>
      <c r="D41" t="inlineStr">
        <is>
          <t>indeed</t>
        </is>
      </c>
      <c r="E41" t="inlineStr"/>
      <c r="F41" t="inlineStr"/>
      <c r="G41" t="inlineStr">
        <is>
          <t>Bellevue, WA, US</t>
        </is>
      </c>
      <c r="H41" s="1" t="n">
        <v>46055</v>
      </c>
      <c r="I4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2">
      <c r="A42" t="inlineStr">
        <is>
          <t>in-c828d4612a499e20</t>
        </is>
      </c>
      <c r="B42" t="inlineStr">
        <is>
          <t>Applied Scientist (Contract), Artificial General Intelligence</t>
        </is>
      </c>
      <c r="C42" t="inlineStr">
        <is>
          <t>Amazon.com</t>
        </is>
      </c>
      <c r="D42" t="inlineStr">
        <is>
          <t>indeed</t>
        </is>
      </c>
      <c r="E42" t="inlineStr"/>
      <c r="F42" t="inlineStr"/>
      <c r="G42" t="inlineStr">
        <is>
          <t>Boston, MA, US</t>
        </is>
      </c>
      <c r="H42" s="1" t="n">
        <v>46055</v>
      </c>
      <c r="I4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3">
      <c r="A43" t="inlineStr">
        <is>
          <t>in-f26bd2c87d51c2fa</t>
        </is>
      </c>
      <c r="B43" t="inlineStr">
        <is>
          <t>Applied Scientist (Contract), Artificial General Intelligence</t>
        </is>
      </c>
      <c r="C43" t="inlineStr">
        <is>
          <t>Amazon.com</t>
        </is>
      </c>
      <c r="D43" t="inlineStr">
        <is>
          <t>indeed</t>
        </is>
      </c>
      <c r="E43" t="inlineStr"/>
      <c r="F43" t="inlineStr"/>
      <c r="G43" t="inlineStr">
        <is>
          <t>Boston, MA, US</t>
        </is>
      </c>
      <c r="H43" s="1" t="n">
        <v>46055</v>
      </c>
      <c r="I4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4">
      <c r="A44" t="inlineStr">
        <is>
          <t>in-e1bd7ab29013c90a</t>
        </is>
      </c>
      <c r="B44" t="inlineStr">
        <is>
          <t>Applied Scientist (Contract), Artificial General Intelligence</t>
        </is>
      </c>
      <c r="C44" t="inlineStr">
        <is>
          <t>Amazon.com</t>
        </is>
      </c>
      <c r="D44" t="inlineStr">
        <is>
          <t>indeed</t>
        </is>
      </c>
      <c r="E44" t="inlineStr"/>
      <c r="F44" t="inlineStr"/>
      <c r="G44" t="inlineStr">
        <is>
          <t>Bellevue, WA, US</t>
        </is>
      </c>
      <c r="H44" s="1" t="n">
        <v>46055</v>
      </c>
      <c r="I4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5">
      <c r="A45" t="inlineStr">
        <is>
          <t>in-8134391dda619170</t>
        </is>
      </c>
      <c r="B45" t="inlineStr">
        <is>
          <t>Applied Scientist (Contract), Artificial General Intelligence</t>
        </is>
      </c>
      <c r="C45" t="inlineStr">
        <is>
          <t>Amazon.com</t>
        </is>
      </c>
      <c r="D45" t="inlineStr">
        <is>
          <t>indeed</t>
        </is>
      </c>
      <c r="E45" t="inlineStr"/>
      <c r="F45" t="inlineStr"/>
      <c r="G45" t="inlineStr">
        <is>
          <t>Boston, MA, US</t>
        </is>
      </c>
      <c r="H45" s="1" t="n">
        <v>46051</v>
      </c>
      <c r="I4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6">
      <c r="A46" t="inlineStr">
        <is>
          <t>in-a70e9a009938febf</t>
        </is>
      </c>
      <c r="B46" t="inlineStr">
        <is>
          <t>Applied Scientist (Contract), Artificial General Intelligence</t>
        </is>
      </c>
      <c r="C46" t="inlineStr">
        <is>
          <t>Amazon.com</t>
        </is>
      </c>
      <c r="D46" t="inlineStr">
        <is>
          <t>indeed</t>
        </is>
      </c>
      <c r="E46" t="inlineStr"/>
      <c r="F46" t="inlineStr"/>
      <c r="G46" t="inlineStr">
        <is>
          <t>Bellevue, WA, US</t>
        </is>
      </c>
      <c r="H46" s="1" t="n">
        <v>46051</v>
      </c>
      <c r="I4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7">
      <c r="A47" t="inlineStr">
        <is>
          <t>in-19fd69b2876bf5a7</t>
        </is>
      </c>
      <c r="B47" t="inlineStr">
        <is>
          <t>Applied Scientist I, Customer Experience and Business Trends</t>
        </is>
      </c>
      <c r="C47" t="inlineStr">
        <is>
          <t>Amazon.com</t>
        </is>
      </c>
      <c r="D47" t="inlineStr">
        <is>
          <t>indeed</t>
        </is>
      </c>
      <c r="E47" t="inlineStr"/>
      <c r="F47" t="inlineStr"/>
      <c r="G47" t="inlineStr">
        <is>
          <t>Arlington, VA, US</t>
        </is>
      </c>
      <c r="H47" s="1" t="n">
        <v>46051</v>
      </c>
      <c r="I47" t="inlineStr">
        <is>
          <t>**DESCRIPTION**
---------------
Customer Experience and Business Trends (CXBT) is looking for an Applied Scientist to join its team. CXBT's mission is to create best\-in\-class AI agents that seamlessly integrate multimodal inputs, enabling natural, empathetic, and adaptive interactions. We leverage advanced architectures, cross\-modal learning, interpretability, and responsible AI techniques to provide coherent, context\-aware responses augmented by real\-time knowledge retrieval.  
As part of CXBT, we have a vision to revolutionize how we understand, test, and optimize customer experiences at scale. Where traditional testing approaches fall short, we create AI\-powered solutions that enable rapid experimentation, de\-risk product launches, and generate actionable insights, \-all before a single real customer is impacted.  
Be a part of our agentic initiative and shape how Amazon leverages artificial intelligence to run tests at scale and improve customer experiences.  
As an Applied Scientist, you will research state\-of\-the\-art techniques in agent\-based modeling, and lead scientific innovation by building foundational agentic simulation capabilities.
If you are passionate about the intersection of AI and human behavior modeling, and want to fundamentally influence how Amazon tests and improves customer experiences, this role offers a great opportunity to make your mark.  
Key job responsibilities  
* Design and implement frameworks for creating representative, diverse agents that faithfully capture real\-world characteristics
* Use state\-of\-the\-art techniques in user modeling and behavioral simulation to build robust agentic frameworks
* Develop data simulation approaches that mimic real\-world speech interactions.
* Research and implement novel algorithms and modeling techniques.
* Acquire and curate diverse datasets while ensuring user privacy.
* Create robust evaluation metrics and test sets to assess language model performance.
* Innovate in data representation and model training techniques.
* Apply responsible AI practices throughout the development process.
* Write clear, scientific documentation describing methodologies, solutions, and design choices.
A day in the life  
Our team is dedicated to improving Amazon's products and services through evaluation of the end\-to\-end customer experience using both internal and external processes and technology. Our mission is to deeply understand our customers' experiences, challenge the status quo, and provide insights that drive innovation to improve that experience. Through our analysis and insights, we inform business decisions that directly impact customer experience as customers of new GenAI and LLM technologies.  
About the team  
Customer Experience and Business Trends (CXBT) is an organization made up of a diverse suite of functions dedicated to deeply understanding and improving customer experience, globally. We are a team of builders that develop products, services, ideas, and various ways of leveraging data to influence product and service offerings – for almost every business at Amazon – for every customer (e.g., consumers, developers, sellers/brands, employees, investors, streamers, gamers).**BASIC QUALIFICATIONS**
------------------------
* 1\+ years of building models for business application experience
* Experience with any programming language such as Python, Java, C\+\+
* Experience in any of the following areas: algorithms and data structures, parsing, numerical optimization, data mining, parallel and distributed computing, high\-performance computing
* Experience with Machine Learning and Large Language Model fundamentals, including architecture, training/inference lifecycles, and optimization of model execution, or experience in developing and deploying LLMs in production on GPUs, Neuron, TPU or other AI acceleration hardware
* PhD, or Master's degree and 4\+ years of CS, CE, ML or related field experience
**PREFERRED QUALIFICATIONS**
----------------------------
* Experience in professional software development
* Experience building machine learning models or developing algorithms for business application
* Have publications on top\-tier conferences, such as CVPR, ICCV, ECCV or NeurIPS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WA, Seattle \- 136,000\.00 \- 184,000\.00 USD annually</t>
        </is>
      </c>
    </row>
    <row r="48">
      <c r="A48" t="inlineStr">
        <is>
          <t>in-5260368beb1a10d0</t>
        </is>
      </c>
      <c r="B48" t="inlineStr">
        <is>
          <t>Sr. Applied Scientist - SLAM, Amazon Industrial Robotics</t>
        </is>
      </c>
      <c r="C48" t="inlineStr">
        <is>
          <t>Amazon.com</t>
        </is>
      </c>
      <c r="D48" t="inlineStr">
        <is>
          <t>indeed</t>
        </is>
      </c>
      <c r="E48" t="inlineStr"/>
      <c r="F48" t="inlineStr"/>
      <c r="G48" t="inlineStr">
        <is>
          <t>Reading, MA, US</t>
        </is>
      </c>
      <c r="H48" s="1" t="n">
        <v>46050</v>
      </c>
      <c r="I4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9">
      <c r="A49" t="inlineStr">
        <is>
          <t>in-e0dc602038ae82bf</t>
        </is>
      </c>
      <c r="B49" t="inlineStr">
        <is>
          <t>Sr. Applied Scientist - SLAM, Amazon Industrial Robotics</t>
        </is>
      </c>
      <c r="C49" t="inlineStr">
        <is>
          <t>Amazon.com</t>
        </is>
      </c>
      <c r="D49" t="inlineStr">
        <is>
          <t>indeed</t>
        </is>
      </c>
      <c r="E49" t="inlineStr"/>
      <c r="F49" t="inlineStr"/>
      <c r="G49" t="inlineStr">
        <is>
          <t>Reading, MA, US</t>
        </is>
      </c>
      <c r="H49" s="1" t="n">
        <v>46050</v>
      </c>
      <c r="I49"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50">
      <c r="A50" t="inlineStr">
        <is>
          <t>in-7fa5de97ec33aca2</t>
        </is>
      </c>
      <c r="B50" t="inlineStr">
        <is>
          <t>Principal Applied Scientist, Sensing, Industrial Robotics Group</t>
        </is>
      </c>
      <c r="C50" t="inlineStr">
        <is>
          <t>Amazon.com</t>
        </is>
      </c>
      <c r="D50" t="inlineStr">
        <is>
          <t>indeed</t>
        </is>
      </c>
      <c r="E50" t="inlineStr"/>
      <c r="F50" t="inlineStr"/>
      <c r="G50" t="inlineStr">
        <is>
          <t>Reading, MA, US</t>
        </is>
      </c>
      <c r="H50" s="1" t="n">
        <v>46050</v>
      </c>
      <c r="I50"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1">
      <c r="A51" t="inlineStr">
        <is>
          <t>in-a027a554d6dc6fc5</t>
        </is>
      </c>
      <c r="B51" t="inlineStr">
        <is>
          <t>Principal Applied Scientist, Sensing, Industrial Robotics Group</t>
        </is>
      </c>
      <c r="C51" t="inlineStr">
        <is>
          <t>Amazon.com</t>
        </is>
      </c>
      <c r="D51" t="inlineStr">
        <is>
          <t>indeed</t>
        </is>
      </c>
      <c r="E51" t="inlineStr"/>
      <c r="F51" t="inlineStr"/>
      <c r="G51" t="inlineStr">
        <is>
          <t>Reading, MA, US</t>
        </is>
      </c>
      <c r="H51" s="1" t="n">
        <v>46050</v>
      </c>
      <c r="I51"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2">
      <c r="A52" t="inlineStr">
        <is>
          <t>in-833498f149c9f0e1</t>
        </is>
      </c>
      <c r="B52" t="inlineStr">
        <is>
          <t>Applied Scientist, Amazon Connect</t>
        </is>
      </c>
      <c r="C52" t="inlineStr">
        <is>
          <t>Amazon Web Services</t>
        </is>
      </c>
      <c r="D52" t="inlineStr">
        <is>
          <t>indeed</t>
        </is>
      </c>
      <c r="E52" t="inlineStr"/>
      <c r="F52" t="inlineStr"/>
      <c r="G52" t="inlineStr">
        <is>
          <t>New York, NY, US</t>
        </is>
      </c>
      <c r="H52" s="1" t="n">
        <v>46047</v>
      </c>
      <c r="I5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3">
      <c r="A53" t="inlineStr">
        <is>
          <t>in-2d291fd23b13c448</t>
        </is>
      </c>
      <c r="B53" t="inlineStr">
        <is>
          <t>Applied Scientist II, Prime Video Personalization and Discovery Science</t>
        </is>
      </c>
      <c r="C53" t="inlineStr">
        <is>
          <t>Amazon.com</t>
        </is>
      </c>
      <c r="D53" t="inlineStr">
        <is>
          <t>indeed</t>
        </is>
      </c>
      <c r="E53" t="inlineStr"/>
      <c r="F53" t="inlineStr"/>
      <c r="G53" t="inlineStr">
        <is>
          <t>Seattle, WA, US</t>
        </is>
      </c>
      <c r="H53" s="1" t="n">
        <v>46047</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4">
      <c r="A54" t="inlineStr">
        <is>
          <t>in-0c44abc33d705ac1</t>
        </is>
      </c>
      <c r="B54" t="inlineStr">
        <is>
          <t>Applied Scientist, Amazon Connect</t>
        </is>
      </c>
      <c r="C54" t="inlineStr">
        <is>
          <t>Amazon Web Services</t>
        </is>
      </c>
      <c r="D54" t="inlineStr">
        <is>
          <t>indeed</t>
        </is>
      </c>
      <c r="E54" t="inlineStr"/>
      <c r="F54" t="inlineStr"/>
      <c r="G54" t="inlineStr">
        <is>
          <t>Seattle, WA, US</t>
        </is>
      </c>
      <c r="H54" s="1" t="n">
        <v>46047</v>
      </c>
      <c r="I5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5">
      <c r="A55" t="inlineStr">
        <is>
          <t>in-e95e74979ed9113b</t>
        </is>
      </c>
      <c r="B55" t="inlineStr">
        <is>
          <t>Applied Scientist II, Prime Video Personalization and Discovery Science</t>
        </is>
      </c>
      <c r="C55" t="inlineStr">
        <is>
          <t>Amazon.com</t>
        </is>
      </c>
      <c r="D55" t="inlineStr">
        <is>
          <t>indeed</t>
        </is>
      </c>
      <c r="E55" t="inlineStr"/>
      <c r="F55" t="inlineStr"/>
      <c r="G55" t="inlineStr">
        <is>
          <t>New York, NY, US</t>
        </is>
      </c>
      <c r="H55" s="1" t="n">
        <v>46047</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6">
      <c r="A56" t="inlineStr">
        <is>
          <t>in-0cb2fb293db18bb2</t>
        </is>
      </c>
      <c r="B56" t="inlineStr">
        <is>
          <t>Applied Scientist II, Prime Video Personalization and Discovery Science</t>
        </is>
      </c>
      <c r="C56" t="inlineStr">
        <is>
          <t>Amazon.com</t>
        </is>
      </c>
      <c r="D56" t="inlineStr">
        <is>
          <t>indeed</t>
        </is>
      </c>
      <c r="E56" t="inlineStr"/>
      <c r="F56" t="inlineStr"/>
      <c r="G56" t="inlineStr">
        <is>
          <t>Sunnyvale, CA, US</t>
        </is>
      </c>
      <c r="H56" s="1" t="n">
        <v>46047</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7">
      <c r="A57" t="inlineStr">
        <is>
          <t>in-fee7026634cbb63e</t>
        </is>
      </c>
      <c r="B57" t="inlineStr">
        <is>
          <t>Applied Scientist, Safety ML</t>
        </is>
      </c>
      <c r="C57" t="inlineStr">
        <is>
          <t>Amazon.com</t>
        </is>
      </c>
      <c r="D57" t="inlineStr">
        <is>
          <t>indeed</t>
        </is>
      </c>
      <c r="E57" t="inlineStr"/>
      <c r="F57" t="inlineStr"/>
      <c r="G57" t="inlineStr">
        <is>
          <t>Seattle, WA, US</t>
        </is>
      </c>
      <c r="H57" s="1" t="n">
        <v>46037</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8">
      <c r="A58" t="inlineStr">
        <is>
          <t>in-80248dd58f9f2353</t>
        </is>
      </c>
      <c r="B58" t="inlineStr">
        <is>
          <t>Applied Scientist, Safety ML</t>
        </is>
      </c>
      <c r="C58" t="inlineStr">
        <is>
          <t>Amazon.com</t>
        </is>
      </c>
      <c r="D58" t="inlineStr">
        <is>
          <t>indeed</t>
        </is>
      </c>
      <c r="E58" t="inlineStr"/>
      <c r="F58" t="inlineStr"/>
      <c r="G58" t="inlineStr">
        <is>
          <t>San Francisco, CA, US</t>
        </is>
      </c>
      <c r="H58" s="1" t="n">
        <v>46037</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9">
      <c r="A59" t="inlineStr">
        <is>
          <t>in-b97f6fb656ecb739</t>
        </is>
      </c>
      <c r="B59" t="inlineStr">
        <is>
          <t>Principal Applied Scientist, Measurement, AdTech and Data Science, Ads Performance Measurement</t>
        </is>
      </c>
      <c r="C59" t="inlineStr">
        <is>
          <t>Amazon.com</t>
        </is>
      </c>
      <c r="D59" t="inlineStr">
        <is>
          <t>indeed</t>
        </is>
      </c>
      <c r="E59" t="inlineStr"/>
      <c r="F59" t="inlineStr"/>
      <c r="G59" t="inlineStr">
        <is>
          <t>New York, NY, US</t>
        </is>
      </c>
      <c r="H59" s="1" t="n">
        <v>46037</v>
      </c>
      <c r="I59"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0">
      <c r="A60" t="inlineStr">
        <is>
          <t>in-a29870894e27e08c</t>
        </is>
      </c>
      <c r="B60" t="inlineStr">
        <is>
          <t>Principal Applied Scientist, Measurement, AdTech and Data Science, Ads Performance Measurement</t>
        </is>
      </c>
      <c r="C60" t="inlineStr">
        <is>
          <t>Amazon.com</t>
        </is>
      </c>
      <c r="D60" t="inlineStr">
        <is>
          <t>indeed</t>
        </is>
      </c>
      <c r="E60" t="inlineStr"/>
      <c r="F60" t="inlineStr"/>
      <c r="G60" t="inlineStr">
        <is>
          <t>Palo Alto, CA, US</t>
        </is>
      </c>
      <c r="H60" s="1" t="n">
        <v>46037</v>
      </c>
      <c r="I60"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1">
      <c r="A61" t="inlineStr">
        <is>
          <t>in-f173bcc75e8d0a0a</t>
        </is>
      </c>
      <c r="B61" t="inlineStr">
        <is>
          <t>Principal Applied Scientist, Measurement, AdTech and Data Science, Ads Performance Measurement</t>
        </is>
      </c>
      <c r="C61" t="inlineStr">
        <is>
          <t>Amazon.com</t>
        </is>
      </c>
      <c r="D61" t="inlineStr">
        <is>
          <t>indeed</t>
        </is>
      </c>
      <c r="E61" t="inlineStr"/>
      <c r="F61" t="inlineStr"/>
      <c r="G61" t="inlineStr">
        <is>
          <t>Seattle, WA, US</t>
        </is>
      </c>
      <c r="H61" s="1" t="n">
        <v>46037</v>
      </c>
      <c r="I61"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2">
      <c r="A62" t="inlineStr">
        <is>
          <t>in-3a8634b4edbbe57a</t>
        </is>
      </c>
      <c r="B62" t="inlineStr">
        <is>
          <t>Applied Scientist III, Sponsored Products and Brands</t>
        </is>
      </c>
      <c r="C62" t="inlineStr">
        <is>
          <t>Amazon.com</t>
        </is>
      </c>
      <c r="D62" t="inlineStr">
        <is>
          <t>indeed</t>
        </is>
      </c>
      <c r="E62" t="inlineStr"/>
      <c r="F62" t="inlineStr"/>
      <c r="G62" t="inlineStr">
        <is>
          <t>Seattle, WA, US</t>
        </is>
      </c>
      <c r="H62" s="1" t="n">
        <v>46037</v>
      </c>
      <c r="I6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63">
      <c r="A63" t="inlineStr">
        <is>
          <t>in-da7dbedf1c25f101</t>
        </is>
      </c>
      <c r="B63" t="inlineStr">
        <is>
          <t>Applied Scientist III, Sponsored Products and Brands</t>
        </is>
      </c>
      <c r="C63" t="inlineStr">
        <is>
          <t>Amazon.com</t>
        </is>
      </c>
      <c r="D63" t="inlineStr">
        <is>
          <t>indeed</t>
        </is>
      </c>
      <c r="E63" t="inlineStr"/>
      <c r="F63" t="inlineStr"/>
      <c r="G63" t="inlineStr">
        <is>
          <t>New York, NY, US</t>
        </is>
      </c>
      <c r="H63" s="1" t="n">
        <v>46037</v>
      </c>
      <c r="I6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64">
      <c r="A64" t="inlineStr">
        <is>
          <t>in-e24e543a8ebf992a</t>
        </is>
      </c>
      <c r="B64" t="inlineStr">
        <is>
          <t>Applied Scientist, LLM Code Agents, Kiro Science</t>
        </is>
      </c>
      <c r="C64" t="inlineStr">
        <is>
          <t>Amazon.com</t>
        </is>
      </c>
      <c r="D64" t="inlineStr">
        <is>
          <t>indeed</t>
        </is>
      </c>
      <c r="E64" t="inlineStr"/>
      <c r="F64" t="inlineStr"/>
      <c r="G64" t="inlineStr">
        <is>
          <t>Santa Clara, CA, US</t>
        </is>
      </c>
      <c r="H64" s="1" t="n">
        <v>46035</v>
      </c>
      <c r="I6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5">
      <c r="A65" t="inlineStr">
        <is>
          <t>in-945d0128237c657f</t>
        </is>
      </c>
      <c r="B65" t="inlineStr">
        <is>
          <t>Applied Scientist, LLM Code Agents, Kiro Science</t>
        </is>
      </c>
      <c r="C65" t="inlineStr">
        <is>
          <t>Amazon.com</t>
        </is>
      </c>
      <c r="D65" t="inlineStr">
        <is>
          <t>indeed</t>
        </is>
      </c>
      <c r="E65" t="inlineStr"/>
      <c r="F65" t="inlineStr"/>
      <c r="G65" t="inlineStr">
        <is>
          <t>Seattle, WA, US</t>
        </is>
      </c>
      <c r="H65" s="1" t="n">
        <v>46035</v>
      </c>
      <c r="I6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6">
      <c r="A66" t="inlineStr">
        <is>
          <t>in-48617a51d74d29c8</t>
        </is>
      </c>
      <c r="B66" t="inlineStr">
        <is>
          <t>Applied Scientist II, Prime Video Personalization and Discovery Science</t>
        </is>
      </c>
      <c r="C66" t="inlineStr">
        <is>
          <t>Amazon.com</t>
        </is>
      </c>
      <c r="D66" t="inlineStr">
        <is>
          <t>indeed</t>
        </is>
      </c>
      <c r="E66" t="inlineStr"/>
      <c r="F66" t="inlineStr"/>
      <c r="G66" t="inlineStr">
        <is>
          <t>Seattle, WA, US</t>
        </is>
      </c>
      <c r="H66" s="1" t="n">
        <v>46034</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7">
      <c r="A67" t="inlineStr">
        <is>
          <t>in-4a114f7218c4c89c</t>
        </is>
      </c>
      <c r="B67" t="inlineStr">
        <is>
          <t>Applied Scientist, Alexa Smart Home</t>
        </is>
      </c>
      <c r="C67" t="inlineStr">
        <is>
          <t>Amazon.com</t>
        </is>
      </c>
      <c r="D67" t="inlineStr">
        <is>
          <t>indeed</t>
        </is>
      </c>
      <c r="E67" t="inlineStr"/>
      <c r="F67" t="inlineStr"/>
      <c r="G67" t="inlineStr">
        <is>
          <t>Sunnyvale, CA, US</t>
        </is>
      </c>
      <c r="H67" s="1" t="n">
        <v>46033</v>
      </c>
      <c r="I6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8">
      <c r="A68" t="inlineStr">
        <is>
          <t>in-e2f7b1b8a2ea1773</t>
        </is>
      </c>
      <c r="B68" t="inlineStr">
        <is>
          <t>Applied Scientist, Alexa Smart Home</t>
        </is>
      </c>
      <c r="C68" t="inlineStr">
        <is>
          <t>Amazon.com</t>
        </is>
      </c>
      <c r="D68" t="inlineStr">
        <is>
          <t>indeed</t>
        </is>
      </c>
      <c r="E68" t="inlineStr"/>
      <c r="F68" t="inlineStr"/>
      <c r="G68" t="inlineStr">
        <is>
          <t>Seattle, WA, US</t>
        </is>
      </c>
      <c r="H68" s="1" t="n">
        <v>46033</v>
      </c>
      <c r="I6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9">
      <c r="A69" t="inlineStr">
        <is>
          <t>in-15ab749fb5ab5d7e</t>
        </is>
      </c>
      <c r="B69" t="inlineStr">
        <is>
          <t>Applied Scientist, AWS Applied AI Solutions</t>
        </is>
      </c>
      <c r="C69" t="inlineStr">
        <is>
          <t>Amazon Web Services</t>
        </is>
      </c>
      <c r="D69" t="inlineStr">
        <is>
          <t>indeed</t>
        </is>
      </c>
      <c r="E69" t="inlineStr"/>
      <c r="F69" t="inlineStr"/>
      <c r="G69" t="inlineStr">
        <is>
          <t>New York, NY, US</t>
        </is>
      </c>
      <c r="H69" s="1" t="n">
        <v>46030</v>
      </c>
      <c r="I6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0">
      <c r="A70" t="inlineStr">
        <is>
          <t>in-858d56ed14088270</t>
        </is>
      </c>
      <c r="B70" t="inlineStr">
        <is>
          <t>Applied Scientist, AWS Applied AI Solutions</t>
        </is>
      </c>
      <c r="C70" t="inlineStr">
        <is>
          <t>Amazon Web Services</t>
        </is>
      </c>
      <c r="D70" t="inlineStr">
        <is>
          <t>indeed</t>
        </is>
      </c>
      <c r="E70" t="inlineStr"/>
      <c r="F70" t="inlineStr"/>
      <c r="G70" t="inlineStr">
        <is>
          <t>Seattle, WA, US</t>
        </is>
      </c>
      <c r="H70" s="1" t="n">
        <v>46030</v>
      </c>
      <c r="I7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1">
      <c r="A71" t="inlineStr">
        <is>
          <t>in-e09922dc97d9a964</t>
        </is>
      </c>
      <c r="B71" t="inlineStr">
        <is>
          <t>Senior Data Scientist, Amazon Global Logistics</t>
        </is>
      </c>
      <c r="C71" t="inlineStr">
        <is>
          <t>Amazon.com</t>
        </is>
      </c>
      <c r="D71" t="inlineStr">
        <is>
          <t>indeed</t>
        </is>
      </c>
      <c r="E71" t="inlineStr"/>
      <c r="F71" t="inlineStr"/>
      <c r="G71" t="inlineStr">
        <is>
          <t>Bellevue, WA, US</t>
        </is>
      </c>
      <c r="H71" s="1" t="n">
        <v>46029</v>
      </c>
      <c r="I71"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72">
      <c r="A72" t="inlineStr">
        <is>
          <t>in-e06a2d5fcd6dced9</t>
        </is>
      </c>
      <c r="B72" t="inlineStr">
        <is>
          <t>Senior Data Scientist, Amazon Global Logistics</t>
        </is>
      </c>
      <c r="C72" t="inlineStr">
        <is>
          <t>Amazon.com</t>
        </is>
      </c>
      <c r="D72" t="inlineStr">
        <is>
          <t>indeed</t>
        </is>
      </c>
      <c r="E72" t="inlineStr"/>
      <c r="F72" t="inlineStr"/>
      <c r="G72" t="inlineStr">
        <is>
          <t>Boston, MA, US</t>
        </is>
      </c>
      <c r="H72" s="1" t="n">
        <v>46029</v>
      </c>
      <c r="I72"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73">
      <c r="A73" t="inlineStr">
        <is>
          <t>in-3366442e5cc9df61</t>
        </is>
      </c>
      <c r="B73" t="inlineStr">
        <is>
          <t>Applied Scientist II, Prime Video Personalization and Discovery Science</t>
        </is>
      </c>
      <c r="C73" t="inlineStr">
        <is>
          <t>Amazon.com</t>
        </is>
      </c>
      <c r="D73" t="inlineStr">
        <is>
          <t>indeed</t>
        </is>
      </c>
      <c r="E73" t="inlineStr"/>
      <c r="F73" t="inlineStr"/>
      <c r="G73" t="inlineStr">
        <is>
          <t>Seattle, WA, US</t>
        </is>
      </c>
      <c r="H73" s="1" t="n">
        <v>46028</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4">
      <c r="A74" t="inlineStr">
        <is>
          <t>in-b7e493c5c32b0505</t>
        </is>
      </c>
      <c r="B74" t="inlineStr">
        <is>
          <t>Applied Scientist II, Prime Video Personalization and Discovery Science</t>
        </is>
      </c>
      <c r="C74" t="inlineStr">
        <is>
          <t>Amazon.com</t>
        </is>
      </c>
      <c r="D74" t="inlineStr">
        <is>
          <t>indeed</t>
        </is>
      </c>
      <c r="E74" t="inlineStr"/>
      <c r="F74" t="inlineStr"/>
      <c r="G74" t="inlineStr">
        <is>
          <t>Sunnyvale, CA, US</t>
        </is>
      </c>
      <c r="H74" s="1" t="n">
        <v>46028</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5">
      <c r="A75" t="inlineStr">
        <is>
          <t>in-aa7b5342d73957ee</t>
        </is>
      </c>
      <c r="B75" t="inlineStr">
        <is>
          <t>Applied Scientist II, Prime Video Personalization and Discovery Science</t>
        </is>
      </c>
      <c r="C75" t="inlineStr">
        <is>
          <t>Amazon.com</t>
        </is>
      </c>
      <c r="D75" t="inlineStr">
        <is>
          <t>indeed</t>
        </is>
      </c>
      <c r="E75" t="inlineStr"/>
      <c r="F75" t="inlineStr"/>
      <c r="G75" t="inlineStr">
        <is>
          <t>New York, NY, US</t>
        </is>
      </c>
      <c r="H75" s="1" t="n">
        <v>46028</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6">
      <c r="A76" t="inlineStr">
        <is>
          <t>in-602a3890cc115d56</t>
        </is>
      </c>
      <c r="B76" t="inlineStr">
        <is>
          <t>Applied Scientist II, Locomotion, Amazon Industrial Robotics</t>
        </is>
      </c>
      <c r="C76" t="inlineStr">
        <is>
          <t>Amazon.com</t>
        </is>
      </c>
      <c r="D76" t="inlineStr">
        <is>
          <t>indeed</t>
        </is>
      </c>
      <c r="E76" t="inlineStr"/>
      <c r="F76" t="inlineStr"/>
      <c r="G76" t="inlineStr">
        <is>
          <t>Reading, MA, US</t>
        </is>
      </c>
      <c r="H76" s="1" t="n">
        <v>46028</v>
      </c>
      <c r="I7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77">
      <c r="A77" t="inlineStr">
        <is>
          <t>in-15677f3d3d70263e</t>
        </is>
      </c>
      <c r="B77" t="inlineStr">
        <is>
          <t>Applied Scientist II, Locomotion, Amazon Industrial Robotics</t>
        </is>
      </c>
      <c r="C77" t="inlineStr">
        <is>
          <t>Amazon.com</t>
        </is>
      </c>
      <c r="D77" t="inlineStr">
        <is>
          <t>indeed</t>
        </is>
      </c>
      <c r="E77" t="inlineStr"/>
      <c r="F77" t="inlineStr"/>
      <c r="G77" t="inlineStr">
        <is>
          <t>Reading, MA, US</t>
        </is>
      </c>
      <c r="H77" s="1" t="n">
        <v>46028</v>
      </c>
      <c r="I7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78">
      <c r="A78" t="inlineStr">
        <is>
          <t>in-fd1d8c0275b2900f</t>
        </is>
      </c>
      <c r="B78" t="inlineStr">
        <is>
          <t>Senior Applied Scientist, Industrial Robotics Group</t>
        </is>
      </c>
      <c r="C78" t="inlineStr">
        <is>
          <t>Amazon.com</t>
        </is>
      </c>
      <c r="D78" t="inlineStr">
        <is>
          <t>indeed</t>
        </is>
      </c>
      <c r="E78" t="inlineStr"/>
      <c r="F78" t="inlineStr"/>
      <c r="G78" t="inlineStr">
        <is>
          <t>Reading, MA, US</t>
        </is>
      </c>
      <c r="H78" s="1" t="n">
        <v>46027</v>
      </c>
      <c r="I78"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9">
      <c r="A79" t="inlineStr">
        <is>
          <t>in-628f319cce195b52</t>
        </is>
      </c>
      <c r="B79" t="inlineStr">
        <is>
          <t>Senior Applied Scientist, Industrial Robotics Group</t>
        </is>
      </c>
      <c r="C79" t="inlineStr">
        <is>
          <t>Amazon.com</t>
        </is>
      </c>
      <c r="D79" t="inlineStr">
        <is>
          <t>indeed</t>
        </is>
      </c>
      <c r="E79" t="inlineStr"/>
      <c r="F79" t="inlineStr"/>
      <c r="G79" t="inlineStr">
        <is>
          <t>Reading, MA, US</t>
        </is>
      </c>
      <c r="H79" s="1" t="n">
        <v>46027</v>
      </c>
      <c r="I79"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80">
      <c r="A80" t="inlineStr">
        <is>
          <t>in-6648c61aaff3fbfa</t>
        </is>
      </c>
      <c r="B80" t="inlineStr">
        <is>
          <t>Senior Applied Scientist, Distributed SQL</t>
        </is>
      </c>
      <c r="C80" t="inlineStr">
        <is>
          <t>Amazon Web Services</t>
        </is>
      </c>
      <c r="D80" t="inlineStr">
        <is>
          <t>indeed</t>
        </is>
      </c>
      <c r="E80" t="inlineStr"/>
      <c r="F80" t="inlineStr"/>
      <c r="G80" t="inlineStr">
        <is>
          <t>East Palo Alto, CA, US</t>
        </is>
      </c>
      <c r="H80" s="1" t="n">
        <v>46012</v>
      </c>
      <c r="I8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81">
      <c r="A81" t="inlineStr">
        <is>
          <t>in-55cb526842fd3431</t>
        </is>
      </c>
      <c r="B81" t="inlineStr">
        <is>
          <t>Senior Applied Scientist, Distributed SQL</t>
        </is>
      </c>
      <c r="C81" t="inlineStr">
        <is>
          <t>Amazon Web Services</t>
        </is>
      </c>
      <c r="D81" t="inlineStr">
        <is>
          <t>indeed</t>
        </is>
      </c>
      <c r="E81" t="inlineStr"/>
      <c r="F81" t="inlineStr"/>
      <c r="G81" t="inlineStr">
        <is>
          <t>Seattle, WA, US</t>
        </is>
      </c>
      <c r="H81" s="1" t="n">
        <v>46012</v>
      </c>
      <c r="I8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82">
      <c r="A82" t="inlineStr">
        <is>
          <t>in-64db3562cf5deee2</t>
        </is>
      </c>
      <c r="B82" t="inlineStr">
        <is>
          <t>Principal Applied Scientist, Kiro Science</t>
        </is>
      </c>
      <c r="C82" t="inlineStr">
        <is>
          <t>Amazon Web Services</t>
        </is>
      </c>
      <c r="D82" t="inlineStr">
        <is>
          <t>indeed</t>
        </is>
      </c>
      <c r="E82" t="inlineStr"/>
      <c r="F82" t="inlineStr"/>
      <c r="G82" t="inlineStr">
        <is>
          <t>New York, NY, US</t>
        </is>
      </c>
      <c r="H82" s="1" t="n">
        <v>45999</v>
      </c>
      <c r="I8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3">
      <c r="A83" t="inlineStr">
        <is>
          <t>in-1399b7bbc6791a91</t>
        </is>
      </c>
      <c r="B83" t="inlineStr">
        <is>
          <t>Principal Applied Scientist, Kiro Science</t>
        </is>
      </c>
      <c r="C83" t="inlineStr">
        <is>
          <t>Amazon Web Services</t>
        </is>
      </c>
      <c r="D83" t="inlineStr">
        <is>
          <t>indeed</t>
        </is>
      </c>
      <c r="E83" t="inlineStr"/>
      <c r="F83" t="inlineStr"/>
      <c r="G83" t="inlineStr">
        <is>
          <t>Santa Clara, CA, US</t>
        </is>
      </c>
      <c r="H83" s="1" t="n">
        <v>45999</v>
      </c>
      <c r="I8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4">
      <c r="A84" t="inlineStr">
        <is>
          <t>in-ac101e9384975175</t>
        </is>
      </c>
      <c r="B84" t="inlineStr">
        <is>
          <t>Principal Applied Scientist, Sponsored Products and Brands</t>
        </is>
      </c>
      <c r="C84" t="inlineStr">
        <is>
          <t>Amazon.com</t>
        </is>
      </c>
      <c r="D84" t="inlineStr">
        <is>
          <t>indeed</t>
        </is>
      </c>
      <c r="E84" t="inlineStr"/>
      <c r="F84" t="inlineStr"/>
      <c r="G84" t="inlineStr">
        <is>
          <t>Seattle, WA, US</t>
        </is>
      </c>
      <c r="H84" s="1" t="n">
        <v>45979</v>
      </c>
      <c r="I8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in-4a11bec037f024fb</t>
        </is>
      </c>
      <c r="B85" t="inlineStr">
        <is>
          <t>Principal Applied Scientist, Sponsored Products and Brands</t>
        </is>
      </c>
      <c r="C85" t="inlineStr">
        <is>
          <t>Amazon.com</t>
        </is>
      </c>
      <c r="D85" t="inlineStr">
        <is>
          <t>indeed</t>
        </is>
      </c>
      <c r="E85" t="inlineStr"/>
      <c r="F85" t="inlineStr"/>
      <c r="G85" t="inlineStr">
        <is>
          <t>New York, NY, US</t>
        </is>
      </c>
      <c r="H85" s="1" t="n">
        <v>45979</v>
      </c>
      <c r="I8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in-67b7f82888727295</t>
        </is>
      </c>
      <c r="B86" t="inlineStr">
        <is>
          <t>Sr. Applied Scientist, Sponsored Products</t>
        </is>
      </c>
      <c r="C86" t="inlineStr">
        <is>
          <t>Amazon.com</t>
        </is>
      </c>
      <c r="D86" t="inlineStr">
        <is>
          <t>indeed</t>
        </is>
      </c>
      <c r="E86" t="inlineStr"/>
      <c r="F86" t="inlineStr"/>
      <c r="G86" t="inlineStr">
        <is>
          <t>Seattle, WA, US</t>
        </is>
      </c>
      <c r="H86" s="1" t="n">
        <v>45976</v>
      </c>
      <c r="I8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7">
      <c r="A87" t="inlineStr">
        <is>
          <t>in-b939eaa509bfff2b</t>
        </is>
      </c>
      <c r="B87" t="inlineStr">
        <is>
          <t>Sr. Applied Scientist, Sponsored Products</t>
        </is>
      </c>
      <c r="C87" t="inlineStr">
        <is>
          <t>Amazon.com</t>
        </is>
      </c>
      <c r="D87" t="inlineStr">
        <is>
          <t>indeed</t>
        </is>
      </c>
      <c r="E87" t="inlineStr"/>
      <c r="F87" t="inlineStr"/>
      <c r="G87" t="inlineStr">
        <is>
          <t>New York, NY, US</t>
        </is>
      </c>
      <c r="H87" s="1" t="n">
        <v>45976</v>
      </c>
      <c r="I8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8">
      <c r="A88" t="inlineStr">
        <is>
          <t>in-dbca0a156d208949</t>
        </is>
      </c>
      <c r="B88" t="inlineStr">
        <is>
          <t>Sr. Applied Scientist, Sponsored Products</t>
        </is>
      </c>
      <c r="C88" t="inlineStr">
        <is>
          <t>Amazon.com</t>
        </is>
      </c>
      <c r="D88" t="inlineStr">
        <is>
          <t>indeed</t>
        </is>
      </c>
      <c r="E88" t="inlineStr"/>
      <c r="F88" t="inlineStr"/>
      <c r="G88" t="inlineStr">
        <is>
          <t>Arlington, VA, US</t>
        </is>
      </c>
      <c r="H88" s="1" t="n">
        <v>45976</v>
      </c>
      <c r="I8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9">
      <c r="A89" t="inlineStr">
        <is>
          <t>in-ab9fba2b3447e984</t>
        </is>
      </c>
      <c r="B89" t="inlineStr">
        <is>
          <t>Principal Applied Scientist, AWS Agentic AI Science</t>
        </is>
      </c>
      <c r="C89" t="inlineStr">
        <is>
          <t>Amazon Web Services</t>
        </is>
      </c>
      <c r="D89" t="inlineStr">
        <is>
          <t>indeed</t>
        </is>
      </c>
      <c r="E89" t="inlineStr"/>
      <c r="F89" t="inlineStr"/>
      <c r="G89" t="inlineStr">
        <is>
          <t>New York, NY, US</t>
        </is>
      </c>
      <c r="H89" s="1" t="n">
        <v>45963</v>
      </c>
      <c r="I89"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90">
      <c r="A90" t="inlineStr">
        <is>
          <t>in-3c35b8c8157deebf</t>
        </is>
      </c>
      <c r="B90" t="inlineStr">
        <is>
          <t>Principal Applied Scientist, AWS Agentic AI Science</t>
        </is>
      </c>
      <c r="C90" t="inlineStr">
        <is>
          <t>Amazon Web Services</t>
        </is>
      </c>
      <c r="D90" t="inlineStr">
        <is>
          <t>indeed</t>
        </is>
      </c>
      <c r="E90" t="inlineStr"/>
      <c r="F90" t="inlineStr"/>
      <c r="G90" t="inlineStr">
        <is>
          <t>Santa Clara, CA, US</t>
        </is>
      </c>
      <c r="H90" s="1" t="n">
        <v>45963</v>
      </c>
      <c r="I90"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91">
      <c r="A91" t="inlineStr">
        <is>
          <t>in-bc1830e5b687d5ec</t>
        </is>
      </c>
      <c r="B91" t="inlineStr">
        <is>
          <t>Applied Scientist, AWS Agentic AI</t>
        </is>
      </c>
      <c r="C91" t="inlineStr">
        <is>
          <t>Amazon Web Services</t>
        </is>
      </c>
      <c r="D91" t="inlineStr">
        <is>
          <t>indeed</t>
        </is>
      </c>
      <c r="E91" t="inlineStr"/>
      <c r="F91" t="inlineStr"/>
      <c r="G91" t="inlineStr">
        <is>
          <t>Santa Clara, CA, US</t>
        </is>
      </c>
      <c r="H91" s="1" t="n">
        <v>45962</v>
      </c>
      <c r="I9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in-1cad994a142b2d7a</t>
        </is>
      </c>
      <c r="B92" t="inlineStr">
        <is>
          <t>Applied Scientist, AWS Agentic AI</t>
        </is>
      </c>
      <c r="C92" t="inlineStr">
        <is>
          <t>Amazon Web Services</t>
        </is>
      </c>
      <c r="D92" t="inlineStr">
        <is>
          <t>indeed</t>
        </is>
      </c>
      <c r="E92" t="inlineStr"/>
      <c r="F92" t="inlineStr"/>
      <c r="G92" t="inlineStr">
        <is>
          <t>Seattle, WA, US</t>
        </is>
      </c>
      <c r="H92" s="1" t="n">
        <v>45962</v>
      </c>
      <c r="I9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in-4f22893d1ff43535</t>
        </is>
      </c>
      <c r="B93" t="inlineStr">
        <is>
          <t>Applied Scientist, AWS Agentic AI</t>
        </is>
      </c>
      <c r="C93" t="inlineStr">
        <is>
          <t>Amazon Web Services</t>
        </is>
      </c>
      <c r="D93" t="inlineStr">
        <is>
          <t>indeed</t>
        </is>
      </c>
      <c r="E93" t="inlineStr"/>
      <c r="F93" t="inlineStr"/>
      <c r="G93" t="inlineStr">
        <is>
          <t>New York, NY, US</t>
        </is>
      </c>
      <c r="H93" s="1" t="n">
        <v>45962</v>
      </c>
      <c r="I9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in-24db83ad97e7a494</t>
        </is>
      </c>
      <c r="B94" t="inlineStr">
        <is>
          <t>Applied Scientist, Prime Video - Content Understanding, Localization &amp; Enrichment Team</t>
        </is>
      </c>
      <c r="C94" t="inlineStr">
        <is>
          <t>Amazon.com</t>
        </is>
      </c>
      <c r="D94" t="inlineStr">
        <is>
          <t>indeed</t>
        </is>
      </c>
      <c r="E94" t="inlineStr"/>
      <c r="F94" t="inlineStr"/>
      <c r="G94" t="inlineStr">
        <is>
          <t>San Francisco, CA, US</t>
        </is>
      </c>
      <c r="H94" s="1" t="n">
        <v>45943</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5">
      <c r="A95" t="inlineStr">
        <is>
          <t>in-b492520b9b88192d</t>
        </is>
      </c>
      <c r="B95" t="inlineStr">
        <is>
          <t>Applied Scientist, Prime Video - Content Understanding, Localization &amp; Enrichment Team</t>
        </is>
      </c>
      <c r="C95" t="inlineStr">
        <is>
          <t>Amazon.com</t>
        </is>
      </c>
      <c r="D95" t="inlineStr">
        <is>
          <t>indeed</t>
        </is>
      </c>
      <c r="E95" t="inlineStr"/>
      <c r="F95" t="inlineStr"/>
      <c r="G95" t="inlineStr">
        <is>
          <t>Seattle, WA, US</t>
        </is>
      </c>
      <c r="H95" s="1" t="n">
        <v>45943</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6">
      <c r="A96" t="inlineStr">
        <is>
          <t>in-e6998c9353f1675c</t>
        </is>
      </c>
      <c r="B96" t="inlineStr">
        <is>
          <t>Principal Applied Scientist, Advertiser Growth, Amazon Sponsored Products &amp; Brands</t>
        </is>
      </c>
      <c r="C96" t="inlineStr">
        <is>
          <t>Amazon.com</t>
        </is>
      </c>
      <c r="D96" t="inlineStr">
        <is>
          <t>indeed</t>
        </is>
      </c>
      <c r="E96" t="inlineStr"/>
      <c r="F96" t="inlineStr"/>
      <c r="G96" t="inlineStr">
        <is>
          <t>Seattle, WA, US</t>
        </is>
      </c>
      <c r="H96" s="1" t="n">
        <v>45942</v>
      </c>
      <c r="I9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in-9c4b631400f877d4</t>
        </is>
      </c>
      <c r="B97" t="inlineStr">
        <is>
          <t>Principal Applied Scientist, Advertiser Growth, Amazon Sponsored Products &amp; Brands</t>
        </is>
      </c>
      <c r="C97" t="inlineStr">
        <is>
          <t>Amazon.com</t>
        </is>
      </c>
      <c r="D97" t="inlineStr">
        <is>
          <t>indeed</t>
        </is>
      </c>
      <c r="E97" t="inlineStr"/>
      <c r="F97" t="inlineStr"/>
      <c r="G97" t="inlineStr">
        <is>
          <t>New York, NY, US</t>
        </is>
      </c>
      <c r="H97" s="1" t="n">
        <v>45942</v>
      </c>
      <c r="I9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in-a41206b97ea99470</t>
        </is>
      </c>
      <c r="B98" t="inlineStr">
        <is>
          <t>Principal Applied Scientist, Advertiser Growth, Amazon Sponsored Products &amp; Brands</t>
        </is>
      </c>
      <c r="C98" t="inlineStr">
        <is>
          <t>Amazon.com</t>
        </is>
      </c>
      <c r="D98" t="inlineStr">
        <is>
          <t>indeed</t>
        </is>
      </c>
      <c r="E98" t="inlineStr"/>
      <c r="F98" t="inlineStr"/>
      <c r="G98" t="inlineStr">
        <is>
          <t>Palo Alto, CA, US</t>
        </is>
      </c>
      <c r="H98" s="1" t="n">
        <v>45942</v>
      </c>
      <c r="I9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in-b79571060ef13c2d</t>
        </is>
      </c>
      <c r="B99" t="inlineStr">
        <is>
          <t>Sr. Applied Scientist, Prime Video - Personalization and Discovery Science</t>
        </is>
      </c>
      <c r="C99" t="inlineStr">
        <is>
          <t>Amazon.com</t>
        </is>
      </c>
      <c r="D99" t="inlineStr">
        <is>
          <t>indeed</t>
        </is>
      </c>
      <c r="E99" t="inlineStr"/>
      <c r="F99" t="inlineStr"/>
      <c r="G99" t="inlineStr">
        <is>
          <t>New York, NY, US</t>
        </is>
      </c>
      <c r="H99" s="1" t="n">
        <v>45896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0">
      <c r="A100" t="inlineStr">
        <is>
          <t>in-209465de9e50ba21</t>
        </is>
      </c>
      <c r="B100" t="inlineStr">
        <is>
          <t>Sr. Applied Scientist, Prime Video - Personalization and Discovery Science</t>
        </is>
      </c>
      <c r="C100" t="inlineStr">
        <is>
          <t>Amazon.com</t>
        </is>
      </c>
      <c r="D100" t="inlineStr">
        <is>
          <t>indeed</t>
        </is>
      </c>
      <c r="E100" t="inlineStr"/>
      <c r="F100" t="inlineStr"/>
      <c r="G100" t="inlineStr">
        <is>
          <t>Seattle, WA, US</t>
        </is>
      </c>
      <c r="H100" s="1" t="n">
        <v>45896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1">
      <c r="A101" t="inlineStr">
        <is>
          <t>in-5004b86d37ae17e7</t>
        </is>
      </c>
      <c r="B101" t="inlineStr">
        <is>
          <t>Sr. Applied Scientist, Amazon Advertising</t>
        </is>
      </c>
      <c r="C101" t="inlineStr">
        <is>
          <t>Amazon.com</t>
        </is>
      </c>
      <c r="D101" t="inlineStr">
        <is>
          <t>indeed</t>
        </is>
      </c>
      <c r="E101" t="inlineStr"/>
      <c r="F101" t="inlineStr"/>
      <c r="G101" t="inlineStr">
        <is>
          <t>Los Angeles, CA,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in-b09b95e68dcbabe4</t>
        </is>
      </c>
      <c r="B102" t="inlineStr">
        <is>
          <t>Sr. Applied Scientist, Amazon Advertising</t>
        </is>
      </c>
      <c r="C102" t="inlineStr">
        <is>
          <t>Amazon.com</t>
        </is>
      </c>
      <c r="D102" t="inlineStr">
        <is>
          <t>indeed</t>
        </is>
      </c>
      <c r="E102" t="inlineStr"/>
      <c r="F102" t="inlineStr"/>
      <c r="G102" t="inlineStr">
        <is>
          <t>Palo Alto, CA,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in-60ca35d3657a32a3</t>
        </is>
      </c>
      <c r="B103" t="inlineStr">
        <is>
          <t>Sr. Applied Scientist, Amazon Advertising</t>
        </is>
      </c>
      <c r="C103" t="inlineStr">
        <is>
          <t>Amazon.com</t>
        </is>
      </c>
      <c r="D103" t="inlineStr">
        <is>
          <t>indeed</t>
        </is>
      </c>
      <c r="E103" t="inlineStr"/>
      <c r="F103" t="inlineStr"/>
      <c r="G103" t="inlineStr">
        <is>
          <t>Arlington, VA,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in-e81fa3a21ab36859</t>
        </is>
      </c>
      <c r="B104" t="inlineStr">
        <is>
          <t>Sr. Applied Scientist, Amazon Advertising</t>
        </is>
      </c>
      <c r="C104" t="inlineStr">
        <is>
          <t>Amazon.com</t>
        </is>
      </c>
      <c r="D104" t="inlineStr">
        <is>
          <t>indeed</t>
        </is>
      </c>
      <c r="E104" t="inlineStr"/>
      <c r="F104" t="inlineStr"/>
      <c r="G104" t="inlineStr">
        <is>
          <t>New York, NY, US</t>
        </is>
      </c>
      <c r="H104" s="1"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in-2792630a6d506353</t>
        </is>
      </c>
      <c r="B105" t="inlineStr">
        <is>
          <t>Sr. Applied Scientist, Amazon Advertising</t>
        </is>
      </c>
      <c r="C105" t="inlineStr">
        <is>
          <t>Amazon.com</t>
        </is>
      </c>
      <c r="D105" t="inlineStr">
        <is>
          <t>indeed</t>
        </is>
      </c>
      <c r="E105" t="inlineStr"/>
      <c r="F105" t="inlineStr"/>
      <c r="G105" t="inlineStr">
        <is>
          <t>Austin, TX, US</t>
        </is>
      </c>
      <c r="H105" s="1"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in-0778a2249bc20df8</t>
        </is>
      </c>
      <c r="B106" t="inlineStr">
        <is>
          <t>Sr. Applied Scientist, Amazon Advertising</t>
        </is>
      </c>
      <c r="C106" t="inlineStr">
        <is>
          <t>Amazon.com</t>
        </is>
      </c>
      <c r="D106" t="inlineStr">
        <is>
          <t>indeed</t>
        </is>
      </c>
      <c r="E106" t="inlineStr"/>
      <c r="F106" t="inlineStr"/>
      <c r="G106" t="inlineStr">
        <is>
          <t>Simi Valley, CA, US</t>
        </is>
      </c>
      <c r="H106" s="1"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in-696a3c91a7288b7a</t>
        </is>
      </c>
      <c r="B107" t="inlineStr">
        <is>
          <t>Sr. Applied Scientist, Amazon Advertising</t>
        </is>
      </c>
      <c r="C107" t="inlineStr">
        <is>
          <t>Amazon.com</t>
        </is>
      </c>
      <c r="D107" t="inlineStr">
        <is>
          <t>indeed</t>
        </is>
      </c>
      <c r="E107" t="inlineStr"/>
      <c r="F107" t="inlineStr"/>
      <c r="G107" t="inlineStr">
        <is>
          <t>West Hollywood, CA, US</t>
        </is>
      </c>
      <c r="H107" s="1"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in-938403ba95f191a1</t>
        </is>
      </c>
      <c r="B108" t="inlineStr">
        <is>
          <t>Sr. Applied Scientist, Amazon Advertising</t>
        </is>
      </c>
      <c r="C108" t="inlineStr">
        <is>
          <t>Amazon.com</t>
        </is>
      </c>
      <c r="D108" t="inlineStr">
        <is>
          <t>indeed</t>
        </is>
      </c>
      <c r="E108" t="inlineStr"/>
      <c r="F108" t="inlineStr"/>
      <c r="G108" t="inlineStr">
        <is>
          <t>Seattle, WA, US</t>
        </is>
      </c>
      <c r="H108" s="1"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in-52f0fa76aa7a1943</t>
        </is>
      </c>
      <c r="B109" t="inlineStr">
        <is>
          <t>Applied Scientist, Prime Video - Personalization and Discovery Science</t>
        </is>
      </c>
      <c r="C109" t="inlineStr">
        <is>
          <t>Amazon.com</t>
        </is>
      </c>
      <c r="D109" t="inlineStr">
        <is>
          <t>indeed</t>
        </is>
      </c>
      <c r="E109" t="inlineStr"/>
      <c r="F109" t="inlineStr"/>
      <c r="G109" t="inlineStr">
        <is>
          <t>Sunnyvale, CA, US</t>
        </is>
      </c>
      <c r="H109" s="1" t="n">
        <v>45845</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0">
      <c r="A110" t="inlineStr">
        <is>
          <t>in-6b305f187c2053fa</t>
        </is>
      </c>
      <c r="B110" t="inlineStr">
        <is>
          <t>Applied Scientist, Prime Video - Personalization and Discovery Science</t>
        </is>
      </c>
      <c r="C110" t="inlineStr">
        <is>
          <t>Amazon.com</t>
        </is>
      </c>
      <c r="D110" t="inlineStr">
        <is>
          <t>indeed</t>
        </is>
      </c>
      <c r="E110" t="inlineStr"/>
      <c r="F110" t="inlineStr"/>
      <c r="G110" t="inlineStr">
        <is>
          <t>New York, NY, US</t>
        </is>
      </c>
      <c r="H110" s="1" t="n">
        <v>45845</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1">
      <c r="A111" t="inlineStr">
        <is>
          <t>in-9e1e02438f97ed7d</t>
        </is>
      </c>
      <c r="B111" t="inlineStr">
        <is>
          <t>Applied Scientist, Prime Video - Personalization and Discovery Science</t>
        </is>
      </c>
      <c r="C111" t="inlineStr">
        <is>
          <t>Amazon.com</t>
        </is>
      </c>
      <c r="D111" t="inlineStr">
        <is>
          <t>indeed</t>
        </is>
      </c>
      <c r="E111" t="inlineStr"/>
      <c r="F111" t="inlineStr"/>
      <c r="G111" t="inlineStr">
        <is>
          <t>Seattle, WA, US</t>
        </is>
      </c>
      <c r="H111" s="1" t="n">
        <v>45845</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2">
      <c r="A112" t="inlineStr">
        <is>
          <t>in-9fe455b59de13b8e</t>
        </is>
      </c>
      <c r="B112" t="inlineStr">
        <is>
          <t>Sr. Data Scientist, Amazon Leo Global Planning, Amazon Leo</t>
        </is>
      </c>
      <c r="C112" t="inlineStr">
        <is>
          <t>Amazon.com</t>
        </is>
      </c>
      <c r="D112" t="inlineStr">
        <is>
          <t>indeed</t>
        </is>
      </c>
      <c r="E112" t="inlineStr"/>
      <c r="F112" t="inlineStr"/>
      <c r="G112" t="inlineStr">
        <is>
          <t>Bellevue, WA, US</t>
        </is>
      </c>
      <c r="H112" s="1" t="n">
        <v>45830</v>
      </c>
      <c r="I11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13">
      <c r="A113" t="inlineStr">
        <is>
          <t>in-ff7cd0e92d54dc53</t>
        </is>
      </c>
      <c r="B113" t="inlineStr">
        <is>
          <t>Sr. Data Scientist, Amazon Leo Global Planning, Amazon Leo</t>
        </is>
      </c>
      <c r="C113" t="inlineStr">
        <is>
          <t>Amazon.com</t>
        </is>
      </c>
      <c r="D113" t="inlineStr">
        <is>
          <t>indeed</t>
        </is>
      </c>
      <c r="E113" t="inlineStr"/>
      <c r="F113" t="inlineStr"/>
      <c r="G113" t="inlineStr">
        <is>
          <t>Redmond, WA, US</t>
        </is>
      </c>
      <c r="H113" s="1" t="n">
        <v>45830</v>
      </c>
      <c r="I11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14">
      <c r="A114" t="inlineStr">
        <is>
          <t>in-131f3d55334da95c</t>
        </is>
      </c>
      <c r="B114" t="inlineStr">
        <is>
          <t>Principal Applied Scientist, Delivery Foundation Model</t>
        </is>
      </c>
      <c r="C114" t="inlineStr">
        <is>
          <t>Amazon.com</t>
        </is>
      </c>
      <c r="D114" t="inlineStr">
        <is>
          <t>indeed</t>
        </is>
      </c>
      <c r="E114" t="inlineStr"/>
      <c r="F114" t="inlineStr"/>
      <c r="G114" t="inlineStr">
        <is>
          <t>New York, NY, US</t>
        </is>
      </c>
      <c r="H114" s="1" t="n">
        <v>45810</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5">
      <c r="A115" t="inlineStr">
        <is>
          <t>in-86824e3507eb5553</t>
        </is>
      </c>
      <c r="B115" t="inlineStr">
        <is>
          <t>Principal Applied Scientist, Delivery Foundation Model</t>
        </is>
      </c>
      <c r="C115" t="inlineStr">
        <is>
          <t>Amazon.com</t>
        </is>
      </c>
      <c r="D115" t="inlineStr">
        <is>
          <t>indeed</t>
        </is>
      </c>
      <c r="E115" t="inlineStr"/>
      <c r="F115" t="inlineStr"/>
      <c r="G115" t="inlineStr">
        <is>
          <t>Austin, TX, US</t>
        </is>
      </c>
      <c r="H115" s="1" t="n">
        <v>45810</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6">
      <c r="A116" t="inlineStr">
        <is>
          <t>in-d07f8afe8afeb19f</t>
        </is>
      </c>
      <c r="B116" t="inlineStr">
        <is>
          <t>Principal Applied Scientist, Delivery Foundation Model</t>
        </is>
      </c>
      <c r="C116" t="inlineStr">
        <is>
          <t>Amazon.com</t>
        </is>
      </c>
      <c r="D116" t="inlineStr">
        <is>
          <t>indeed</t>
        </is>
      </c>
      <c r="E116" t="inlineStr"/>
      <c r="F116" t="inlineStr"/>
      <c r="G116" t="inlineStr">
        <is>
          <t>Bellevue, WA, US</t>
        </is>
      </c>
      <c r="H116" s="1" t="n">
        <v>45810</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7">
      <c r="A117" t="inlineStr">
        <is>
          <t>in-49584ae609748e7f</t>
        </is>
      </c>
      <c r="B117" t="inlineStr">
        <is>
          <t>Principal Applied Scientist, Delivery Foundation Model</t>
        </is>
      </c>
      <c r="C117" t="inlineStr">
        <is>
          <t>Amazon.com</t>
        </is>
      </c>
      <c r="D117" t="inlineStr">
        <is>
          <t>indeed</t>
        </is>
      </c>
      <c r="E117" t="inlineStr"/>
      <c r="F117" t="inlineStr"/>
      <c r="G117" t="inlineStr">
        <is>
          <t>Santa Clara, CA, US</t>
        </is>
      </c>
      <c r="H117" s="1" t="n">
        <v>45810</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8">
      <c r="A118" t="inlineStr">
        <is>
          <t>in-c4041dc7d4be1834</t>
        </is>
      </c>
      <c r="B118" t="inlineStr">
        <is>
          <t>Senior Applied Scientist, Delivery Foundation Model</t>
        </is>
      </c>
      <c r="C118" t="inlineStr">
        <is>
          <t>Amazon.com</t>
        </is>
      </c>
      <c r="D118" t="inlineStr">
        <is>
          <t>indeed</t>
        </is>
      </c>
      <c r="E118" t="inlineStr"/>
      <c r="F118" t="inlineStr"/>
      <c r="G118" t="inlineStr">
        <is>
          <t>Santa Clara, CA, US</t>
        </is>
      </c>
      <c r="H118" s="1" t="n">
        <v>45806</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in-05dfc94085c5b50f</t>
        </is>
      </c>
      <c r="B119" t="inlineStr">
        <is>
          <t>Senior Applied Scientist, Delivery Foundation Model</t>
        </is>
      </c>
      <c r="C119" t="inlineStr">
        <is>
          <t>Amazon.com</t>
        </is>
      </c>
      <c r="D119" t="inlineStr">
        <is>
          <t>indeed</t>
        </is>
      </c>
      <c r="E119" t="inlineStr"/>
      <c r="F119" t="inlineStr"/>
      <c r="G119" t="inlineStr">
        <is>
          <t>New York, NY, US</t>
        </is>
      </c>
      <c r="H119" s="1" t="n">
        <v>45806</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in-e0ff980af64fdd23</t>
        </is>
      </c>
      <c r="B120" t="inlineStr">
        <is>
          <t>Senior Applied Scientist, Delivery Foundation Model</t>
        </is>
      </c>
      <c r="C120" t="inlineStr">
        <is>
          <t>Amazon.com</t>
        </is>
      </c>
      <c r="D120" t="inlineStr">
        <is>
          <t>indeed</t>
        </is>
      </c>
      <c r="E120" t="inlineStr"/>
      <c r="F120" t="inlineStr"/>
      <c r="G120" t="inlineStr">
        <is>
          <t>Bellevue, WA, US</t>
        </is>
      </c>
      <c r="H120" s="1" t="n">
        <v>45806</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in-cb342b7153f635aa</t>
        </is>
      </c>
      <c r="B121" t="inlineStr">
        <is>
          <t>Sr. Applied Scientist - Privacy, Privacy Engineering</t>
        </is>
      </c>
      <c r="C121" t="inlineStr">
        <is>
          <t>Amazon.com</t>
        </is>
      </c>
      <c r="D121" t="inlineStr">
        <is>
          <t>indeed</t>
        </is>
      </c>
      <c r="E121" t="inlineStr"/>
      <c r="F121" t="inlineStr"/>
      <c r="G121" t="inlineStr">
        <is>
          <t>San Francisco, CA, US</t>
        </is>
      </c>
      <c r="H121" s="1" t="n">
        <v>45787</v>
      </c>
      <c r="I12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in-7312be42ec972f31</t>
        </is>
      </c>
      <c r="B122" t="inlineStr">
        <is>
          <t>Sr. Applied Scientist - Privacy, Privacy Engineering</t>
        </is>
      </c>
      <c r="C122" t="inlineStr">
        <is>
          <t>Amazon.com</t>
        </is>
      </c>
      <c r="D122" t="inlineStr">
        <is>
          <t>indeed</t>
        </is>
      </c>
      <c r="E122" t="inlineStr"/>
      <c r="F122" t="inlineStr"/>
      <c r="G122" t="inlineStr">
        <is>
          <t>Seattle, WA, US</t>
        </is>
      </c>
      <c r="H122" s="1" t="n">
        <v>45787</v>
      </c>
      <c r="I12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in-264c98c46f64882c</t>
        </is>
      </c>
      <c r="B123" t="inlineStr">
        <is>
          <t>Sr. Applied Scientist - Privacy, Privacy Engineering</t>
        </is>
      </c>
      <c r="C123" t="inlineStr">
        <is>
          <t>Amazon.com</t>
        </is>
      </c>
      <c r="D123" t="inlineStr">
        <is>
          <t>indeed</t>
        </is>
      </c>
      <c r="E123" t="inlineStr"/>
      <c r="F123" t="inlineStr"/>
      <c r="G123" t="inlineStr">
        <is>
          <t>Sunnyvale, CA, US</t>
        </is>
      </c>
      <c r="H123" s="1" t="n">
        <v>45787</v>
      </c>
      <c r="I12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in-ac595b6627c614ba</t>
        </is>
      </c>
      <c r="B124" t="inlineStr">
        <is>
          <t>Sr. Applied Scientist - Privacy, Privacy Engineering</t>
        </is>
      </c>
      <c r="C124" t="inlineStr">
        <is>
          <t>Amazon.com</t>
        </is>
      </c>
      <c r="D124" t="inlineStr">
        <is>
          <t>indeed</t>
        </is>
      </c>
      <c r="E124" t="inlineStr"/>
      <c r="F124" t="inlineStr"/>
      <c r="G124" t="inlineStr">
        <is>
          <t>Santa Clara, CA, US</t>
        </is>
      </c>
      <c r="H124" s="1" t="n">
        <v>45787</v>
      </c>
      <c r="I12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in-f81286234e298c76</t>
        </is>
      </c>
      <c r="B125" t="inlineStr">
        <is>
          <t>Principal Applied Scientist, Delivery Foundation Model</t>
        </is>
      </c>
      <c r="C125" t="inlineStr">
        <is>
          <t>Amazon.com</t>
        </is>
      </c>
      <c r="D125" t="inlineStr">
        <is>
          <t>indeed</t>
        </is>
      </c>
      <c r="E125" t="inlineStr"/>
      <c r="F125" t="inlineStr"/>
      <c r="G125" t="inlineStr">
        <is>
          <t>New York, NY, US</t>
        </is>
      </c>
      <c r="H125" s="1" t="n">
        <v>45757</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6">
      <c r="A126" t="inlineStr">
        <is>
          <t>in-19867e163a4f6697</t>
        </is>
      </c>
      <c r="B126" t="inlineStr">
        <is>
          <t>Principal Applied Scientist, Delivery Foundation Model</t>
        </is>
      </c>
      <c r="C126" t="inlineStr">
        <is>
          <t>Amazon.com</t>
        </is>
      </c>
      <c r="D126" t="inlineStr">
        <is>
          <t>indeed</t>
        </is>
      </c>
      <c r="E126" t="inlineStr"/>
      <c r="F126" t="inlineStr"/>
      <c r="G126" t="inlineStr">
        <is>
          <t>Bellevue, WA, US</t>
        </is>
      </c>
      <c r="H126" s="1" t="n">
        <v>45757</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7">
      <c r="A127" t="inlineStr">
        <is>
          <t>in-a62cb060bcd8c405</t>
        </is>
      </c>
      <c r="B127" t="inlineStr">
        <is>
          <t>Principal Applied Scientist, Delivery Foundation Model</t>
        </is>
      </c>
      <c r="C127" t="inlineStr">
        <is>
          <t>Amazon.com</t>
        </is>
      </c>
      <c r="D127" t="inlineStr">
        <is>
          <t>indeed</t>
        </is>
      </c>
      <c r="E127" t="inlineStr"/>
      <c r="F127" t="inlineStr"/>
      <c r="G127" t="inlineStr">
        <is>
          <t>Santa Clara, CA, US</t>
        </is>
      </c>
      <c r="H127" s="1" t="n">
        <v>45757</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8">
      <c r="A128" t="inlineStr">
        <is>
          <t>in-12a20329c1dabe3c</t>
        </is>
      </c>
      <c r="B128" t="inlineStr">
        <is>
          <t>Principal Applied Scientist, FAR (Frontier AI &amp; Robotics)</t>
        </is>
      </c>
      <c r="C128" t="inlineStr">
        <is>
          <t>Amazon.com</t>
        </is>
      </c>
      <c r="D128" t="inlineStr">
        <is>
          <t>indeed</t>
        </is>
      </c>
      <c r="E128" t="inlineStr"/>
      <c r="F128" t="inlineStr"/>
      <c r="G128" t="inlineStr">
        <is>
          <t>Seattle, WA, US</t>
        </is>
      </c>
      <c r="H128" s="1" t="n">
        <v>45740</v>
      </c>
      <c r="I12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row r="129">
      <c r="A129" t="inlineStr">
        <is>
          <t>in-23712d803d3f1672</t>
        </is>
      </c>
      <c r="B129" t="inlineStr">
        <is>
          <t>Principal Applied Scientist, FAR (Frontier AI &amp; Robotics)</t>
        </is>
      </c>
      <c r="C129" t="inlineStr">
        <is>
          <t>Amazon.com</t>
        </is>
      </c>
      <c r="D129" t="inlineStr">
        <is>
          <t>indeed</t>
        </is>
      </c>
      <c r="E129" t="inlineStr"/>
      <c r="F129" t="inlineStr"/>
      <c r="G129" t="inlineStr">
        <is>
          <t>San Francisco, CA, US</t>
        </is>
      </c>
      <c r="H129" s="1" t="n">
        <v>45740</v>
      </c>
      <c r="I12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row r="130">
      <c r="A130" t="inlineStr">
        <is>
          <t>in-46ee0264face8bb4</t>
        </is>
      </c>
      <c r="B130" t="inlineStr">
        <is>
          <t>Applied Scientist II, Prime Video Personalization and Discovery Science</t>
        </is>
      </c>
      <c r="C130" t="inlineStr">
        <is>
          <t>Amazon.com</t>
        </is>
      </c>
      <c r="D130" t="inlineStr">
        <is>
          <t>indeed</t>
        </is>
      </c>
      <c r="E130">
        <f>HYPERLINK("https://www.indeed.com/viewjob?jk=46ee0264face8bb4", "https://www.indeed.com/viewjob?jk=46ee0264face8bb4")</f>
        <v/>
      </c>
      <c r="F130">
        <f>HYPERLINK("https://www.amazon.jobs/jobs/3165157/applied-scientist-ii-prime-video-personalization-and-discovery-science?cmpid=DA_INAD200785B", "https://www.amazon.jobs/jobs/3165157/applied-scientist-ii-prime-video-personalization-and-discovery-science?cmpid=DA_INAD200785B")</f>
        <v/>
      </c>
      <c r="G130" t="inlineStr">
        <is>
          <t>Sunnyvale, CA, US</t>
        </is>
      </c>
      <c r="H130" s="2" t="n">
        <v>46034</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1">
      <c r="A131" t="inlineStr">
        <is>
          <t>in-fb1ed7dee60f7c40</t>
        </is>
      </c>
      <c r="B131" t="inlineStr">
        <is>
          <t>Sr. Applied Scientist, Amazon Ads</t>
        </is>
      </c>
      <c r="C131" t="inlineStr">
        <is>
          <t>Amazon.com</t>
        </is>
      </c>
      <c r="D131" t="inlineStr">
        <is>
          <t>indeed</t>
        </is>
      </c>
      <c r="E131">
        <f>HYPERLINK("https://www.indeed.com/viewjob?jk=fb1ed7dee60f7c40", "https://www.indeed.com/viewjob?jk=fb1ed7dee60f7c40")</f>
        <v/>
      </c>
      <c r="F131">
        <f>HYPERLINK("https://www.amazon.jobs/jobs/3139328/sr-applied-scientist-amazon-ads?cmpid=DA_INAD200785B", "https://www.amazon.jobs/jobs/3139328/sr-applied-scientist-amazon-ads?cmpid=DA_INAD200785B")</f>
        <v/>
      </c>
      <c r="G131" t="inlineStr">
        <is>
          <t>Sunnyvale, CA, US</t>
        </is>
      </c>
      <c r="H131" s="2" t="n">
        <v>45998</v>
      </c>
      <c r="I1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2">
      <c r="A132" t="inlineStr">
        <is>
          <t>in-ec961d1aad220856</t>
        </is>
      </c>
      <c r="B132" t="inlineStr">
        <is>
          <t>Sr. Applied Scientist, Amazon Ads</t>
        </is>
      </c>
      <c r="C132" t="inlineStr">
        <is>
          <t>Amazon.com</t>
        </is>
      </c>
      <c r="D132" t="inlineStr">
        <is>
          <t>indeed</t>
        </is>
      </c>
      <c r="E132">
        <f>HYPERLINK("https://www.indeed.com/viewjob?jk=ec961d1aad220856", "https://www.indeed.com/viewjob?jk=ec961d1aad220856")</f>
        <v/>
      </c>
      <c r="F132">
        <f>HYPERLINK("https://www.amazon.jobs/jobs/3139328/sr-applied-scientist-amazon-ads?cmpid=DA_INAD200785B", "https://www.amazon.jobs/jobs/3139328/sr-applied-scientist-amazon-ads?cmpid=DA_INAD200785B")</f>
        <v/>
      </c>
      <c r="G132" t="inlineStr">
        <is>
          <t>Palo Alto, CA, US</t>
        </is>
      </c>
      <c r="H132" s="2" t="n">
        <v>45998</v>
      </c>
      <c r="I1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3">
      <c r="A133" t="inlineStr">
        <is>
          <t>in-b4a63e4702bc9c03</t>
        </is>
      </c>
      <c r="B133" t="inlineStr">
        <is>
          <t>Sr. Applied Scientist, Amazon Ads</t>
        </is>
      </c>
      <c r="C133" t="inlineStr">
        <is>
          <t>Amazon.com</t>
        </is>
      </c>
      <c r="D133" t="inlineStr">
        <is>
          <t>indeed</t>
        </is>
      </c>
      <c r="E133">
        <f>HYPERLINK("https://www.indeed.com/viewjob?jk=b4a63e4702bc9c03", "https://www.indeed.com/viewjob?jk=b4a63e4702bc9c03")</f>
        <v/>
      </c>
      <c r="F133">
        <f>HYPERLINK("https://www.amazon.jobs/jobs/3139328/sr-applied-scientist-amazon-ads?cmpid=DA_INAD200785B", "https://www.amazon.jobs/jobs/3139328/sr-applied-scientist-amazon-ads?cmpid=DA_INAD200785B")</f>
        <v/>
      </c>
      <c r="G133" t="inlineStr">
        <is>
          <t>Boston, MA, US</t>
        </is>
      </c>
      <c r="H133" s="2" t="n">
        <v>45998</v>
      </c>
      <c r="I1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4">
      <c r="A134" t="inlineStr">
        <is>
          <t>in-793f7c9c0f535d1e</t>
        </is>
      </c>
      <c r="B134" t="inlineStr">
        <is>
          <t>Sr. Applied Scientist, Amazon Ads</t>
        </is>
      </c>
      <c r="C134" t="inlineStr">
        <is>
          <t>Amazon.com</t>
        </is>
      </c>
      <c r="D134" t="inlineStr">
        <is>
          <t>indeed</t>
        </is>
      </c>
      <c r="E134">
        <f>HYPERLINK("https://www.indeed.com/viewjob?jk=793f7c9c0f535d1e", "https://www.indeed.com/viewjob?jk=793f7c9c0f535d1e")</f>
        <v/>
      </c>
      <c r="F134">
        <f>HYPERLINK("https://www.amazon.jobs/jobs/3139328/sr-applied-scientist-amazon-ads?cmpid=DA_INAD200785B", "https://www.amazon.jobs/jobs/3139328/sr-applied-scientist-amazon-ads?cmpid=DA_INAD200785B")</f>
        <v/>
      </c>
      <c r="G134" t="inlineStr">
        <is>
          <t>Boulder, CO, US</t>
        </is>
      </c>
      <c r="H134" s="2" t="n">
        <v>45998</v>
      </c>
      <c r="I1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5">
      <c r="A135" t="inlineStr">
        <is>
          <t>in-4754cda29305bf58</t>
        </is>
      </c>
      <c r="B135" t="inlineStr">
        <is>
          <t>Sr. Applied Scientist, Amazon Ads</t>
        </is>
      </c>
      <c r="C135" t="inlineStr">
        <is>
          <t>Amazon.com</t>
        </is>
      </c>
      <c r="D135" t="inlineStr">
        <is>
          <t>indeed</t>
        </is>
      </c>
      <c r="E135">
        <f>HYPERLINK("https://www.indeed.com/viewjob?jk=4754cda29305bf58", "https://www.indeed.com/viewjob?jk=4754cda29305bf58")</f>
        <v/>
      </c>
      <c r="F135">
        <f>HYPERLINK("https://www.amazon.jobs/jobs/3139328/sr-applied-scientist-amazon-ads?cmpid=DA_INAD200785B", "https://www.amazon.jobs/jobs/3139328/sr-applied-scientist-amazon-ads?cmpid=DA_INAD200785B")</f>
        <v/>
      </c>
      <c r="G135" t="inlineStr">
        <is>
          <t>Brooklyn, NY, US</t>
        </is>
      </c>
      <c r="H135" s="2" t="n">
        <v>45998</v>
      </c>
      <c r="I1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6">
      <c r="A136" t="inlineStr">
        <is>
          <t>in-6a211c09f03d6b71</t>
        </is>
      </c>
      <c r="B136" t="inlineStr">
        <is>
          <t>Sr. Applied Scientist, Amazon Ads</t>
        </is>
      </c>
      <c r="C136" t="inlineStr">
        <is>
          <t>Amazon.com</t>
        </is>
      </c>
      <c r="D136" t="inlineStr">
        <is>
          <t>indeed</t>
        </is>
      </c>
      <c r="E136">
        <f>HYPERLINK("https://www.indeed.com/viewjob?jk=6a211c09f03d6b71", "https://www.indeed.com/viewjob?jk=6a211c09f03d6b71")</f>
        <v/>
      </c>
      <c r="F136">
        <f>HYPERLINK("https://www.amazon.jobs/jobs/3139328/sr-applied-scientist-amazon-ads?cmpid=DA_INAD200785B", "https://www.amazon.jobs/jobs/3139328/sr-applied-scientist-amazon-ads?cmpid=DA_INAD200785B")</f>
        <v/>
      </c>
      <c r="G136" t="inlineStr">
        <is>
          <t>New York, NY, US</t>
        </is>
      </c>
      <c r="H136" s="2" t="n">
        <v>45998</v>
      </c>
      <c r="I1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7">
      <c r="A137" t="inlineStr">
        <is>
          <t>in-eb25a62925bf76af</t>
        </is>
      </c>
      <c r="B137" t="inlineStr">
        <is>
          <t>Sr. Applied Scientist, Amazon Ads</t>
        </is>
      </c>
      <c r="C137" t="inlineStr">
        <is>
          <t>Amazon.com</t>
        </is>
      </c>
      <c r="D137" t="inlineStr">
        <is>
          <t>indeed</t>
        </is>
      </c>
      <c r="E137">
        <f>HYPERLINK("https://www.indeed.com/viewjob?jk=eb25a62925bf76af", "https://www.indeed.com/viewjob?jk=eb25a62925bf76af")</f>
        <v/>
      </c>
      <c r="F137">
        <f>HYPERLINK("https://www.amazon.jobs/jobs/3139328/sr-applied-scientist-amazon-ads?cmpid=DA_INAD200785B", "https://www.amazon.jobs/jobs/3139328/sr-applied-scientist-amazon-ads?cmpid=DA_INAD200785B")</f>
        <v/>
      </c>
      <c r="G137" t="inlineStr">
        <is>
          <t>Corvallis, OR, US</t>
        </is>
      </c>
      <c r="H137" s="2" t="n">
        <v>45998</v>
      </c>
      <c r="I1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8">
      <c r="A138" t="inlineStr">
        <is>
          <t>in-c2090b0a0a3a64c2</t>
        </is>
      </c>
      <c r="B138" t="inlineStr">
        <is>
          <t>Sr. Applied Scientist, Amazon Ads</t>
        </is>
      </c>
      <c r="C138" t="inlineStr">
        <is>
          <t>Amazon.com</t>
        </is>
      </c>
      <c r="D138" t="inlineStr">
        <is>
          <t>indeed</t>
        </is>
      </c>
      <c r="E138">
        <f>HYPERLINK("https://www.indeed.com/viewjob?jk=c2090b0a0a3a64c2", "https://www.indeed.com/viewjob?jk=c2090b0a0a3a64c2")</f>
        <v/>
      </c>
      <c r="F138">
        <f>HYPERLINK("https://www.amazon.jobs/jobs/3139328/sr-applied-scientist-amazon-ads?cmpid=DA_INAD200785B", "https://www.amazon.jobs/jobs/3139328/sr-applied-scientist-amazon-ads?cmpid=DA_INAD200785B")</f>
        <v/>
      </c>
      <c r="G138" t="inlineStr">
        <is>
          <t>Santa Monica, CA, US</t>
        </is>
      </c>
      <c r="H138" s="2" t="n">
        <v>45998</v>
      </c>
      <c r="I1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9">
      <c r="A139" t="inlineStr">
        <is>
          <t>in-00f1fb6c4e8baf57</t>
        </is>
      </c>
      <c r="B139" t="inlineStr">
        <is>
          <t>Sr. Applied Scientist, Amazon Ads</t>
        </is>
      </c>
      <c r="C139" t="inlineStr">
        <is>
          <t>Amazon.com</t>
        </is>
      </c>
      <c r="D139" t="inlineStr">
        <is>
          <t>indeed</t>
        </is>
      </c>
      <c r="E139">
        <f>HYPERLINK("https://www.indeed.com/viewjob?jk=00f1fb6c4e8baf57", "https://www.indeed.com/viewjob?jk=00f1fb6c4e8baf57")</f>
        <v/>
      </c>
      <c r="F139">
        <f>HYPERLINK("https://www.amazon.jobs/jobs/3139328/sr-applied-scientist-amazon-ads?cmpid=DA_INAD200785B", "https://www.amazon.jobs/jobs/3139328/sr-applied-scientist-amazon-ads?cmpid=DA_INAD200785B")</f>
        <v/>
      </c>
      <c r="G139" t="inlineStr">
        <is>
          <t>Seattle, WA, US</t>
        </is>
      </c>
      <c r="H139" s="2" t="n">
        <v>45998</v>
      </c>
      <c r="I1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0">
      <c r="A140" t="inlineStr">
        <is>
          <t>in-2a0f227b07cf9187</t>
        </is>
      </c>
      <c r="B140" t="inlineStr">
        <is>
          <t>Sr. Applied Scientist, Amazon Ads</t>
        </is>
      </c>
      <c r="C140" t="inlineStr">
        <is>
          <t>Amazon.com</t>
        </is>
      </c>
      <c r="D140" t="inlineStr">
        <is>
          <t>indeed</t>
        </is>
      </c>
      <c r="E140">
        <f>HYPERLINK("https://www.indeed.com/viewjob?jk=2a0f227b07cf9187", "https://www.indeed.com/viewjob?jk=2a0f227b07cf9187")</f>
        <v/>
      </c>
      <c r="F140">
        <f>HYPERLINK("https://www.amazon.jobs/jobs/3139328/sr-applied-scientist-amazon-ads?cmpid=DA_INAD200785B", "https://www.amazon.jobs/jobs/3139328/sr-applied-scientist-amazon-ads?cmpid=DA_INAD200785B")</f>
        <v/>
      </c>
      <c r="G140" t="inlineStr">
        <is>
          <t>Tukwila, WA, US</t>
        </is>
      </c>
      <c r="H140" s="2" t="n">
        <v>45998</v>
      </c>
      <c r="I1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1">
      <c r="A141" t="inlineStr">
        <is>
          <t>in-a02f11f30aa71bea</t>
        </is>
      </c>
      <c r="B141" t="inlineStr">
        <is>
          <t>Senior Applied Scientist, Sponsored Products and Brands</t>
        </is>
      </c>
      <c r="C141" t="inlineStr">
        <is>
          <t>Amazon.com</t>
        </is>
      </c>
      <c r="D141" t="inlineStr">
        <is>
          <t>indeed</t>
        </is>
      </c>
      <c r="E141">
        <f>HYPERLINK("https://www.indeed.com/viewjob?jk=a02f11f30aa71bea", "https://www.indeed.com/viewjob?jk=a02f11f30aa71bea")</f>
        <v/>
      </c>
      <c r="F141">
        <f>HYPERLINK("https://www.amazon.jobs/jobs/3130062/senior-applied-scientist-sponsored-products-and-brands?cmpid=DA_INAD200785B", "https://www.amazon.jobs/jobs/3130062/senior-applied-scientist-sponsored-products-and-brands?cmpid=DA_INAD200785B")</f>
        <v/>
      </c>
      <c r="G141" t="inlineStr">
        <is>
          <t>New York, NY, US</t>
        </is>
      </c>
      <c r="H141" s="2" t="n">
        <v>45979</v>
      </c>
      <c r="I14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2">
      <c r="A142" t="inlineStr">
        <is>
          <t>in-58ad19d4c4623517</t>
        </is>
      </c>
      <c r="B142" t="inlineStr">
        <is>
          <t>Senior Applied Scientist, Sponsored Products and Brands</t>
        </is>
      </c>
      <c r="C142" t="inlineStr">
        <is>
          <t>Amazon.com</t>
        </is>
      </c>
      <c r="D142" t="inlineStr">
        <is>
          <t>indeed</t>
        </is>
      </c>
      <c r="E142">
        <f>HYPERLINK("https://www.indeed.com/viewjob?jk=58ad19d4c4623517", "https://www.indeed.com/viewjob?jk=58ad19d4c4623517")</f>
        <v/>
      </c>
      <c r="F142">
        <f>HYPERLINK("https://www.amazon.jobs/jobs/3130062/senior-applied-scientist-sponsored-products-and-brands?cmpid=DA_INAD200785B", "https://www.amazon.jobs/jobs/3130062/senior-applied-scientist-sponsored-products-and-brands?cmpid=DA_INAD200785B")</f>
        <v/>
      </c>
      <c r="G142" t="inlineStr">
        <is>
          <t>Seattle, WA, US</t>
        </is>
      </c>
      <c r="H142" s="2" t="n">
        <v>45979</v>
      </c>
      <c r="I14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3">
      <c r="A143" t="inlineStr">
        <is>
          <t>in-6c3179941412de8b</t>
        </is>
      </c>
      <c r="B143" t="inlineStr">
        <is>
          <t>Applied Scientist II, Prime Video - Personalization and Discovery Science, Personalization and Discovery Science</t>
        </is>
      </c>
      <c r="C143" t="inlineStr">
        <is>
          <t>Amazon.com</t>
        </is>
      </c>
      <c r="D143" t="inlineStr">
        <is>
          <t>indeed</t>
        </is>
      </c>
      <c r="E143">
        <f>HYPERLINK("https://www.indeed.com/viewjob?jk=6c3179941412de8b", "https://www.indeed.com/viewjob?jk=6c3179941412de8b")</f>
        <v/>
      </c>
      <c r="F14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3" t="inlineStr">
        <is>
          <t>Sunnyvale, CA, US</t>
        </is>
      </c>
      <c r="H143" s="2" t="n">
        <v>45930</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in-16daa72a1a717b6d</t>
        </is>
      </c>
      <c r="B144" t="inlineStr">
        <is>
          <t>Applied Scientist II, Prime Video - Personalization and Discovery Science, Personalization and Discovery Science</t>
        </is>
      </c>
      <c r="C144" t="inlineStr">
        <is>
          <t>Amazon.com</t>
        </is>
      </c>
      <c r="D144" t="inlineStr">
        <is>
          <t>indeed</t>
        </is>
      </c>
      <c r="E144">
        <f>HYPERLINK("https://www.indeed.com/viewjob?jk=16daa72a1a717b6d", "https://www.indeed.com/viewjob?jk=16daa72a1a717b6d")</f>
        <v/>
      </c>
      <c r="F14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4" t="inlineStr">
        <is>
          <t>New York, NY, US</t>
        </is>
      </c>
      <c r="H144" s="2" t="n">
        <v>45930</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in-a4cea7d866bbce93</t>
        </is>
      </c>
      <c r="B145" t="inlineStr">
        <is>
          <t>Applied Scientist II, Prime Video - Personalization and Discovery Science, Personalization and Discovery Science</t>
        </is>
      </c>
      <c r="C145" t="inlineStr">
        <is>
          <t>Amazon.com</t>
        </is>
      </c>
      <c r="D145" t="inlineStr">
        <is>
          <t>indeed</t>
        </is>
      </c>
      <c r="E145">
        <f>HYPERLINK("https://www.indeed.com/viewjob?jk=a4cea7d866bbce93", "https://www.indeed.com/viewjob?jk=a4cea7d866bbce93")</f>
        <v/>
      </c>
      <c r="F14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5" t="inlineStr">
        <is>
          <t>Seattle, WA, US</t>
        </is>
      </c>
      <c r="H145" s="2" t="n">
        <v>45930</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in-0d3ffcedae3b93be</t>
        </is>
      </c>
      <c r="B146" t="inlineStr">
        <is>
          <t>Sr. Applied Scientist, Prime Video - Personalization and Discovery Science</t>
        </is>
      </c>
      <c r="C146" t="inlineStr">
        <is>
          <t>Amazon.com</t>
        </is>
      </c>
      <c r="D146" t="inlineStr">
        <is>
          <t>indeed</t>
        </is>
      </c>
      <c r="E146">
        <f>HYPERLINK("https://www.indeed.com/viewjob?jk=0d3ffcedae3b93be", "https://www.indeed.com/viewjob?jk=0d3ffcedae3b93be")</f>
        <v/>
      </c>
      <c r="F146">
        <f>HYPERLINK("https://www.amazon.jobs/jobs/3084479/sr-applied-scientist-prime-video--personalization-and-discovery-science?cmpid=DA_INAD200785B", "https://www.amazon.jobs/jobs/3084479/sr-applied-scientist-prime-video--personalization-and-discovery-science?cmpid=DA_INAD200785B")</f>
        <v/>
      </c>
      <c r="G146" t="inlineStr">
        <is>
          <t>Sunnyvale, CA, US</t>
        </is>
      </c>
      <c r="H146" s="2" t="n">
        <v>45896</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47">
      <c r="A147" t="inlineStr">
        <is>
          <t>in-fc2ba9c6efc0287d</t>
        </is>
      </c>
      <c r="B147" t="inlineStr">
        <is>
          <t>Sr. Applied Scientist, Prime Video - Personalization and Discovery Science</t>
        </is>
      </c>
      <c r="C147" t="inlineStr">
        <is>
          <t>Amazon.com</t>
        </is>
      </c>
      <c r="D147" t="inlineStr">
        <is>
          <t>indeed</t>
        </is>
      </c>
      <c r="E147">
        <f>HYPERLINK("https://www.indeed.com/viewjob?jk=fc2ba9c6efc0287d", "https://www.indeed.com/viewjob?jk=fc2ba9c6efc0287d")</f>
        <v/>
      </c>
      <c r="F147">
        <f>HYPERLINK("https://www.amazon.jobs/jobs/3059256/sr-applied-scientist-prime-video--personalization-and-discovery-science?cmpid=DA_INAD200785B", "https://www.amazon.jobs/jobs/3059256/sr-applied-scientist-prime-video--personalization-and-discovery-science?cmpid=DA_INAD200785B")</f>
        <v/>
      </c>
      <c r="G147" t="inlineStr">
        <is>
          <t>New York, NY, US</t>
        </is>
      </c>
      <c r="H147" s="2" t="n">
        <v>45881</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in-04368b179e19495c</t>
        </is>
      </c>
      <c r="B148" t="inlineStr">
        <is>
          <t>Sr. Applied Scientist, Prime Video - Personalization and Discovery Science</t>
        </is>
      </c>
      <c r="C148" t="inlineStr">
        <is>
          <t>Amazon.com</t>
        </is>
      </c>
      <c r="D148" t="inlineStr">
        <is>
          <t>indeed</t>
        </is>
      </c>
      <c r="E148">
        <f>HYPERLINK("https://www.indeed.com/viewjob?jk=04368b179e19495c", "https://www.indeed.com/viewjob?jk=04368b179e19495c")</f>
        <v/>
      </c>
      <c r="F148">
        <f>HYPERLINK("https://www.amazon.jobs/jobs/3059256/sr-applied-scientist-prime-video--personalization-and-discovery-science?cmpid=DA_INAD200785B", "https://www.amazon.jobs/jobs/3059256/sr-applied-scientist-prime-video--personalization-and-discovery-science?cmpid=DA_INAD200785B")</f>
        <v/>
      </c>
      <c r="G148" t="inlineStr">
        <is>
          <t>Sunnyvale, CA, US</t>
        </is>
      </c>
      <c r="H148" s="2" t="n">
        <v>45881</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in-a883bf0adec41700</t>
        </is>
      </c>
      <c r="B149" t="inlineStr">
        <is>
          <t>Applied Scientist II, Prime Video - Personalization and Discovery Science</t>
        </is>
      </c>
      <c r="C149" t="inlineStr">
        <is>
          <t>Amazon.com</t>
        </is>
      </c>
      <c r="D149" t="inlineStr">
        <is>
          <t>indeed</t>
        </is>
      </c>
      <c r="E149">
        <f>HYPERLINK("https://www.indeed.com/viewjob?jk=a883bf0adec41700", "https://www.indeed.com/viewjob?jk=a883bf0adec41700")</f>
        <v/>
      </c>
      <c r="F149">
        <f>HYPERLINK("https://www.amazon.jobs/jobs/3059253/applied-scientist-ii-prime-video--personalization-and-discovery-science?cmpid=DA_INAD200785B", "https://www.amazon.jobs/jobs/3059253/applied-scientist-ii-prime-video--personalization-and-discovery-science?cmpid=DA_INAD200785B")</f>
        <v/>
      </c>
      <c r="G149" t="inlineStr">
        <is>
          <t>Seattle, WA, US</t>
        </is>
      </c>
      <c r="H149" s="2" t="n">
        <v>45881</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in-99c663617e29cae9</t>
        </is>
      </c>
      <c r="B150" t="inlineStr">
        <is>
          <t>Applied Scientist II, Prime Video - Personalization and Discovery Science</t>
        </is>
      </c>
      <c r="C150" t="inlineStr">
        <is>
          <t>Amazon.com</t>
        </is>
      </c>
      <c r="D150" t="inlineStr">
        <is>
          <t>indeed</t>
        </is>
      </c>
      <c r="E150">
        <f>HYPERLINK("https://www.indeed.com/viewjob?jk=99c663617e29cae9", "https://www.indeed.com/viewjob?jk=99c663617e29cae9")</f>
        <v/>
      </c>
      <c r="F150">
        <f>HYPERLINK("https://www.amazon.jobs/jobs/3059253/applied-scientist-ii-prime-video--personalization-and-discovery-science?cmpid=DA_INAD200785B", "https://www.amazon.jobs/jobs/3059253/applied-scientist-ii-prime-video--personalization-and-discovery-science?cmpid=DA_INAD200785B")</f>
        <v/>
      </c>
      <c r="G150" t="inlineStr">
        <is>
          <t>New York, NY, US</t>
        </is>
      </c>
      <c r="H150" s="2" t="n">
        <v>45881</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in-5c4074877dbb42e0</t>
        </is>
      </c>
      <c r="B151" t="inlineStr">
        <is>
          <t>Applied Scientist II, Prime Video - Personalization and Discovery Science</t>
        </is>
      </c>
      <c r="C151" t="inlineStr">
        <is>
          <t>Amazon.com</t>
        </is>
      </c>
      <c r="D151" t="inlineStr">
        <is>
          <t>indeed</t>
        </is>
      </c>
      <c r="E151">
        <f>HYPERLINK("https://www.indeed.com/viewjob?jk=5c4074877dbb42e0", "https://www.indeed.com/viewjob?jk=5c4074877dbb42e0")</f>
        <v/>
      </c>
      <c r="F151">
        <f>HYPERLINK("https://www.amazon.jobs/jobs/3059253/applied-scientist-ii-prime-video--personalization-and-discovery-science?cmpid=DA_INAD200785B", "https://www.amazon.jobs/jobs/3059253/applied-scientist-ii-prime-video--personalization-and-discovery-science?cmpid=DA_INAD200785B")</f>
        <v/>
      </c>
      <c r="G151" t="inlineStr">
        <is>
          <t>Sunnyvale, CA, US</t>
        </is>
      </c>
      <c r="H151" s="2" t="n">
        <v>45881</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in-126d6f8d02d5cfc7</t>
        </is>
      </c>
      <c r="B152" t="inlineStr">
        <is>
          <t>Sr. Applied Scientist, Prime Video - Personalization and Discovery Science</t>
        </is>
      </c>
      <c r="C152" t="inlineStr">
        <is>
          <t>Amazon.com</t>
        </is>
      </c>
      <c r="D152" t="inlineStr">
        <is>
          <t>indeed</t>
        </is>
      </c>
      <c r="E152">
        <f>HYPERLINK("https://www.indeed.com/viewjob?jk=126d6f8d02d5cfc7", "https://www.indeed.com/viewjob?jk=126d6f8d02d5cfc7")</f>
        <v/>
      </c>
      <c r="F152">
        <f>HYPERLINK("https://www.amazon.jobs/jobs/3059256/sr-applied-scientist-prime-video--personalization-and-discovery-science?cmpid=DA_INAD200785B", "https://www.amazon.jobs/jobs/3059256/sr-applied-scientist-prime-video--personalization-and-discovery-science?cmpid=DA_INAD200785B")</f>
        <v/>
      </c>
      <c r="G152" t="inlineStr">
        <is>
          <t>Seattle, WA, US</t>
        </is>
      </c>
      <c r="H152" s="2" t="n">
        <v>45881</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in-fe5f1d02ea68b039</t>
        </is>
      </c>
      <c r="B153" t="inlineStr">
        <is>
          <t>Data Scientist, Rapid &amp; Rural Logistics (R2L)</t>
        </is>
      </c>
      <c r="C153" t="inlineStr">
        <is>
          <t>Amazon.com</t>
        </is>
      </c>
      <c r="D153" t="inlineStr">
        <is>
          <t>indeed</t>
        </is>
      </c>
      <c r="E153">
        <f>HYPERLINK("https://www.indeed.com/viewjob?jk=fe5f1d02ea68b039", "https://www.indeed.com/viewjob?jk=fe5f1d02ea68b039")</f>
        <v/>
      </c>
      <c r="F153">
        <f>HYPERLINK("https://www.amazon.jobs/jobs/3187361/data-scientist-rapid--rural-logistics-rl?cmpid=DA_INAD200785B", "https://www.amazon.jobs/jobs/3187361/data-scientist-rapid--rural-logistics-rl?cmpid=DA_INAD200785B")</f>
        <v/>
      </c>
      <c r="G153" t="inlineStr">
        <is>
          <t>New York, NY, US</t>
        </is>
      </c>
      <c r="H153" s="2" t="n">
        <v>46056</v>
      </c>
      <c r="I153"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54">
      <c r="A154" t="inlineStr">
        <is>
          <t>in-4e5fb91fa408f2d5</t>
        </is>
      </c>
      <c r="B154" t="inlineStr">
        <is>
          <t>Data Scientist, Rapid &amp; Rural Logistics (R2L)</t>
        </is>
      </c>
      <c r="C154" t="inlineStr">
        <is>
          <t>Amazon.com</t>
        </is>
      </c>
      <c r="D154" t="inlineStr">
        <is>
          <t>indeed</t>
        </is>
      </c>
      <c r="E154">
        <f>HYPERLINK("https://www.indeed.com/viewjob?jk=4e5fb91fa408f2d5", "https://www.indeed.com/viewjob?jk=4e5fb91fa408f2d5")</f>
        <v/>
      </c>
      <c r="F154">
        <f>HYPERLINK("https://www.amazon.jobs/jobs/3187361/data-scientist-rapid--rural-logistics-rl?cmpid=DA_INAD200785B", "https://www.amazon.jobs/jobs/3187361/data-scientist-rapid--rural-logistics-rl?cmpid=DA_INAD200785B")</f>
        <v/>
      </c>
      <c r="G154" t="inlineStr">
        <is>
          <t>Bellevue, WA, US</t>
        </is>
      </c>
      <c r="H154" s="2" t="n">
        <v>46056</v>
      </c>
      <c r="I154"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55">
      <c r="A155" t="inlineStr">
        <is>
          <t>in-e63d7815929b3494</t>
        </is>
      </c>
      <c r="B155" t="inlineStr">
        <is>
          <t>Director, Data Scientist</t>
        </is>
      </c>
      <c r="C155" t="inlineStr">
        <is>
          <t>USAA</t>
        </is>
      </c>
      <c r="D155" t="inlineStr">
        <is>
          <t>indeed</t>
        </is>
      </c>
      <c r="E155">
        <f>HYPERLINK("https://www.indeed.com/viewjob?jk=e63d7815929b3494", "https://www.indeed.com/viewjob?jk=e63d7815929b3494")</f>
        <v/>
      </c>
      <c r="F155">
        <f>HYPERLINK("https://www.usaajobs.com/job/-/-/1207/92454574784", "https://www.usaajobs.com/job/-/-/1207/92454574784")</f>
        <v/>
      </c>
      <c r="G155" t="inlineStr">
        <is>
          <t>San Antonio, TX, US</t>
        </is>
      </c>
      <c r="H155" s="2" t="n">
        <v>46086</v>
      </c>
      <c r="I155"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Leads a team of Data Scientists responsible for identifying, scoping, and translating business problems into applied statistical, machine learning, simulation, and optimization solutions to inform actionable business insights and drive business value through automation, revenue generation, and expense and risk reduction. Works with business leaders to ideate, valuate, and scope projects to meet business needs. Manages the team’s projects and communicates progress updates to senior leadership and other business stakeholders. Responsible for the team’s model inventory and ensures compliance with USAA model risk policies and regulatory expectations. Influences the future of data science at USAA by conducting research on the latest technologies and driving adoption of those technologies.
As a dedicated Director, Data Scientist, you will lead a team of Data Scientists responsible for identifying, scoping, and translating business problems into applied statistical, machine learning, simulation, and optimization solutions to inform actionable business insights and drive business value through automation, revenue generation, and expense and risk reduction. Works with business leaders to ideate, valuate, and scope projects to meet business needs. The incumbent will also manage the team’s projects and communicates progress updates to senior leadership and other business stakeholders. Responsible for the team’s model inventory and ensures compliance with USAA model risk policies and regulatory expectations. The person will be responsible for influencing the future of data science at USAA by conducting research on the latest technologies and driving adoption of those technologies.
This role is remote eligible in the continental U.S. with occasional business travel. However, individuals residing within a 60\-mile radius of a USAA office will be expected to work on\-site four days per week.
Relocation assistance is available for this position.
**What you'll do:**
* Acts as advanced analytics thought leader and advisor to the business to shape strategies that drive competitiveness and differentiation.
* Influences business, data, and technology leaders to invest, sustain and expand advanced analytical capabilities by actively participating in strategy, planning, and budgeting exercises.
* Leads and develops team to build and deploy various advanced analytical solutions in an agile and collaborative environment across business, data, and technology organizations. Enables team’s success by simplifying processes across the model development lifecycle and driving automation.
* Identifies, scopes, and manages complex analytical projects in collaboration with business stakeholders, often translating results to non\-technical business executives.
* Champions and manages efforts to deliver business insights via scalable, automated solutions using machine learning, simulation, and optimization.
* Responsible for ensuring all modeling and machine learning solutions adhere to industry standards, model risk policy, and regulatory expectations.
* Partners with enterprise analytical and IT teams to build USAA core capabilities and processes.
* Identifies additional resource needs ranging from IT investments, 3rd party support or additional analysts.
* Builds and oversees a team of Data Scientists through ongoing execution of recruiting, development, retention, coaching and support, performance management, and managerial activities.
* Ensures risks associated with business activities are effectively identified, measured, monitored, and controlled in accordance with risk and compliance policies and procedures.
**What you have:**
* Bachelor’s degree in mathematics, computer science, statistics, economics, finance, actuarial sciences, science and engineering, or other similar quantitative discipline; OR 4 years of experience in statistics, mathematics, quantitative analytics, or related experience (in addition to the minimum years of experience required) may be substituted in lieu of degree.
* 8 years in predictive modeling, model governance, machine learning and large data analysis., OR Advanced Degree (e.g., Master’s, PhD) in Mathematics, Statistics, Data Science, Computer Science, or related quantitative STEM field (Science, Technology, Engineering and Math) field and 6 years in predictive modeling, model governance, machine learning and large data analysis.
* 3 years of direct management experience.
* Strong communication skills; demonstrated ability to interpret and translate complex technical information to diverse audiences.
* Experience with various languages, applications, and technologies (such as SQL, Python, R, Spark, Hadoop etc.) commonly associated with delivery of Data Science solutions.
* Experience in developing and reviewing modeling solutions based on broad range of techniques – e.g., linear and logistic regressions, time series methods, survival analysis, support vector machines, neural networks, decision trees, random forests, gradient\-boosting methods, deep learning, k\-means and other clustering methods, simulation methods, or other advanced techniques.
* Demonstrated ability to apply best practices in modeling and machine learning techniques to solve business problems.
* Demonstrated ability to write and review complex technical documentation, communicate modeling insights and technical details to business leaders, technical and non\-technical audiences.
* A strong track record of communicating results, insights, and technical solutions to Senior Executive Management (or equivalent).
* Deep technical skills, consulting experience, and business savvy to interface with all levels and disciplines within the organization.
**What sets you apart:**
* Demonstrated leadership across diverse data science teams with a focus on delivering results in banking and financial services.
* Strong communication skills with the ability to influence stakeholders and align cross\-functional teams
* Deep understanding of model governance, regulatory expectations and best practices in AI/ML deployment.
* Proven track record of developing talent fostering collaboration and driving strategic data science initiative across the organization
**Compensation range:** The salary range for this position is: $189,370 \- $361,950**.**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156">
      <c r="A156" t="inlineStr">
        <is>
          <t>in-eb3231dae835e790</t>
        </is>
      </c>
      <c r="B156" t="inlineStr">
        <is>
          <t>Applied Scientist , Prime Video - Personalization and Discovery Science</t>
        </is>
      </c>
      <c r="C156" t="inlineStr">
        <is>
          <t>Amazon.com</t>
        </is>
      </c>
      <c r="D156" t="inlineStr">
        <is>
          <t>indeed</t>
        </is>
      </c>
      <c r="E156">
        <f>HYPERLINK("https://www.indeed.com/viewjob?jk=eb3231dae835e790", "https://www.indeed.com/viewjob?jk=eb3231dae835e790")</f>
        <v/>
      </c>
      <c r="F156">
        <f>HYPERLINK("https://www.amazon.jobs/jobs/3183547/applied-scientist--prime-video--personalization-and-discovery-science?cmpid=DA_INAD200785B", "https://www.amazon.jobs/jobs/3183547/applied-scientist--prime-video--personalization-and-discovery-science?cmpid=DA_INAD200785B")</f>
        <v/>
      </c>
      <c r="G156" t="inlineStr">
        <is>
          <t>Sunnyvale, CA, US</t>
        </is>
      </c>
      <c r="H156" s="2" t="n">
        <v>46069</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7">
      <c r="A157" t="inlineStr">
        <is>
          <t>in-196bfd6852b96d48</t>
        </is>
      </c>
      <c r="B157" t="inlineStr">
        <is>
          <t>Applied Scientist , Prime Video - Personalization and Discovery Science</t>
        </is>
      </c>
      <c r="C157" t="inlineStr">
        <is>
          <t>Amazon.com</t>
        </is>
      </c>
      <c r="D157" t="inlineStr">
        <is>
          <t>indeed</t>
        </is>
      </c>
      <c r="E157">
        <f>HYPERLINK("https://www.indeed.com/viewjob?jk=196bfd6852b96d48", "https://www.indeed.com/viewjob?jk=196bfd6852b96d48")</f>
        <v/>
      </c>
      <c r="F157">
        <f>HYPERLINK("https://www.amazon.jobs/jobs/3183547/applied-scientist--prime-video--personalization-and-discovery-science?cmpid=DA_INAD200785B", "https://www.amazon.jobs/jobs/3183547/applied-scientist--prime-video--personalization-and-discovery-science?cmpid=DA_INAD200785B")</f>
        <v/>
      </c>
      <c r="G157" t="inlineStr">
        <is>
          <t>Seattle, WA, US</t>
        </is>
      </c>
      <c r="H157" s="2" t="n">
        <v>46069</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8">
      <c r="A158" t="inlineStr">
        <is>
          <t>in-ea0bb4d01e1cbdc0</t>
        </is>
      </c>
      <c r="B158" t="inlineStr">
        <is>
          <t>Senior Applied Scientist, Customer Experience and Business Trends</t>
        </is>
      </c>
      <c r="C158" t="inlineStr">
        <is>
          <t>Amazon.com</t>
        </is>
      </c>
      <c r="D158" t="inlineStr">
        <is>
          <t>indeed</t>
        </is>
      </c>
      <c r="E158">
        <f>HYPERLINK("https://www.indeed.com/viewjob?jk=ea0bb4d01e1cbdc0", "https://www.indeed.com/viewjob?jk=ea0bb4d01e1cbdc0")</f>
        <v/>
      </c>
      <c r="F158">
        <f>HYPERLINK("https://www.amazon.jobs/jobs/3178338/senior-applied-scientist-customer-experience-and-business-trends-?cmpid=DA_INAD200785B", "https://www.amazon.jobs/jobs/3178338/senior-applied-scientist-customer-experience-and-business-trends-?cmpid=DA_INAD200785B")</f>
        <v/>
      </c>
      <c r="G158" t="inlineStr">
        <is>
          <t>Arlington, VA, US</t>
        </is>
      </c>
      <c r="H158" s="2" t="n">
        <v>46062</v>
      </c>
      <c r="I158" t="inlineStr">
        <is>
          <t>**DESCRIPTION**
---------------
Customer Experience and Business Trends (CXBT) is looking for an Applied Scientist to join their team. CXBT's mission is to create best\-in\-class AI agents that seamlessly integrate multimodal inputs like speech, images, and video, enabling natural, empathetic, and adaptive interactions. We leverage advanced architectures, cross\-modal learning, interpretability, and responsible AI techniques to provide coherent, context\-aware responses augmented by real\-time knowledge retrieval.  
The ideal candidate will have expertise in Large Language Models (LLMs), speech, audio, Natural Language processing (NLP) or multimodal learning to pioneer innovations in data simulation, representation, generation, reasoning, retrieval, and evaluation.  
Key job responsibilities  
* Build scalable solutions for real\-time conversational experiences, including multilingual support, customizable personalities, and conversational turn\-taking.
* Develop data simulation approaches that mimic real\-world speech interactions.
* Research and implement novel algorithms and modeling techniques.
* Acquire and curate diverse datasets while ensuring user privacy.
* Create robust evaluation metrics and test sets to assess language model performance.
* Integrate human feedback to improve data selection and model performance.
* Innovate in data representation and model training techniques.
* Apply responsible AI practices throughout the development process.
A day in the life  
Our team is dedicated to improving Amazon's products and services through evaluation of the end\-to\-end customer experience using both internal and external processes and technology. Our mission is to deeply understand our customers' experiences, challenge the status quo, and provide insights that drive innovation to improve that experience. Through our analysis and insights, we inform business decisions that directly impact customer experience as customers of new GenAI and LLM technologies.  
About the team  
Customer Experience and Business Trends (CXBT) is an organization made up of a diverse suite of functions dedicated to deeply understanding and improving customer experience, globally. We are a team of builders that develop products, services, ideas, and various ways of leveraging data to influence product and service offerings – for almost every business at Amazon – for every customer (e.g., consumers, developers, sellers/brands, employees, investors, streamers, gamers).  
Our approach is based on determining the customer need, along with problem solving, and we work backwards from there. We use technical and non\-technical approaches and stay aware of industry and business trends. We are a global team, made up of a diverse set of profiles, skills, and backgrounds – including: Product Managers, Software Developers, Computer Vision experts, Solutions Architects, Data Scientists, Business Intelligence Engineers, Business Analysts, Risk Managers, and more.**BASIC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\- 167,100\.00 \- 226,100\.00 USD annually  
USA, WA, Seattle \- 167,100\.00 \- 226,100\.00 USD annually</t>
        </is>
      </c>
    </row>
    <row r="159">
      <c r="A159" t="inlineStr">
        <is>
          <t>in-70393fd7f50d7b0f</t>
        </is>
      </c>
      <c r="B159" t="inlineStr">
        <is>
          <t>Applied Scientist, AWS Applied AI Solutions</t>
        </is>
      </c>
      <c r="C159" t="inlineStr">
        <is>
          <t>Amazon.com</t>
        </is>
      </c>
      <c r="D159" t="inlineStr">
        <is>
          <t>indeed</t>
        </is>
      </c>
      <c r="E159">
        <f>HYPERLINK("https://www.indeed.com/viewjob?jk=70393fd7f50d7b0f", "https://www.indeed.com/viewjob?jk=70393fd7f50d7b0f")</f>
        <v/>
      </c>
      <c r="F159">
        <f>HYPERLINK("https://www.amazon.jobs/jobs/3184564/applied-scientist-aws-applied-ai-solutions?cmpid=DA_INAD200785B", "https://www.amazon.jobs/jobs/3184564/applied-scientist-aws-applied-ai-solutions?cmpid=DA_INAD200785B")</f>
        <v/>
      </c>
      <c r="G159" t="inlineStr">
        <is>
          <t>New York, NY, US</t>
        </is>
      </c>
      <c r="H159" s="2" t="n">
        <v>46061</v>
      </c>
      <c r="I15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0">
      <c r="A160" t="inlineStr">
        <is>
          <t>in-510c750b9af9bab9</t>
        </is>
      </c>
      <c r="B160" t="inlineStr">
        <is>
          <t>Applied Scientist, AWS Applied AI Solutions</t>
        </is>
      </c>
      <c r="C160" t="inlineStr">
        <is>
          <t>Amazon.com</t>
        </is>
      </c>
      <c r="D160" t="inlineStr">
        <is>
          <t>indeed</t>
        </is>
      </c>
      <c r="E160">
        <f>HYPERLINK("https://www.indeed.com/viewjob?jk=510c750b9af9bab9", "https://www.indeed.com/viewjob?jk=510c750b9af9bab9")</f>
        <v/>
      </c>
      <c r="F160">
        <f>HYPERLINK("https://www.amazon.jobs/jobs/3184564/applied-scientist-aws-applied-ai-solutions?cmpid=DA_INAD200785B", "https://www.amazon.jobs/jobs/3184564/applied-scientist-aws-applied-ai-solutions?cmpid=DA_INAD200785B")</f>
        <v/>
      </c>
      <c r="G160" t="inlineStr">
        <is>
          <t>Seattle, WA, US</t>
        </is>
      </c>
      <c r="H160" s="2" t="n">
        <v>46061</v>
      </c>
      <c r="I16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1">
      <c r="A161" t="inlineStr">
        <is>
          <t>in-7670f399e61c82a6</t>
        </is>
      </c>
      <c r="B161" t="inlineStr">
        <is>
          <t>Principal Applied Scientist, AWS Marketplace &amp; Partner Services</t>
        </is>
      </c>
      <c r="C161" t="inlineStr">
        <is>
          <t>Amazon Web Services</t>
        </is>
      </c>
      <c r="D161" t="inlineStr">
        <is>
          <t>indeed</t>
        </is>
      </c>
      <c r="E161">
        <f>HYPERLINK("https://www.indeed.com/viewjob?jk=7670f399e61c82a6", "https://www.indeed.com/viewjob?jk=7670f399e61c82a6")</f>
        <v/>
      </c>
      <c r="F161">
        <f>HYPERLINK("https://www.amazon.jobs/jobs/3177084/principal-applied-scientist-aws-marketplace--partner-services?cmpid=DA_INAD200785B", "https://www.amazon.jobs/jobs/3177084/principal-applied-scientist-aws-marketplace--partner-services?cmpid=DA_INAD200785B")</f>
        <v/>
      </c>
      <c r="G161" t="inlineStr">
        <is>
          <t>Seattle, WA, US</t>
        </is>
      </c>
      <c r="H161" s="2" t="n">
        <v>46056</v>
      </c>
      <c r="I16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2">
      <c r="A162" t="inlineStr">
        <is>
          <t>in-735ad88dfa3739f7</t>
        </is>
      </c>
      <c r="B162" t="inlineStr">
        <is>
          <t>Principal Applied Scientist, AWS Marketplace &amp; Partner Services</t>
        </is>
      </c>
      <c r="C162" t="inlineStr">
        <is>
          <t>Amazon Web Services</t>
        </is>
      </c>
      <c r="D162" t="inlineStr">
        <is>
          <t>indeed</t>
        </is>
      </c>
      <c r="E162">
        <f>HYPERLINK("https://www.indeed.com/viewjob?jk=735ad88dfa3739f7", "https://www.indeed.com/viewjob?jk=735ad88dfa3739f7")</f>
        <v/>
      </c>
      <c r="F162">
        <f>HYPERLINK("https://www.amazon.jobs/jobs/3177084/principal-applied-scientist-aws-marketplace--partner-services?cmpid=DA_INAD200785B", "https://www.amazon.jobs/jobs/3177084/principal-applied-scientist-aws-marketplace--partner-services?cmpid=DA_INAD200785B")</f>
        <v/>
      </c>
      <c r="G162" t="inlineStr">
        <is>
          <t>New York, NY, US</t>
        </is>
      </c>
      <c r="H162" s="2" t="n">
        <v>46056</v>
      </c>
      <c r="I16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3">
      <c r="A163" t="inlineStr">
        <is>
          <t>in-2496633d6a5fc200</t>
        </is>
      </c>
      <c r="B163" t="inlineStr">
        <is>
          <t>Principal Applied Scientist, AWS Marketplace &amp; Partner Services</t>
        </is>
      </c>
      <c r="C163" t="inlineStr">
        <is>
          <t>Amazon Web Services</t>
        </is>
      </c>
      <c r="D163" t="inlineStr">
        <is>
          <t>indeed</t>
        </is>
      </c>
      <c r="E163">
        <f>HYPERLINK("https://www.indeed.com/viewjob?jk=2496633d6a5fc200", "https://www.indeed.com/viewjob?jk=2496633d6a5fc200")</f>
        <v/>
      </c>
      <c r="F163">
        <f>HYPERLINK("https://www.amazon.jobs/jobs/3177084/principal-applied-scientist-aws-marketplace--partner-services?cmpid=DA_INAD200785B", "https://www.amazon.jobs/jobs/3177084/principal-applied-scientist-aws-marketplace--partner-services?cmpid=DA_INAD200785B")</f>
        <v/>
      </c>
      <c r="G163" t="inlineStr">
        <is>
          <t>Austin, TX, US</t>
        </is>
      </c>
      <c r="H163" s="2" t="n">
        <v>46056</v>
      </c>
      <c r="I16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4">
      <c r="A164" t="inlineStr">
        <is>
          <t>in-6f0667dd6a6baebe</t>
        </is>
      </c>
      <c r="B164" t="inlineStr">
        <is>
          <t>Principal Applied Scientist, AWS Marketplace &amp; Partner Services</t>
        </is>
      </c>
      <c r="C164" t="inlineStr">
        <is>
          <t>Amazon Web Services</t>
        </is>
      </c>
      <c r="D164" t="inlineStr">
        <is>
          <t>indeed</t>
        </is>
      </c>
      <c r="E164">
        <f>HYPERLINK("https://www.indeed.com/viewjob?jk=6f0667dd6a6baebe", "https://www.indeed.com/viewjob?jk=6f0667dd6a6baebe")</f>
        <v/>
      </c>
      <c r="F164">
        <f>HYPERLINK("https://www.amazon.jobs/jobs/3177084/principal-applied-scientist-aws-marketplace--partner-services?cmpid=DA_INAD200785B", "https://www.amazon.jobs/jobs/3177084/principal-applied-scientist-aws-marketplace--partner-services?cmpid=DA_INAD200785B")</f>
        <v/>
      </c>
      <c r="G164" t="inlineStr">
        <is>
          <t>San Diego, CA, US</t>
        </is>
      </c>
      <c r="H164" s="2" t="n">
        <v>46056</v>
      </c>
      <c r="I16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5">
      <c r="A165" t="inlineStr">
        <is>
          <t>in-4c7bf36cfc34c246</t>
        </is>
      </c>
      <c r="B165" t="inlineStr">
        <is>
          <t>Sr. Applied Scientist, AWS Healthcare-AI</t>
        </is>
      </c>
      <c r="C165" t="inlineStr">
        <is>
          <t>Amazon.com</t>
        </is>
      </c>
      <c r="D165" t="inlineStr">
        <is>
          <t>indeed</t>
        </is>
      </c>
      <c r="E165">
        <f>HYPERLINK("https://www.indeed.com/viewjob?jk=4c7bf36cfc34c246", "https://www.indeed.com/viewjob?jk=4c7bf36cfc34c246")</f>
        <v/>
      </c>
      <c r="F165">
        <f>HYPERLINK("https://www.amazon.jobs/jobs/3179064/sr-applied-scientist-aws-healthcareai?cmpid=DA_INAD200785B", "https://www.amazon.jobs/jobs/3179064/sr-applied-scientist-aws-healthcareai?cmpid=DA_INAD200785B")</f>
        <v/>
      </c>
      <c r="G165" t="inlineStr">
        <is>
          <t>Mountain View, CA, US</t>
        </is>
      </c>
      <c r="H165" s="2" t="n">
        <v>46055</v>
      </c>
      <c r="I165"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66">
      <c r="A166" t="inlineStr">
        <is>
          <t>in-6e24495d9fb0ceaf</t>
        </is>
      </c>
      <c r="B166" t="inlineStr">
        <is>
          <t>Sr. Applied Scientist, AWS Healthcare-AI</t>
        </is>
      </c>
      <c r="C166" t="inlineStr">
        <is>
          <t>Amazon.com</t>
        </is>
      </c>
      <c r="D166" t="inlineStr">
        <is>
          <t>indeed</t>
        </is>
      </c>
      <c r="E166">
        <f>HYPERLINK("https://www.indeed.com/viewjob?jk=6e24495d9fb0ceaf", "https://www.indeed.com/viewjob?jk=6e24495d9fb0ceaf")</f>
        <v/>
      </c>
      <c r="F166">
        <f>HYPERLINK("https://www.amazon.jobs/jobs/3179064/sr-applied-scientist-aws-healthcareai?cmpid=DA_INAD200785B", "https://www.amazon.jobs/jobs/3179064/sr-applied-scientist-aws-healthcareai?cmpid=DA_INAD200785B")</f>
        <v/>
      </c>
      <c r="G166" t="inlineStr">
        <is>
          <t>Seattle, WA, US</t>
        </is>
      </c>
      <c r="H166" s="2" t="n">
        <v>46055</v>
      </c>
      <c r="I166"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67">
      <c r="A167" t="inlineStr">
        <is>
          <t>in-63022226f289b24e</t>
        </is>
      </c>
      <c r="B167" t="inlineStr">
        <is>
          <t>Applied Scientist (Contract), Artificial General Intelligence</t>
        </is>
      </c>
      <c r="C167" t="inlineStr">
        <is>
          <t>Amazon.com</t>
        </is>
      </c>
      <c r="D167" t="inlineStr">
        <is>
          <t>indeed</t>
        </is>
      </c>
      <c r="E167">
        <f>HYPERLINK("https://www.indeed.com/viewjob?jk=63022226f289b24e", "https://www.indeed.com/viewjob?jk=63022226f289b24e")</f>
        <v/>
      </c>
      <c r="F167">
        <f>HYPERLINK("https://www.amazon.jobs/jobs/3179169/applied-scientist-contract-artificial-general-intelligence?cmpid=DA_INAD200785B", "https://www.amazon.jobs/jobs/3179169/applied-scientist-contract-artificial-general-intelligence?cmpid=DA_INAD200785B")</f>
        <v/>
      </c>
      <c r="G167" t="inlineStr">
        <is>
          <t>Boston, MA, US</t>
        </is>
      </c>
      <c r="H167" s="2" t="n">
        <v>46055</v>
      </c>
      <c r="I16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8">
      <c r="A168" t="inlineStr">
        <is>
          <t>in-f80f2bb5871ad582</t>
        </is>
      </c>
      <c r="B168" t="inlineStr">
        <is>
          <t>Applied Scientist (Contract), Artificial General Intelligence</t>
        </is>
      </c>
      <c r="C168" t="inlineStr">
        <is>
          <t>Amazon.com</t>
        </is>
      </c>
      <c r="D168" t="inlineStr">
        <is>
          <t>indeed</t>
        </is>
      </c>
      <c r="E168">
        <f>HYPERLINK("https://www.indeed.com/viewjob?jk=f80f2bb5871ad582", "https://www.indeed.com/viewjob?jk=f80f2bb5871ad582")</f>
        <v/>
      </c>
      <c r="F168">
        <f>HYPERLINK("https://www.amazon.jobs/jobs/3179169/applied-scientist-contract-artificial-general-intelligence?cmpid=DA_INAD200785B", "https://www.amazon.jobs/jobs/3179169/applied-scientist-contract-artificial-general-intelligence?cmpid=DA_INAD200785B")</f>
        <v/>
      </c>
      <c r="G168" t="inlineStr">
        <is>
          <t>Bellevue, WA, US</t>
        </is>
      </c>
      <c r="H168" s="2" t="n">
        <v>46055</v>
      </c>
      <c r="I16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9">
      <c r="A169" t="inlineStr">
        <is>
          <t>in-7c5048ee1e95bcac</t>
        </is>
      </c>
      <c r="B169" t="inlineStr">
        <is>
          <t>Applied Scientist (Contract), Artificial General Intelligence</t>
        </is>
      </c>
      <c r="C169" t="inlineStr">
        <is>
          <t>Amazon.com</t>
        </is>
      </c>
      <c r="D169" t="inlineStr">
        <is>
          <t>indeed</t>
        </is>
      </c>
      <c r="E169">
        <f>HYPERLINK("https://www.indeed.com/viewjob?jk=7c5048ee1e95bcac", "https://www.indeed.com/viewjob?jk=7c5048ee1e95bcac")</f>
        <v/>
      </c>
      <c r="F169">
        <f>HYPERLINK("https://www.amazon.jobs/jobs/3179168/applied-scientist-contract-artificial-general-intelligence?cmpid=DA_INAD200785B", "https://www.amazon.jobs/jobs/3179168/applied-scientist-contract-artificial-general-intelligence?cmpid=DA_INAD200785B")</f>
        <v/>
      </c>
      <c r="G169" t="inlineStr">
        <is>
          <t>Bellevue, WA, US</t>
        </is>
      </c>
      <c r="H169" s="2" t="n">
        <v>46055</v>
      </c>
      <c r="I16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0">
      <c r="A170" t="inlineStr">
        <is>
          <t>in-c828d4612a499e20</t>
        </is>
      </c>
      <c r="B170" t="inlineStr">
        <is>
          <t>Applied Scientist (Contract), Artificial General Intelligence</t>
        </is>
      </c>
      <c r="C170" t="inlineStr">
        <is>
          <t>Amazon.com</t>
        </is>
      </c>
      <c r="D170" t="inlineStr">
        <is>
          <t>indeed</t>
        </is>
      </c>
      <c r="E170">
        <f>HYPERLINK("https://www.indeed.com/viewjob?jk=c828d4612a499e20", "https://www.indeed.com/viewjob?jk=c828d4612a499e20")</f>
        <v/>
      </c>
      <c r="F170">
        <f>HYPERLINK("https://www.amazon.jobs/jobs/3179188/applied-scientist-contract-artificial-general-intelligence?cmpid=DA_INAD200785B", "https://www.amazon.jobs/jobs/3179188/applied-scientist-contract-artificial-general-intelligence?cmpid=DA_INAD200785B")</f>
        <v/>
      </c>
      <c r="G170" t="inlineStr">
        <is>
          <t>Boston, MA, US</t>
        </is>
      </c>
      <c r="H170" s="2" t="n">
        <v>46055</v>
      </c>
      <c r="I17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1">
      <c r="A171" t="inlineStr">
        <is>
          <t>in-f26bd2c87d51c2fa</t>
        </is>
      </c>
      <c r="B171" t="inlineStr">
        <is>
          <t>Applied Scientist (Contract), Artificial General Intelligence</t>
        </is>
      </c>
      <c r="C171" t="inlineStr">
        <is>
          <t>Amazon.com</t>
        </is>
      </c>
      <c r="D171" t="inlineStr">
        <is>
          <t>indeed</t>
        </is>
      </c>
      <c r="E171">
        <f>HYPERLINK("https://www.indeed.com/viewjob?jk=f26bd2c87d51c2fa", "https://www.indeed.com/viewjob?jk=f26bd2c87d51c2fa")</f>
        <v/>
      </c>
      <c r="F171">
        <f>HYPERLINK("https://www.amazon.jobs/jobs/3179168/applied-scientist-contract-artificial-general-intelligence?cmpid=DA_INAD200785B", "https://www.amazon.jobs/jobs/3179168/applied-scientist-contract-artificial-general-intelligence?cmpid=DA_INAD200785B")</f>
        <v/>
      </c>
      <c r="G171" t="inlineStr">
        <is>
          <t>Boston, MA, US</t>
        </is>
      </c>
      <c r="H171" s="2" t="n">
        <v>46055</v>
      </c>
      <c r="I17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2">
      <c r="A172" t="inlineStr">
        <is>
          <t>in-e1bd7ab29013c90a</t>
        </is>
      </c>
      <c r="B172" t="inlineStr">
        <is>
          <t>Applied Scientist (Contract), Artificial General Intelligence</t>
        </is>
      </c>
      <c r="C172" t="inlineStr">
        <is>
          <t>Amazon.com</t>
        </is>
      </c>
      <c r="D172" t="inlineStr">
        <is>
          <t>indeed</t>
        </is>
      </c>
      <c r="E172">
        <f>HYPERLINK("https://www.indeed.com/viewjob?jk=e1bd7ab29013c90a", "https://www.indeed.com/viewjob?jk=e1bd7ab29013c90a")</f>
        <v/>
      </c>
      <c r="F172">
        <f>HYPERLINK("https://www.amazon.jobs/jobs/3179188/applied-scientist-contract-artificial-general-intelligence?cmpid=DA_INAD200785B", "https://www.amazon.jobs/jobs/3179188/applied-scientist-contract-artificial-general-intelligence?cmpid=DA_INAD200785B")</f>
        <v/>
      </c>
      <c r="G172" t="inlineStr">
        <is>
          <t>Bellevue, WA, US</t>
        </is>
      </c>
      <c r="H172" s="2" t="n">
        <v>46055</v>
      </c>
      <c r="I17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3">
      <c r="A173" t="inlineStr">
        <is>
          <t>in-8134391dda619170</t>
        </is>
      </c>
      <c r="B173" t="inlineStr">
        <is>
          <t>Applied Scientist (Contract), Artificial General Intelligence</t>
        </is>
      </c>
      <c r="C173" t="inlineStr">
        <is>
          <t>Amazon.com</t>
        </is>
      </c>
      <c r="D173" t="inlineStr">
        <is>
          <t>indeed</t>
        </is>
      </c>
      <c r="E173">
        <f>HYPERLINK("https://www.indeed.com/viewjob?jk=8134391dda619170", "https://www.indeed.com/viewjob?jk=8134391dda619170")</f>
        <v/>
      </c>
      <c r="F173">
        <f>HYPERLINK("https://www.amazon.jobs/jobs/3179187/applied-scientist-contract-artificial-general-intelligence?cmpid=DA_INAD200785B", "https://www.amazon.jobs/jobs/3179187/applied-scientist-contract-artificial-general-intelligence?cmpid=DA_INAD200785B")</f>
        <v/>
      </c>
      <c r="G173" t="inlineStr">
        <is>
          <t>Boston, MA, US</t>
        </is>
      </c>
      <c r="H173" s="2" t="n">
        <v>46051</v>
      </c>
      <c r="I17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4">
      <c r="A174" t="inlineStr">
        <is>
          <t>in-a70e9a009938febf</t>
        </is>
      </c>
      <c r="B174" t="inlineStr">
        <is>
          <t>Applied Scientist (Contract), Artificial General Intelligence</t>
        </is>
      </c>
      <c r="C174" t="inlineStr">
        <is>
          <t>Amazon.com</t>
        </is>
      </c>
      <c r="D174" t="inlineStr">
        <is>
          <t>indeed</t>
        </is>
      </c>
      <c r="E174">
        <f>HYPERLINK("https://www.indeed.com/viewjob?jk=a70e9a009938febf", "https://www.indeed.com/viewjob?jk=a70e9a009938febf")</f>
        <v/>
      </c>
      <c r="F174">
        <f>HYPERLINK("https://www.amazon.jobs/jobs/3179187/applied-scientist-contract-artificial-general-intelligence?cmpid=DA_INAD200785B", "https://www.amazon.jobs/jobs/3179187/applied-scientist-contract-artificial-general-intelligence?cmpid=DA_INAD200785B")</f>
        <v/>
      </c>
      <c r="G174" t="inlineStr">
        <is>
          <t>Bellevue, WA, US</t>
        </is>
      </c>
      <c r="H174" s="2" t="n">
        <v>46051</v>
      </c>
      <c r="I17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5">
      <c r="A175" t="inlineStr">
        <is>
          <t>in-19fd69b2876bf5a7</t>
        </is>
      </c>
      <c r="B175" t="inlineStr">
        <is>
          <t>Applied Scientist I, Customer Experience and Business Trends</t>
        </is>
      </c>
      <c r="C175" t="inlineStr">
        <is>
          <t>Amazon.com</t>
        </is>
      </c>
      <c r="D175" t="inlineStr">
        <is>
          <t>indeed</t>
        </is>
      </c>
      <c r="E175">
        <f>HYPERLINK("https://www.indeed.com/viewjob?jk=19fd69b2876bf5a7", "https://www.indeed.com/viewjob?jk=19fd69b2876bf5a7")</f>
        <v/>
      </c>
      <c r="F175">
        <f>HYPERLINK("https://www.amazon.jobs/jobs/3170930/applied-scientist-i-customer-experience-and-business-trends?cmpid=DA_INAD200785B", "https://www.amazon.jobs/jobs/3170930/applied-scientist-i-customer-experience-and-business-trends?cmpid=DA_INAD200785B")</f>
        <v/>
      </c>
      <c r="G175" t="inlineStr">
        <is>
          <t>Arlington, VA, US</t>
        </is>
      </c>
      <c r="H175" s="2" t="n">
        <v>46051</v>
      </c>
      <c r="I175" t="inlineStr">
        <is>
          <t>**DESCRIPTION**
---------------
Customer Experience and Business Trends (CXBT) is looking for an Applied Scientist to join its team. CXBT's mission is to create best\-in\-class AI agents that seamlessly integrate multimodal inputs, enabling natural, empathetic, and adaptive interactions. We leverage advanced architectures, cross\-modal learning, interpretability, and responsible AI techniques to provide coherent, context\-aware responses augmented by real\-time knowledge retrieval.  
As part of CXBT, we have a vision to revolutionize how we understand, test, and optimize customer experiences at scale. Where traditional testing approaches fall short, we create AI\-powered solutions that enable rapid experimentation, de\-risk product launches, and generate actionable insights, \-all before a single real customer is impacted.  
Be a part of our agentic initiative and shape how Amazon leverages artificial intelligence to run tests at scale and improve customer experiences.  
As an Applied Scientist, you will research state\-of\-the\-art techniques in agent\-based modeling, and lead scientific innovation by building foundational agentic simulation capabilities.
If you are passionate about the intersection of AI and human behavior modeling, and want to fundamentally influence how Amazon tests and improves customer experiences, this role offers a great opportunity to make your mark.  
Key job responsibilities  
* Design and implement frameworks for creating representative, diverse agents that faithfully capture real\-world characteristics
* Use state\-of\-the\-art techniques in user modeling and behavioral simulation to build robust agentic frameworks
* Develop data simulation approaches that mimic real\-world speech interactions.
* Research and implement novel algorithms and modeling techniques.
* Acquire and curate diverse datasets while ensuring user privacy.
* Create robust evaluation metrics and test sets to assess language model performance.
* Innovate in data representation and model training techniques.
* Apply responsible AI practices throughout the development process.
* Write clear, scientific documentation describing methodologies, solutions, and design choices.
A day in the life  
Our team is dedicated to improving Amazon's products and services through evaluation of the end\-to\-end customer experience using both internal and external processes and technology. Our mission is to deeply understand our customers' experiences, challenge the status quo, and provide insights that drive innovation to improve that experience. Through our analysis and insights, we inform business decisions that directly impact customer experience as customers of new GenAI and LLM technologies.  
About the team  
Customer Experience and Business Trends (CXBT) is an organization made up of a diverse suite of functions dedicated to deeply understanding and improving customer experience, globally. We are a team of builders that develop products, services, ideas, and various ways of leveraging data to influence product and service offerings – for almost every business at Amazon – for every customer (e.g., consumers, developers, sellers/brands, employees, investors, streamers, gamers).**BASIC QUALIFICATIONS**
------------------------
* 1\+ years of building models for business application experience
* Experience with any programming language such as Python, Java, C\+\+
* Experience in any of the following areas: algorithms and data structures, parsing, numerical optimization, data mining, parallel and distributed computing, high\-performance computing
* Experience with Machine Learning and Large Language Model fundamentals, including architecture, training/inference lifecycles, and optimization of model execution, or experience in developing and deploying LLMs in production on GPUs, Neuron, TPU or other AI acceleration hardware
* PhD, or Master's degree and 4\+ years of CS, CE, ML or related field experience
**PREFERRED QUALIFICATIONS**
----------------------------
* Experience in professional software development
* Experience building machine learning models or developing algorithms for business application
* Have publications on top\-tier conferences, such as CVPR, ICCV, ECCV or NeurIPS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WA, Seattle \- 136,000\.00 \- 184,000\.00 USD annually</t>
        </is>
      </c>
    </row>
    <row r="176">
      <c r="A176" t="inlineStr">
        <is>
          <t>in-5260368beb1a10d0</t>
        </is>
      </c>
      <c r="B176" t="inlineStr">
        <is>
          <t>Sr. Applied Scientist - SLAM, Amazon Industrial Robotics</t>
        </is>
      </c>
      <c r="C176" t="inlineStr">
        <is>
          <t>Amazon.com</t>
        </is>
      </c>
      <c r="D176" t="inlineStr">
        <is>
          <t>indeed</t>
        </is>
      </c>
      <c r="E176">
        <f>HYPERLINK("https://www.indeed.com/viewjob?jk=5260368beb1a10d0", "https://www.indeed.com/viewjob?jk=5260368beb1a10d0")</f>
        <v/>
      </c>
      <c r="F176">
        <f>HYPERLINK("https://www.amazon.jobs/jobs/3172078/sr-applied-scientist--slam-amazon-industrial-robotics?cmpid=DA_INAD200785B", "https://www.amazon.jobs/jobs/3172078/sr-applied-scientist--slam-amazon-industrial-robotics?cmpid=DA_INAD200785B")</f>
        <v/>
      </c>
      <c r="G176" t="inlineStr">
        <is>
          <t>Reading, MA, US</t>
        </is>
      </c>
      <c r="H176" s="2" t="n">
        <v>46050</v>
      </c>
      <c r="I17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7">
      <c r="A177" t="inlineStr">
        <is>
          <t>in-e0dc602038ae82bf</t>
        </is>
      </c>
      <c r="B177" t="inlineStr">
        <is>
          <t>Sr. Applied Scientist - SLAM, Amazon Industrial Robotics</t>
        </is>
      </c>
      <c r="C177" t="inlineStr">
        <is>
          <t>Amazon.com</t>
        </is>
      </c>
      <c r="D177" t="inlineStr">
        <is>
          <t>indeed</t>
        </is>
      </c>
      <c r="E177">
        <f>HYPERLINK("https://www.indeed.com/viewjob?jk=e0dc602038ae82bf", "https://www.indeed.com/viewjob?jk=e0dc602038ae82bf")</f>
        <v/>
      </c>
      <c r="F177">
        <f>HYPERLINK("https://www.amazon.jobs/jobs/3172078/sr-applied-scientist--slam-amazon-industrial-robotics?cmpid=DA_INAD200785B", "https://www.amazon.jobs/jobs/3172078/sr-applied-scientist--slam-amazon-industrial-robotics?cmpid=DA_INAD200785B")</f>
        <v/>
      </c>
      <c r="G177" t="inlineStr">
        <is>
          <t>Reading, MA, US</t>
        </is>
      </c>
      <c r="H177" s="2" t="n">
        <v>46050</v>
      </c>
      <c r="I17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8">
      <c r="A178" t="inlineStr">
        <is>
          <t>in-7fa5de97ec33aca2</t>
        </is>
      </c>
      <c r="B178" t="inlineStr">
        <is>
          <t>Principal Applied Scientist, Sensing, Industrial Robotics Group</t>
        </is>
      </c>
      <c r="C178" t="inlineStr">
        <is>
          <t>Amazon.com</t>
        </is>
      </c>
      <c r="D178" t="inlineStr">
        <is>
          <t>indeed</t>
        </is>
      </c>
      <c r="E178">
        <f>HYPERLINK("https://www.indeed.com/viewjob?jk=7fa5de97ec33aca2", "https://www.indeed.com/viewjob?jk=7fa5de97ec33aca2")</f>
        <v/>
      </c>
      <c r="F178">
        <f>HYPERLINK("https://www.amazon.jobs/jobs/3170953/principal-applied-scientist-sensing-industrial-robotics-group-?cmpid=DA_INAD200785B", "https://www.amazon.jobs/jobs/3170953/principal-applied-scientist-sensing-industrial-robotics-group-?cmpid=DA_INAD200785B")</f>
        <v/>
      </c>
      <c r="G178" t="inlineStr">
        <is>
          <t>Reading, MA, US</t>
        </is>
      </c>
      <c r="H178" s="2" t="n">
        <v>46050</v>
      </c>
      <c r="I178"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79">
      <c r="A179" t="inlineStr">
        <is>
          <t>in-a027a554d6dc6fc5</t>
        </is>
      </c>
      <c r="B179" t="inlineStr">
        <is>
          <t>Principal Applied Scientist, Sensing, Industrial Robotics Group</t>
        </is>
      </c>
      <c r="C179" t="inlineStr">
        <is>
          <t>Amazon.com</t>
        </is>
      </c>
      <c r="D179" t="inlineStr">
        <is>
          <t>indeed</t>
        </is>
      </c>
      <c r="E179">
        <f>HYPERLINK("https://www.indeed.com/viewjob?jk=a027a554d6dc6fc5", "https://www.indeed.com/viewjob?jk=a027a554d6dc6fc5")</f>
        <v/>
      </c>
      <c r="F179">
        <f>HYPERLINK("https://www.amazon.jobs/jobs/3170953/principal-applied-scientist-sensing-industrial-robotics-group-?cmpid=DA_INAD200785B", "https://www.amazon.jobs/jobs/3170953/principal-applied-scientist-sensing-industrial-robotics-group-?cmpid=DA_INAD200785B")</f>
        <v/>
      </c>
      <c r="G179" t="inlineStr">
        <is>
          <t>Reading, MA, US</t>
        </is>
      </c>
      <c r="H179" s="2" t="n">
        <v>46050</v>
      </c>
      <c r="I179"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80">
      <c r="A180" t="inlineStr">
        <is>
          <t>in-833498f149c9f0e1</t>
        </is>
      </c>
      <c r="B180" t="inlineStr">
        <is>
          <t>Applied Scientist, Amazon Connect</t>
        </is>
      </c>
      <c r="C180" t="inlineStr">
        <is>
          <t>Amazon Web Services</t>
        </is>
      </c>
      <c r="D180" t="inlineStr">
        <is>
          <t>indeed</t>
        </is>
      </c>
      <c r="E180">
        <f>HYPERLINK("https://www.indeed.com/viewjob?jk=833498f149c9f0e1", "https://www.indeed.com/viewjob?jk=833498f149c9f0e1")</f>
        <v/>
      </c>
      <c r="F180">
        <f>HYPERLINK("https://www.amazon.jobs/jobs/3168981/applied-scientist-amazon-connect?cmpid=DA_INAD200785B", "https://www.amazon.jobs/jobs/3168981/applied-scientist-amazon-connect?cmpid=DA_INAD200785B")</f>
        <v/>
      </c>
      <c r="G180" t="inlineStr">
        <is>
          <t>New York, NY, US</t>
        </is>
      </c>
      <c r="H180" s="2" t="n">
        <v>46047</v>
      </c>
      <c r="I18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1">
      <c r="A181" t="inlineStr">
        <is>
          <t>in-2d291fd23b13c448</t>
        </is>
      </c>
      <c r="B181" t="inlineStr">
        <is>
          <t>Applied Scientist II, Prime Video Personalization and Discovery Science</t>
        </is>
      </c>
      <c r="C181" t="inlineStr">
        <is>
          <t>Amazon.com</t>
        </is>
      </c>
      <c r="D181" t="inlineStr">
        <is>
          <t>indeed</t>
        </is>
      </c>
      <c r="E181">
        <f>HYPERLINK("https://www.indeed.com/viewjob?jk=2d291fd23b13c448", "https://www.indeed.com/viewjob?jk=2d291fd23b13c448")</f>
        <v/>
      </c>
      <c r="F181">
        <f>HYPERLINK("https://www.amazon.jobs/jobs/3168905/applied-scientist-ii-prime-video-personalization-and-discovery-science?cmpid=DA_INAD200785B", "https://www.amazon.jobs/jobs/3168905/applied-scientist-ii-prime-video-personalization-and-discovery-science?cmpid=DA_INAD200785B")</f>
        <v/>
      </c>
      <c r="G181" t="inlineStr">
        <is>
          <t>Seattle, WA, US</t>
        </is>
      </c>
      <c r="H181" s="2" t="n">
        <v>46047</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2">
      <c r="A182" t="inlineStr">
        <is>
          <t>in-0c44abc33d705ac1</t>
        </is>
      </c>
      <c r="B182" t="inlineStr">
        <is>
          <t>Applied Scientist, Amazon Connect</t>
        </is>
      </c>
      <c r="C182" t="inlineStr">
        <is>
          <t>Amazon Web Services</t>
        </is>
      </c>
      <c r="D182" t="inlineStr">
        <is>
          <t>indeed</t>
        </is>
      </c>
      <c r="E182">
        <f>HYPERLINK("https://www.indeed.com/viewjob?jk=0c44abc33d705ac1", "https://www.indeed.com/viewjob?jk=0c44abc33d705ac1")</f>
        <v/>
      </c>
      <c r="F182">
        <f>HYPERLINK("https://www.amazon.jobs/jobs/3168981/applied-scientist-amazon-connect?cmpid=DA_INAD200785B", "https://www.amazon.jobs/jobs/3168981/applied-scientist-amazon-connect?cmpid=DA_INAD200785B")</f>
        <v/>
      </c>
      <c r="G182" t="inlineStr">
        <is>
          <t>Seattle, WA, US</t>
        </is>
      </c>
      <c r="H182" s="2" t="n">
        <v>46047</v>
      </c>
      <c r="I18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3">
      <c r="A183" t="inlineStr">
        <is>
          <t>in-e95e74979ed9113b</t>
        </is>
      </c>
      <c r="B183" t="inlineStr">
        <is>
          <t>Applied Scientist II, Prime Video Personalization and Discovery Science</t>
        </is>
      </c>
      <c r="C183" t="inlineStr">
        <is>
          <t>Amazon.com</t>
        </is>
      </c>
      <c r="D183" t="inlineStr">
        <is>
          <t>indeed</t>
        </is>
      </c>
      <c r="E183">
        <f>HYPERLINK("https://www.indeed.com/viewjob?jk=e95e74979ed9113b", "https://www.indeed.com/viewjob?jk=e95e74979ed9113b")</f>
        <v/>
      </c>
      <c r="F183">
        <f>HYPERLINK("https://www.amazon.jobs/jobs/3168905/applied-scientist-ii-prime-video-personalization-and-discovery-science?cmpid=DA_INAD200785B", "https://www.amazon.jobs/jobs/3168905/applied-scientist-ii-prime-video-personalization-and-discovery-science?cmpid=DA_INAD200785B")</f>
        <v/>
      </c>
      <c r="G183" t="inlineStr">
        <is>
          <t>New York, NY, US</t>
        </is>
      </c>
      <c r="H183" s="2" t="n">
        <v>46047</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4">
      <c r="A184" t="inlineStr">
        <is>
          <t>in-0cb2fb293db18bb2</t>
        </is>
      </c>
      <c r="B184" t="inlineStr">
        <is>
          <t>Applied Scientist II, Prime Video Personalization and Discovery Science</t>
        </is>
      </c>
      <c r="C184" t="inlineStr">
        <is>
          <t>Amazon.com</t>
        </is>
      </c>
      <c r="D184" t="inlineStr">
        <is>
          <t>indeed</t>
        </is>
      </c>
      <c r="E184">
        <f>HYPERLINK("https://www.indeed.com/viewjob?jk=0cb2fb293db18bb2", "https://www.indeed.com/viewjob?jk=0cb2fb293db18bb2")</f>
        <v/>
      </c>
      <c r="F184">
        <f>HYPERLINK("https://www.amazon.jobs/jobs/3168905/applied-scientist-ii-prime-video-personalization-and-discovery-science?cmpid=DA_INAD200785B", "https://www.amazon.jobs/jobs/3168905/applied-scientist-ii-prime-video-personalization-and-discovery-science?cmpid=DA_INAD200785B")</f>
        <v/>
      </c>
      <c r="G184" t="inlineStr">
        <is>
          <t>Sunnyvale, CA, US</t>
        </is>
      </c>
      <c r="H184" s="2" t="n">
        <v>46047</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5">
      <c r="A185" t="inlineStr">
        <is>
          <t>in-fee7026634cbb63e</t>
        </is>
      </c>
      <c r="B185" t="inlineStr">
        <is>
          <t>Applied Scientist, Safety ML</t>
        </is>
      </c>
      <c r="C185" t="inlineStr">
        <is>
          <t>Amazon.com</t>
        </is>
      </c>
      <c r="D185" t="inlineStr">
        <is>
          <t>indeed</t>
        </is>
      </c>
      <c r="E185">
        <f>HYPERLINK("https://www.indeed.com/viewjob?jk=fee7026634cbb63e", "https://www.indeed.com/viewjob?jk=fee7026634cbb63e")</f>
        <v/>
      </c>
      <c r="F185">
        <f>HYPERLINK("https://www.amazon.jobs/jobs/3161224/applied-scientist-safety-ml?cmpid=DA_INAD200785B", "https://www.amazon.jobs/jobs/3161224/applied-scientist-safety-ml?cmpid=DA_INAD200785B")</f>
        <v/>
      </c>
      <c r="G185" t="inlineStr">
        <is>
          <t>Seattle, WA, US</t>
        </is>
      </c>
      <c r="H185" s="2" t="n">
        <v>46037</v>
      </c>
      <c r="I1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6">
      <c r="A186" t="inlineStr">
        <is>
          <t>in-80248dd58f9f2353</t>
        </is>
      </c>
      <c r="B186" t="inlineStr">
        <is>
          <t>Applied Scientist, Safety ML</t>
        </is>
      </c>
      <c r="C186" t="inlineStr">
        <is>
          <t>Amazon.com</t>
        </is>
      </c>
      <c r="D186" t="inlineStr">
        <is>
          <t>indeed</t>
        </is>
      </c>
      <c r="E186">
        <f>HYPERLINK("https://www.indeed.com/viewjob?jk=80248dd58f9f2353", "https://www.indeed.com/viewjob?jk=80248dd58f9f2353")</f>
        <v/>
      </c>
      <c r="F186">
        <f>HYPERLINK("https://www.amazon.jobs/jobs/3161224/applied-scientist-safety-ml?cmpid=DA_INAD200785B", "https://www.amazon.jobs/jobs/3161224/applied-scientist-safety-ml?cmpid=DA_INAD200785B")</f>
        <v/>
      </c>
      <c r="G186" t="inlineStr">
        <is>
          <t>San Francisco, CA, US</t>
        </is>
      </c>
      <c r="H186" s="2" t="n">
        <v>46037</v>
      </c>
      <c r="I1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7">
      <c r="A187" t="inlineStr">
        <is>
          <t>in-b97f6fb656ecb739</t>
        </is>
      </c>
      <c r="B187" t="inlineStr">
        <is>
          <t>Principal Applied Scientist, Measurement, AdTech and Data Science, Ads Performance Measurement</t>
        </is>
      </c>
      <c r="C187" t="inlineStr">
        <is>
          <t>Amazon.com</t>
        </is>
      </c>
      <c r="D187" t="inlineStr">
        <is>
          <t>indeed</t>
        </is>
      </c>
      <c r="E187">
        <f>HYPERLINK("https://www.indeed.com/viewjob?jk=b97f6fb656ecb739", "https://www.indeed.com/viewjob?jk=b97f6fb656ecb739")</f>
        <v/>
      </c>
      <c r="F187">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87" t="inlineStr">
        <is>
          <t>New York, NY, US</t>
        </is>
      </c>
      <c r="H187" s="2" t="n">
        <v>46037</v>
      </c>
      <c r="I187"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88">
      <c r="A188" t="inlineStr">
        <is>
          <t>in-a29870894e27e08c</t>
        </is>
      </c>
      <c r="B188" t="inlineStr">
        <is>
          <t>Principal Applied Scientist, Measurement, AdTech and Data Science, Ads Performance Measurement</t>
        </is>
      </c>
      <c r="C188" t="inlineStr">
        <is>
          <t>Amazon.com</t>
        </is>
      </c>
      <c r="D188" t="inlineStr">
        <is>
          <t>indeed</t>
        </is>
      </c>
      <c r="E188">
        <f>HYPERLINK("https://www.indeed.com/viewjob?jk=a29870894e27e08c", "https://www.indeed.com/viewjob?jk=a29870894e27e08c")</f>
        <v/>
      </c>
      <c r="F188">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88" t="inlineStr">
        <is>
          <t>Palo Alto, CA, US</t>
        </is>
      </c>
      <c r="H188" s="2" t="n">
        <v>46037</v>
      </c>
      <c r="I188"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89">
      <c r="A189" t="inlineStr">
        <is>
          <t>in-f173bcc75e8d0a0a</t>
        </is>
      </c>
      <c r="B189" t="inlineStr">
        <is>
          <t>Principal Applied Scientist, Measurement, AdTech and Data Science, Ads Performance Measurement</t>
        </is>
      </c>
      <c r="C189" t="inlineStr">
        <is>
          <t>Amazon.com</t>
        </is>
      </c>
      <c r="D189" t="inlineStr">
        <is>
          <t>indeed</t>
        </is>
      </c>
      <c r="E189">
        <f>HYPERLINK("https://www.indeed.com/viewjob?jk=f173bcc75e8d0a0a", "https://www.indeed.com/viewjob?jk=f173bcc75e8d0a0a")</f>
        <v/>
      </c>
      <c r="F189">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89" t="inlineStr">
        <is>
          <t>Seattle, WA, US</t>
        </is>
      </c>
      <c r="H189" s="2" t="n">
        <v>46037</v>
      </c>
      <c r="I189"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90">
      <c r="A190" t="inlineStr">
        <is>
          <t>in-3a8634b4edbbe57a</t>
        </is>
      </c>
      <c r="B190" t="inlineStr">
        <is>
          <t>Applied Scientist III, Sponsored Products and Brands</t>
        </is>
      </c>
      <c r="C190" t="inlineStr">
        <is>
          <t>Amazon.com</t>
        </is>
      </c>
      <c r="D190" t="inlineStr">
        <is>
          <t>indeed</t>
        </is>
      </c>
      <c r="E190">
        <f>HYPERLINK("https://www.indeed.com/viewjob?jk=3a8634b4edbbe57a", "https://www.indeed.com/viewjob?jk=3a8634b4edbbe57a")</f>
        <v/>
      </c>
      <c r="F190">
        <f>HYPERLINK("https://www.amazon.jobs/jobs/3162901/applied-scientist-iii-sponsored-products-and-brands?cmpid=DA_INAD200785B", "https://www.amazon.jobs/jobs/3162901/applied-scientist-iii-sponsored-products-and-brands?cmpid=DA_INAD200785B")</f>
        <v/>
      </c>
      <c r="G190" t="inlineStr">
        <is>
          <t>Seattle, WA, US</t>
        </is>
      </c>
      <c r="H190" s="2" t="n">
        <v>46037</v>
      </c>
      <c r="I19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191">
      <c r="A191" t="inlineStr">
        <is>
          <t>in-da7dbedf1c25f101</t>
        </is>
      </c>
      <c r="B191" t="inlineStr">
        <is>
          <t>Applied Scientist III, Sponsored Products and Brands</t>
        </is>
      </c>
      <c r="C191" t="inlineStr">
        <is>
          <t>Amazon.com</t>
        </is>
      </c>
      <c r="D191" t="inlineStr">
        <is>
          <t>indeed</t>
        </is>
      </c>
      <c r="E191">
        <f>HYPERLINK("https://www.indeed.com/viewjob?jk=da7dbedf1c25f101", "https://www.indeed.com/viewjob?jk=da7dbedf1c25f101")</f>
        <v/>
      </c>
      <c r="F191">
        <f>HYPERLINK("https://www.amazon.jobs/jobs/3162901/applied-scientist-iii-sponsored-products-and-brands?cmpid=DA_INAD200785B", "https://www.amazon.jobs/jobs/3162901/applied-scientist-iii-sponsored-products-and-brands?cmpid=DA_INAD200785B")</f>
        <v/>
      </c>
      <c r="G191" t="inlineStr">
        <is>
          <t>New York, NY, US</t>
        </is>
      </c>
      <c r="H191" s="2" t="n">
        <v>46037</v>
      </c>
      <c r="I1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192">
      <c r="A192" t="inlineStr">
        <is>
          <t>in-e24e543a8ebf992a</t>
        </is>
      </c>
      <c r="B192" t="inlineStr">
        <is>
          <t>Applied Scientist, LLM Code Agents, Kiro Science</t>
        </is>
      </c>
      <c r="C192" t="inlineStr">
        <is>
          <t>Amazon.com</t>
        </is>
      </c>
      <c r="D192" t="inlineStr">
        <is>
          <t>indeed</t>
        </is>
      </c>
      <c r="E192">
        <f>HYPERLINK("https://www.indeed.com/viewjob?jk=e24e543a8ebf992a", "https://www.indeed.com/viewjob?jk=e24e543a8ebf992a")</f>
        <v/>
      </c>
      <c r="F192">
        <f>HYPERLINK("https://www.amazon.jobs/jobs/3161363/applied-scientist-llm-code-agents-kiro-science?cmpid=DA_INAD200785B", "https://www.amazon.jobs/jobs/3161363/applied-scientist-llm-code-agents-kiro-science?cmpid=DA_INAD200785B")</f>
        <v/>
      </c>
      <c r="G192" t="inlineStr">
        <is>
          <t>Santa Clara, CA, US</t>
        </is>
      </c>
      <c r="H192" s="2" t="n">
        <v>46035</v>
      </c>
      <c r="I19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3">
      <c r="A193" t="inlineStr">
        <is>
          <t>in-945d0128237c657f</t>
        </is>
      </c>
      <c r="B193" t="inlineStr">
        <is>
          <t>Applied Scientist, LLM Code Agents, Kiro Science</t>
        </is>
      </c>
      <c r="C193" t="inlineStr">
        <is>
          <t>Amazon.com</t>
        </is>
      </c>
      <c r="D193" t="inlineStr">
        <is>
          <t>indeed</t>
        </is>
      </c>
      <c r="E193">
        <f>HYPERLINK("https://www.indeed.com/viewjob?jk=945d0128237c657f", "https://www.indeed.com/viewjob?jk=945d0128237c657f")</f>
        <v/>
      </c>
      <c r="F193">
        <f>HYPERLINK("https://www.amazon.jobs/jobs/3161363/applied-scientist-llm-code-agents-kiro-science?cmpid=DA_INAD200785B", "https://www.amazon.jobs/jobs/3161363/applied-scientist-llm-code-agents-kiro-science?cmpid=DA_INAD200785B")</f>
        <v/>
      </c>
      <c r="G193" t="inlineStr">
        <is>
          <t>Seattle, WA, US</t>
        </is>
      </c>
      <c r="H193" s="2" t="n">
        <v>46035</v>
      </c>
      <c r="I19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4">
      <c r="A194" t="inlineStr">
        <is>
          <t>in-48617a51d74d29c8</t>
        </is>
      </c>
      <c r="B194" t="inlineStr">
        <is>
          <t>Applied Scientist II, Prime Video Personalization and Discovery Science</t>
        </is>
      </c>
      <c r="C194" t="inlineStr">
        <is>
          <t>Amazon.com</t>
        </is>
      </c>
      <c r="D194" t="inlineStr">
        <is>
          <t>indeed</t>
        </is>
      </c>
      <c r="E194">
        <f>HYPERLINK("https://www.indeed.com/viewjob?jk=48617a51d74d29c8", "https://www.indeed.com/viewjob?jk=48617a51d74d29c8")</f>
        <v/>
      </c>
      <c r="F194">
        <f>HYPERLINK("https://www.amazon.jobs/jobs/3165157/applied-scientist-ii-prime-video-personalization-and-discovery-science?cmpid=DA_INAD200785B", "https://www.amazon.jobs/jobs/3165157/applied-scientist-ii-prime-video-personalization-and-discovery-science?cmpid=DA_INAD200785B")</f>
        <v/>
      </c>
      <c r="G194" t="inlineStr">
        <is>
          <t>Seattle, WA, US</t>
        </is>
      </c>
      <c r="H194" s="2" t="n">
        <v>46034</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5">
      <c r="A195" t="inlineStr">
        <is>
          <t>in-4a114f7218c4c89c</t>
        </is>
      </c>
      <c r="B195" t="inlineStr">
        <is>
          <t>Applied Scientist, Alexa Smart Home</t>
        </is>
      </c>
      <c r="C195" t="inlineStr">
        <is>
          <t>Amazon.com</t>
        </is>
      </c>
      <c r="D195" t="inlineStr">
        <is>
          <t>indeed</t>
        </is>
      </c>
      <c r="E195">
        <f>HYPERLINK("https://www.indeed.com/viewjob?jk=4a114f7218c4c89c", "https://www.indeed.com/viewjob?jk=4a114f7218c4c89c")</f>
        <v/>
      </c>
      <c r="F195">
        <f>HYPERLINK("https://www.amazon.jobs/jobs/3169205/applied-scientist-alexa-smart-home?cmpid=DA_INAD200785B", "https://www.amazon.jobs/jobs/3169205/applied-scientist-alexa-smart-home?cmpid=DA_INAD200785B")</f>
        <v/>
      </c>
      <c r="G195" t="inlineStr">
        <is>
          <t>Sunnyvale, CA, US</t>
        </is>
      </c>
      <c r="H195" s="2" t="n">
        <v>46033</v>
      </c>
      <c r="I19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6">
      <c r="A196" t="inlineStr">
        <is>
          <t>in-e2f7b1b8a2ea1773</t>
        </is>
      </c>
      <c r="B196" t="inlineStr">
        <is>
          <t>Applied Scientist, Alexa Smart Home</t>
        </is>
      </c>
      <c r="C196" t="inlineStr">
        <is>
          <t>Amazon.com</t>
        </is>
      </c>
      <c r="D196" t="inlineStr">
        <is>
          <t>indeed</t>
        </is>
      </c>
      <c r="E196">
        <f>HYPERLINK("https://www.indeed.com/viewjob?jk=e2f7b1b8a2ea1773", "https://www.indeed.com/viewjob?jk=e2f7b1b8a2ea1773")</f>
        <v/>
      </c>
      <c r="F196">
        <f>HYPERLINK("https://www.amazon.jobs/jobs/3169205/applied-scientist-alexa-smart-home?cmpid=DA_INAD200785B", "https://www.amazon.jobs/jobs/3169205/applied-scientist-alexa-smart-home?cmpid=DA_INAD200785B")</f>
        <v/>
      </c>
      <c r="G196" t="inlineStr">
        <is>
          <t>Seattle, WA, US</t>
        </is>
      </c>
      <c r="H196" s="2" t="n">
        <v>46033</v>
      </c>
      <c r="I19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7">
      <c r="A197" t="inlineStr">
        <is>
          <t>in-15ab749fb5ab5d7e</t>
        </is>
      </c>
      <c r="B197" t="inlineStr">
        <is>
          <t>Applied Scientist, AWS Applied AI Solutions</t>
        </is>
      </c>
      <c r="C197" t="inlineStr">
        <is>
          <t>Amazon Web Services</t>
        </is>
      </c>
      <c r="D197" t="inlineStr">
        <is>
          <t>indeed</t>
        </is>
      </c>
      <c r="E197">
        <f>HYPERLINK("https://www.indeed.com/viewjob?jk=15ab749fb5ab5d7e", "https://www.indeed.com/viewjob?jk=15ab749fb5ab5d7e")</f>
        <v/>
      </c>
      <c r="F197">
        <f>HYPERLINK("https://www.amazon.jobs/jobs/3166907/applied-scientist-aws-applied-ai-solutions?cmpid=DA_INAD200785B", "https://www.amazon.jobs/jobs/3166907/applied-scientist-aws-applied-ai-solutions?cmpid=DA_INAD200785B")</f>
        <v/>
      </c>
      <c r="G197" t="inlineStr">
        <is>
          <t>New York, NY, US</t>
        </is>
      </c>
      <c r="H197" s="2" t="n">
        <v>46030</v>
      </c>
      <c r="I19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8">
      <c r="A198" t="inlineStr">
        <is>
          <t>in-858d56ed14088270</t>
        </is>
      </c>
      <c r="B198" t="inlineStr">
        <is>
          <t>Applied Scientist, AWS Applied AI Solutions</t>
        </is>
      </c>
      <c r="C198" t="inlineStr">
        <is>
          <t>Amazon Web Services</t>
        </is>
      </c>
      <c r="D198" t="inlineStr">
        <is>
          <t>indeed</t>
        </is>
      </c>
      <c r="E198">
        <f>HYPERLINK("https://www.indeed.com/viewjob?jk=858d56ed14088270", "https://www.indeed.com/viewjob?jk=858d56ed14088270")</f>
        <v/>
      </c>
      <c r="F198">
        <f>HYPERLINK("https://www.amazon.jobs/jobs/3166907/applied-scientist-aws-applied-ai-solutions?cmpid=DA_INAD200785B", "https://www.amazon.jobs/jobs/3166907/applied-scientist-aws-applied-ai-solutions?cmpid=DA_INAD200785B")</f>
        <v/>
      </c>
      <c r="G198" t="inlineStr">
        <is>
          <t>Seattle, WA, US</t>
        </is>
      </c>
      <c r="H198" s="2" t="n">
        <v>46030</v>
      </c>
      <c r="I19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9">
      <c r="A199" t="inlineStr">
        <is>
          <t>in-e09922dc97d9a964</t>
        </is>
      </c>
      <c r="B199" t="inlineStr">
        <is>
          <t>Senior Data Scientist, Amazon Global Logistics</t>
        </is>
      </c>
      <c r="C199" t="inlineStr">
        <is>
          <t>Amazon.com</t>
        </is>
      </c>
      <c r="D199" t="inlineStr">
        <is>
          <t>indeed</t>
        </is>
      </c>
      <c r="E199">
        <f>HYPERLINK("https://www.indeed.com/viewjob?jk=e09922dc97d9a964", "https://www.indeed.com/viewjob?jk=e09922dc97d9a964")</f>
        <v/>
      </c>
      <c r="F199">
        <f>HYPERLINK("https://www.amazon.jobs/jobs/3166902/senior-data-scientist-amazon-global-logistics?cmpid=DA_INAD200785B", "https://www.amazon.jobs/jobs/3166902/senior-data-scientist-amazon-global-logistics?cmpid=DA_INAD200785B")</f>
        <v/>
      </c>
      <c r="G199" t="inlineStr">
        <is>
          <t>Bellevue, WA, US</t>
        </is>
      </c>
      <c r="H199" s="2" t="n">
        <v>46029</v>
      </c>
      <c r="I199"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200">
      <c r="A200" t="inlineStr">
        <is>
          <t>in-e06a2d5fcd6dced9</t>
        </is>
      </c>
      <c r="B200" t="inlineStr">
        <is>
          <t>Senior Data Scientist, Amazon Global Logistics</t>
        </is>
      </c>
      <c r="C200" t="inlineStr">
        <is>
          <t>Amazon.com</t>
        </is>
      </c>
      <c r="D200" t="inlineStr">
        <is>
          <t>indeed</t>
        </is>
      </c>
      <c r="E200">
        <f>HYPERLINK("https://www.indeed.com/viewjob?jk=e06a2d5fcd6dced9", "https://www.indeed.com/viewjob?jk=e06a2d5fcd6dced9")</f>
        <v/>
      </c>
      <c r="F200">
        <f>HYPERLINK("https://www.amazon.jobs/jobs/3166902/senior-data-scientist-amazon-global-logistics?cmpid=DA_INAD200785B", "https://www.amazon.jobs/jobs/3166902/senior-data-scientist-amazon-global-logistics?cmpid=DA_INAD200785B")</f>
        <v/>
      </c>
      <c r="G200" t="inlineStr">
        <is>
          <t>Boston, MA, US</t>
        </is>
      </c>
      <c r="H200" s="2" t="n">
        <v>46029</v>
      </c>
      <c r="I200"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201">
      <c r="A201" t="inlineStr">
        <is>
          <t>in-3366442e5cc9df61</t>
        </is>
      </c>
      <c r="B201" t="inlineStr">
        <is>
          <t>Applied Scientist II, Prime Video Personalization and Discovery Science</t>
        </is>
      </c>
      <c r="C201" t="inlineStr">
        <is>
          <t>Amazon.com</t>
        </is>
      </c>
      <c r="D201" t="inlineStr">
        <is>
          <t>indeed</t>
        </is>
      </c>
      <c r="E201">
        <f>HYPERLINK("https://www.indeed.com/viewjob?jk=3366442e5cc9df61", "https://www.indeed.com/viewjob?jk=3366442e5cc9df61")</f>
        <v/>
      </c>
      <c r="F201">
        <f>HYPERLINK("https://www.amazon.jobs/jobs/3155448/applied-scientist-ii-prime-video-personalization-and-discovery-science?cmpid=DA_INAD200785B", "https://www.amazon.jobs/jobs/3155448/applied-scientist-ii-prime-video-personalization-and-discovery-science?cmpid=DA_INAD200785B")</f>
        <v/>
      </c>
      <c r="G201" t="inlineStr">
        <is>
          <t>Seattle, WA, US</t>
        </is>
      </c>
      <c r="H201" s="2" t="n">
        <v>46028</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2">
      <c r="A202" t="inlineStr">
        <is>
          <t>in-b7e493c5c32b0505</t>
        </is>
      </c>
      <c r="B202" t="inlineStr">
        <is>
          <t>Applied Scientist II, Prime Video Personalization and Discovery Science</t>
        </is>
      </c>
      <c r="C202" t="inlineStr">
        <is>
          <t>Amazon.com</t>
        </is>
      </c>
      <c r="D202" t="inlineStr">
        <is>
          <t>indeed</t>
        </is>
      </c>
      <c r="E202">
        <f>HYPERLINK("https://www.indeed.com/viewjob?jk=b7e493c5c32b0505", "https://www.indeed.com/viewjob?jk=b7e493c5c32b0505")</f>
        <v/>
      </c>
      <c r="F202">
        <f>HYPERLINK("https://www.amazon.jobs/jobs/3155448/applied-scientist-ii-prime-video-personalization-and-discovery-science?cmpid=DA_INAD200785B", "https://www.amazon.jobs/jobs/3155448/applied-scientist-ii-prime-video-personalization-and-discovery-science?cmpid=DA_INAD200785B")</f>
        <v/>
      </c>
      <c r="G202" t="inlineStr">
        <is>
          <t>Sunnyvale, CA, US</t>
        </is>
      </c>
      <c r="H202" s="2" t="n">
        <v>46028</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3">
      <c r="A203" t="inlineStr">
        <is>
          <t>in-aa7b5342d73957ee</t>
        </is>
      </c>
      <c r="B203" t="inlineStr">
        <is>
          <t>Applied Scientist II, Prime Video Personalization and Discovery Science</t>
        </is>
      </c>
      <c r="C203" t="inlineStr">
        <is>
          <t>Amazon.com</t>
        </is>
      </c>
      <c r="D203" t="inlineStr">
        <is>
          <t>indeed</t>
        </is>
      </c>
      <c r="E203">
        <f>HYPERLINK("https://www.indeed.com/viewjob?jk=aa7b5342d73957ee", "https://www.indeed.com/viewjob?jk=aa7b5342d73957ee")</f>
        <v/>
      </c>
      <c r="F203">
        <f>HYPERLINK("https://www.amazon.jobs/jobs/3155448/applied-scientist-ii-prime-video-personalization-and-discovery-science?cmpid=DA_INAD200785B", "https://www.amazon.jobs/jobs/3155448/applied-scientist-ii-prime-video-personalization-and-discovery-science?cmpid=DA_INAD200785B")</f>
        <v/>
      </c>
      <c r="G203" t="inlineStr">
        <is>
          <t>New York, NY, US</t>
        </is>
      </c>
      <c r="H203" s="2" t="n">
        <v>46028</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4">
      <c r="A204" t="inlineStr">
        <is>
          <t>in-602a3890cc115d56</t>
        </is>
      </c>
      <c r="B204" t="inlineStr">
        <is>
          <t>Applied Scientist II, Locomotion, Amazon Industrial Robotics</t>
        </is>
      </c>
      <c r="C204" t="inlineStr">
        <is>
          <t>Amazon.com</t>
        </is>
      </c>
      <c r="D204" t="inlineStr">
        <is>
          <t>indeed</t>
        </is>
      </c>
      <c r="E204">
        <f>HYPERLINK("https://www.indeed.com/viewjob?jk=602a3890cc115d56", "https://www.indeed.com/viewjob?jk=602a3890cc115d56")</f>
        <v/>
      </c>
      <c r="F204">
        <f>HYPERLINK("https://www.amazon.jobs/jobs/3154607/applied-scientist-ii-locomotion-amazon-industrial-robotics?cmpid=DA_INAD200785B", "https://www.amazon.jobs/jobs/3154607/applied-scientist-ii-locomotion-amazon-industrial-robotics?cmpid=DA_INAD200785B")</f>
        <v/>
      </c>
      <c r="G204" t="inlineStr">
        <is>
          <t>Reading, MA, US</t>
        </is>
      </c>
      <c r="H204" s="2" t="n">
        <v>46028</v>
      </c>
      <c r="I20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05">
      <c r="A205" t="inlineStr">
        <is>
          <t>in-15677f3d3d70263e</t>
        </is>
      </c>
      <c r="B205" t="inlineStr">
        <is>
          <t>Applied Scientist II, Locomotion, Amazon Industrial Robotics</t>
        </is>
      </c>
      <c r="C205" t="inlineStr">
        <is>
          <t>Amazon.com</t>
        </is>
      </c>
      <c r="D205" t="inlineStr">
        <is>
          <t>indeed</t>
        </is>
      </c>
      <c r="E205">
        <f>HYPERLINK("https://www.indeed.com/viewjob?jk=15677f3d3d70263e", "https://www.indeed.com/viewjob?jk=15677f3d3d70263e")</f>
        <v/>
      </c>
      <c r="F205">
        <f>HYPERLINK("https://www.amazon.jobs/jobs/3154607/applied-scientist-ii-locomotion-amazon-industrial-robotics?cmpid=DA_INAD200785B", "https://www.amazon.jobs/jobs/3154607/applied-scientist-ii-locomotion-amazon-industrial-robotics?cmpid=DA_INAD200785B")</f>
        <v/>
      </c>
      <c r="G205" t="inlineStr">
        <is>
          <t>Reading, MA, US</t>
        </is>
      </c>
      <c r="H205" s="2" t="n">
        <v>46028</v>
      </c>
      <c r="I20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06">
      <c r="A206" t="inlineStr">
        <is>
          <t>in-fd1d8c0275b2900f</t>
        </is>
      </c>
      <c r="B206" t="inlineStr">
        <is>
          <t>Senior Applied Scientist, Industrial Robotics Group</t>
        </is>
      </c>
      <c r="C206" t="inlineStr">
        <is>
          <t>Amazon.com</t>
        </is>
      </c>
      <c r="D206" t="inlineStr">
        <is>
          <t>indeed</t>
        </is>
      </c>
      <c r="E206">
        <f>HYPERLINK("https://www.indeed.com/viewjob?jk=fd1d8c0275b2900f", "https://www.indeed.com/viewjob?jk=fd1d8c0275b2900f")</f>
        <v/>
      </c>
      <c r="F206">
        <f>HYPERLINK("https://www.amazon.jobs/jobs/3154866/senior-applied-scientist-industrial-robotics-group?cmpid=DA_INAD200785B", "https://www.amazon.jobs/jobs/3154866/senior-applied-scientist-industrial-robotics-group?cmpid=DA_INAD200785B")</f>
        <v/>
      </c>
      <c r="G206" t="inlineStr">
        <is>
          <t>Reading, MA, US</t>
        </is>
      </c>
      <c r="H206" s="2" t="n">
        <v>46027</v>
      </c>
      <c r="I206"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07">
      <c r="A207" t="inlineStr">
        <is>
          <t>in-628f319cce195b52</t>
        </is>
      </c>
      <c r="B207" t="inlineStr">
        <is>
          <t>Senior Applied Scientist, Industrial Robotics Group</t>
        </is>
      </c>
      <c r="C207" t="inlineStr">
        <is>
          <t>Amazon.com</t>
        </is>
      </c>
      <c r="D207" t="inlineStr">
        <is>
          <t>indeed</t>
        </is>
      </c>
      <c r="E207">
        <f>HYPERLINK("https://www.indeed.com/viewjob?jk=628f319cce195b52", "https://www.indeed.com/viewjob?jk=628f319cce195b52")</f>
        <v/>
      </c>
      <c r="F207">
        <f>HYPERLINK("https://www.amazon.jobs/jobs/3154866/senior-applied-scientist-industrial-robotics-group?cmpid=DA_INAD200785B", "https://www.amazon.jobs/jobs/3154866/senior-applied-scientist-industrial-robotics-group?cmpid=DA_INAD200785B")</f>
        <v/>
      </c>
      <c r="G207" t="inlineStr">
        <is>
          <t>Reading, MA, US</t>
        </is>
      </c>
      <c r="H207" s="2" t="n">
        <v>46027</v>
      </c>
      <c r="I207"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08">
      <c r="A208" t="inlineStr">
        <is>
          <t>in-6648c61aaff3fbfa</t>
        </is>
      </c>
      <c r="B208" t="inlineStr">
        <is>
          <t>Senior Applied Scientist, Distributed SQL</t>
        </is>
      </c>
      <c r="C208" t="inlineStr">
        <is>
          <t>Amazon Web Services</t>
        </is>
      </c>
      <c r="D208" t="inlineStr">
        <is>
          <t>indeed</t>
        </is>
      </c>
      <c r="E208">
        <f>HYPERLINK("https://www.indeed.com/viewjob?jk=6648c61aaff3fbfa", "https://www.indeed.com/viewjob?jk=6648c61aaff3fbfa")</f>
        <v/>
      </c>
      <c r="F208">
        <f>HYPERLINK("https://www.amazon.jobs/jobs/3148444/senior-applied-scientist-distributed-sql?cmpid=DA_INAD200785B", "https://www.amazon.jobs/jobs/3148444/senior-applied-scientist-distributed-sql?cmpid=DA_INAD200785B")</f>
        <v/>
      </c>
      <c r="G208" t="inlineStr">
        <is>
          <t>East Palo Alto, CA, US</t>
        </is>
      </c>
      <c r="H208" s="2" t="n">
        <v>46012</v>
      </c>
      <c r="I20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09">
      <c r="A209" t="inlineStr">
        <is>
          <t>in-55cb526842fd3431</t>
        </is>
      </c>
      <c r="B209" t="inlineStr">
        <is>
          <t>Senior Applied Scientist, Distributed SQL</t>
        </is>
      </c>
      <c r="C209" t="inlineStr">
        <is>
          <t>Amazon Web Services</t>
        </is>
      </c>
      <c r="D209" t="inlineStr">
        <is>
          <t>indeed</t>
        </is>
      </c>
      <c r="E209">
        <f>HYPERLINK("https://www.indeed.com/viewjob?jk=55cb526842fd3431", "https://www.indeed.com/viewjob?jk=55cb526842fd3431")</f>
        <v/>
      </c>
      <c r="F209">
        <f>HYPERLINK("https://www.amazon.jobs/jobs/3148444/senior-applied-scientist-distributed-sql?cmpid=DA_INAD200785B", "https://www.amazon.jobs/jobs/3148444/senior-applied-scientist-distributed-sql?cmpid=DA_INAD200785B")</f>
        <v/>
      </c>
      <c r="G209" t="inlineStr">
        <is>
          <t>Seattle, WA, US</t>
        </is>
      </c>
      <c r="H209" s="2" t="n">
        <v>46012</v>
      </c>
      <c r="I20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10">
      <c r="A210" t="inlineStr">
        <is>
          <t>in-64db3562cf5deee2</t>
        </is>
      </c>
      <c r="B210" t="inlineStr">
        <is>
          <t>Principal Applied Scientist, Kiro Science</t>
        </is>
      </c>
      <c r="C210" t="inlineStr">
        <is>
          <t>Amazon Web Services</t>
        </is>
      </c>
      <c r="D210" t="inlineStr">
        <is>
          <t>indeed</t>
        </is>
      </c>
      <c r="E210">
        <f>HYPERLINK("https://www.indeed.com/viewjob?jk=64db3562cf5deee2", "https://www.indeed.com/viewjob?jk=64db3562cf5deee2")</f>
        <v/>
      </c>
      <c r="F210">
        <f>HYPERLINK("https://www.amazon.jobs/jobs/3161064/principal-applied-scientist-kiro-science?cmpid=DA_INAD200785B", "https://www.amazon.jobs/jobs/3161064/principal-applied-scientist-kiro-science?cmpid=DA_INAD200785B")</f>
        <v/>
      </c>
      <c r="G210" t="inlineStr">
        <is>
          <t>New York, NY, US</t>
        </is>
      </c>
      <c r="H210" s="2" t="n">
        <v>45999</v>
      </c>
      <c r="I21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1">
      <c r="A211" t="inlineStr">
        <is>
          <t>in-1399b7bbc6791a91</t>
        </is>
      </c>
      <c r="B211" t="inlineStr">
        <is>
          <t>Principal Applied Scientist, Kiro Science</t>
        </is>
      </c>
      <c r="C211" t="inlineStr">
        <is>
          <t>Amazon Web Services</t>
        </is>
      </c>
      <c r="D211" t="inlineStr">
        <is>
          <t>indeed</t>
        </is>
      </c>
      <c r="E211">
        <f>HYPERLINK("https://www.indeed.com/viewjob?jk=1399b7bbc6791a91", "https://www.indeed.com/viewjob?jk=1399b7bbc6791a91")</f>
        <v/>
      </c>
      <c r="F211">
        <f>HYPERLINK("https://www.amazon.jobs/jobs/3161064/principal-applied-scientist-kiro-science?cmpid=DA_INAD200785B", "https://www.amazon.jobs/jobs/3161064/principal-applied-scientist-kiro-science?cmpid=DA_INAD200785B")</f>
        <v/>
      </c>
      <c r="G211" t="inlineStr">
        <is>
          <t>Santa Clara, CA, US</t>
        </is>
      </c>
      <c r="H211" s="2" t="n">
        <v>45999</v>
      </c>
      <c r="I21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2">
      <c r="A212" t="inlineStr">
        <is>
          <t>in-ac101e9384975175</t>
        </is>
      </c>
      <c r="B212" t="inlineStr">
        <is>
          <t>Principal Applied Scientist, Sponsored Products and Brands</t>
        </is>
      </c>
      <c r="C212" t="inlineStr">
        <is>
          <t>Amazon.com</t>
        </is>
      </c>
      <c r="D212" t="inlineStr">
        <is>
          <t>indeed</t>
        </is>
      </c>
      <c r="E212">
        <f>HYPERLINK("https://www.indeed.com/viewjob?jk=ac101e9384975175", "https://www.indeed.com/viewjob?jk=ac101e9384975175")</f>
        <v/>
      </c>
      <c r="F212">
        <f>HYPERLINK("https://www.amazon.jobs/jobs/3130855/principal-applied-scientist-sponsored-products-and-brands?cmpid=DA_INAD200785B", "https://www.amazon.jobs/jobs/3130855/principal-applied-scientist-sponsored-products-and-brands?cmpid=DA_INAD200785B")</f>
        <v/>
      </c>
      <c r="G212" t="inlineStr">
        <is>
          <t>Seattle, WA, US</t>
        </is>
      </c>
      <c r="H212" s="2" t="n">
        <v>45979</v>
      </c>
      <c r="I21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in-4a11bec037f024fb</t>
        </is>
      </c>
      <c r="B213" t="inlineStr">
        <is>
          <t>Principal Applied Scientist, Sponsored Products and Brands</t>
        </is>
      </c>
      <c r="C213" t="inlineStr">
        <is>
          <t>Amazon.com</t>
        </is>
      </c>
      <c r="D213" t="inlineStr">
        <is>
          <t>indeed</t>
        </is>
      </c>
      <c r="E213">
        <f>HYPERLINK("https://www.indeed.com/viewjob?jk=4a11bec037f024fb", "https://www.indeed.com/viewjob?jk=4a11bec037f024fb")</f>
        <v/>
      </c>
      <c r="F213">
        <f>HYPERLINK("https://www.amazon.jobs/jobs/3130855/principal-applied-scientist-sponsored-products-and-brands?cmpid=DA_INAD200785B", "https://www.amazon.jobs/jobs/3130855/principal-applied-scientist-sponsored-products-and-brands?cmpid=DA_INAD200785B")</f>
        <v/>
      </c>
      <c r="G213" t="inlineStr">
        <is>
          <t>New York, NY, US</t>
        </is>
      </c>
      <c r="H213" s="2" t="n">
        <v>45979</v>
      </c>
      <c r="I21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in-67b7f82888727295</t>
        </is>
      </c>
      <c r="B214" t="inlineStr">
        <is>
          <t>Sr. Applied Scientist, Sponsored Products</t>
        </is>
      </c>
      <c r="C214" t="inlineStr">
        <is>
          <t>Amazon.com</t>
        </is>
      </c>
      <c r="D214" t="inlineStr">
        <is>
          <t>indeed</t>
        </is>
      </c>
      <c r="E214">
        <f>HYPERLINK("https://www.indeed.com/viewjob?jk=67b7f82888727295", "https://www.indeed.com/viewjob?jk=67b7f82888727295")</f>
        <v/>
      </c>
      <c r="F214">
        <f>HYPERLINK("https://www.amazon.jobs/jobs/3136156/sr-applied-scientist-sponsored-products?cmpid=DA_INAD200785B", "https://www.amazon.jobs/jobs/3136156/sr-applied-scientist-sponsored-products?cmpid=DA_INAD200785B")</f>
        <v/>
      </c>
      <c r="G214" t="inlineStr">
        <is>
          <t>Seattle, WA, US</t>
        </is>
      </c>
      <c r="H214" s="2" t="n">
        <v>45976</v>
      </c>
      <c r="I21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5">
      <c r="A215" t="inlineStr">
        <is>
          <t>in-b939eaa509bfff2b</t>
        </is>
      </c>
      <c r="B215" t="inlineStr">
        <is>
          <t>Sr. Applied Scientist, Sponsored Products</t>
        </is>
      </c>
      <c r="C215" t="inlineStr">
        <is>
          <t>Amazon.com</t>
        </is>
      </c>
      <c r="D215" t="inlineStr">
        <is>
          <t>indeed</t>
        </is>
      </c>
      <c r="E215">
        <f>HYPERLINK("https://www.indeed.com/viewjob?jk=b939eaa509bfff2b", "https://www.indeed.com/viewjob?jk=b939eaa509bfff2b")</f>
        <v/>
      </c>
      <c r="F215">
        <f>HYPERLINK("https://www.amazon.jobs/jobs/3136156/sr-applied-scientist-sponsored-products?cmpid=DA_INAD200785B", "https://www.amazon.jobs/jobs/3136156/sr-applied-scientist-sponsored-products?cmpid=DA_INAD200785B")</f>
        <v/>
      </c>
      <c r="G215" t="inlineStr">
        <is>
          <t>New York, NY, US</t>
        </is>
      </c>
      <c r="H215" s="2" t="n">
        <v>45976</v>
      </c>
      <c r="I21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6">
      <c r="A216" t="inlineStr">
        <is>
          <t>in-dbca0a156d208949</t>
        </is>
      </c>
      <c r="B216" t="inlineStr">
        <is>
          <t>Sr. Applied Scientist, Sponsored Products</t>
        </is>
      </c>
      <c r="C216" t="inlineStr">
        <is>
          <t>Amazon.com</t>
        </is>
      </c>
      <c r="D216" t="inlineStr">
        <is>
          <t>indeed</t>
        </is>
      </c>
      <c r="E216">
        <f>HYPERLINK("https://www.indeed.com/viewjob?jk=dbca0a156d208949", "https://www.indeed.com/viewjob?jk=dbca0a156d208949")</f>
        <v/>
      </c>
      <c r="F216">
        <f>HYPERLINK("https://www.amazon.jobs/jobs/3136156/sr-applied-scientist-sponsored-products?cmpid=DA_INAD200785B", "https://www.amazon.jobs/jobs/3136156/sr-applied-scientist-sponsored-products?cmpid=DA_INAD200785B")</f>
        <v/>
      </c>
      <c r="G216" t="inlineStr">
        <is>
          <t>Arlington, VA, US</t>
        </is>
      </c>
      <c r="H216" s="2" t="n">
        <v>45976</v>
      </c>
      <c r="I21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7">
      <c r="A217" t="inlineStr">
        <is>
          <t>in-ab9fba2b3447e984</t>
        </is>
      </c>
      <c r="B217" t="inlineStr">
        <is>
          <t>Principal Applied Scientist, AWS Agentic AI Science</t>
        </is>
      </c>
      <c r="C217" t="inlineStr">
        <is>
          <t>Amazon Web Services</t>
        </is>
      </c>
      <c r="D217" t="inlineStr">
        <is>
          <t>indeed</t>
        </is>
      </c>
      <c r="E217">
        <f>HYPERLINK("https://www.indeed.com/viewjob?jk=ab9fba2b3447e984", "https://www.indeed.com/viewjob?jk=ab9fba2b3447e984")</f>
        <v/>
      </c>
      <c r="F217">
        <f>HYPERLINK("https://www.amazon.jobs/jobs/3132887/principal-applied-scientist-aws-agentic-ai-science?cmpid=DA_INAD200785B", "https://www.amazon.jobs/jobs/3132887/principal-applied-scientist-aws-agentic-ai-science?cmpid=DA_INAD200785B")</f>
        <v/>
      </c>
      <c r="G217" t="inlineStr">
        <is>
          <t>New York, NY, US</t>
        </is>
      </c>
      <c r="H217" s="2" t="n">
        <v>45963</v>
      </c>
      <c r="I217"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8">
      <c r="A218" t="inlineStr">
        <is>
          <t>in-3c35b8c8157deebf</t>
        </is>
      </c>
      <c r="B218" t="inlineStr">
        <is>
          <t>Principal Applied Scientist, AWS Agentic AI Science</t>
        </is>
      </c>
      <c r="C218" t="inlineStr">
        <is>
          <t>Amazon Web Services</t>
        </is>
      </c>
      <c r="D218" t="inlineStr">
        <is>
          <t>indeed</t>
        </is>
      </c>
      <c r="E218">
        <f>HYPERLINK("https://www.indeed.com/viewjob?jk=3c35b8c8157deebf", "https://www.indeed.com/viewjob?jk=3c35b8c8157deebf")</f>
        <v/>
      </c>
      <c r="F218">
        <f>HYPERLINK("https://www.amazon.jobs/jobs/3132887/principal-applied-scientist-aws-agentic-ai-science?cmpid=DA_INAD200785B", "https://www.amazon.jobs/jobs/3132887/principal-applied-scientist-aws-agentic-ai-science?cmpid=DA_INAD200785B")</f>
        <v/>
      </c>
      <c r="G218" t="inlineStr">
        <is>
          <t>Santa Clara, CA, US</t>
        </is>
      </c>
      <c r="H218" s="2" t="n">
        <v>45963</v>
      </c>
      <c r="I218"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9">
      <c r="A219" t="inlineStr">
        <is>
          <t>in-bc1830e5b687d5ec</t>
        </is>
      </c>
      <c r="B219" t="inlineStr">
        <is>
          <t>Applied Scientist, AWS Agentic AI</t>
        </is>
      </c>
      <c r="C219" t="inlineStr">
        <is>
          <t>Amazon Web Services</t>
        </is>
      </c>
      <c r="D219" t="inlineStr">
        <is>
          <t>indeed</t>
        </is>
      </c>
      <c r="E219">
        <f>HYPERLINK("https://www.indeed.com/viewjob?jk=bc1830e5b687d5ec", "https://www.indeed.com/viewjob?jk=bc1830e5b687d5ec")</f>
        <v/>
      </c>
      <c r="F219">
        <f>HYPERLINK("https://www.amazon.jobs/jobs/3141517/applied-scientist-aws-agentic-ai-?cmpid=DA_INAD200785B", "https://www.amazon.jobs/jobs/3141517/applied-scientist-aws-agentic-ai-?cmpid=DA_INAD200785B")</f>
        <v/>
      </c>
      <c r="G219" t="inlineStr">
        <is>
          <t>Santa Clara, CA, US</t>
        </is>
      </c>
      <c r="H219" s="2" t="n">
        <v>45962</v>
      </c>
      <c r="I21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in-1cad994a142b2d7a</t>
        </is>
      </c>
      <c r="B220" t="inlineStr">
        <is>
          <t>Applied Scientist, AWS Agentic AI</t>
        </is>
      </c>
      <c r="C220" t="inlineStr">
        <is>
          <t>Amazon Web Services</t>
        </is>
      </c>
      <c r="D220" t="inlineStr">
        <is>
          <t>indeed</t>
        </is>
      </c>
      <c r="E220">
        <f>HYPERLINK("https://www.indeed.com/viewjob?jk=1cad994a142b2d7a", "https://www.indeed.com/viewjob?jk=1cad994a142b2d7a")</f>
        <v/>
      </c>
      <c r="F220">
        <f>HYPERLINK("https://www.amazon.jobs/jobs/3141517/applied-scientist-aws-agentic-ai-?cmpid=DA_INAD200785B", "https://www.amazon.jobs/jobs/3141517/applied-scientist-aws-agentic-ai-?cmpid=DA_INAD200785B")</f>
        <v/>
      </c>
      <c r="G220" t="inlineStr">
        <is>
          <t>Seattle, WA, US</t>
        </is>
      </c>
      <c r="H220" s="2" t="n">
        <v>45962</v>
      </c>
      <c r="I22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in-4f22893d1ff43535</t>
        </is>
      </c>
      <c r="B221" t="inlineStr">
        <is>
          <t>Applied Scientist, AWS Agentic AI</t>
        </is>
      </c>
      <c r="C221" t="inlineStr">
        <is>
          <t>Amazon Web Services</t>
        </is>
      </c>
      <c r="D221" t="inlineStr">
        <is>
          <t>indeed</t>
        </is>
      </c>
      <c r="E221">
        <f>HYPERLINK("https://www.indeed.com/viewjob?jk=4f22893d1ff43535", "https://www.indeed.com/viewjob?jk=4f22893d1ff43535")</f>
        <v/>
      </c>
      <c r="F221">
        <f>HYPERLINK("https://www.amazon.jobs/jobs/3141517/applied-scientist-aws-agentic-ai-?cmpid=DA_INAD200785B", "https://www.amazon.jobs/jobs/3141517/applied-scientist-aws-agentic-ai-?cmpid=DA_INAD200785B")</f>
        <v/>
      </c>
      <c r="G221" t="inlineStr">
        <is>
          <t>New York, NY, US</t>
        </is>
      </c>
      <c r="H221" s="2" t="n">
        <v>45962</v>
      </c>
      <c r="I22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in-24db83ad97e7a494</t>
        </is>
      </c>
      <c r="B222" t="inlineStr">
        <is>
          <t>Applied Scientist, Prime Video - Content Understanding, Localization &amp; Enrichment Team</t>
        </is>
      </c>
      <c r="C222" t="inlineStr">
        <is>
          <t>Amazon.com</t>
        </is>
      </c>
      <c r="D222" t="inlineStr">
        <is>
          <t>indeed</t>
        </is>
      </c>
      <c r="E222">
        <f>HYPERLINK("https://www.indeed.com/viewjob?jk=24db83ad97e7a494", "https://www.indeed.com/viewjob?jk=24db83ad97e7a494")</f>
        <v/>
      </c>
      <c r="F222">
        <f>HYPERLINK("https://www.amazon.jobs/jobs/3111928/applied-scientist-prime-video--content-understanding-localization--enrichment-team?cmpid=DA_INAD200785B", "https://www.amazon.jobs/jobs/3111928/applied-scientist-prime-video--content-understanding-localization--enrichment-team?cmpid=DA_INAD200785B")</f>
        <v/>
      </c>
      <c r="G222" t="inlineStr">
        <is>
          <t>San Francisco, CA, US</t>
        </is>
      </c>
      <c r="H222" s="2" t="n">
        <v>45943</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23">
      <c r="A223" t="inlineStr">
        <is>
          <t>in-b492520b9b88192d</t>
        </is>
      </c>
      <c r="B223" t="inlineStr">
        <is>
          <t>Applied Scientist, Prime Video - Content Understanding, Localization &amp; Enrichment Team</t>
        </is>
      </c>
      <c r="C223" t="inlineStr">
        <is>
          <t>Amazon.com</t>
        </is>
      </c>
      <c r="D223" t="inlineStr">
        <is>
          <t>indeed</t>
        </is>
      </c>
      <c r="E223">
        <f>HYPERLINK("https://www.indeed.com/viewjob?jk=b492520b9b88192d", "https://www.indeed.com/viewjob?jk=b492520b9b88192d")</f>
        <v/>
      </c>
      <c r="F223">
        <f>HYPERLINK("https://www.amazon.jobs/jobs/3111928/applied-scientist-prime-video--content-understanding-localization--enrichment-team?cmpid=DA_INAD200785B", "https://www.amazon.jobs/jobs/3111928/applied-scientist-prime-video--content-understanding-localization--enrichment-team?cmpid=DA_INAD200785B")</f>
        <v/>
      </c>
      <c r="G223" t="inlineStr">
        <is>
          <t>Seattle, WA, US</t>
        </is>
      </c>
      <c r="H223" s="2" t="n">
        <v>45943</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24">
      <c r="A224" t="inlineStr">
        <is>
          <t>in-e6998c9353f1675c</t>
        </is>
      </c>
      <c r="B224" t="inlineStr">
        <is>
          <t>Principal Applied Scientist, Advertiser Growth, Amazon Sponsored Products &amp; Brands</t>
        </is>
      </c>
      <c r="C224" t="inlineStr">
        <is>
          <t>Amazon.com</t>
        </is>
      </c>
      <c r="D224" t="inlineStr">
        <is>
          <t>indeed</t>
        </is>
      </c>
      <c r="E224">
        <f>HYPERLINK("https://www.indeed.com/viewjob?jk=e6998c9353f1675c", "https://www.indeed.com/viewjob?jk=e6998c9353f1675c")</f>
        <v/>
      </c>
      <c r="F224">
        <f>HYPERLINK("https://www.amazon.jobs/jobs/3115279/principal-applied-scientist-advertiser-growth-amazon-sponsored-products--brands?cmpid=DA_INAD200785B", "https://www.amazon.jobs/jobs/3115279/principal-applied-scientist-advertiser-growth-amazon-sponsored-products--brands?cmpid=DA_INAD200785B")</f>
        <v/>
      </c>
      <c r="G224" t="inlineStr">
        <is>
          <t>Seattle, WA, US</t>
        </is>
      </c>
      <c r="H224" s="2" t="n">
        <v>45942</v>
      </c>
      <c r="I22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in-9c4b631400f877d4</t>
        </is>
      </c>
      <c r="B225" t="inlineStr">
        <is>
          <t>Principal Applied Scientist, Advertiser Growth, Amazon Sponsored Products &amp; Brands</t>
        </is>
      </c>
      <c r="C225" t="inlineStr">
        <is>
          <t>Amazon.com</t>
        </is>
      </c>
      <c r="D225" t="inlineStr">
        <is>
          <t>indeed</t>
        </is>
      </c>
      <c r="E225">
        <f>HYPERLINK("https://www.indeed.com/viewjob?jk=9c4b631400f877d4", "https://www.indeed.com/viewjob?jk=9c4b631400f877d4")</f>
        <v/>
      </c>
      <c r="F225">
        <f>HYPERLINK("https://www.amazon.jobs/jobs/3115279/principal-applied-scientist-advertiser-growth-amazon-sponsored-products--brands?cmpid=DA_INAD200785B", "https://www.amazon.jobs/jobs/3115279/principal-applied-scientist-advertiser-growth-amazon-sponsored-products--brands?cmpid=DA_INAD200785B")</f>
        <v/>
      </c>
      <c r="G225" t="inlineStr">
        <is>
          <t>New York, NY, US</t>
        </is>
      </c>
      <c r="H225" s="2" t="n">
        <v>45942</v>
      </c>
      <c r="I22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in-a41206b97ea99470</t>
        </is>
      </c>
      <c r="B226" t="inlineStr">
        <is>
          <t>Principal Applied Scientist, Advertiser Growth, Amazon Sponsored Products &amp; Brands</t>
        </is>
      </c>
      <c r="C226" t="inlineStr">
        <is>
          <t>Amazon.com</t>
        </is>
      </c>
      <c r="D226" t="inlineStr">
        <is>
          <t>indeed</t>
        </is>
      </c>
      <c r="E226">
        <f>HYPERLINK("https://www.indeed.com/viewjob?jk=a41206b97ea99470", "https://www.indeed.com/viewjob?jk=a41206b97ea99470")</f>
        <v/>
      </c>
      <c r="F226">
        <f>HYPERLINK("https://www.amazon.jobs/jobs/3115279/principal-applied-scientist-advertiser-growth-amazon-sponsored-products--brands?cmpid=DA_INAD200785B", "https://www.amazon.jobs/jobs/3115279/principal-applied-scientist-advertiser-growth-amazon-sponsored-products--brands?cmpid=DA_INAD200785B")</f>
        <v/>
      </c>
      <c r="G226" t="inlineStr">
        <is>
          <t>Palo Alto, CA, US</t>
        </is>
      </c>
      <c r="H226" s="2" t="n">
        <v>45942</v>
      </c>
      <c r="I22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in-b79571060ef13c2d</t>
        </is>
      </c>
      <c r="B227" t="inlineStr">
        <is>
          <t>Sr. Applied Scientist, Prime Video - Personalization and Discovery Science</t>
        </is>
      </c>
      <c r="C227" t="inlineStr">
        <is>
          <t>Amazon.com</t>
        </is>
      </c>
      <c r="D227" t="inlineStr">
        <is>
          <t>indeed</t>
        </is>
      </c>
      <c r="E227">
        <f>HYPERLINK("https://www.indeed.com/viewjob?jk=b79571060ef13c2d", "https://www.indeed.com/viewjob?jk=b79571060ef13c2d")</f>
        <v/>
      </c>
      <c r="F227">
        <f>HYPERLINK("https://www.amazon.jobs/jobs/3084479/sr-applied-scientist-prime-video--personalization-and-discovery-science?cmpid=DA_INAD200785B", "https://www.amazon.jobs/jobs/3084479/sr-applied-scientist-prime-video--personalization-and-discovery-science?cmpid=DA_INAD200785B")</f>
        <v/>
      </c>
      <c r="G227" t="inlineStr">
        <is>
          <t>New York, NY, US</t>
        </is>
      </c>
      <c r="H227" s="2" t="n">
        <v>45896</v>
      </c>
      <c r="I2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8">
      <c r="A228" t="inlineStr">
        <is>
          <t>in-209465de9e50ba21</t>
        </is>
      </c>
      <c r="B228" t="inlineStr">
        <is>
          <t>Sr. Applied Scientist, Prime Video - Personalization and Discovery Science</t>
        </is>
      </c>
      <c r="C228" t="inlineStr">
        <is>
          <t>Amazon.com</t>
        </is>
      </c>
      <c r="D228" t="inlineStr">
        <is>
          <t>indeed</t>
        </is>
      </c>
      <c r="E228">
        <f>HYPERLINK("https://www.indeed.com/viewjob?jk=209465de9e50ba21", "https://www.indeed.com/viewjob?jk=209465de9e50ba21")</f>
        <v/>
      </c>
      <c r="F228">
        <f>HYPERLINK("https://www.amazon.jobs/jobs/3084479/sr-applied-scientist-prime-video--personalization-and-discovery-science?cmpid=DA_INAD200785B", "https://www.amazon.jobs/jobs/3084479/sr-applied-scientist-prime-video--personalization-and-discovery-science?cmpid=DA_INAD200785B")</f>
        <v/>
      </c>
      <c r="G228" t="inlineStr">
        <is>
          <t>Seattle, WA, US</t>
        </is>
      </c>
      <c r="H228" s="2" t="n">
        <v>45896</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9">
      <c r="A229" t="inlineStr">
        <is>
          <t>in-5004b86d37ae17e7</t>
        </is>
      </c>
      <c r="B229" t="inlineStr">
        <is>
          <t>Sr. Applied Scientist, Amazon Advertising</t>
        </is>
      </c>
      <c r="C229" t="inlineStr">
        <is>
          <t>Amazon.com</t>
        </is>
      </c>
      <c r="D229" t="inlineStr">
        <is>
          <t>indeed</t>
        </is>
      </c>
      <c r="E229">
        <f>HYPERLINK("https://www.indeed.com/viewjob?jk=5004b86d37ae17e7", "https://www.indeed.com/viewjob?jk=5004b86d37ae17e7")</f>
        <v/>
      </c>
      <c r="F229">
        <f>HYPERLINK("https://www.amazon.jobs/jobs/3035686/sr-applied-scientist-amazon-advertising?cmpid=DA_INAD200785B", "https://www.amazon.jobs/jobs/3035686/sr-applied-scientist-amazon-advertising?cmpid=DA_INAD200785B")</f>
        <v/>
      </c>
      <c r="G229" t="inlineStr">
        <is>
          <t>Los Angeles, CA, US</t>
        </is>
      </c>
      <c r="H229" s="2" t="n">
        <v>45851</v>
      </c>
      <c r="I2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in-b09b95e68dcbabe4</t>
        </is>
      </c>
      <c r="B230" t="inlineStr">
        <is>
          <t>Sr. Applied Scientist, Amazon Advertising</t>
        </is>
      </c>
      <c r="C230" t="inlineStr">
        <is>
          <t>Amazon.com</t>
        </is>
      </c>
      <c r="D230" t="inlineStr">
        <is>
          <t>indeed</t>
        </is>
      </c>
      <c r="E230">
        <f>HYPERLINK("https://www.indeed.com/viewjob?jk=b09b95e68dcbabe4", "https://www.indeed.com/viewjob?jk=b09b95e68dcbabe4")</f>
        <v/>
      </c>
      <c r="F230">
        <f>HYPERLINK("https://www.amazon.jobs/jobs/3035686/sr-applied-scientist-amazon-advertising?cmpid=DA_INAD200785B", "https://www.amazon.jobs/jobs/3035686/sr-applied-scientist-amazon-advertising?cmpid=DA_INAD200785B")</f>
        <v/>
      </c>
      <c r="G230" t="inlineStr">
        <is>
          <t>Palo Alto, CA, US</t>
        </is>
      </c>
      <c r="H230" s="2"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in-60ca35d3657a32a3</t>
        </is>
      </c>
      <c r="B231" t="inlineStr">
        <is>
          <t>Sr. Applied Scientist, Amazon Advertising</t>
        </is>
      </c>
      <c r="C231" t="inlineStr">
        <is>
          <t>Amazon.com</t>
        </is>
      </c>
      <c r="D231" t="inlineStr">
        <is>
          <t>indeed</t>
        </is>
      </c>
      <c r="E231">
        <f>HYPERLINK("https://www.indeed.com/viewjob?jk=60ca35d3657a32a3", "https://www.indeed.com/viewjob?jk=60ca35d3657a32a3")</f>
        <v/>
      </c>
      <c r="F231">
        <f>HYPERLINK("https://www.amazon.jobs/jobs/3035686/sr-applied-scientist-amazon-advertising?cmpid=DA_INAD200785B", "https://www.amazon.jobs/jobs/3035686/sr-applied-scientist-amazon-advertising?cmpid=DA_INAD200785B")</f>
        <v/>
      </c>
      <c r="G231" t="inlineStr">
        <is>
          <t>Arlington, VA, US</t>
        </is>
      </c>
      <c r="H231" s="2" t="n">
        <v>45851</v>
      </c>
      <c r="I2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in-e81fa3a21ab36859</t>
        </is>
      </c>
      <c r="B232" t="inlineStr">
        <is>
          <t>Sr. Applied Scientist, Amazon Advertising</t>
        </is>
      </c>
      <c r="C232" t="inlineStr">
        <is>
          <t>Amazon.com</t>
        </is>
      </c>
      <c r="D232" t="inlineStr">
        <is>
          <t>indeed</t>
        </is>
      </c>
      <c r="E232">
        <f>HYPERLINK("https://www.indeed.com/viewjob?jk=e81fa3a21ab36859", "https://www.indeed.com/viewjob?jk=e81fa3a21ab36859")</f>
        <v/>
      </c>
      <c r="F232">
        <f>HYPERLINK("https://www.amazon.jobs/jobs/3035686/sr-applied-scientist-amazon-advertising?cmpid=DA_INAD200785B", "https://www.amazon.jobs/jobs/3035686/sr-applied-scientist-amazon-advertising?cmpid=DA_INAD200785B")</f>
        <v/>
      </c>
      <c r="G232" t="inlineStr">
        <is>
          <t>New York, NY, US</t>
        </is>
      </c>
      <c r="H232" s="2" t="n">
        <v>45851</v>
      </c>
      <c r="I2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in-2792630a6d506353</t>
        </is>
      </c>
      <c r="B233" t="inlineStr">
        <is>
          <t>Sr. Applied Scientist, Amazon Advertising</t>
        </is>
      </c>
      <c r="C233" t="inlineStr">
        <is>
          <t>Amazon.com</t>
        </is>
      </c>
      <c r="D233" t="inlineStr">
        <is>
          <t>indeed</t>
        </is>
      </c>
      <c r="E233">
        <f>HYPERLINK("https://www.indeed.com/viewjob?jk=2792630a6d506353", "https://www.indeed.com/viewjob?jk=2792630a6d506353")</f>
        <v/>
      </c>
      <c r="F233">
        <f>HYPERLINK("https://www.amazon.jobs/jobs/3035686/sr-applied-scientist-amazon-advertising?cmpid=DA_INAD200785B", "https://www.amazon.jobs/jobs/3035686/sr-applied-scientist-amazon-advertising?cmpid=DA_INAD200785B")</f>
        <v/>
      </c>
      <c r="G233" t="inlineStr">
        <is>
          <t>Austin, TX, US</t>
        </is>
      </c>
      <c r="H233" s="2" t="n">
        <v>45851</v>
      </c>
      <c r="I2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in-0778a2249bc20df8</t>
        </is>
      </c>
      <c r="B234" t="inlineStr">
        <is>
          <t>Sr. Applied Scientist, Amazon Advertising</t>
        </is>
      </c>
      <c r="C234" t="inlineStr">
        <is>
          <t>Amazon.com</t>
        </is>
      </c>
      <c r="D234" t="inlineStr">
        <is>
          <t>indeed</t>
        </is>
      </c>
      <c r="E234">
        <f>HYPERLINK("https://www.indeed.com/viewjob?jk=0778a2249bc20df8", "https://www.indeed.com/viewjob?jk=0778a2249bc20df8")</f>
        <v/>
      </c>
      <c r="F234">
        <f>HYPERLINK("https://www.amazon.jobs/jobs/3035686/sr-applied-scientist-amazon-advertising?cmpid=DA_INAD200785B", "https://www.amazon.jobs/jobs/3035686/sr-applied-scientist-amazon-advertising?cmpid=DA_INAD200785B")</f>
        <v/>
      </c>
      <c r="G234" t="inlineStr">
        <is>
          <t>Simi Valley, CA, US</t>
        </is>
      </c>
      <c r="H234" s="2"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in-696a3c91a7288b7a</t>
        </is>
      </c>
      <c r="B235" t="inlineStr">
        <is>
          <t>Sr. Applied Scientist, Amazon Advertising</t>
        </is>
      </c>
      <c r="C235" t="inlineStr">
        <is>
          <t>Amazon.com</t>
        </is>
      </c>
      <c r="D235" t="inlineStr">
        <is>
          <t>indeed</t>
        </is>
      </c>
      <c r="E235">
        <f>HYPERLINK("https://www.indeed.com/viewjob?jk=696a3c91a7288b7a", "https://www.indeed.com/viewjob?jk=696a3c91a7288b7a")</f>
        <v/>
      </c>
      <c r="F235">
        <f>HYPERLINK("https://www.amazon.jobs/jobs/3035686/sr-applied-scientist-amazon-advertising?cmpid=DA_INAD200785B", "https://www.amazon.jobs/jobs/3035686/sr-applied-scientist-amazon-advertising?cmpid=DA_INAD200785B")</f>
        <v/>
      </c>
      <c r="G235" t="inlineStr">
        <is>
          <t>West Hollywood, CA, US</t>
        </is>
      </c>
      <c r="H235" s="2" t="n">
        <v>45851</v>
      </c>
      <c r="I2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in-938403ba95f191a1</t>
        </is>
      </c>
      <c r="B236" t="inlineStr">
        <is>
          <t>Sr. Applied Scientist, Amazon Advertising</t>
        </is>
      </c>
      <c r="C236" t="inlineStr">
        <is>
          <t>Amazon.com</t>
        </is>
      </c>
      <c r="D236" t="inlineStr">
        <is>
          <t>indeed</t>
        </is>
      </c>
      <c r="E236">
        <f>HYPERLINK("https://www.indeed.com/viewjob?jk=938403ba95f191a1", "https://www.indeed.com/viewjob?jk=938403ba95f191a1")</f>
        <v/>
      </c>
      <c r="F236">
        <f>HYPERLINK("https://www.amazon.jobs/jobs/3035686/sr-applied-scientist-amazon-advertising?cmpid=DA_INAD200785B", "https://www.amazon.jobs/jobs/3035686/sr-applied-scientist-amazon-advertising?cmpid=DA_INAD200785B")</f>
        <v/>
      </c>
      <c r="G236" t="inlineStr">
        <is>
          <t>Seattle, WA, US</t>
        </is>
      </c>
      <c r="H236" s="2" t="n">
        <v>45851</v>
      </c>
      <c r="I2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in-52f0fa76aa7a1943</t>
        </is>
      </c>
      <c r="B237" t="inlineStr">
        <is>
          <t>Applied Scientist, Prime Video - Personalization and Discovery Science</t>
        </is>
      </c>
      <c r="C237" t="inlineStr">
        <is>
          <t>Amazon.com</t>
        </is>
      </c>
      <c r="D237" t="inlineStr">
        <is>
          <t>indeed</t>
        </is>
      </c>
      <c r="E237">
        <f>HYPERLINK("https://www.indeed.com/viewjob?jk=52f0fa76aa7a1943", "https://www.indeed.com/viewjob?jk=52f0fa76aa7a1943")</f>
        <v/>
      </c>
      <c r="F237">
        <f>HYPERLINK("https://www.amazon.jobs/jobs/3033050/applied-scientist-prime-video--personalization-and-discovery-science?cmpid=DA_INAD200785B", "https://www.amazon.jobs/jobs/3033050/applied-scientist-prime-video--personalization-and-discovery-science?cmpid=DA_INAD200785B")</f>
        <v/>
      </c>
      <c r="G237" t="inlineStr">
        <is>
          <t>Sunnyvale, CA, US</t>
        </is>
      </c>
      <c r="H237" s="2" t="n">
        <v>45845</v>
      </c>
      <c r="I2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8">
      <c r="A238" t="inlineStr">
        <is>
          <t>in-6b305f187c2053fa</t>
        </is>
      </c>
      <c r="B238" t="inlineStr">
        <is>
          <t>Applied Scientist, Prime Video - Personalization and Discovery Science</t>
        </is>
      </c>
      <c r="C238" t="inlineStr">
        <is>
          <t>Amazon.com</t>
        </is>
      </c>
      <c r="D238" t="inlineStr">
        <is>
          <t>indeed</t>
        </is>
      </c>
      <c r="E238">
        <f>HYPERLINK("https://www.indeed.com/viewjob?jk=6b305f187c2053fa", "https://www.indeed.com/viewjob?jk=6b305f187c2053fa")</f>
        <v/>
      </c>
      <c r="F238">
        <f>HYPERLINK("https://www.amazon.jobs/jobs/3033050/applied-scientist-prime-video--personalization-and-discovery-science?cmpid=DA_INAD200785B", "https://www.amazon.jobs/jobs/3033050/applied-scientist-prime-video--personalization-and-discovery-science?cmpid=DA_INAD200785B")</f>
        <v/>
      </c>
      <c r="G238" t="inlineStr">
        <is>
          <t>New York, NY, US</t>
        </is>
      </c>
      <c r="H238" s="2" t="n">
        <v>45845</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9">
      <c r="A239" t="inlineStr">
        <is>
          <t>in-9e1e02438f97ed7d</t>
        </is>
      </c>
      <c r="B239" t="inlineStr">
        <is>
          <t>Applied Scientist, Prime Video - Personalization and Discovery Science</t>
        </is>
      </c>
      <c r="C239" t="inlineStr">
        <is>
          <t>Amazon.com</t>
        </is>
      </c>
      <c r="D239" t="inlineStr">
        <is>
          <t>indeed</t>
        </is>
      </c>
      <c r="E239">
        <f>HYPERLINK("https://www.indeed.com/viewjob?jk=9e1e02438f97ed7d", "https://www.indeed.com/viewjob?jk=9e1e02438f97ed7d")</f>
        <v/>
      </c>
      <c r="F239">
        <f>HYPERLINK("https://www.amazon.jobs/jobs/3033050/applied-scientist-prime-video--personalization-and-discovery-science?cmpid=DA_INAD200785B", "https://www.amazon.jobs/jobs/3033050/applied-scientist-prime-video--personalization-and-discovery-science?cmpid=DA_INAD200785B")</f>
        <v/>
      </c>
      <c r="G239" t="inlineStr">
        <is>
          <t>Seattle, WA, US</t>
        </is>
      </c>
      <c r="H239" s="2" t="n">
        <v>45845</v>
      </c>
      <c r="I2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0">
      <c r="A240" t="inlineStr">
        <is>
          <t>in-9fe455b59de13b8e</t>
        </is>
      </c>
      <c r="B240" t="inlineStr">
        <is>
          <t>Sr. Data Scientist, Amazon Leo Global Planning, Amazon Leo</t>
        </is>
      </c>
      <c r="C240" t="inlineStr">
        <is>
          <t>Amazon.com</t>
        </is>
      </c>
      <c r="D240" t="inlineStr">
        <is>
          <t>indeed</t>
        </is>
      </c>
      <c r="E240">
        <f>HYPERLINK("https://www.indeed.com/viewjob?jk=9fe455b59de13b8e", "https://www.indeed.com/viewjob?jk=9fe455b59de13b8e")</f>
        <v/>
      </c>
      <c r="F240">
        <f>HYPERLINK("https://www.amazon.jobs/jobs/3016062/sr-data-scientist-amazon-leo-global-planning-amazon-leo?cmpid=DA_INAD200785B", "https://www.amazon.jobs/jobs/3016062/sr-data-scientist-amazon-leo-global-planning-amazon-leo?cmpid=DA_INAD200785B")</f>
        <v/>
      </c>
      <c r="G240" t="inlineStr">
        <is>
          <t>Bellevue, WA, US</t>
        </is>
      </c>
      <c r="H240" s="2" t="n">
        <v>45830</v>
      </c>
      <c r="I240"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241">
      <c r="A241" t="inlineStr">
        <is>
          <t>in-ff7cd0e92d54dc53</t>
        </is>
      </c>
      <c r="B241" t="inlineStr">
        <is>
          <t>Sr. Data Scientist, Amazon Leo Global Planning, Amazon Leo</t>
        </is>
      </c>
      <c r="C241" t="inlineStr">
        <is>
          <t>Amazon.com</t>
        </is>
      </c>
      <c r="D241" t="inlineStr">
        <is>
          <t>indeed</t>
        </is>
      </c>
      <c r="E241">
        <f>HYPERLINK("https://www.indeed.com/viewjob?jk=ff7cd0e92d54dc53", "https://www.indeed.com/viewjob?jk=ff7cd0e92d54dc53")</f>
        <v/>
      </c>
      <c r="F241">
        <f>HYPERLINK("https://www.amazon.jobs/jobs/3016062/sr-data-scientist-amazon-leo-global-planning-amazon-leo?cmpid=DA_INAD200785B", "https://www.amazon.jobs/jobs/3016062/sr-data-scientist-amazon-leo-global-planning-amazon-leo?cmpid=DA_INAD200785B")</f>
        <v/>
      </c>
      <c r="G241" t="inlineStr">
        <is>
          <t>Redmond, WA, US</t>
        </is>
      </c>
      <c r="H241" s="2" t="n">
        <v>45830</v>
      </c>
      <c r="I241"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242">
      <c r="A242" t="inlineStr">
        <is>
          <t>in-131f3d55334da95c</t>
        </is>
      </c>
      <c r="B242" t="inlineStr">
        <is>
          <t>Principal Applied Scientist, Delivery Foundation Model</t>
        </is>
      </c>
      <c r="C242" t="inlineStr">
        <is>
          <t>Amazon.com</t>
        </is>
      </c>
      <c r="D242" t="inlineStr">
        <is>
          <t>indeed</t>
        </is>
      </c>
      <c r="E242">
        <f>HYPERLINK("https://www.indeed.com/viewjob?jk=131f3d55334da95c", "https://www.indeed.com/viewjob?jk=131f3d55334da95c")</f>
        <v/>
      </c>
      <c r="F242">
        <f>HYPERLINK("https://www.amazon.jobs/jobs/3006938/principal-applied-scientist-delivery-foundation-model-?cmpid=DA_INAD200785B", "https://www.amazon.jobs/jobs/3006938/principal-applied-scientist-delivery-foundation-model-?cmpid=DA_INAD200785B")</f>
        <v/>
      </c>
      <c r="G242" t="inlineStr">
        <is>
          <t>New York, NY, US</t>
        </is>
      </c>
      <c r="H242" s="2" t="n">
        <v>45810</v>
      </c>
      <c r="I24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3">
      <c r="A243" t="inlineStr">
        <is>
          <t>in-86824e3507eb5553</t>
        </is>
      </c>
      <c r="B243" t="inlineStr">
        <is>
          <t>Principal Applied Scientist, Delivery Foundation Model</t>
        </is>
      </c>
      <c r="C243" t="inlineStr">
        <is>
          <t>Amazon.com</t>
        </is>
      </c>
      <c r="D243" t="inlineStr">
        <is>
          <t>indeed</t>
        </is>
      </c>
      <c r="E243">
        <f>HYPERLINK("https://www.indeed.com/viewjob?jk=86824e3507eb5553", "https://www.indeed.com/viewjob?jk=86824e3507eb5553")</f>
        <v/>
      </c>
      <c r="F243">
        <f>HYPERLINK("https://www.amazon.jobs/jobs/3006938/principal-applied-scientist-delivery-foundation-model-?cmpid=DA_INAD200785B", "https://www.amazon.jobs/jobs/3006938/principal-applied-scientist-delivery-foundation-model-?cmpid=DA_INAD200785B")</f>
        <v/>
      </c>
      <c r="G243" t="inlineStr">
        <is>
          <t>Austin, TX, US</t>
        </is>
      </c>
      <c r="H243" s="2" t="n">
        <v>45810</v>
      </c>
      <c r="I24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4">
      <c r="A244" t="inlineStr">
        <is>
          <t>in-d07f8afe8afeb19f</t>
        </is>
      </c>
      <c r="B244" t="inlineStr">
        <is>
          <t>Principal Applied Scientist, Delivery Foundation Model</t>
        </is>
      </c>
      <c r="C244" t="inlineStr">
        <is>
          <t>Amazon.com</t>
        </is>
      </c>
      <c r="D244" t="inlineStr">
        <is>
          <t>indeed</t>
        </is>
      </c>
      <c r="E244">
        <f>HYPERLINK("https://www.indeed.com/viewjob?jk=d07f8afe8afeb19f", "https://www.indeed.com/viewjob?jk=d07f8afe8afeb19f")</f>
        <v/>
      </c>
      <c r="F244">
        <f>HYPERLINK("https://www.amazon.jobs/jobs/3006938/principal-applied-scientist-delivery-foundation-model-?cmpid=DA_INAD200785B", "https://www.amazon.jobs/jobs/3006938/principal-applied-scientist-delivery-foundation-model-?cmpid=DA_INAD200785B")</f>
        <v/>
      </c>
      <c r="G244" t="inlineStr">
        <is>
          <t>Bellevue, WA, US</t>
        </is>
      </c>
      <c r="H244" s="2" t="n">
        <v>45810</v>
      </c>
      <c r="I24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5">
      <c r="A245" t="inlineStr">
        <is>
          <t>in-49584ae609748e7f</t>
        </is>
      </c>
      <c r="B245" t="inlineStr">
        <is>
          <t>Principal Applied Scientist, Delivery Foundation Model</t>
        </is>
      </c>
      <c r="C245" t="inlineStr">
        <is>
          <t>Amazon.com</t>
        </is>
      </c>
      <c r="D245" t="inlineStr">
        <is>
          <t>indeed</t>
        </is>
      </c>
      <c r="E245">
        <f>HYPERLINK("https://www.indeed.com/viewjob?jk=49584ae609748e7f", "https://www.indeed.com/viewjob?jk=49584ae609748e7f")</f>
        <v/>
      </c>
      <c r="F245">
        <f>HYPERLINK("https://www.amazon.jobs/jobs/3006938/principal-applied-scientist-delivery-foundation-model-?cmpid=DA_INAD200785B", "https://www.amazon.jobs/jobs/3006938/principal-applied-scientist-delivery-foundation-model-?cmpid=DA_INAD200785B")</f>
        <v/>
      </c>
      <c r="G245" t="inlineStr">
        <is>
          <t>Santa Clara, CA, US</t>
        </is>
      </c>
      <c r="H245" s="2" t="n">
        <v>45810</v>
      </c>
      <c r="I24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6">
      <c r="A246" t="inlineStr">
        <is>
          <t>in-c4041dc7d4be1834</t>
        </is>
      </c>
      <c r="B246" t="inlineStr">
        <is>
          <t>Senior Applied Scientist, Delivery Foundation Model</t>
        </is>
      </c>
      <c r="C246" t="inlineStr">
        <is>
          <t>Amazon.com</t>
        </is>
      </c>
      <c r="D246" t="inlineStr">
        <is>
          <t>indeed</t>
        </is>
      </c>
      <c r="E246">
        <f>HYPERLINK("https://www.indeed.com/viewjob?jk=c4041dc7d4be1834", "https://www.indeed.com/viewjob?jk=c4041dc7d4be1834")</f>
        <v/>
      </c>
      <c r="F246">
        <f>HYPERLINK("https://www.amazon.jobs/jobs/2998435/senior-applied-scientist-delivery-foundation-model-?cmpid=DA_INAD200785B", "https://www.amazon.jobs/jobs/2998435/senior-applied-scientist-delivery-foundation-model-?cmpid=DA_INAD200785B")</f>
        <v/>
      </c>
      <c r="G246" t="inlineStr">
        <is>
          <t>Santa Clara, CA, US</t>
        </is>
      </c>
      <c r="H246" s="2" t="n">
        <v>45806</v>
      </c>
      <c r="I2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in-05dfc94085c5b50f</t>
        </is>
      </c>
      <c r="B247" t="inlineStr">
        <is>
          <t>Senior Applied Scientist, Delivery Foundation Model</t>
        </is>
      </c>
      <c r="C247" t="inlineStr">
        <is>
          <t>Amazon.com</t>
        </is>
      </c>
      <c r="D247" t="inlineStr">
        <is>
          <t>indeed</t>
        </is>
      </c>
      <c r="E247">
        <f>HYPERLINK("https://www.indeed.com/viewjob?jk=05dfc94085c5b50f", "https://www.indeed.com/viewjob?jk=05dfc94085c5b50f")</f>
        <v/>
      </c>
      <c r="F247">
        <f>HYPERLINK("https://www.amazon.jobs/jobs/2998435/senior-applied-scientist-delivery-foundation-model-?cmpid=DA_INAD200785B", "https://www.amazon.jobs/jobs/2998435/senior-applied-scientist-delivery-foundation-model-?cmpid=DA_INAD200785B")</f>
        <v/>
      </c>
      <c r="G247" t="inlineStr">
        <is>
          <t>New York, NY, US</t>
        </is>
      </c>
      <c r="H247" s="2" t="n">
        <v>45806</v>
      </c>
      <c r="I2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in-e0ff980af64fdd23</t>
        </is>
      </c>
      <c r="B248" t="inlineStr">
        <is>
          <t>Senior Applied Scientist, Delivery Foundation Model</t>
        </is>
      </c>
      <c r="C248" t="inlineStr">
        <is>
          <t>Amazon.com</t>
        </is>
      </c>
      <c r="D248" t="inlineStr">
        <is>
          <t>indeed</t>
        </is>
      </c>
      <c r="E248">
        <f>HYPERLINK("https://www.indeed.com/viewjob?jk=e0ff980af64fdd23", "https://www.indeed.com/viewjob?jk=e0ff980af64fdd23")</f>
        <v/>
      </c>
      <c r="F248">
        <f>HYPERLINK("https://www.amazon.jobs/jobs/2998435/senior-applied-scientist-delivery-foundation-model-?cmpid=DA_INAD200785B", "https://www.amazon.jobs/jobs/2998435/senior-applied-scientist-delivery-foundation-model-?cmpid=DA_INAD200785B")</f>
        <v/>
      </c>
      <c r="G248" t="inlineStr">
        <is>
          <t>Bellevue, WA, US</t>
        </is>
      </c>
      <c r="H248" s="2" t="n">
        <v>45806</v>
      </c>
      <c r="I2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in-cb342b7153f635aa</t>
        </is>
      </c>
      <c r="B249" t="inlineStr">
        <is>
          <t>Sr. Applied Scientist - Privacy, Privacy Engineering</t>
        </is>
      </c>
      <c r="C249" t="inlineStr">
        <is>
          <t>Amazon.com</t>
        </is>
      </c>
      <c r="D249" t="inlineStr">
        <is>
          <t>indeed</t>
        </is>
      </c>
      <c r="E249">
        <f>HYPERLINK("https://www.indeed.com/viewjob?jk=cb342b7153f635aa", "https://www.indeed.com/viewjob?jk=cb342b7153f635aa")</f>
        <v/>
      </c>
      <c r="F249">
        <f>HYPERLINK("https://www.amazon.jobs/jobs/2997657/sr-applied-scientist--privacy-privacy-engineering?cmpid=DA_INAD200785B", "https://www.amazon.jobs/jobs/2997657/sr-applied-scientist--privacy-privacy-engineering?cmpid=DA_INAD200785B")</f>
        <v/>
      </c>
      <c r="G249" t="inlineStr">
        <is>
          <t>San Francisco, CA, US</t>
        </is>
      </c>
      <c r="H249" s="2" t="n">
        <v>45787</v>
      </c>
      <c r="I24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in-7312be42ec972f31</t>
        </is>
      </c>
      <c r="B250" t="inlineStr">
        <is>
          <t>Sr. Applied Scientist - Privacy, Privacy Engineering</t>
        </is>
      </c>
      <c r="C250" t="inlineStr">
        <is>
          <t>Amazon.com</t>
        </is>
      </c>
      <c r="D250" t="inlineStr">
        <is>
          <t>indeed</t>
        </is>
      </c>
      <c r="E250">
        <f>HYPERLINK("https://www.indeed.com/viewjob?jk=7312be42ec972f31", "https://www.indeed.com/viewjob?jk=7312be42ec972f31")</f>
        <v/>
      </c>
      <c r="F250">
        <f>HYPERLINK("https://www.amazon.jobs/jobs/2997657/sr-applied-scientist--privacy-privacy-engineering?cmpid=DA_INAD200785B", "https://www.amazon.jobs/jobs/2997657/sr-applied-scientist--privacy-privacy-engineering?cmpid=DA_INAD200785B")</f>
        <v/>
      </c>
      <c r="G250" t="inlineStr">
        <is>
          <t>Seattle, WA, US</t>
        </is>
      </c>
      <c r="H250" s="2" t="n">
        <v>45787</v>
      </c>
      <c r="I25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in-264c98c46f64882c</t>
        </is>
      </c>
      <c r="B251" t="inlineStr">
        <is>
          <t>Sr. Applied Scientist - Privacy, Privacy Engineering</t>
        </is>
      </c>
      <c r="C251" t="inlineStr">
        <is>
          <t>Amazon.com</t>
        </is>
      </c>
      <c r="D251" t="inlineStr">
        <is>
          <t>indeed</t>
        </is>
      </c>
      <c r="E251">
        <f>HYPERLINK("https://www.indeed.com/viewjob?jk=264c98c46f64882c", "https://www.indeed.com/viewjob?jk=264c98c46f64882c")</f>
        <v/>
      </c>
      <c r="F251">
        <f>HYPERLINK("https://www.amazon.jobs/jobs/2997657/sr-applied-scientist--privacy-privacy-engineering?cmpid=DA_INAD200785B", "https://www.amazon.jobs/jobs/2997657/sr-applied-scientist--privacy-privacy-engineering?cmpid=DA_INAD200785B")</f>
        <v/>
      </c>
      <c r="G251" t="inlineStr">
        <is>
          <t>Sunnyvale, CA, US</t>
        </is>
      </c>
      <c r="H251" s="2" t="n">
        <v>45787</v>
      </c>
      <c r="I25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in-ac595b6627c614ba</t>
        </is>
      </c>
      <c r="B252" t="inlineStr">
        <is>
          <t>Sr. Applied Scientist - Privacy, Privacy Engineering</t>
        </is>
      </c>
      <c r="C252" t="inlineStr">
        <is>
          <t>Amazon.com</t>
        </is>
      </c>
      <c r="D252" t="inlineStr">
        <is>
          <t>indeed</t>
        </is>
      </c>
      <c r="E252">
        <f>HYPERLINK("https://www.indeed.com/viewjob?jk=ac595b6627c614ba", "https://www.indeed.com/viewjob?jk=ac595b6627c614ba")</f>
        <v/>
      </c>
      <c r="F252">
        <f>HYPERLINK("https://www.amazon.jobs/jobs/2997657/sr-applied-scientist--privacy-privacy-engineering?cmpid=DA_INAD200785B", "https://www.amazon.jobs/jobs/2997657/sr-applied-scientist--privacy-privacy-engineering?cmpid=DA_INAD200785B")</f>
        <v/>
      </c>
      <c r="G252" t="inlineStr">
        <is>
          <t>Santa Clara, CA, US</t>
        </is>
      </c>
      <c r="H252" s="2" t="n">
        <v>45787</v>
      </c>
      <c r="I25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in-f81286234e298c76</t>
        </is>
      </c>
      <c r="B253" t="inlineStr">
        <is>
          <t>Principal Applied Scientist, Delivery Foundation Model</t>
        </is>
      </c>
      <c r="C253" t="inlineStr">
        <is>
          <t>Amazon.com</t>
        </is>
      </c>
      <c r="D253" t="inlineStr">
        <is>
          <t>indeed</t>
        </is>
      </c>
      <c r="E253">
        <f>HYPERLINK("https://www.indeed.com/viewjob?jk=f81286234e298c76", "https://www.indeed.com/viewjob?jk=f81286234e298c76")</f>
        <v/>
      </c>
      <c r="F253">
        <f>HYPERLINK("https://www.amazon.jobs/jobs/2998635/principal-applied-scientist-delivery-foundation-model-?cmpid=DA_INAD200785B", "https://www.amazon.jobs/jobs/2998635/principal-applied-scientist-delivery-foundation-model-?cmpid=DA_INAD200785B")</f>
        <v/>
      </c>
      <c r="G253" t="inlineStr">
        <is>
          <t>New York, NY, US</t>
        </is>
      </c>
      <c r="H253" s="2" t="n">
        <v>45757</v>
      </c>
      <c r="I25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54">
      <c r="A254" t="inlineStr">
        <is>
          <t>in-19867e163a4f6697</t>
        </is>
      </c>
      <c r="B254" t="inlineStr">
        <is>
          <t>Principal Applied Scientist, Delivery Foundation Model</t>
        </is>
      </c>
      <c r="C254" t="inlineStr">
        <is>
          <t>Amazon.com</t>
        </is>
      </c>
      <c r="D254" t="inlineStr">
        <is>
          <t>indeed</t>
        </is>
      </c>
      <c r="E254">
        <f>HYPERLINK("https://www.indeed.com/viewjob?jk=19867e163a4f6697", "https://www.indeed.com/viewjob?jk=19867e163a4f6697")</f>
        <v/>
      </c>
      <c r="F254">
        <f>HYPERLINK("https://www.amazon.jobs/jobs/2998635/principal-applied-scientist-delivery-foundation-model-?cmpid=DA_INAD200785B", "https://www.amazon.jobs/jobs/2998635/principal-applied-scientist-delivery-foundation-model-?cmpid=DA_INAD200785B")</f>
        <v/>
      </c>
      <c r="G254" t="inlineStr">
        <is>
          <t>Bellevue, WA, US</t>
        </is>
      </c>
      <c r="H254" s="2" t="n">
        <v>45757</v>
      </c>
      <c r="I25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55">
      <c r="A255" t="inlineStr">
        <is>
          <t>in-a62cb060bcd8c405</t>
        </is>
      </c>
      <c r="B255" t="inlineStr">
        <is>
          <t>Principal Applied Scientist, Delivery Foundation Model</t>
        </is>
      </c>
      <c r="C255" t="inlineStr">
        <is>
          <t>Amazon.com</t>
        </is>
      </c>
      <c r="D255" t="inlineStr">
        <is>
          <t>indeed</t>
        </is>
      </c>
      <c r="E255">
        <f>HYPERLINK("https://www.indeed.com/viewjob?jk=a62cb060bcd8c405", "https://www.indeed.com/viewjob?jk=a62cb060bcd8c405")</f>
        <v/>
      </c>
      <c r="F255">
        <f>HYPERLINK("https://www.amazon.jobs/jobs/2998635/principal-applied-scientist-delivery-foundation-model-?cmpid=DA_INAD200785B", "https://www.amazon.jobs/jobs/2998635/principal-applied-scientist-delivery-foundation-model-?cmpid=DA_INAD200785B")</f>
        <v/>
      </c>
      <c r="G255" t="inlineStr">
        <is>
          <t>Santa Clara, CA, US</t>
        </is>
      </c>
      <c r="H255" s="2" t="n">
        <v>45757</v>
      </c>
      <c r="I25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56">
      <c r="A256" t="inlineStr">
        <is>
          <t>in-12a20329c1dabe3c</t>
        </is>
      </c>
      <c r="B256" t="inlineStr">
        <is>
          <t>Principal Applied Scientist, FAR (Frontier AI &amp; Robotics)</t>
        </is>
      </c>
      <c r="C256" t="inlineStr">
        <is>
          <t>Amazon.com</t>
        </is>
      </c>
      <c r="D256" t="inlineStr">
        <is>
          <t>indeed</t>
        </is>
      </c>
      <c r="E256">
        <f>HYPERLINK("https://www.indeed.com/viewjob?jk=12a20329c1dabe3c", "https://www.indeed.com/viewjob?jk=12a20329c1dabe3c")</f>
        <v/>
      </c>
      <c r="F256">
        <f>HYPERLINK("https://www.amazon.jobs/jobs/2938625/principal-applied-scientist-far-frontier-ai--robotics?cmpid=DA_INAD200785B", "https://www.amazon.jobs/jobs/2938625/principal-applied-scientist-far-frontier-ai--robotics?cmpid=DA_INAD200785B")</f>
        <v/>
      </c>
      <c r="G256" t="inlineStr">
        <is>
          <t>Seattle, WA, US</t>
        </is>
      </c>
      <c r="H256" s="2" t="n">
        <v>45740</v>
      </c>
      <c r="I25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row r="257">
      <c r="A257" t="inlineStr">
        <is>
          <t>in-23712d803d3f1672</t>
        </is>
      </c>
      <c r="B257" t="inlineStr">
        <is>
          <t>Principal Applied Scientist, FAR (Frontier AI &amp; Robotics)</t>
        </is>
      </c>
      <c r="C257" t="inlineStr">
        <is>
          <t>Amazon.com</t>
        </is>
      </c>
      <c r="D257" t="inlineStr">
        <is>
          <t>indeed</t>
        </is>
      </c>
      <c r="E257">
        <f>HYPERLINK("https://www.indeed.com/viewjob?jk=23712d803d3f1672", "https://www.indeed.com/viewjob?jk=23712d803d3f1672")</f>
        <v/>
      </c>
      <c r="F257">
        <f>HYPERLINK("https://www.amazon.jobs/jobs/2938625/principal-applied-scientist-far-frontier-ai--robotics?cmpid=DA_INAD200785B", "https://www.amazon.jobs/jobs/2938625/principal-applied-scientist-far-frontier-ai--robotics?cmpid=DA_INAD200785B")</f>
        <v/>
      </c>
      <c r="G257" t="inlineStr">
        <is>
          <t>San Francisco, CA, US</t>
        </is>
      </c>
      <c r="H257" s="2" t="n">
        <v>45740</v>
      </c>
      <c r="I25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li-4349725802</t>
        </is>
      </c>
      <c r="B2" t="inlineStr">
        <is>
          <t>Data Scientist/ Senior Data Engineer – Finance Transformation</t>
        </is>
      </c>
      <c r="C2" t="inlineStr">
        <is>
          <t>Guardian Life</t>
        </is>
      </c>
      <c r="D2" t="inlineStr">
        <is>
          <t>linkedin</t>
        </is>
      </c>
      <c r="E2" t="inlineStr"/>
      <c r="F2" t="inlineStr"/>
      <c r="G2" t="inlineStr">
        <is>
          <t>Bethlehem, PA</t>
        </is>
      </c>
      <c r="H2" t="inlineStr"/>
      <c r="I2"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 Machine Learning, Engineering \&amp; Analytics Development
+ Build and optimize large\-scale data pipelines using PySpark, SQL, and Python on cloud platforms such as Databricks and AWS
+ Utilizing advanced statistical and AI/ML techniques to develop, deploy, and support predictive models and actuarial tools used for reserving, pricing, and FP\&amp;A (e.g., claims projection model, LTD Reserving model)
+ Automate manual actuarial/finance processes by integrating coding workflows with structured datasets and business logic
+ Support use case development that includes initial data exploration, project/sample design, reception, and processing of data, performing analysis and modeling to creation of final report/presentation
+ Data wrangling/data matching/ETL to explore a variety of data sources, gain data expertise, perform summary analyses, and prepare modeling datasets
+ Identification of source data and data quality checks both in model/solution development and in production
+ Packaging of model/solution and deployment in cooperation with Data Engineers and MLOps
+ Implement new statistical or other mathematical methodologies as needed for specific models or analysis.
* Data Integration \&amp; Validation
+ Work across data domains to ingest, cleanse, and structure financial and actuarial datasets from multiple sources (e.g., Claims systems, Billing and Commissions system)
+ Implement robust data quality checks and reconciliation controls to ensure accuracy and completeness of critical reporting and modeling datasets
* Collaboration \&amp; Documentation
+ Collaborate with actuaries, finance SMEs, and business analysts to translate complex requirements into efficient technical designs.
+ Maintain clear documentation for code, data flows, model logic, and user instructions.
**You have**
* Technical Expertise \&amp; Domain Knowledge
+ 6–8 years in a data engineering, actuarial modeling, or analytics\-focused technical role, ideally in Group insurance or Financial services
+ 2\+ years of hands\-on ML modeling/development experience
+ Solid understanding of data analysis and statistical modeling.
+ Knowledge of a variety of machine learning techniques (clustering, decision tree, bagging/boosting artificial neural networks, etc.) and their real\-world advantages/drawbacks.
+ Demonstrated track records in experimental design and executions
+ Hands\-on experience with data wrangling including fuzzy matching and regular expression, distributed computing and applying parallelism to ML solutions
+ Strong programming skills in Python
+ Solid background in algorithms and a range of ML models
+ Working knowledge of Pricing and actuarial processes, or Group insurance product structures
+ Proficiency in Python, PySpark, and SQL is essential
+ Experience working with Databricks, Tableau, Power BI, or similar visualization and cloud platform
+ Exposure to ML/AI libraries and framework to develop or enhance models
* Soft Skills
+ Analytical mindset with strong attention to detail
+ Self\-starter who thrives in fast\-paced, cross\-functional teams
* Education
+ Bachelor’s or Master’s degree in Computer Science, Actuarial Science, Mathematics, Engineering, Finance, or a related discipline or equivalent experience.
* Preferred Qualifications
+ Hands\-on experience building valuation, reserving, or pricing models for group insurance products
+ Experience in agile or SAFe environments with sprint planning, Jira, or Confluence
+ Strategic and creative thinker with ability to think outside the box and translate strategies into actions
+ Excellent problem\-solving skills
+ Team player with proven ability to foster and manage working relationships within a matrix environment
+ Candidate must be comfortable with ambiguity in strategic direction. Priorities will change as current uncertainties become new standards and shape the market. There must be constant balance between proactive and reactive strategy and execution.
+ Candidate must work well in a collaborative and diverse team environment, understanding and employing the approach and standard operating procedures of all functional areas across Guardian
+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3">
      <c r="A3" t="inlineStr">
        <is>
          <t>li-4372795503</t>
        </is>
      </c>
      <c r="B3" t="inlineStr">
        <is>
          <t>Junior Data Scientist</t>
        </is>
      </c>
      <c r="C3" t="inlineStr">
        <is>
          <t>Wpromote</t>
        </is>
      </c>
      <c r="D3" t="inlineStr">
        <is>
          <t>linkedin</t>
        </is>
      </c>
      <c r="E3" t="inlineStr"/>
      <c r="F3" t="inlineStr"/>
      <c r="G3" t="inlineStr"/>
      <c r="H3" t="inlineStr"/>
      <c r="I3" t="inlineStr">
        <is>
          <t>**The Role**
 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 This position may be performed remotely in most states within the US, with some exclusions
* While this role offers the flexibility to work remotely, we have office hubs in Los Angeles, Chicago, and New York, where you can join in on learning and development opportunities, fun events, take advantage of a space to work, and collaborate in person!
*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**You Will Be**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**You Must Have**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 Associate’s degree, bootcamp certification, or practical work experience in a quantitative field (Statistics, Mathematics, Computer Science, Information Technology, Economics, Engineering, etc.)
**Nice To Have**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c r="A4" t="inlineStr">
        <is>
          <t>li-4327121744</t>
        </is>
      </c>
      <c r="B4" t="inlineStr">
        <is>
          <t>Data Scientist, Product Analytics</t>
        </is>
      </c>
      <c r="C4" t="inlineStr">
        <is>
          <t>Whatnot</t>
        </is>
      </c>
      <c r="D4" t="inlineStr">
        <is>
          <t>linkedin</t>
        </is>
      </c>
      <c r="E4" t="inlineStr"/>
      <c r="F4" t="inlineStr"/>
      <c r="G4" t="inlineStr">
        <is>
          <t>New York, NY</t>
        </is>
      </c>
      <c r="H4" t="inlineStr"/>
      <c r="I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5">
      <c r="A5" t="inlineStr">
        <is>
          <t>li-4327121745</t>
        </is>
      </c>
      <c r="B5" t="inlineStr">
        <is>
          <t>Data Scientist, Product Analytics</t>
        </is>
      </c>
      <c r="C5" t="inlineStr">
        <is>
          <t>Whatnot</t>
        </is>
      </c>
      <c r="D5" t="inlineStr">
        <is>
          <t>linkedin</t>
        </is>
      </c>
      <c r="E5" t="inlineStr"/>
      <c r="F5" t="inlineStr"/>
      <c r="G5" t="inlineStr">
        <is>
          <t>Los Angeles, CA</t>
        </is>
      </c>
      <c r="H5" t="inlineStr"/>
      <c r="I5"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6">
      <c r="A6" t="inlineStr">
        <is>
          <t>li-4365586406</t>
        </is>
      </c>
      <c r="B6" t="inlineStr">
        <is>
          <t>Data Scientist, Power Markets</t>
        </is>
      </c>
      <c r="C6" t="inlineStr">
        <is>
          <t>Arevon</t>
        </is>
      </c>
      <c r="D6" t="inlineStr">
        <is>
          <t>linkedin</t>
        </is>
      </c>
      <c r="E6" t="inlineStr"/>
      <c r="F6" t="inlineStr"/>
      <c r="G6" t="inlineStr">
        <is>
          <t>Scottsdale, AZ</t>
        </is>
      </c>
      <c r="H6" t="inlineStr"/>
      <c r="I6" t="inlineStr">
        <is>
          <t>**About Arevon**
 Arevon is a U.S. energy leader committed to powering America with affordable, reliable, and secure homegrown energy. Headquartered in Scottsdale, Arizona, and with a regional office in New York City, the company’s experienced and dedicated staff develops, finances, builds, owns, and operates renewable energy projects nationwide. With a strong track record in utility\-scale solar and energy storage, Arevon is a trusted partner to utilities and businesses seeking cost\-effective, sustainable energy solutions. By prioritizing American manufacturing and domestic energy production, the company invests in U.S. jobs, strengthens local economies, and advances the country’s energy independence.
**The Position** 
 Arevon is recruiting for the position of
 **Data Scientist** 
 on the Market Operations team, an outstanding opportunity for individuals seeking an exciting, high\-growth work environment in one of the most important industries of the 21st century.
 The
 **Data Scientist** 
 will be responsible for developing algorithms, predictive models, and optimization methods to support Arevon’s energy storage portfolio. This position will collaborate with other teams throughout Arevon to develop and understand development and operating assumptions for both new investment opportunities, as well as current assets.
**Key Responsibilities** 
* Lead the improvement of price forecast models for power markets—including day\-ahead, real\-time, and long\-term price projections for power and ancillary services.
* Analyze large\-scale power market datasets (e.g., CAISO, ERCOT, MISO, NYISO) to identify trends, drivers, and risks affecting price formation and asset value.
* Translate quantitative research and market analysis into actionable insights for trading, asset management, and investment decisions.
* Stay current on market rules, regulatory changes, and emerging trends in energy markets, integrating this knowledge into modeling and strategy.
* Performs other job\-related duties as assigned.
**Required Qualifications** 
* Direct experience working with power market data and analytics (e.g., CAISO, ERCOT, MISO, NYISO, PJM, or similar).
* Experience in modeling, forecasting, or optimizing within power/energy markets.
* 3\+ years of hands\-on experience in data analysis and quantitative modeling.
* Advanced programming skills in Python or R; strong SQL.
* Proficiency with mathematical programming/optimization and model validation.
* Ability to manage and analyze large, unstructured datasets using distributed computing platforms.
* Strong communication skills to translate complex quantitative findings into actionable business insights.
**Why Join Arevon?** 
 We believe you should love what you do and love where you work, which is why we offer a wide range of benefits to support your personal and professional well\-being.
* Competitive Compensation and Incentives
* Generous Paid Time Off
* Flexible Work Environment
* 401(k) Plan with 6% Company match
* Tuition Reimbursement Program
* Paid Parental and Caregiver Leave
* Inspiring Company Culture
* Professional Development Opportunities
**Equal Opportunity Employer Statement** 
 Arevon is an equal opportunity employer committed to fostering a diverse and inclusive workplace. We do not discriminate based on race, color, religion, sex, sexual orientation, gender identity, national origin, age, disability, veteran status, or any other protected characteristic under applicable law. We encourage candidates of all backgrounds to apply.</t>
        </is>
      </c>
    </row>
    <row r="7">
      <c r="A7" t="inlineStr">
        <is>
          <t>li-4301953838</t>
        </is>
      </c>
      <c r="B7" t="inlineStr">
        <is>
          <t>Data Scientist I</t>
        </is>
      </c>
      <c r="C7" t="inlineStr">
        <is>
          <t>Knowesis Inc.</t>
        </is>
      </c>
      <c r="D7" t="inlineStr">
        <is>
          <t>linkedin</t>
        </is>
      </c>
      <c r="E7" t="inlineStr"/>
      <c r="F7" t="inlineStr"/>
      <c r="G7" t="inlineStr">
        <is>
          <t>Coronado, CA</t>
        </is>
      </c>
      <c r="H7" t="inlineStr"/>
      <c r="I7" t="inlineStr">
        <is>
          <t>**Position:** 
 Data Scientist I
**Location:** 
 Coronado, CA
**Work Environment:** 
 On Site
**Security Clearance:** 
 Secret
**Status:** 
 Funded
 Knowesis is currently seeking a Data Scientist I to support the United States Special Operations Command Preservation of the Force and Family (USSOCOM POTFF) program in identifying and implementing innovative, valuable solutions across the Special Operations Forces (SOF) enterprise aimed at improving the short and long\-term well\-being of SOF warriors and their families.
 This work will be performed on\-site in Coronado, CA and requires a Secret clearance and U.S. Citizenship (applicants without proof of US citizenship will not be considered due to the position’s security clearance requirement).
**The Job Duties and Responsibilities include but are not limited to the following:**
* Conducts basic data analytics, data manipulation, data mining, exploratory analysis, predictive analysis, and statistical analysis, and uses scientific techniques to correlate data into graphical, written, visual, and verbal narrative products, enabling more informed analytic decisions.
* Enter and analyze data within government systems.
* Maintain dashboards to automate data analysis, identifying, interpreting, and presenting trends, designed to record POTFF\-related programmatic data.
* Assist the POTFF staff with survey design. Create, analyze, and report survey data.
* Provide consultation and assistance to supported units and POTFF staff to identify opportunities and methods for capturing data related to POTFF programs and initiatives.
* Work in consultation with POTFF program staff and the Government’s POTFF biostatistician.
* Provide subject matter expertise in the areas of program evaluation, research methodologies and data analysis.
* Be able to use statistics/modeling tools and data visualization techniques to provide an accessible way to see and understand trends, outliers, and patterns in data to produce reports and presentations that accurately convey data trends supporting the mission.
**Required Qualifications:**
* Bachelor's degree in quantitative science, social science, or a related discipline.
* Basic proficiency with the suite of Microsoft Office programs, including Word, Excel, and Access.
* Basic proficiency with commonly used statistical software applications such as SPSS, SAS, Python, and R\-Shiny.
* Be able to read, write, and speak English fluently and clearly to effectively communicate with all personnel they will interact with.
* Possess excellent verbal, written, interpersonal communication, presentation skills, and shall be highly detail oriented.
* Possess sufficient initiative, interpersonal relationship skills, and social sensitivity such that they can relate constructively to a variety of contacts from diverse backgrounds.
**Preferred Qualifications:** 
* Certification or documented experience with Human Performance.
* Experience working with Special Operations, athletics/sports, or other military settings.
* Strong technical and analytical skills in the following:
+ Data visualization/development (Power BI, Tableau), and Microsoft Power Apps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is>
      </c>
    </row>
    <row r="8">
      <c r="A8" t="inlineStr">
        <is>
          <t>li-4343510518</t>
        </is>
      </c>
      <c r="B8" t="inlineStr">
        <is>
          <t>Data Scientist</t>
        </is>
      </c>
      <c r="C8" t="inlineStr">
        <is>
          <t>Wpromote</t>
        </is>
      </c>
      <c r="D8" t="inlineStr">
        <is>
          <t>linkedin</t>
        </is>
      </c>
      <c r="E8" t="inlineStr"/>
      <c r="F8" t="inlineStr"/>
      <c r="G8" t="inlineStr"/>
      <c r="H8" t="inlineStr"/>
      <c r="I8" t="inlineStr">
        <is>
          <t>**The Role**
 We are looking for a Data Scientist who can leverage statistical tools, deep learning, and troves of marketing data to build innovative, reproducible data solutions for our teams and clients. In this role, you’ll partner cross\-functionally with Data Strategy, Engineering, Product, and Reporting Solutions to design machine learning workflows and statistical models that extract key insights from troves of marketing data. You may also work directly with clients to build them elegant solutions to their marketing problems.
 Your solutions will scale as productized apps used by our industry\-leading marketers to unlock new performance opportunities for our clients. You will have the opportunity to challenge the limits of what’s possible with data science and performance marketing, designing novel solutions through Time Series Analysis, Experimental Design, A/B Testing, Optimization, Reinforcement Learning, LLMs, etc.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Remote\-first culture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The anticipated annual salary for this role will range from $120,000 \- $135,000, based on consideration of a wide array of factors unique to each candidate, including but not limited to skill set, years and depth of experience, education and certifications, competitive benchmarks, scope of responsibility, market dynamics, geographic location, and respective state’s salary threshold for exempt employees.
* This position may be performed remotely in most states within the US, with some exclusions
* While this role offers the flexibility to work remotely, we have office hubs in Los Angeles, Chicago, and New York, where you can join in on learning and development opportunities, fun events, take advantage of a space to work, and collaborate in person!
*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**You Will Be**
* Working closely with Product Development to identify high\-impact business problems that can be solved through data science and machine learning methods
* Designing, prototyping, and testing new products and data solutions
* Developing scalable, efficient, and automated workflows capable of analyzing large volumes of data from various sources
* Conducting incrementality tests and building Media Mix Models (MMMs)
* Integrating scalable workflows into production environments by collaborating with software engineers
* Maintaining data science and machine learning workflows by fixing bugs or improving model performance as needed
* Articulating complex technical results and methodologies to internal stakeholders
* Joining client meetings as needed to understand client data problems and propose innovative solutions
* Proactively identifying issues, raising them to the team, and proposing and implementing effective solutions
**You Must Have**
* Degree in Computer Science, Engineering, Statistics, Economics, or a related quantitative discipline preferred
* M.S. \+ 2 years of experience, or B.S. \+ 4 years of relevant experience
* Strong programming skills in R, Python, and SQL
* Professional experience within the digital advertising or MarTech field
* Demonstrated success delivering data\-driven products, including involvement across the full product development lifecycle
* Deep understanding of statistical modeling and machine learning techniques
* Experience with A/B testing (preferably geo\-holdouts) and Media Mix Models (MMMs)
* Strong working knowledge of large datasets, preferably within the digital marketing domain
* Experience with cloud OLAP database platforms such as BigQuery and Snowflake
* Strong communication skills with both technical and non\-technical audiences
* Ability to go beyond familiar algorithms and proactively explore new methodologies to solve business challenges
* Genuine interest in contributing to a data\-driven future in digital marketing within a fast\-growing organization
**Nice To Have**
* Solid knowledge of working with marketing and/or user acquisition data across a variety of industries
* Working experience in developing and deploying to cloud providers such as AWS and Google Cloud Platform
* An understanding of state\-of\-the\-art machine learning algorithms and packages
* Understanding of path, market basket, and clean room analyses
* Familiarity with CI/CD and MLOps practices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
      <c r="A9" t="inlineStr">
        <is>
          <t>li-4248973844</t>
        </is>
      </c>
      <c r="B9" t="inlineStr">
        <is>
          <t>Data Scientist, Experimentation</t>
        </is>
      </c>
      <c r="C9" t="inlineStr">
        <is>
          <t>BetterHelp</t>
        </is>
      </c>
      <c r="D9" t="inlineStr">
        <is>
          <t>linkedin</t>
        </is>
      </c>
      <c r="E9" t="inlineStr"/>
      <c r="F9" t="inlineStr"/>
      <c r="G9" t="inlineStr">
        <is>
          <t>San Jose, CA</t>
        </is>
      </c>
      <c r="H9" t="inlineStr"/>
      <c r="I9"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Scientist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Data Scientist to help us scale and increase our impact. You will use data to drive insight into the product and business with a focus. The ideal candidate would have experience analyzing large and complex data sets related to web products. You'll be doing plenty of experiment design and post\-hoc analysis to support product improvements and business decisions.
**What will you do?**
* Get insight from an enormous amount of data, and take a proactive role partnering with the product team in finding and testing data\-driven ideas for improving our products.
* Collaborate with the product team and development team to design effective, statistically rigorous experiments, including simple A/B tests as well as more advanced experiment designs that account for complexities such as network effects.
* Monitor and analyze several product tests with statistical rigor, present the data and insights to the team, and drive product decisions.
* Look at complex problems and come up with testable models and algorithms that have measurable business impact.
* Enjoy great teamwork, have lots of fun, and take pride in building a world\-class product that makes a difference in people's lives.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1\+ years of experience in a data science role or relevant internships, ideally applying analytical skills to real\-world problems
* Degree in a quantitative discipline such as Statistics, Math, Economics, or Operations Research
* Familiarity with analyzing A/B tests or similar experiments through coursework or projects
* Proficiency in SQL and experience working with data transformation tools such as dbt
* Hands\-on experience with data analysis, experiment design, and statistical methods through work, internships, or academic projects
* Strong grasp of statistical concepts, especially around hypothesis testing and experiment design
* Clear and thoughtful communicator, with a desire to keep improving how complex ideas are shared across different audience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$115,000 \- $145,000\.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10">
      <c r="A10" t="inlineStr">
        <is>
          <t>li-4372966819</t>
        </is>
      </c>
      <c r="B10" t="inlineStr">
        <is>
          <t>Senior Data Scientist , Agents</t>
        </is>
      </c>
      <c r="C10" t="inlineStr">
        <is>
          <t>Verily</t>
        </is>
      </c>
      <c r="D10" t="inlineStr">
        <is>
          <t>linkedin</t>
        </is>
      </c>
      <c r="E10" t="inlineStr"/>
      <c r="F10" t="inlineStr"/>
      <c r="G10" t="inlineStr">
        <is>
          <t>San Bruno, CA</t>
        </is>
      </c>
      <c r="H10" t="inlineStr"/>
      <c r="I10"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an AI and Data Scientist at Verily, you will be supporting our core mission to build advanced data and AI capabilities for Verily's portfolio of products, which serve both consumer and business audiences. You will help drive innovation in data\-driven healthcare by developing and deploying sophisticated models into our products. This role requires a blend of applied science and product\-focused creativity; you should expect to conduct research and innovate on new methods to directly support and enhance our product offerings. Using cutting\-edge techniques, you will analyze complex datasets to build robust solutions and collaborate with a diverse cross\-functional team to build reusable and scalable tools that unlock information from structured and unstructured clinical data
**Responsibilities**
* Collaborate with cross\-functional teams to conceptualize, develop, and implement AI solutions tailored to diverse healthcare applications.
* Architect and implement foundational models and large language model (LLM) based agents to achieve optimal performance and efficiency.
* Conduct cutting\-edge research and stay informed on emerging advancements in LLMs, medical foundational models, and AI agents.
* Effectively communicate complex technical methodologies and results through clear, well\-structured reports and presentations for both technical and non\-technical audiences.
**Qualifications**
 Minimum Qualifications
* Advanced degree in a quantitative discipline (e.g., statistics, computer science, applied mathematics, or similar) or equivalent practical experience.
* Experience with applying ML in digital health applications.
* Direct experience working with LLM and familiar with various prompt optimization technologies.
**Preferred Qualifications**
* Ph.D. in Computer Science or Engineering.
* Experience with LLM models, including prompting, fine\-tuning and retrieval augmented generation (RAG).
* Familiarity with software engineering principles and experience deploying algorithms in production environments.
* Experience developing transformer based deep learning algorithms using TensorFlow or PyTorch, and knowledge of latest architectures.
 This role is eligible for Verily\-sponsored immigration support.
 The US base salary range for this full\-time position is $164,000 \- $246,000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11">
      <c r="A11" t="inlineStr">
        <is>
          <t>li-4321353982</t>
        </is>
      </c>
      <c r="B11" t="inlineStr">
        <is>
          <t>Clinical Data Scientist</t>
        </is>
      </c>
      <c r="C11" t="inlineStr">
        <is>
          <t>Unlearn.AI</t>
        </is>
      </c>
      <c r="D11" t="inlineStr">
        <is>
          <t>linkedin</t>
        </is>
      </c>
      <c r="E11" t="inlineStr"/>
      <c r="F11" t="inlineStr"/>
      <c r="G11" t="inlineStr">
        <is>
          <t>San Francisco, CA</t>
        </is>
      </c>
      <c r="H11" t="inlineStr"/>
      <c r="I11" t="inlineStr">
        <is>
          <t>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 Unlearners are ambitious; we aren’t intimidated by big, challenging goals.
* Unlearners are disciplined experimenters; we break down our big goals into smaller chunks and meet as often as necessary to track our velocity and iterate quickly.
* Unlearners are gritty; we never give up, setbacks just make us try harder.
* Unlearners are receptive to new ideas; in fact, we hate being stuck with the status quo
* Unlearners are storytellers; sharing information with each other and with the world is super important, too important to be boring. And, last but not least,
*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January 2024\.
**If our purpose and culture resonate with you, we invite you to apply.**
**Clinical Data Scientist.** 
 Clinical Data Scientists at Unlearn build world\-class data products that underpin advances in machine learning for clinical research. Working in close collaboration with machine learning scientists, engineers, clinical scientists, and product partners, they transform complex clinical data into high\-quality, well\-understood datasets tailored for modeling and other downstream applications. The role spans multiple disease areas and data sources, requiring strong software practices, careful data curation, and the ability to quickly develop clinical domain expertise. In addition to internal development, Clinical Data Scientists often work in forward\-deployed settings, partnering directly with clients to ensure Unlearn’s solutions are appropriately tailored to real\-world study designs.
**Responsibilities Include**
* Transform clinical trial, observational, and electronic health record data into high\-quality, well\-structured datasets.
* Analyze longitudinal clinical datasets, developing a strong understanding of outcome measures, biomarkers, and other variables commonly used in clinical research across multiple disease areas.
* Collaborate closely with cross\-functional teams of data scientists, machine learning scientists, engineers, and clinicians to design, build, and maintain robust data products grounded in sound data organization, domain knowledge, and careful analysis.
* Communicate technical findings, data characteristics, and limitations clearly and effectively to both internal partners and external collaborators, including in forward\-deployed, client\-facing settings.
**Minimum Requirements**
* BS or advanced degree in Bioinformatics, Computer Science, Psychology, Public Health, or related discipline.
* 2\+ years of experience wrangling data from disparate sources, data cleaning, and harmonizing datasets for analysis.
* Experience working with complex or nuanced datasets.
* Fluency in Python and its essential data science tools (numpy, pandas).
* Demonstrated experience in collaborative software development.
* Experience with clinical datasets in applied machine learning applications.
* Experience working in multidisciplinary teams that include scientists, engineers, and product management.
**Bonus Points For**
* Prior experience in forward\-deployed, client\-facing settings.
* Experience in clinical/healthcare data.
 Benefits \&amp; Perks
*The following benefits and perks are for full time roles only.*
* Generous equity participation
* 100% company\-covered medical, dental, \&amp; vision insurance plans
* 401k plan with matching
* Flexible PTO plus company holidays
* Annual company\-wide break December 24 through January 1
* Commuter benefits
* Paid Parental Leave
 Unlearn is an equal opportunity employer.
 At Unlearn, we are committed to building a diverse and inclusive workplace, because inclusion and diversity are essential to achieving our mission. If you’re excited about this role, and your past experience doesn’t align perfectly with every qualification in the job description, we encourage you to apply nevertheless.</t>
        </is>
      </c>
    </row>
    <row r="12">
      <c r="A12" t="inlineStr">
        <is>
          <t>li-4382394610</t>
        </is>
      </c>
      <c r="B12" t="inlineStr">
        <is>
          <t>Senior Data Scientist</t>
        </is>
      </c>
      <c r="C12" t="inlineStr">
        <is>
          <t>James Search Group</t>
        </is>
      </c>
      <c r="D12" t="inlineStr">
        <is>
          <t>linkedin</t>
        </is>
      </c>
      <c r="E12" t="inlineStr"/>
      <c r="F12" t="inlineStr"/>
      <c r="G12" t="inlineStr"/>
      <c r="H12" t="inlineStr"/>
      <c r="I12" t="inlineStr">
        <is>
          <t>**Senior / Lead Data Scientist (P\&amp;C Insurance)** 
*Fully Remote \| Full\-Time* 
**Partnering with a Leading P\&amp;C Insurance Carrier** 
 James Search Group is proud to partner with a high\-performing Property \&amp; Casualty insurance carrier that is deeply investing in Data Science, Machine Learning (ML), and Artificial Intelligence (AI) to transform how insurance is priced, underwritten, and serviced. We’re seeking a
 **Senior / Lead Data Scientist** 
 to join their centralized Data \&amp; ML/AI department and take a key role in building scalable, production\-grade models that drive enterprise decision\-making.
 This is a hands\-on and strategic role where you'll help shape the carrier’s approach to predictive modeling, optimization, and data\-driven automation. You’ll collaborate across actuarial, underwriting, product, claims, and data engineering teams to identify high\-impact problems and bring elegant ML solutions to life.
**Office Locations (Optional Hybrid):** 
 This is a remote\-first position, but you can also work from one of the carrier’s multiple U.S. office locations
**What You’ll Do:** 
* Lead the design, development, and deployment of predictive models and machine learning pipelines across the insurance value chain.
* Partner with stakeholders to scope high\-value use cases in pricing, risk segmentation, underwriting automation, claims triage, fraud, retention, and more.
* Own model lifecycle management from ideation through to deployment and monitoring in production.
* Mentor junior data scientists, establish coding and modeling best practices, and participate in peer reviews.
* Collaborate with data engineers and ML engineers to scale models using a modern MLOps stack.
* Translate technical results into actionable insights for non\-technical stakeholders.
**What You Bring:** 
* 5–8\+ years of hands\-on experience in Data Science or ML Engineering, with a strong portfolio of deployed models.
* Deep understanding of statistical modeling, machine learning algorithms (e.g., tree\-based models, ensemble methods, NLP, deep learning), and model evaluation techniques.
* Advanced programming skills in
 **Python** 
 , and experience with data manipulation libraries (e.g., pandas, NumPy), machine learning frameworks (e.g., scikit\-learn, XGBoost, LightGBM), and deep learning tools (e.g., TensorFlow, PyTorch).
* Experience with
 **Databricks, MLflow, GitHub** 
 , and MLOps practices for productionization of models.
* Strong SQL skills and ability to work with large, complex datasets.
* Ability to communicate technical results clearly to cross\-functional teams and business stakeholders.
* Bachelor’s, Master’s, or Ph.D. in Data Science, Statistics, Computer Science, Mathematics, or a related field.
**Bonus Points For:** 
* Prior experience in the insurance industry, particularly P\&amp;C, working with claims, pricing, or underwriting data.
* Familiarity with regulatory modeling standards (e.g., explainability, fairness).
* Exposure to Hex, Arize, or similar tools for monitoring and visualization.
* Experience with time series forecasting or geospatial modeling.
**What’s In It for You:** 
* **$120,000\-$170,000 base salary**
* **Performance\-based bonus/variable compensation**
* **Comprehensive benefits** 
 , including:
* Medical, dental, and vision insurance
* 401(k) with company match
* Generous PTO
* Wellness and mental health support programs
 This is a rare opportunity to lead cutting\-edge Data Science work at a modern insurance organization where innovation is a priority.
 If you’re excited to build models that go into production and directly shape customer and business outcomes — we’d love to connect.</t>
        </is>
      </c>
    </row>
    <row r="13">
      <c r="A13" t="inlineStr">
        <is>
          <t>li-4382391776</t>
        </is>
      </c>
      <c r="B13" t="inlineStr">
        <is>
          <t>Data Scientist</t>
        </is>
      </c>
      <c r="C13" t="inlineStr">
        <is>
          <t>Wiraa</t>
        </is>
      </c>
      <c r="D13" t="inlineStr">
        <is>
          <t>linkedin</t>
        </is>
      </c>
      <c r="E13" t="inlineStr"/>
      <c r="F13" t="inlineStr"/>
      <c r="G13" t="inlineStr"/>
      <c r="H13" t="inlineStr"/>
      <c r="I13" t="inlineStr">
        <is>
          <t>**About The Company**
 New Relic is a global leader in observability and digital intelligence, dedicated to empowering organizations to optimize their digital systems through innovative solutions. Our platform provides unparalleled insights into complex infrastructures, enabling companies to make data\-driven decisions and enhance their operational efficiency. With a commitment to innovation, inclusivity, and excellence, we serve a diverse client base worldwide, helping them succeed in an increasingly digital and AI\-first landscape. Our culture fosters continuous learning, collaboration, and a passion for technological advancement, making us a preferred employer for talented professionals seeking impactful careers in data science and software engineering.
**About The Role**
 We are seeking a highly skilled Lead Data Scientist to join our dynamic analytics team. In this pivotal role, you will be responsible for designing, developing, and deploying advanced machine learning models and data products that influence strategic decision\-making across the organization. You will work closely with product managers, engineers, and business stakeholders to translate complex questions into actionable data science solutions. As a technical leader, you will set standards for best practices, mentor junior team members, and ensure the scalability and reliability of our models through MLOps practices. This role offers an exciting opportunity to lead high\-impact projects, innovate in the observability space, and contribute to the future of AI\-powered digital insights.
**Qualifications**
* 7\+ years of experience in Data Science, Statistics, or a related field
* Proficiency in Python for data manipulation, statistical analysis, and modeling (pandas, scikit\-learn, numpy, etc.)
* Advanced SQL skills for complex data querying and performance optimization
* Hands\-on experience with supervised learning techniques such as regression, random forests, and gradient boosting (XGBoost, LightGBM)
* Experience with unsupervised learning methods including clustering and dimensionality reduction
* Knowledge of time series forecasting techniques like ARIMA and Prophet
* Experience with dbt for data transformation and pipeline management
* Proven ability to deploy models into production environments and familiarity with MLOps concepts
* Understanding of software engineering practices such as CI/CD, version control (Git), and Jira
* Excellent communication skills with the ability to present technical insights to non\-technical stakeholders
* Experience with developing or integrating GenAI models or AI agents into workflows
* Bonus: Experience with cloud platforms such as AWS SageMaker
* Bonus: Background in observability or related fields
* Bonus: Advanced degree (Master's or PhD) in a quantitative discipline
* Proficiency in data visualization tools like Tableau or Looker
**Responsibilities**
* Lead the design, development, and deployment of sophisticated machine learning models and predictive algorithms to address key business challenges
* Act as a technical expert, guiding best practices in statistical analysis, experimentation, and code quality
* Collaborate with product managers and engineers to transform ambiguous business questions into rigorous data science projects with clear, actionable outcomes
* Implement and promote MLOps best practices to ensure models are scalable, reproducible, and effectively monitored in production environments
* Conduct in\-depth analyses of user behavior and product performance to identify opportunities for optimization and growth
* Mentor and coach junior data scientists and analysts, fostering a culture of continuous learning and innovation
* Communicate complex technical findings through compelling storytelling and visualization to non\-technical stakeholders
* Maintain high standards for data quality, pipeline reliability, and model performance
* Stay updated with the latest advancements in data science, machine learning, and AI to continuously improve our solutions
**Benefits**
* Comprehensive healthcare, dental, and vision plans
* Parental leave and family planning support
* Mental health and wellness programs
* 401(k) plan with company match
* Flexible time\-off policies and 11 paid holidays
* Volunteer time\-off to support community engagement
* Opportunities for professional development and continuous learning
* Inclusive and diverse workplace culture
 Equal Opportunity
 New Relic is committed to creating a diverse and inclusive environment for all employees. We are proud to be an equal opportunity employer and do not discriminate based on race, religion, ethnicity, gender, sexual orientation, gender identity, age, disability, neurodiversity, veteran status, or any other legally protected characteristic. We believe that a diverse workforce fosters innovation and drives our success. We welcome applicants from all backgrounds and experiences, and we are dedicated to providing reasonable accommodations to support your application and employment process.</t>
        </is>
      </c>
    </row>
    <row r="14">
      <c r="A14" t="inlineStr">
        <is>
          <t>li-4365587132</t>
        </is>
      </c>
      <c r="B14" t="inlineStr">
        <is>
          <t>Product Data Scientist III, Analytics Insights and Measurement</t>
        </is>
      </c>
      <c r="C14" t="inlineStr">
        <is>
          <t>Google</t>
        </is>
      </c>
      <c r="D14" t="inlineStr">
        <is>
          <t>linkedin</t>
        </is>
      </c>
      <c r="E14" t="inlineStr"/>
      <c r="F14" t="inlineStr"/>
      <c r="G14" t="inlineStr">
        <is>
          <t>Mountain View, CA</t>
        </is>
      </c>
      <c r="H14" t="inlineStr"/>
      <c r="I14" t="inlineStr">
        <is>
          <t>**Minimum qualifications:**
* Bachelor's degree in Statistics, Mathematics, Data Science, Engineering, Physics, Economics, or a related quantitative field.
* 5 years of experience with analysis applications (e.g., extracting insights, performing statistical analysis, or solving business problems), and coding (e.g., Python, R, SQL) or 2 years of experience with a Master's degree.
**Preferred qualifications:**
* Master's degree in Statistics, Mathematics, Data Science, Engineering, Physics, Economics, or a related quantitative field.
* 5 years of experience with analysis applications (e.g., extracting insights, performing statistical analysis, or solving business problems),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Measurement is a cornerstone of performance advertising, driving the majority of Google Ads business growth. Accurate and unbiased measurement empowers bidding engines to maximize advertiser Return On Investment (ROI), fostering growth for both advertisers and Google. The Product Analyst team applies advanced analytics to guide Google Ads strategy in this crucial area, ensuring that our advertising solutions effectively connect businesses with customers and deliver measurable results across our broad ad platforms.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process of gathering, extracting, and compiling data across sources via relevant tools (e.g., SQL, R, Python). Format, re\-structure, and validate data to ensure quality.
* Report Key Performance Indicators (KPIs) to support business reviews with cross\-functional/organizational leadership team. Translate analysis results to business insights or product improvement opportunities.
* Provide analytical insights and recommendations to influence product feature development decisions, and with some guidance.
* Build and prototype analysis and business cases iteratively to provide insights at scale. Develop comprehensive knowledge of Google data structures and metrics.
* Execute defined, moderately difficult analytical tasks under guidance from the manager or executive team members/TL. For straightforward problems, execute end\-to\-end analysis with minimal guidance.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
      <c r="A15" t="inlineStr">
        <is>
          <t>li-4331495307</t>
        </is>
      </c>
      <c r="B15" t="inlineStr">
        <is>
          <t>Applied Data Scientist, Unit Economics Understanding</t>
        </is>
      </c>
      <c r="C15" t="inlineStr">
        <is>
          <t>OpenAI</t>
        </is>
      </c>
      <c r="D15" t="inlineStr">
        <is>
          <t>linkedin</t>
        </is>
      </c>
      <c r="E15" t="inlineStr"/>
      <c r="F15" t="inlineStr"/>
      <c r="G15" t="inlineStr">
        <is>
          <t>San Francisco, CA</t>
        </is>
      </c>
      <c r="H15" t="inlineStr"/>
      <c r="I15" t="inlineStr">
        <is>
          <t>**About The Role**
 This role focuses on building the strategic unit economics understanding of OpenAI, guiding sustainable growth to make it the most impactful company of our generation and beyond.
 You will lead the development of foundational causal inference and data science models and frameworks to predict and quantify the drivers of customer lifetime value (LTV), translating deep data insights into strategic decisions and growth levers. The role requires both technical depth and executive\-level communication.
 This position is based in our San Francisco HQ with a hybrid work model (three days in office per week). Relocation assistance is available.
**The Vision**
* Build causal inference and predictive analytics capabilities to measure and forecast LTV across customer segments (B2C and B2B), and quantify the incremental impact of different actions or product features on customer LTV.
* Design customer “happy paths” by identifying adoption journeys that maximize lifetime value while ensuring customers gain the most from our ecosystem.
* Analyze price elasticity to guide product packaging, monetization, and pricing strategies.
**In This Role, You Will**
* Partner with cross\-functional teams (Finance, Product, Data Engineering, GTM, and other DS teams) to build causal inference and predictive models that drive business decisions.
* Develop and maintain LTV models across product lines and customer cohorts.
* Architect scalable frameworks and models that democratize economic insights for leadership and functional teams.
* Support strategic pricing and investment decisions with robust analytical and causal evidence.
* Lead cross\-functional data science initiatives, ensuring analytical rigor, clarity, and timely delivery.
**You Might Thrive In This Role If You**
* Executive communication — ability to distill complex analysis into clear, actionable recommendations for leadership.
* Technical breadth — comfort spanning ROI analysis, causal inference, statistical modeling, and ML predictive models; strong experience with Python and SQL.
* Strategic judgment — ability to connect analytical insights to business impact, delivering the “so what” that informs leadership decisions.
* Collaboration and ownership — thrive in a fast\-paced, cross\-functional environment and proactively take projects from concept to delivery.
**Qualifications**
* MS or PhD in a quantitative field (Statistics, Economics, Applied Math, Operations Research, Computer Science, etc.).
* 7\+ years of experience in applied data science, causal inference, or quantitative strategy.
* Proven record of delivering high\-impact insights to executive leadership.
* Experience building scalable analytical frameworks and models that inform business decision\-making.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6">
      <c r="A16" t="inlineStr">
        <is>
          <t>li-4381356992</t>
        </is>
      </c>
      <c r="B16" t="inlineStr">
        <is>
          <t>Data Scientist, Early Career</t>
        </is>
      </c>
      <c r="C16" t="inlineStr">
        <is>
          <t>Jobright.ai</t>
        </is>
      </c>
      <c r="D16" t="inlineStr">
        <is>
          <t>linkedin</t>
        </is>
      </c>
      <c r="E16" t="inlineStr"/>
      <c r="F16" t="inlineStr"/>
      <c r="G16" t="inlineStr"/>
      <c r="H16" t="inlineStr"/>
      <c r="I16"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Develop and deploy predictive models and machine learning algorithms that power the core logic of our production AI agents
* Experiment with and optimize Large Language Model (LLM) prompts, fine\-tuning techniques, and RAG pipelines to improve agent performance and reliability
* Perform deep\-dive statistical analysis on user interaction data to identify patterns that drive product improvements and feature innovation
* Monitor model performance and provide technical support during critical product iteration cycles
**Qualification** 
 Required
* Recent graduate or entry\-level professional (0–2 years of experience) with a degree in Data Science, Computer Science, Statistics, or a related quantitative field
* Strong programming skills in Python and proficiency with machine learning libraries such as PyTorch, TensorFlow, or Scikit\-learn
* Practical understanding of LLM architectures, prompt engineering, and the evaluation of generative AI outputs
* Excellent communication skills with the ability to articulate technical methodology and complex modeling results to the broader team
* Must live in and be authorized to work in the United States
 Preferred
* Previous internship or research experience focused on Natural Language Processing (NLP), autonomous agents, or recommendation systems
* Experience building and maintaining data pipelines and working with cloud infrastructure (AWS/GCP/Azure)
* Strong technical foundation in SQL and database management for efficient data extraction and feature engineering</t>
        </is>
      </c>
    </row>
    <row r="17">
      <c r="A17" t="inlineStr">
        <is>
          <t>li-4372783423</t>
        </is>
      </c>
      <c r="B17" t="inlineStr">
        <is>
          <t>Senior Applied Scientist, Forecasting</t>
        </is>
      </c>
      <c r="C17" t="inlineStr">
        <is>
          <t>Zillow</t>
        </is>
      </c>
      <c r="D17" t="inlineStr">
        <is>
          <t>linkedin</t>
        </is>
      </c>
      <c r="E17" t="inlineStr"/>
      <c r="F17" t="inlineStr"/>
      <c r="G17" t="inlineStr"/>
      <c r="H17" t="inlineStr"/>
      <c r="I17" t="inlineStr">
        <is>
          <t>**About The Team**
 The forecasting group at Zillow provides critical visibility through macroeconomic and housing market uncertainty, shaping planning across Zillow’s businesses. We bring together forecasters, economists, applied scientists, data scientists, and data visualization engineers to build and maintain the forecasts that guide decision‑making. Working with proprietary, industry‑leading data and rigorous forecasting methods, we translate housing market signals into actionable business outlooks. In close partnership with finance, product, and other business teams, we are modernizing how forecasts are produced, evaluated, and operationalized to create a more automated, scalable, and decision‑focused forecasting function.
**About The Role**
 Zillow is seeking a Senior Applied Scientist to join our forecasting organization. In this role, you will design, test, and deploy advanced forecasting models that shape strategic and operational decisions across Zillow. You will work at the intersection of data, economics, and business context to develop and continuously improve forecasts that matter for our customers and our business. You will regularly translate forecast results into clear insights for senior leaders, clarifying current performance, expected trajectories, key drivers, and the uncertainty and trade‑offs that shape our plans.
**You Will Get To:**
* Analyze large, complex datasets to understand buyer and seller behavior and uncover the drivers of key real estate and business outcomes.
* Develop and deploy time‑series and econometric forecasting models that address critical customer, housing market, and business questions, without exposing proprietary product details.
* Own the end‑to‑end modeling lifecycle, including scoping, feature engineering, model development, experimentation, deployment, monitoring, and model explainability.
* Translate forecasts into clear insights and recommendations for senior leadership, helping stakeholders understand drivers, uncertainty, and trade‑offs that guide Zillow’s strategy.
* Partner cross‑functionally with finance, product, engineering, marketing, and operations to scale and improve forecasting capabilities across Zillow.
* Improve and contribute to shared forecasting tools, data pipelines, and processes used across the company.
* Collaborate with other applied scientists and data scientists to develop novel solutions to real estate and business problems.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Strong experience with quantitative time‑series forecasting techniques and a practical understanding of trade‑offs between performance, explainability, and scalability.
* Approximately 7\+ years of applied data science experience, including substantial hands‑on work in forecasting, predictive modeling, or econometric analysis (industry or equivalent research experience).
* Advanced degree (MS or PhD) in a quantitative field (e.g., Economics, Operations Research, Data Analytics, Statistics, Computer Science, Mathematics, Information Management, Engineering, or related quantitative discipline), or equivalent practical experience.
* Proficient in Python and SQL for building, evaluating, and deploying models.
* Demonstrated experience monitoring, debugging, and maintaining models in production environments.
* Experience explaining complex models and analytical concepts to stakeholders with varied technical backgrounds, using clear takeaways, succinct insights, and effective visualizations.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8">
      <c r="A18" t="inlineStr">
        <is>
          <t>li-4349682593</t>
        </is>
      </c>
      <c r="B18" t="inlineStr">
        <is>
          <t>Senior Applied Scientist, DSP/ML</t>
        </is>
      </c>
      <c r="C18" t="inlineStr">
        <is>
          <t>Gridware</t>
        </is>
      </c>
      <c r="D18" t="inlineStr">
        <is>
          <t>linkedin</t>
        </is>
      </c>
      <c r="E18" t="inlineStr"/>
      <c r="F18" t="inlineStr"/>
      <c r="G18" t="inlineStr"/>
      <c r="H18" t="inlineStr"/>
      <c r="I18"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We are seeking a Senior Applied Scientist with expertise in machine learning and digital signal processing (DSP) to design models that operate on multimodal time\-series sensor data in highly resource\-constrained environments. You will develop algorithms that balance accuracy with strict power and memory limits, helping advance the next generation of Gridware’s edge intelligence. This role blends applied research, model optimization, and low\-level implementation in collaboration with hardware and firmware teams. 
**Responsibilities** 
* Execute end\-to\-end ML workflows, including exploratory data analysis, feature engineering, model training, evaluation, and optimization.
* Design and evaluate machine learning and DSP algorithms that meet strict power, memory, and latency constraints on embedded hardware.
* Conduct research and literature reviews on edge ML, resource\-constrained inference, and efficient training techniques.
* Partner closely with hardware, firmware, and product teams to ensure seamless integration of models into the full system.
**Required Skills** 
* MS or PhD in Computer Science, Electrical Engineering, or a related technical field.
* 3\+ years of experience developing and deploying production ML models.
* 3\+ years of applied research experience in ML, DSP, or algorithm development.
* Hands\-on experience working with physical sensors and modeling time\-series data.
* Strong foundation in ML architectures, DSP theory, and algorithm design for real\-world systems.
**Bonus Skills** 
* Experience developing or optimizing algorithms in C/C\+\+ for resource\-constrained embedded systems.
* Experience porting ML models from Python frameworks to firmware\-level implementations.
* Familiarity with edge ML tools, quantization, model compression, or on\-device inference strategies.
*\*\*At this time, Gridware is unable to provide visa sponsorship or immigration support for this role. We’re only able to consider candidates who are currently authorized to work in the country of employment without visa sponsorship now or in the future.\*\**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19">
      <c r="A19" t="inlineStr">
        <is>
          <t>li-4382390851</t>
        </is>
      </c>
      <c r="B19" t="inlineStr">
        <is>
          <t>Data Scientist - Fraud</t>
        </is>
      </c>
      <c r="C19" t="inlineStr">
        <is>
          <t>Wiraa</t>
        </is>
      </c>
      <c r="D19" t="inlineStr">
        <is>
          <t>linkedin</t>
        </is>
      </c>
      <c r="E19" t="inlineStr"/>
      <c r="F19" t="inlineStr"/>
      <c r="G19" t="inlineStr"/>
      <c r="H19" t="inlineStr"/>
      <c r="I19" t="inlineStr">
        <is>
          <t>**About The Company**
 Founded in 2013 and headquartered in San Francisco, Plaid is a leading financial technology company dedicated to transforming the way people interact with their finances. With offices in New York, Washington D.C., London, and Amsterdam, Plaid provides developers and businesses with innovative tools and APIs that facilitate seamless connection to thousands of financial institutions across the US, Canada, UK, and Europe. The company collaborates with a diverse range of clients, including popular platforms like Venmo, SoFi, and several Fortune 500 companies, to empower consumers to manage their financial lives more effectively. Plaid’s mission is to unlock financial freedom for everyone by building a more inclusive and accessible financial ecosystem.
**About The Role**
 We are seeking a highly skilled Data Scientist to join Plaid’s Fraud Engineering team in Raleigh\-Durham. In this role, you will be instrumental in developing and optimizing machine learning systems that underpin Plaid’s fraud detection products. Your primary focus will be on analyzing complex datasets related to customer and network traffic, building insightful dashboards, and developing performance metrics that provide clarity on product health and effectiveness. You will work closely with cross\-functional teams, including Product and Engineering, to design experiments, evaluate models, and identify high\-value opportunities to enhance fraud prevention capabilities. This position offers an exciting opportunity to contribute to cutting\-edge fraud detection solutions that protect millions of users and support the company’s growth objectives.
**Qualifications**
* 3–5 years of professional experience in data science, analytics, or related fields
* At least 2–3 years of experience working with product analytics, experimentation, or data\-driven product development
* Proficiency in SQL and Python for data analysis and modeling
* Hands\-on experience with designing, building, and maintaining dashboards and performance metrics
* Experience in backtesting methodologies and offline evaluation of machine learning models and rules\-based systems
* Strong stakeholder management and communication skills
* Background or familiarity with fraud detection, risk management, or related domains (preferred)
* Knowledge of data insights products and understanding of model performance metrics (preferred)
* Experience with customer\-facing or go\-to\-market analytics (preferred)
**Responsibilities**
* Analyze large and complex datasets to extract actionable insights that inform product strategy and development
* Develop and maintain dashboards, metrics, and experimentation frameworks to monitor product performance and health
* Collaborate with Product and Engineering teams to design, evaluate, and improve fraud detection models and rules
* Conduct backtests and offline evaluations to assess model effectiveness and identify optimization opportunities
* Partner with go\-to\-market teams to demonstrate the technical and business value of fraud prevention products to clients and stakeholders
* Assist in designing experiments for new features and product enhancements that improve fraud detection capabilities
* Ensure data models and schemas support scalable and reliable analysis and reporting
* Stay updated on industry trends and best practices in machine learning, fraud detection, and data analytics
**Benefits**
* Comprehensive medical, dental, and vision insurance plans
* 401(k) retirement savings plan with company matching
* Competitive salary range with additional compensation options such as equity and/or commissions
* Flexible work arrangements, including remote work opportunities
* Professional development and training programs
* Generous paid time off and holidays
* Supportive and inclusive work environment that values diversity and equity
 Equal Opportunity
 Plaid is proud to be an equal opportunity employer. We celebrate diversity and are committed to creating an inclusive environment for all employees. We do not discriminate based on race, color, national origin, ethnicity, religion, sex, sexual orientation, gender identity or expression, age, disability, veteran status, or any other legally protected characteristics. We also consider qualified applicants with criminal histories in accordance with applicable laws. Plaid is dedicated to providing reasonable accommodations throughout the recruitment process to ensure equal access for all candidates.</t>
        </is>
      </c>
    </row>
    <row r="20">
      <c r="A20" t="inlineStr">
        <is>
          <t>li-4382384898</t>
        </is>
      </c>
      <c r="B20" t="inlineStr">
        <is>
          <t>Data Scientist</t>
        </is>
      </c>
      <c r="C20" t="inlineStr">
        <is>
          <t>Haystack</t>
        </is>
      </c>
      <c r="D20" t="inlineStr">
        <is>
          <t>linkedin</t>
        </is>
      </c>
      <c r="E20" t="inlineStr"/>
      <c r="F20" t="inlineStr"/>
      <c r="G20" t="inlineStr">
        <is>
          <t>San Diego, CA</t>
        </is>
      </c>
      <c r="H20" t="inlineStr"/>
      <c r="I20" t="inlineStr">
        <is>
          <t>**Data Scientist \| San Diego, CA \| Hybrid \| $77,600 \- $176,000**
 We're working with a leading global consultancy at the forefront of national security and high\-stakes analytics on this exciting opportunity.
 Step into a role where your analytical prowess directly impacts global challenges, from fraud detection to breakthrough cancer research. You will leverage a sophisticated tech stack featuring Python, Machine Learning, and Cloud infrastructure to transform massive, disparate datasets into actionable intelligence for mission\-critical client decisions.
**The Role**
* Design and deploy advanced algorithms and Machine Learning models using Python, R, or C\+\+ to solve complex data puzzles for public and private sector clients.
* Architect and manage data pipelines within Cloud environments like AWS, Azure, or Google Cloud (GCP) to handle large\-scale structured and unstructured data.
* Lead the end\-to\-end data lifecycle: from feature selection and anomaly handling to model interpretation and high\-impact data visualization using Tableau, PowerBI, or Qlik.
* Collaborate directly with stakeholders to translate abstract business needs into technical requirements, utilizing Agile methodologies and MLOps best practices.
* Drive the operationalization of models using CI/CD tools such as Git, Jenkins, and Docker to ensure seamless deployment in enterprise environments.
**What You'll Need**
* 3\+ years of professional experience in Data Science, Data Analytics, or Applied Statistics.
* Proven proficiency in programming for data science, specifically with Python, R, Java, or C\+\+, and knowledge of SQL (PL/pgSQL).
* Hands\-on experience with Neural Networks, Decision Trees, and Logistic Regression, plus familiarity with modern platforms like Databricks, Palantir Foundry, or ElasticSearch.
* Strong communication skills to bridge the gap between technical complexity and non\-technical audience understanding through compelling storytelling.
* US Citizenship and the ability to obtain a Secret security clearance; Bachelor’s degree required (Master’s in CS, Math, or Engineering preferred).
**What's On Offer**
* Highly competitive salary range ($77,600 \- $176,000\) based on your unique expertise and location.
* Comprehensive wellness package including top\-tier health, life, and disability insurance plus robust retirement/401k matching.
* Dedicated support for growth with tuition assistance, professional development programs, and a culture that values work\-life integration.
* The opportunity to work on highly visible, "data for good" projects that protect national security and advance scientific discovery.
**Apply via Haystack today!**</t>
        </is>
      </c>
    </row>
    <row r="21">
      <c r="A21" t="inlineStr">
        <is>
          <t>li-4382384493</t>
        </is>
      </c>
      <c r="B21" t="inlineStr">
        <is>
          <t>Data Scientist II</t>
        </is>
      </c>
      <c r="C21" t="inlineStr">
        <is>
          <t>Microsoft</t>
        </is>
      </c>
      <c r="D21" t="inlineStr">
        <is>
          <t>linkedin</t>
        </is>
      </c>
      <c r="E21" t="inlineStr"/>
      <c r="F21" t="inlineStr"/>
      <c r="G21" t="inlineStr">
        <is>
          <t>Redmond, WA</t>
        </is>
      </c>
      <c r="H21" t="inlineStr"/>
      <c r="I21" t="inlineStr">
        <is>
          <t>**Overview**
 The
 **Copilot and Platform Ecosystem (CAPE)** 
 team at Microsoft is on a mission to deliver customer and partner ecosystem success through Copilot and collaborative solutions that drive measurable business value and delightful product experiences.
 CAPE is hiring a
 **Data Scientist II** 
 to join our
 **Data \&amp; Engineering team** 
 , where we build trusted signals, metrics, and analytical foundations that power leadership reporting, Copilot experiences, and agent‑driven workflows across
 **M365 Copilot, Copilot in Teams, and Microsoft Teams** 
 .
 As a Data Scientist II, you will partner closely with data engineering, product, and engineering teams to turn large‑scale telemetry into
 **decision‑ready insights** 
 . You will help define metrics, design experiments, evaluate outcomes, and ensure our data products are explainable, reliable, and aligned to real business questions. Your work will directly influence product direction, customer success motions, and executive decision‑making.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data engineering, product management, and engineering to define analytical questions, success metrics, and hypotheses that drive Copilot business outcomes.
* Analyze large\-scale product and customer telemetry (e.g., Kusto/ADX, Cosmos, logs, usage signals) to deliver clear, actionable insights for leaders and partner teams.
* Design and interpret experiments and evaluations (A/B tests, cohort/retention analysis, causal methods as appropriate) to measure impact of features, agents, and platform changes.
* Own and evolve core metrics and definitions (engagement, retention, adoption, quality), ensuring consistency and trust across reporting and dashboards.
* Improve data quality, freshness, and correctness by identifying gaps/anomalies and strengthening signal pipelines in partnership with data engineering.
* Build analytical models or lightweight ML to support forecasting, segmentation, classification, and outcome measurement as needed.
* Communicate complex analyses as concise narratives for technical and non\-technical audiences; contribute to documentation and analytics best practices across CAPE.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2\+ years of experience analyzing large datasets using SQL‑based systems and/or analytics platforms (e.g., Kusto, SQL, Spark).
* Experience designing and interpreting experiments, metrics, or analytical studies to inform product or business decisions.
* Experience communicating insights clearly through written narratives, presentations, or dashboards.
* Experience collaborating with cross‑functional partners (engineering, product, program management).
* Experience working in a data‑intensive product or platform environment, especially with telemetry or usage data at scale.
* Familiarity with Python, R, or similar languages for data analysis and modeling.
* Experience with AI/ML‑adjacent systems, evaluations, or outcome measurement (e.g., model quality, agent performance, user impact).
* Experience supporting executive‑level reporting or decision‑making.
* Exposure to cloud data platforms (e.g., Azure Data Explorer, Cosmos DB, Power BI semantic models).
 \#BICJOBS
 \#CAPE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
      <c r="A22" t="inlineStr">
        <is>
          <t>li-4381373370</t>
        </is>
      </c>
      <c r="B22" t="inlineStr">
        <is>
          <t>Senior Applied Scientist</t>
        </is>
      </c>
      <c r="C22" t="inlineStr">
        <is>
          <t>CHEManager International</t>
        </is>
      </c>
      <c r="D22" t="inlineStr">
        <is>
          <t>linkedin</t>
        </is>
      </c>
      <c r="E22" t="inlineStr"/>
      <c r="F22" t="inlineStr"/>
      <c r="G22" t="inlineStr">
        <is>
          <t>Seattle, WA</t>
        </is>
      </c>
      <c r="H22" t="inlineStr"/>
      <c r="I22"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5\-10\+ years of experience in Applied Science / Data Science / Quantitative Research, with a strong record of shipping models into production.
* Deep expertise in one or more of the following:
* Time series forecasting
* Pricing \&amp; revenue management
* Supply chain / inventory / logistics modeling
* Operations research / mathematical optimization
* Strong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$287,800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$287,800\.00 /Yr.</t>
        </is>
      </c>
    </row>
    <row r="23">
      <c r="A23" t="inlineStr">
        <is>
          <t>li-4381371632</t>
        </is>
      </c>
      <c r="B23" t="inlineStr">
        <is>
          <t>Senior Applied Scientist</t>
        </is>
      </c>
      <c r="C23" t="inlineStr">
        <is>
          <t>CHEManager International</t>
        </is>
      </c>
      <c r="D23" t="inlineStr">
        <is>
          <t>linkedin</t>
        </is>
      </c>
      <c r="E23" t="inlineStr"/>
      <c r="F23" t="inlineStr"/>
      <c r="G23" t="inlineStr">
        <is>
          <t>Seattle, WA</t>
        </is>
      </c>
      <c r="H23" t="inlineStr"/>
      <c r="I23"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24">
      <c r="A24" t="inlineStr">
        <is>
          <t>li-4381371630</t>
        </is>
      </c>
      <c r="B24" t="inlineStr">
        <is>
          <t>Senior Applied Scientist</t>
        </is>
      </c>
      <c r="C24" t="inlineStr">
        <is>
          <t>CHEManager International</t>
        </is>
      </c>
      <c r="D24" t="inlineStr">
        <is>
          <t>linkedin</t>
        </is>
      </c>
      <c r="E24" t="inlineStr"/>
      <c r="F24" t="inlineStr"/>
      <c r="G24" t="inlineStr">
        <is>
          <t>Seattle, WA</t>
        </is>
      </c>
      <c r="H24" t="inlineStr"/>
      <c r="I24"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25">
      <c r="A25" t="inlineStr">
        <is>
          <t>li-4382381899</t>
        </is>
      </c>
      <c r="B25" t="inlineStr">
        <is>
          <t>Senior Data Scientist 2</t>
        </is>
      </c>
      <c r="C25" t="inlineStr">
        <is>
          <t>Walgreens</t>
        </is>
      </c>
      <c r="D25" t="inlineStr">
        <is>
          <t>linkedin</t>
        </is>
      </c>
      <c r="E25" t="inlineStr"/>
      <c r="F25" t="inlineStr"/>
      <c r="G25" t="inlineStr">
        <is>
          <t>Deerfield, IL</t>
        </is>
      </c>
      <c r="H25" t="inlineStr"/>
      <c r="I25" t="inlineStr">
        <is>
          <t>**Job Summary**
 Responsible for applying advanced data analysis tools and techniques to provide insights and actionable recommendations for the business. Utilizes highly complex statistical modeling to make predictions about future outcomes and in multiple scenarios.
**Job Responsibilities**
* Responsible for applying advanced data analysis tools and techniques to provide insights and actionable recommendations for the business. Utilizes highly complex statistical modeling to make predictions about future outcomes and in multiple scenarios.
* Utilizes predictive analytics, including statistical modeling, data mining techniques and machine learning, to find patterns and make predictions about future outcomes under multiple scenarios. Interprets and applies data in analyses and explains findings to business audiences to improve products and processes, or to discover the next breakthrough.
* Interprets and applies data in analyses, and explain findings to business audiences, typically to improve products and processes, or to discover the next product breakthrough.
* Develops and executes statistical and mathematical analyses to support business decision making for multiple business functions. Develops complex algorithms and statistical predictive models and determines analytical approaches and modeling techniques to evaluate scenarios and potential future outcomes.
* Identifies meaningful insights from large data sources; interprets and communicates insights and findings from analysis and experiments to stakeholders
* Applies analytical rigor and statistical methods to analyze large amounts of data, using advanced statistical techniques such as predictive statistical models, customer profiling, segmentation analysis, survey design and analysis and data mining.
* Documents projects, including business objectives, data gathering and processing, leading approaches, final algorithm, detailed set of results and analytical metrics. Develops materials to explain project findings.
* Participates in developing technical / business approaches and new or enhanced technical tools.
* Interacts with internal and external peers and management to share highly complex information related to areas of expertise and/or to gain acceptance of new or enhanced technology / business solutions.
* Mentors less experienced members of the team. May lead teams / projects. Provides guidance regarding analytical approach and iteration of algorithms.
* Assigned to complex undertakings.
* Demonstrates proficiency in all areas of the professional function and advanced in\-depth specialization in some.
**About Walgreens**
 Founded in 1901, Walgreens (www.walgreens.com) has a storied heritage of caring for communities for generations and proudly serves nearly 9 million customers and patients each day across its approximately 8,500 stores throughout the U.S. and Puerto Rico, and leading omni 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
**Basic Qualifications**
* Bachelor's degree OR equivalent and at least 4 years of professional work experience in data science, advanced analytics, statistics or similar field
* Experience interrogating data, performing analyses, interpreting data, and presenting to business audiences.
* At least 4 years of experience with SQL
* At least 4 years of experience with open\-source data science and statistics packages such as Python, R, Spark, etc.
* Experience establishing and maintaining key relationships with internal (peers, business partners and leadership) and external (business community, clients and vendors) within a matrix organization to ensure quality standards for service.
* Experience diagnosing, isolating, and resolving complex business issues and recommending and implementing strategies to resolve problems.
* Experience presenting to all levels of an organization
* At least 2 years of experience contributing to financial decisions in the workplace.
* At least 2 years of direct leadership, indirect leadership and/or cross\- functional team leadership.
* Willing to travel up to 10% of the time for business purposes (within state and out of state)
**Preferred Qualifications**
* Graduate degree in a quantitative, computational or technical discipline and at least 2 years of professional work experience in data science, advanced analytics, statistics or similar role
 We will consider employment of qualified applicants with arrest and conviction records.
**Salary Range:** 
 $127500 \- $204000 / Salaried</t>
        </is>
      </c>
    </row>
    <row r="26">
      <c r="A26" t="inlineStr">
        <is>
          <t>li-4337650165</t>
        </is>
      </c>
      <c r="B26" t="inlineStr">
        <is>
          <t>Staff Data Scientist - Loss Forecasting &amp; Portfolio Analytics</t>
        </is>
      </c>
      <c r="C26" t="inlineStr">
        <is>
          <t>SoFi</t>
        </is>
      </c>
      <c r="D26" t="inlineStr">
        <is>
          <t>linkedin</t>
        </is>
      </c>
      <c r="E26" t="inlineStr"/>
      <c r="F26" t="inlineStr"/>
      <c r="G26" t="inlineStr">
        <is>
          <t>New York, NY</t>
        </is>
      </c>
      <c r="H26" t="inlineStr"/>
      <c r="I2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 Credit Risk Manager/Staff Data Scientist to join our Loss Forecasting and Risk Analytics Team within Sofi’s Credit team. This team member will work in the team that is responsible for forecasting losses across various SoFi lending products, including Personal Loans, Student Loan Refinances and Private Student Loans. The Staff Data Scientist will contribute to the performance analysis of SoFi lending products using empirical measurements, develop quantitative and machine learning models to forecast losses and provide insights into the drivers for losses. She/He will also collaborate with the Business Unit, Finance, Accounting, Credit, and Independent Risk Management groups. This position requires knowledge of data analytics and modeling using Python and machine learning/analytical packages, as well as strong problem\-solving and communication skills. The ideal candidate will have expertise in analyzing large datasets and developing models using Python, SQL, and other statistical analysis packages to get to the truth behind the data.
 By joining SoFi, you'll become part of a forward\-thinking company that is transforming financial services for the better. We offer the excitement of a rapidly growing startup with the stability of an industry\-leading leadership team.
**What you’ll do:**
* Develop loss projections for SoFi’s lending products, including Personal Loans, Student Loan Refinances, and Private Student Loans.
* Draw strategic insights from data using statistical analysis tools to inform decisions and support SoFi’s overarching strategic goals relative to loss prevention and profit optimization. Bring new ways of thinking, data sources, technologies, and capabilities to SoFi.
* Develop stress testing framework using macroeconomic data to provide insights into the business and enable the company to plan proactively for economic downturns.
* Improve forecasting accuracy and productivity. Ensure good documentation and control of forecasting methodologies and procedures.
* Explore external credit data to identify trends in the market and industry.
* Work with Business Units, Operations, Product, Capital Markets, Finance, Accounting, and Risk partners to ensure correct loss expectations and trends of losses are communicated effectively and executed appropriately.
* Be inspired by dynamic leaders and our rapidly growing business. We are recruiting the best, brightest, and most passionately quantitative team members.
**What you’ll need:**
* 7\+ years of related experience with a Master’s or PhD degree
* Proven advanced analytical and technical skills in conducting sophisticated data analysis and building loss forecasting models and projections
* Business acumen and work experience in the consumer lending business (loans or credit cards)
* Proficient in Python, SQL \&amp; Tableau
* Strong communication and presentation skills. Demonstrated ability to synthesize and communicate analysis to business partners and senior management
* High motivation to drive results, eager to learn, and able to work collaboratively in a fluid environment
* Prior experience in credit loss forecasting is a must
**Nice to have:**
* Experience using credit bureau sandbox data
* Experience in developing credit risk strategies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7">
      <c r="A27" t="inlineStr">
        <is>
          <t>li-4364561418</t>
        </is>
      </c>
      <c r="B27" t="inlineStr">
        <is>
          <t>Senior Data Scientist, Forecasting and Routing</t>
        </is>
      </c>
      <c r="C27" t="inlineStr">
        <is>
          <t>Spring Health</t>
        </is>
      </c>
      <c r="D27" t="inlineStr">
        <is>
          <t>linkedin</t>
        </is>
      </c>
      <c r="E27" t="inlineStr"/>
      <c r="F27" t="inlineStr"/>
      <c r="G27" t="inlineStr">
        <is>
          <t>San Francisco, CA</t>
        </is>
      </c>
      <c r="H27" t="inlineStr"/>
      <c r="I27"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Senior Manager of Data Science, the Senior Data Scientist I on the Routing \&amp; Forecasting team will lead the design and deployment of advanced forecasting and optimization models that power Spring Health’s precision care routing systems. You’ll define the analytical and technical direction for key initiatives that determine how we allocate care resources, predict demand, and ensure that members receive the right care at the right time. You’ll partner with Product, Engineering, and Clinical Operations to shape the roadmap for intelligent, data\-driven care delivery.
 Please note that this is a
 **hybrid role based in San Francisco** 
 , with an expectation to be in office 2\-3 days a week. Our office is located at 2 Embarcadero Ctr.
**What You’ll Do**
* Lead the end\-to\-end design and delivery of high\-impact data science projects — from problem framing and hypothesis generation through model development, validation, and deployment.
* Develop, implement, and maintain advanced forecasting and routing algorithms, ensuring robustness, scalability, and reproducibility.
* Define the technical direction for data science initiatives within the Forecasting \&amp; Routing domain, balancing long\-term innovation with short\-term impact.
* Partner with stakeholders across the business to translate ambiguous operational needs into clear research questions and data products that drive measurable results.
* Apply advanced statistical and ML techniques to complex forecasting and routing challenges.
* Champion MLOps best practices, including automated model monitoring, versioning, logging, and alerting in production environments.
* Collaborate closely with engineering to ensure models are deployed efficiently using tools like AWS SageMaker, dbt, and GitHub, with strong observability and CI/CD standards.
* Mentor junior data scientists, contribute to peer reviews, and help shape team standards for code quality, experimentation, and documentation.
* Communicate insights clearly to technical and non\-technical audiences, influencing product and operational decisions through data\-driven recommendations.
**What Success Looks Like**
* Ownership and successful delivery of multiple, complex data science projects with measurable business impact.
* Forecasting and routing models consistently meeting or exceeding accuracy and reliability benchmarks.
* Demonstrated leadership in defining best practices in experimentation, MLOps, and model governance.
* Strong cross\-functional relationships with Product, Engineering, and Operations that result in faster decision\-making and higher confidence in model outputs.
* Clear evidence of mentorship and technical influence within the data science team.
* Contributions to roadmap and strategy that improve scalability, efficiency, and care outcomes across Spring Health’s precision care systems.
**What You’ll Bring**
* 4–6 years of professional experience in data science, machine learning, or a related quantitative field.
* Deep proficiency in Python and SQL, with proven ability to design and maintain production\-grade codebases.
* Demonstrated expertise in time series forecasting, predictive modeling, and causal inference.
* Hands\-on experience building and deploying ML models using AWS SageMaker, with strong understanding of MLOps, model monitoring, and lifecycle management.
* Familiarity with Snowflake, dbt, GitHub,scikit\-learn, and MLflow.
* Strong understanding of experimental design, statistical inference, and uncertainty quantification.
* Ability to navigate ambiguous or incomplete data, formulate hypotheses, and deliver elegant, data\-driven solutions.
* Excellent communication skills and ability to synthesize complex analyses into actionable recommendations for leadership.
* Demonstrated ownership of projects that delivered measurable operational or business impact.
* Passion for applying data science to real\-world problems in mental healthcare.
*The target base salary range for this position is
 **$183,500 \- $205,550** 
 and is part of a competitive total rewards package including equity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28">
      <c r="A28" t="inlineStr">
        <is>
          <t>li-4343472841</t>
        </is>
      </c>
      <c r="B28" t="inlineStr">
        <is>
          <t>Applied Scientist II</t>
        </is>
      </c>
      <c r="C28" t="inlineStr">
        <is>
          <t>Microsoft</t>
        </is>
      </c>
      <c r="D28" t="inlineStr">
        <is>
          <t>linkedin</t>
        </is>
      </c>
      <c r="E28" t="inlineStr"/>
      <c r="F28" t="inlineStr"/>
      <c r="G28" t="inlineStr">
        <is>
          <t>Redmond, WA</t>
        </is>
      </c>
      <c r="H28" t="inlineStr"/>
      <c r="I28" t="inlineStr">
        <is>
          <t>**Overview**
 Our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This position as an
 **Applied Scientist II** 
 is for the modeling team, which builds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and building efficient models for predicting user interactions with ads and advertiser’s pages.
* Designing and overseeing large\-scale, long\-term experiments to improve the health of the marketplace using advanced statistics and machine learning.
* Designing automation algorithms for advertisers using techniques from AI and ML to improve advertiser’s return on investment.
* Develop models for causal reasoning using techniques from AI, ML, and statistics.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Experience in any of the following areas statistical machine learning, deep learning, data mining, causal inference, information retrieval, game theory, mechanism design, optimization and Bayesian inference.
* Excellent problem solving and data analysis skills, effective communication skills, both verbal and written.
* Solid software design and development skills/experience.
* 1\+ year(s) experience creating publications (e.g., patents, peer\-reviewed academic papers).
* Research experience (publications) in the following areas is preferred statistical machine learning, deep learning, data mining, causal inference, information retrieval, and Bayesian inference.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
      <c r="A29" t="inlineStr">
        <is>
          <t>li-4364541204</t>
        </is>
      </c>
      <c r="B29" t="inlineStr">
        <is>
          <t>B4 Lead Data Scientist (GenAI)</t>
        </is>
      </c>
      <c r="C29" t="inlineStr">
        <is>
          <t>Norfolk Southern</t>
        </is>
      </c>
      <c r="D29" t="inlineStr">
        <is>
          <t>linkedin</t>
        </is>
      </c>
      <c r="E29" t="inlineStr"/>
      <c r="F29" t="inlineStr"/>
      <c r="G29" t="inlineStr">
        <is>
          <t>Atlanta, GA</t>
        </is>
      </c>
      <c r="H29" t="inlineStr"/>
      <c r="I29" t="inlineStr">
        <is>
          <t>Requisition 39619: B4 Lead Data Scientist (GenAI)
***A resume helps you stand out to hiring managers and recruiters; your resume communicates your experience and your brand. While it is not required, we encourage you to include an up\-to\-date resume along with a completed job application to give you the best opportunity to be considered. A complete resume helps us to better understand your unique background, relevant experiences, and passions. We look forward to learning about you.***
 Norfolk Southern offers a unique opportunity to be part of our proud legacy that spans nearly 200 years. We are a customer\-centric, operations\-driven team dedicated to advancing safety, serving communities, and driving innovation for tomorrow's rail. As part of Norfolk Southern, you’ll join a collaborative team where there are opportunities for growth across the organization. We are building a culture where everyone can thrive by owning and driving exceptional results, being humble and leading with trust, serving our customers with excellence, and collaborating and coaching to win.
**Job Description**
**Who we are and what we do:**
 Norfolk Southern Corporation is seeking a Lead Data Scientist (GenAI) to join our enterprise AI team. This role focuses on developing, optimizing, and enhancing intelligent solutions using Generative AI technologies, including Large Language Models (LLMs), Retrieval\-Augmented Generation (RAG), and Model Context Protocol (MCP) servers. The ideal candidate will partner with technical and business leaders across the enterprise to deliver scalable, secure, and high\-performing AI capabilities that drive business value. The position involves working with cloud\-based platforms, modern AI/ML frameworks, and collaborating across business units to solve complex problems.
**What Kind Of Problems Do We Solve**
* Document Intelligence: Analyze and extract insights from thousands of corporate documents, reports, and operational data using advanced NLP techniques.
* Conversational AI: Build intelligent chat systems that help employees retrieve information and interact with enterprise data.
* GenAI Solutions: Creating and deploying Generative AI models for document processing, visual data analysis, and natural language understanding.
* Model Context Protocol (MCP): Enhance AI agent capabilities through custom tool integrations and context\-aware servers.
**Responsibilities**
* Lead design and architecture of enterprise GenAI solutions tailored to business use cases.
* Design modular, framework‑agnostic LLM pipelines using libraries such as LangChain, LlamaIndex, or similar
* Define prompting strategies, agent patterns, and RAG architectures. Ensure approaches are scalable, reusable company‑wide and drive adoption across teams.
* Oversee lifecycle of usecases: Development to Deployment to Production and MLops.
* Ensure responsible AI practices, including explainability, governance, and compliance.
* Evaluate emerging AI trends and help guide the adoption of high value innovations.
* Collaborate with cross\-functional teams to understand business needs and deliver configurable, scalable solutions.
**Education Required**
* Bachelor’s in computer science, data science, machine learning, NLP, AI, linguistics, or related field required.
**Skills Required**
* 4\-7\+ years of experience in Data Science, Machine Learning, NLP or AI positions.
* Extensive background in building, finetuning and operationalizing large language models (LLMs) in production environment.
* Proficiency in Python, including libraries such as Scikit\-learn, PyTorch, Pandas, NumPy, spaCy, NLTK, and Matplotlib.
* Skilled in SQL, NoSQL, Milvus, Pinecone, PGVector databases
**Skills Preferred**
* Advanced degree, e.g., Ph.D. or M.S. computer science, data science, machine learning, NLP, AI, linguistics, or related field preferred.
* Highly experienced in creating Agentic LLMs and knowledge of orchestration frameworks such as LangGraph.
* NLP and AI/ML Frameworks: Experience with training NLP models from scratch, working with Large Language Models, and using libraries such as spaCy, NLTK, and Transformers.
* Highly experienced with cloud platforms, preferably AWS (ECS, S3, Lambda, Bedrock, OpenSearch), Databricks, and Datadog.
* DevOps knowledge: Docker, Kubernetes, CI/CD, Git, Terraform.
**Work Conditions**
 Environment: Hybrid 3 days on\-site and remote work 2 days per week.
 Shift Work: No
 On\-Call: No
 Weekend Work: No
**Company Overview**
 Since 1827, Norfolk Southern Corporation (NYSE: NSC) and its predecessor companies have safely moved the goods and materials that drive the U.S. economy. Today, it operates a customer\-centric and operations\-driven freight transportation network. Committed to furthering sustainability, Norfolk Southern helps its customers avoid 15 million tons of yearly carbon emissions by shipping via rail. Its dedicated team members deliver more than 7 million carloads annually, from agriculture to consumer goods, and is the largest rail shipper of auto products and metals in North America. Norfolk Southern also has the most extensive intermodal network in the eastern U.S., serving a majority of the country’s population and manufacturing base, with connections to every major container port on the Atlantic coast as well as the Gulf of Mexico and Great Lakes. Learn more by visiting www.NorfolkSouthern.com.
 At Norfolk Southern, we believe in celebrating our individuality. By leveraging the unique backgrounds and viewpoints of our employees, we can create a culture of innovation, respect, and inclusion. We know that employees thrive in a workplace where differing viewpoints, ideas, and experiences are freely shared and valued. As such, we encourage all employees to contribute their distinctive skills and capabilities to our organization.
**Equal employment opportunities are available to all applicants regardless of race, color, religion, age, sex, national origin, disability status, genetic information, veteran status, sexual orientation, and gender identity. Together, we power progress.**</t>
        </is>
      </c>
    </row>
    <row r="30">
      <c r="A30" t="inlineStr">
        <is>
          <t>li-4338421711</t>
        </is>
      </c>
      <c r="B30" t="inlineStr">
        <is>
          <t>Senior Applied Scientist, Sponsored Products and Brands</t>
        </is>
      </c>
      <c r="C30" t="inlineStr">
        <is>
          <t>Amazon</t>
        </is>
      </c>
      <c r="D30" t="inlineStr">
        <is>
          <t>linkedin</t>
        </is>
      </c>
      <c r="E30" t="inlineStr"/>
      <c r="F30" t="inlineStr"/>
      <c r="G30" t="inlineStr">
        <is>
          <t>New York, United States</t>
        </is>
      </c>
      <c r="H30" t="inlineStr"/>
      <c r="I30"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
**Company** 
 \- Amazon.com Services LLC
 Job ID: A3130062</t>
        </is>
      </c>
    </row>
    <row r="31">
      <c r="A31" t="inlineStr">
        <is>
          <t>li-4323596755</t>
        </is>
      </c>
      <c r="B31" t="inlineStr">
        <is>
          <t>Principal Data Scientist - Safety</t>
        </is>
      </c>
      <c r="C31" t="inlineStr">
        <is>
          <t>Roblox</t>
        </is>
      </c>
      <c r="D31" t="inlineStr">
        <is>
          <t>linkedin</t>
        </is>
      </c>
      <c r="E31" t="inlineStr"/>
      <c r="F31" t="inlineStr"/>
      <c r="G31" t="inlineStr">
        <is>
          <t>San Mateo, CA</t>
        </is>
      </c>
      <c r="H31" t="inlineStr"/>
      <c r="I31"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CONTENT SAFETY?**
 Content safety and moderation are paramount to maintaining a positive, engaging, and trustworthy platform experience for our global community. In this role, you will apply your expertise in data science, statistics, and causal inference to strategically define, measure, and improve the detection and mitigation of harmful user\-generated content and violative on\-platform behaviors. Your focus will be on asset\-based content across the platform \- including games, avatars, and emerging in\-game behaviors \- by establishing reliable ground truth datasets and developing robust prevalence measurement methodologies. You will collaborate closely with Product, Engineering, Legal, Policy, and Compliance teams, acting as the quantitative expert who guides our defensive strategy against evolving safety threats and ensures accountability and scalable solutions. This is a critical opportunity to build innovative detection systems, define what we measure, and prove the impact of our safety efforts.
**You Will**
* Establish and monitor robust prevalence measurement methodologies to accurately quantify the overall level of harmful content and behavior on the platform, providing the authoritative source of truth for organizational safety goals.
* Develop and validate comprehensive ground truth datasets for harmful UGC and violative on\-platform behaviors, ensuring high quality and alignment with the latest platform policies.
* Deepen our understanding of violations by conducting exploratory analysis on current and emerging threat landscapes, providing data\-backed recommendations on where Product and Engineering should strategically invest detection and moderation resources.
* Design, implement, and analyze sophisticated experiments for new moderation and safety enforcement features, communicating results to our primary partners in Product and Engineering to guide development, while also collaborating closely with Policy, Compliance, and Legal teams for full strategic alignment.
* Leverage advanced causal inference methodologies to accurately measure the effectiveness and potential systemic impacts of various safety initiatives on player experience and platform integrity.
* Communicate strategic insights and present recommendations to leadership and all cross\-functional partners, translating complex statistical findings on prevalence, ground truth quality, and effectiveness into actionable strategies for Product, Engineering, Policy, Compliance, and Legal.
* Partner with ML and Data Engineering teams to ensure model development, reporting, and detection systems are built on statistically sound ground truth and measurement frameworks.
**You Have**
* 10\+ years of industry experience in data science, economics, analytics, or machine learning engineering
* 7\+ years of experience using scripting languages (Python, R), and big data query/processing languages and tools such as SQL, Hive, Spark, and Airflow
* Knowledge of ML and Deep Learning either via formal training or industry experience
* Ability to apply creative first\-principles reasoning to solve ambiguous problems
* Experience developing large\-scale safety or moderation systems as well as experience with content platforms, specifically user\-generated content
* Advanced Degree and/or PhD in Statistics, Computer Science, Physics, Applied Math, Economics, or other related quantitative fields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$321,230—$373,680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32">
      <c r="A32" t="inlineStr">
        <is>
          <t>li-4364159756</t>
        </is>
      </c>
      <c r="B32" t="inlineStr">
        <is>
          <t>Applied Scientist II, Personalization</t>
        </is>
      </c>
      <c r="C32" t="inlineStr">
        <is>
          <t>Amazon</t>
        </is>
      </c>
      <c r="D32" t="inlineStr">
        <is>
          <t>linkedin</t>
        </is>
      </c>
      <c r="E32" t="inlineStr"/>
      <c r="F32" t="inlineStr"/>
      <c r="G32" t="inlineStr">
        <is>
          <t>Seattle, WA</t>
        </is>
      </c>
      <c r="H32" t="inlineStr"/>
      <c r="I32" t="inlineStr">
        <is>
          <t>**Description**
 Our team is part of Amazon’s Personalization organization, a high\-performing group that leverages Amazon’s expertise in machine learning, big data, distributed systems, and user experience design to deliver the best shopping experiences for our customers. We run global experiments and our work has revolutionized e\-commerce with features such as "Keep shopping for", “Customers who bought this item also bought”, and “Frequently bought together” among others.
 We are building the next generation of personalized shopping experiences at Amazon through deep understanding of our customer's intent and our product catalog. We aim to create an experience akin to that of a talented personal shopping assistant — a partner that is knowledgeable, understands your preferences, and helps you find the right solution for your needs. We hope you will join us!
 Key job responsibilities
 As an Applied Scientist on the team you will be working on ways to help customers find the right products on their shopping journey.
 You will hone your skills in areas such as Multimodal LLM post\-training and cross\-modal vision\-language reasoning, while building scalable, agentic industry\-grade systems.
 To be highly successful in this role, the following background is preferred (or expected to be ramped up quickly):
* A strong Computer Vision foundation
* Familiarity with multimodal encoders, with hands\-on experience training multimodal models
* End\-to\-end ML pipeline experience, spanning data curation, model training, and production deployment
* Experience with LLMs, particularly using LLM\-as\-a\-judge for synthetic data generation
* Experience with online experimentation, including experiment setup and post\-analysis
* Expertise in multimodal domain generalization is a strong plus
**Basic Qualifications**
* 3\+ years of building models for business application experience
* PhD, or Master's degree and 4\+ years of CS, CE, ML or related field experience
* Experience programming in Java, C\+\+, Python or related language
**Preferred Qualifications**
* Experience in patents or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A3181196</t>
        </is>
      </c>
    </row>
    <row r="33">
      <c r="A33" t="inlineStr">
        <is>
          <t>li-4365628431</t>
        </is>
      </c>
      <c r="B33" t="inlineStr">
        <is>
          <t>Senior Marketing Data Scientist</t>
        </is>
      </c>
      <c r="C33" t="inlineStr">
        <is>
          <t>SoFi</t>
        </is>
      </c>
      <c r="D33" t="inlineStr">
        <is>
          <t>linkedin</t>
        </is>
      </c>
      <c r="E33" t="inlineStr"/>
      <c r="F33" t="inlineStr"/>
      <c r="G33" t="inlineStr">
        <is>
          <t>Frisco, TX</t>
        </is>
      </c>
      <c r="H33" t="inlineStr"/>
      <c r="I3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4">
      <c r="A34" t="inlineStr">
        <is>
          <t>li-4382381574</t>
        </is>
      </c>
      <c r="B34" t="inlineStr">
        <is>
          <t>Senior Data Scientist</t>
        </is>
      </c>
      <c r="C34" t="inlineStr">
        <is>
          <t>Microsoft</t>
        </is>
      </c>
      <c r="D34" t="inlineStr">
        <is>
          <t>linkedin</t>
        </is>
      </c>
      <c r="E34" t="inlineStr"/>
      <c r="F34" t="inlineStr"/>
      <c r="G34" t="inlineStr">
        <is>
          <t>Redmond, WA</t>
        </is>
      </c>
      <c r="H34" t="inlineStr"/>
      <c r="I34" t="inlineStr">
        <is>
          <t>**Overview**
 The
 **Copilot and Platform Ecosystem (CAPE)** 
 team at Microsoft is on a mission to deliver customer and partner ecosystem success through Copilot and collaborative solutions that drive measurable business value and delightful product experiences.
 CAPE is hiring a
 **Senior** 
**Data Scientist** 
 to join our
 **Data \&amp; Engineering team** 
 , where we build trusted signals, metrics, and analytical foundations that power leadership reporting, Copilot experiences, and agent‑driven workflows across
 **M365 Copilot, Copilot in Teams, and Microsoft Teams** 
 .
 As a Senior Data Scientist, you will partner closely with data engineering, product, and engineering teams to turn large‑scale telemetry into
 **decision‑ready insights** 
 . You will help define metrics, design experiments, evaluate outcomes, and ensure our data products are explainable, reliable, and aligned to real business questions. Your work will directly influence product direction, customer success motions, and executive decision‑making.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data engineering, product management, and engineering to define analytical questions, success metrics, and hypotheses that drive Copilot business outcomes.
* Analyze large\-scale product and customer telemetry (e.g., Kusto/ADX, Cosmos, logs, usage signals) to deliver clear, actionable insights for leaders and partner teams.
* Design and interpret experiments and evaluations (A/B tests, cohort/retention analysis, causal methods as appropriate) to measure impact of features, agents, and platform changes.
* Own and evolve core metrics and definitions (engagement, retention, adoption, quality), ensuring consistency and trust across reporting and dashboards.
* Improve data quality, freshness, and correctness by identifying gaps/anomalies and strengthening signal pipelines in partnership with data engineering.
* Build analytical models or lightweight ML to support forecasting, segmentation, classification, and outcome measurement as needed.
* Communicate complex analyses as concise narratives for technical and non\-technical audiences; contribute to documentation and analytics best practices across CAPE.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2\+ years of experience analyzing large datasets using SQL‑based systems and/or analytics platforms (e.g., Kusto, SQL, Spark).
* Experience designing and interpreting experiments, metrics, or analytical studies to inform product or business decisions.
* Experience communicating insights clearly through written narratives, presentations, or dashboards.
* Experience collaborating with cross‑functional partners (engineering, product, program management).
* Experience working in a data‑intensive product or platform environment, especially with telemetry or usage data at scale.
* Familiarity with Python, R, or similar languages for data analysis and modeling.
* Experience with AI/ML‑adjacent systems, evaluations, or outcome measurement (e.g., model quality, agent performance, user impact).
* Experience supporting executive‑level reporting or decision‑making.
* Exposure to cloud data platforms (e.g., Azure Data Explorer, Cosmos DB, Power BI semantic models).
 \#BICJOBS
 \#CAPE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5">
      <c r="A35" t="inlineStr">
        <is>
          <t>li-4291672702</t>
        </is>
      </c>
      <c r="B35" t="inlineStr">
        <is>
          <t>Sr. Data Scientist &amp; Algorithm Developer (Thermal Controls)</t>
        </is>
      </c>
      <c r="C35" t="inlineStr">
        <is>
          <t>Vertiv</t>
        </is>
      </c>
      <c r="D35" t="inlineStr">
        <is>
          <t>linkedin</t>
        </is>
      </c>
      <c r="E35" t="inlineStr"/>
      <c r="F35" t="inlineStr"/>
      <c r="G35" t="inlineStr">
        <is>
          <t>Westerville, OH</t>
        </is>
      </c>
      <c r="H35" t="inlineStr"/>
      <c r="I35" t="inlineStr">
        <is>
          <t>**Job Summary**
**JOB DESCRIPTION**
 Vertiv is seeking a
 ***Sr. Data Scientist \&amp; Algorithm Developer***
 to lead our Advanced Thermal Controls Algorithm Development efforts. This position understands and follows the new product development process and leads the ideation, design, testing and troubleshooting of Advanced Thermal Controls Logic and Algorithms. The Sr. Data Scientist \&amp; Algorithm Developer supports the Global Thermal Management business. This position interacts with and supports Global Design, Test Engineering, Thermal Controls, and Quality teams.
**Responsibilities**
* Creating Algorithm test plans and executing the plan either through simulated bench or lab environments.
* Owner of Thermal Controls Algorithm development, testing and verification in Thermal Controls Labs.
* Compilation and advanced analysis of test data with a focus on model development.
* Ideation, development, verification, and handoff of advanced algorithms and logic utilizing AI/ML methods for optimization, conditional based maintenance (predictive diagnostics), and/or operational excellence related to Thermal HVAC equipment to the Thermal Controls Development team.
* Algorithm scope includes single component, single device, multi\-device systems and multi\-systems.
* Familiarity with ML/AI technologies and a solid understanding of machine learning fundamentals, including MLP, CNN, SNN models, normalization and activation functions, forward/back propagation, and associated mathematics.
* Lab testing for verification of benefits and presentation of these results to the Product Management teams.
* Assist the Thermal Controls Development team in integrating algorithms into Controls architecture and platforms.
* Assisting in roadmap generation and resource plans specifically for Thermal Controls Algorithm development.
* Participates in sustaining activities for existing algorithms including diagnosis and resolution of related defects.
* Responsible for keeping excellent, organized project records and documentation.
* Product testing: Unit testing, system integration testing, and field\-testing support
* Leadership: Effective lead engineer, consistent positive attitude, creativity, accepts broad responsibility
* Other tasks and activities as required by management
**Requirements**
* Bachelor's Degree/Master's Degree (MS or higher) or foreign equivalent with strong emphasis on software: Computer Science, Controls Engineering, Data Science/Engineering, Software Engineering, Electrical/Mechanical Engineering; Preferred engineer with PhD and industrial experience.
* At least 5 years related experience
* Required expertise with HVAC, data manipulation and algorithm design:
+ HVAC experience (5 years)
+ Experience with data manipulation, data modeling and analysis
+ Experience with real HVAC testing (propose, execute, evaluate)
+ Experience with control design, numerical optimization, machine learning, artificial intelligence
+ Experience with development and implementation of complex mathematical algorithms
* Preferred expertise with software programming languages including but not limited to:
+ Matlab, Simulink, Python, C/C\+\+
+ MySQL Server, SQL
+ TensorFlow, Keras, Scikit\-learn, PyTorch, Nvidia AI Labs
+ LabView and associated Data Acquisition systems and protocols
* Familiarity with software development environments and tools:
+ Git, GitHub, GitLab, Rally, Code Composer Studio™ IDE, ST32CubeIDE™, and Eclipse® IDE toolsa plus
* Fluent in English
* Up to 10% travel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36">
      <c r="A36" t="inlineStr">
        <is>
          <t>li-4365577170</t>
        </is>
      </c>
      <c r="B36" t="inlineStr">
        <is>
          <t>Senior Staff Data Scientist, Borrow</t>
        </is>
      </c>
      <c r="C36" t="inlineStr">
        <is>
          <t>SoFi</t>
        </is>
      </c>
      <c r="D36" t="inlineStr">
        <is>
          <t>linkedin</t>
        </is>
      </c>
      <c r="E36" t="inlineStr"/>
      <c r="F36" t="inlineStr"/>
      <c r="G36" t="inlineStr">
        <is>
          <t>New York, NY</t>
        </is>
      </c>
      <c r="H36" t="inlineStr"/>
      <c r="I36"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Borrow Data Science team is seeking a Senior Staff Data Scientist who will help support growth in our Home Loans business by improving SoFi’s ability to execute with data. This is an exciting role for someone to leverage their analytical skills to create robust reporting, identify growth opportunities and insights, and build ML models using Snowflake, Airflow, dbt, and Sagemaker.
 As a Senior Staff Data Scientist, you will serve as a data leader, balancing urgent requests, and delivering high quality projects to key stakeholders, through a clear and repeatable data informed approach. You will be a technical leader, helping the team build reliable, efficient, and scalable data foundations. You will create a culture of strong technical ownership, documenting your approach and ideas to socialize, resulting in strategies that have a wide impact within the organization. You will perform analytical deep\-dives to proactively identify most impactful opportunities, and inform future experimentation design and product roadmaps.
 In this role, you'll use your expertise in data analysis, statistical modeling, and machine learning to uncover insights that will directly influence product strategy and revenue growth. This role demands a strong technical foundation (SQL, Python/R, Tableau, Statistics), a deep understanding of business metrics, A/B testing, causal inference analysis, and exceptional collaboration skills.
 Additionally, you are expected to work cross\-functionally, including: engineering, product managers, lifecycle marketing, data science, design, operations, finance, risk, legal, compliance, and executive teams to set business objectives, define product strategy, prioritize features, and execute on them.
****What you’ll do:****
* Identify high impact business opportunities to help members achieve their financial goals
* Mentor and guide data scientists in the team by promoting best practices, strong technical decisions, coding standards, and thorough documentation.
* Develop and apply machine learning models to solve business problems
* Evaluate and interpret the results of data analysis
* Build strong relationships with stakeholders and present insights on a regular cadence communicating findings to both technical and non\-technical stakeholders.
* Design and implement data collection. Build data pipelines to deploy production level datasets.
* Collaborate with cross\-functional teams and business leaders to understand needs and offer data\-driven solutions
* Act as a technical leader by mentoring and supporting the growth of less experienced team members.
****What you’ll need:****
* Masters’ or above in quantitative areas: Statistics, Applied Mathematics, Economics, Computer Science, Engineering, or related field
* 10\+ years of relevant experience leveraging data\-driven analysis to influence key decisions, preferably in a Tech or Finance company
* Proven track record of being able to work independently, and proactively engaging with business stakeholders with minimal direction and drive measurable business impact.
* Experience with using Airflow and DBT to build Data Pipelines in Snowflake
* Strong programming skills in SQL and Python
* Experience with building data visualizations with Tableau, Looker or other BI tools
* Knowledge of varied ML algorithms, applicability to different business problems, and experience in deploying ML models at scale in production with monitoring metrics.
* Ability to work in a dynamic, cross\-functional environment, with a strong attention to detail;
* Effective communication and presentation skills and ability to explain complex analyses in simple terms to business leaders;
* Strong relationship building and collaborative skills;
* Exceptional problem\-solving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7">
      <c r="A37" t="inlineStr">
        <is>
          <t>li-4365632250</t>
        </is>
      </c>
      <c r="B37" t="inlineStr">
        <is>
          <t>Senior Marketing Data Scientist</t>
        </is>
      </c>
      <c r="C37" t="inlineStr">
        <is>
          <t>SoFi</t>
        </is>
      </c>
      <c r="D37" t="inlineStr">
        <is>
          <t>linkedin</t>
        </is>
      </c>
      <c r="E37" t="inlineStr"/>
      <c r="F37" t="inlineStr"/>
      <c r="G37" t="inlineStr">
        <is>
          <t>Seattle, WA</t>
        </is>
      </c>
      <c r="H37" t="inlineStr"/>
      <c r="I3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8">
      <c r="A38" t="inlineStr">
        <is>
          <t>li-4365630276</t>
        </is>
      </c>
      <c r="B38" t="inlineStr">
        <is>
          <t>Applied Scientist (Contract), Artificial General Intelligence</t>
        </is>
      </c>
      <c r="C38" t="inlineStr">
        <is>
          <t>Amazon</t>
        </is>
      </c>
      <c r="D38" t="inlineStr">
        <is>
          <t>linkedin</t>
        </is>
      </c>
      <c r="E38" t="inlineStr"/>
      <c r="F38" t="inlineStr"/>
      <c r="G38" t="inlineStr">
        <is>
          <t>Boston, MA</t>
        </is>
      </c>
      <c r="H38" t="inlineStr"/>
      <c r="I38"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A3165525</t>
        </is>
      </c>
    </row>
    <row r="39">
      <c r="A39" t="inlineStr">
        <is>
          <t>li-4349725802</t>
        </is>
      </c>
      <c r="B39" t="inlineStr">
        <is>
          <t>Data Scientist/ Senior Data Engineer – Finance Transformation</t>
        </is>
      </c>
      <c r="C39" t="inlineStr">
        <is>
          <t>Guardian Life</t>
        </is>
      </c>
      <c r="D39" t="inlineStr">
        <is>
          <t>linkedin</t>
        </is>
      </c>
      <c r="E39">
        <f>HYPERLINK("https://www.linkedin.com/jobs/view/4349725802", "https://www.linkedin.com/jobs/view/4349725802")</f>
        <v/>
      </c>
      <c r="F39">
        <f>HYPERLINK("https://guardianlife.wd5.myworkdayjobs.com/Guardian-Life-Careers/job/Bethlehem/Data-Scientist\u002d\u002dSenior-Data-Engineer\u002d\u002d-Finance-Transformation_R000108250-1?source=LinkedIn&amp;urlHash=wMSL", "https://guardianlife.wd5.myworkdayjobs.com/Guardian-Life-Careers/job/Bethlehem/Data-Scientist\u002d\u002dSenior-Data-Engineer\u002d\u002d-Finance-Transformation_R000108250-1?source=LinkedIn&amp;urlHash=wMSL")</f>
        <v/>
      </c>
      <c r="G39" t="inlineStr">
        <is>
          <t>Bethlehem, PA</t>
        </is>
      </c>
      <c r="H39" t="inlineStr"/>
      <c r="I39"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 Machine Learning, Engineering \&amp; Analytics Development
+ Build and optimize large\-scale data pipelines using PySpark, SQL, and Python on cloud platforms such as Databricks and AWS
+ Utilizing advanced statistical and AI/ML techniques to develop, deploy, and support predictive models and actuarial tools used for reserving, pricing, and FP\&amp;A (e.g., claims projection model, LTD Reserving model)
+ Automate manual actuarial/finance processes by integrating coding workflows with structured datasets and business logic
+ Support use case development that includes initial data exploration, project/sample design, reception, and processing of data, performing analysis and modeling to creation of final report/presentation
+ Data wrangling/data matching/ETL to explore a variety of data sources, gain data expertise, perform summary analyses, and prepare modeling datasets
+ Identification of source data and data quality checks both in model/solution development and in production
+ Packaging of model/solution and deployment in cooperation with Data Engineers and MLOps
+ Implement new statistical or other mathematical methodologies as needed for specific models or analysis.
* Data Integration \&amp; Validation
+ Work across data domains to ingest, cleanse, and structure financial and actuarial datasets from multiple sources (e.g., Claims systems, Billing and Commissions system)
+ Implement robust data quality checks and reconciliation controls to ensure accuracy and completeness of critical reporting and modeling datasets
* Collaboration \&amp; Documentation
+ Collaborate with actuaries, finance SMEs, and business analysts to translate complex requirements into efficient technical designs.
+ Maintain clear documentation for code, data flows, model logic, and user instructions.
**You have**
* Technical Expertise \&amp; Domain Knowledge
+ 6–8 years in a data engineering, actuarial modeling, or analytics\-focused technical role, ideally in Group insurance or Financial services
+ 2\+ years of hands\-on ML modeling/development experience
+ Solid understanding of data analysis and statistical modeling.
+ Knowledge of a variety of machine learning techniques (clustering, decision tree, bagging/boosting artificial neural networks, etc.) and their real\-world advantages/drawbacks.
+ Demonstrated track records in experimental design and executions
+ Hands\-on experience with data wrangling including fuzzy matching and regular expression, distributed computing and applying parallelism to ML solutions
+ Strong programming skills in Python
+ Solid background in algorithms and a range of ML models
+ Working knowledge of Pricing and actuarial processes, or Group insurance product structures
+ Proficiency in Python, PySpark, and SQL is essential
+ Experience working with Databricks, Tableau, Power BI, or similar visualization and cloud platform
+ Exposure to ML/AI libraries and framework to develop or enhance models
* Soft Skills
+ Analytical mindset with strong attention to detail
+ Self\-starter who thrives in fast\-paced, cross\-functional teams
* Education
+ Bachelor’s or Master’s degree in Computer Science, Actuarial Science, Mathematics, Engineering, Finance, or a related discipline or equivalent experience.
* Preferred Qualifications
+ Hands\-on experience building valuation, reserving, or pricing models for group insurance products
+ Experience in agile or SAFe environments with sprint planning, Jira, or Confluence
+ Strategic and creative thinker with ability to think outside the box and translate strategies into actions
+ Excellent problem\-solving skills
+ Team player with proven ability to foster and manage working relationships within a matrix environment
+ Candidate must be comfortable with ambiguity in strategic direction. Priorities will change as current uncertainties become new standards and shape the market. There must be constant balance between proactive and reactive strategy and execution.
+ Candidate must work well in a collaborative and diverse team environment, understanding and employing the approach and standard operating procedures of all functional areas across Guardian
+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40">
      <c r="A40" t="inlineStr">
        <is>
          <t>li-4372795503</t>
        </is>
      </c>
      <c r="B40" t="inlineStr">
        <is>
          <t>Junior Data Scientist</t>
        </is>
      </c>
      <c r="C40" t="inlineStr">
        <is>
          <t>Wpromote</t>
        </is>
      </c>
      <c r="D40" t="inlineStr">
        <is>
          <t>linkedin</t>
        </is>
      </c>
      <c r="E40">
        <f>HYPERLINK("https://www.linkedin.com/jobs/view/4372795503", "https://www.linkedin.com/jobs/view/4372795503")</f>
        <v/>
      </c>
      <c r="F40" t="inlineStr"/>
      <c r="G40" t="inlineStr"/>
      <c r="H40" t="inlineStr"/>
      <c r="I40" t="inlineStr">
        <is>
          <t>**The Role**
 Wpromote is hiring a Junior Data Scientist who loves solving problems with data and has strong math, logic, and communication skills. In this role, you’ll support data processing, model updates, and analytics reporting while learning advanced techniques that will grow your impact over time. You’ll collaborate with teams across Engineering, Reporting, Product, Paid Media, and Data Science, working with exciting clients in e\-commerce, retail, and entertainment. If you’re detail\-oriented, eager to learn, and ready to turn data into meaningful insights, we want to hear from you!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Half\-day Fridays year round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The anticipated annual salary for this role will range from $88,000 \- $100,000,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 This position may be performed remotely in most states within the US, with some exclusions
* While this role offers the flexibility to work remotely, we have office hubs in Los Angeles, Chicago, and New York, where you can join in on learning and development opportunities, fun events, take advantage of a space to work, and collaborate in person!
*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**You Will Be**
* Learning to transform, improve, and integrate data according to business requirements
* Planning and scoping end\-to\-end data analysis projects by identifying the business problem and selecting appropriate investigative tests and solutions
* Using SQL and BigQuery to combine and prepare datasets from multiple sources
* Delivering data in a clear, useful, and visually appealing way to both technical and non\-technical audiences
* Maintaining existing media\-mix models through directed retrains and reporting on performance changes
* Organizing and collecting results from media\-mix models, incrementality tests, clean rooms, and related analyses to support Wpromote’s culture of learning
* Conducting guided marketing analyses to support client and internal needs
* Supporting presentations through data pulls, ad\-hoc analyses, and slide creation
* Learning to automate data gathering, blending, and transformation processes
* Collaborating across Engineering, Reporting, Product, Paid Media, and Data Science teams to understand and support client needs
**You Must Have**
* Intermediate programming skills in R or Python for data cleaning, data modeling, pipeline development, API calls, and related tasks
* Experience with statistical modeling, machine learning techniques, and LLMs
* Intermediate SQL skills, including window functions, stored procedures, views, triggers, unions, CTEs, subqueries, and debugging
* Advanced proficiency in Excel and/or Google Sheets
* Experience with at least one BI platform (Looker, Tableau, Power BI, etc.) with the ability to learn others; Looker preferred
* Experience or familiarity with version control tools such as Git or Bitbucket
* Strong organizational skills with the ability to balance competing client requests and work with complex datasets while maintaining accuracy and meeting deadlines
* Intermediate to advanced competency in statistics, probability, and linear algebra
* Strong communication skills, including experience creating and delivering presentations and executive summaries
* Demonstrated critical thinking skills—the ability to analyze numbers, trends, and data to form meaningful insights
* Interest or passion for marketing analytics and/or a personal project portfolio
* Associate’s degree, bootcamp certification, or practical work experience in a quantitative field (Statistics, Mathematics, Computer Science, Information Technology, Economics, Engineering, etc.)
**Nice To Have**
* Bachelor’s degree or higher in a quantitative field
* Exposure to marketing analyses such as media\-mix models (MMM), incrementality testing, CAC, and lead scoring
* Experience with analytics software, such as Google Analytics and Adobe Analytics
* Familiarity with clean room environments (FBAA, AMC, Google ADH)
* Experience with cloud computing (AWS, GCP, Azure, etc.)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1">
      <c r="A41" t="inlineStr">
        <is>
          <t>li-4327121744</t>
        </is>
      </c>
      <c r="B41" t="inlineStr">
        <is>
          <t>Data Scientist, Product Analytics</t>
        </is>
      </c>
      <c r="C41" t="inlineStr">
        <is>
          <t>Whatnot</t>
        </is>
      </c>
      <c r="D41" t="inlineStr">
        <is>
          <t>linkedin</t>
        </is>
      </c>
      <c r="E41">
        <f>HYPERLINK("https://www.linkedin.com/jobs/view/4327121744", "https://www.linkedin.com/jobs/view/4327121744")</f>
        <v/>
      </c>
      <c r="F41" t="inlineStr"/>
      <c r="G41" t="inlineStr">
        <is>
          <t>New York, NY</t>
        </is>
      </c>
      <c r="H41" t="inlineStr"/>
      <c r="I41"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42">
      <c r="A42" t="inlineStr">
        <is>
          <t>li-4327121745</t>
        </is>
      </c>
      <c r="B42" t="inlineStr">
        <is>
          <t>Data Scientist, Product Analytics</t>
        </is>
      </c>
      <c r="C42" t="inlineStr">
        <is>
          <t>Whatnot</t>
        </is>
      </c>
      <c r="D42" t="inlineStr">
        <is>
          <t>linkedin</t>
        </is>
      </c>
      <c r="E42">
        <f>HYPERLINK("https://www.linkedin.com/jobs/view/4327121745", "https://www.linkedin.com/jobs/view/4327121745")</f>
        <v/>
      </c>
      <c r="F42" t="inlineStr"/>
      <c r="G42" t="inlineStr">
        <is>
          <t>Los Angeles, CA</t>
        </is>
      </c>
      <c r="H42" t="inlineStr"/>
      <c r="I42"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$185,000/year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$185K \- $240K</t>
        </is>
      </c>
    </row>
    <row r="43">
      <c r="A43" t="inlineStr">
        <is>
          <t>li-4365586406</t>
        </is>
      </c>
      <c r="B43" t="inlineStr">
        <is>
          <t>Data Scientist, Power Markets</t>
        </is>
      </c>
      <c r="C43" t="inlineStr">
        <is>
          <t>Arevon</t>
        </is>
      </c>
      <c r="D43" t="inlineStr">
        <is>
          <t>linkedin</t>
        </is>
      </c>
      <c r="E43">
        <f>HYPERLINK("https://www.linkedin.com/jobs/view/4365586406", "https://www.linkedin.com/jobs/view/4365586406")</f>
        <v/>
      </c>
      <c r="F43" t="inlineStr"/>
      <c r="G43" t="inlineStr">
        <is>
          <t>Scottsdale, AZ</t>
        </is>
      </c>
      <c r="H43" t="inlineStr"/>
      <c r="I43" t="inlineStr">
        <is>
          <t>**About Arevon**
 Arevon is a U.S. energy leader committed to powering America with affordable, reliable, and secure homegrown energy. Headquartered in Scottsdale, Arizona, and with a regional office in New York City, the company’s experienced and dedicated staff develops, finances, builds, owns, and operates renewable energy projects nationwide. With a strong track record in utility\-scale solar and energy storage, Arevon is a trusted partner to utilities and businesses seeking cost\-effective, sustainable energy solutions. By prioritizing American manufacturing and domestic energy production, the company invests in U.S. jobs, strengthens local economies, and advances the country’s energy independence.
**The Position** 
 Arevon is recruiting for the position of
 **Data Scientist** 
 on the Market Operations team, an outstanding opportunity for individuals seeking an exciting, high\-growth work environment in one of the most important industries of the 21st century.
 The
 **Data Scientist** 
 will be responsible for developing algorithms, predictive models, and optimization methods to support Arevon’s energy storage portfolio. This position will collaborate with other teams throughout Arevon to develop and understand development and operating assumptions for both new investment opportunities, as well as current assets.
**Key Responsibilities** 
* Lead the improvement of price forecast models for power markets—including day\-ahead, real\-time, and long\-term price projections for power and ancillary services.
* Analyze large\-scale power market datasets (e.g., CAISO, ERCOT, MISO, NYISO) to identify trends, drivers, and risks affecting price formation and asset value.
* Translate quantitative research and market analysis into actionable insights for trading, asset management, and investment decisions.
* Stay current on market rules, regulatory changes, and emerging trends in energy markets, integrating this knowledge into modeling and strategy.
* Performs other job\-related duties as assigned.
**Required Qualifications** 
* Direct experience working with power market data and analytics (e.g., CAISO, ERCOT, MISO, NYISO, PJM, or similar).
* Experience in modeling, forecasting, or optimizing within power/energy markets.
* 3\+ years of hands\-on experience in data analysis and quantitative modeling.
* Advanced programming skills in Python or R; strong SQL.
* Proficiency with mathematical programming/optimization and model validation.
* Ability to manage and analyze large, unstructured datasets using distributed computing platforms.
* Strong communication skills to translate complex quantitative findings into actionable business insights.
**Why Join Arevon?** 
 We believe you should love what you do and love where you work, which is why we offer a wide range of benefits to support your personal and professional well\-being.
* Competitive Compensation and Incentives
* Generous Paid Time Off
* Flexible Work Environment
* 401(k) Plan with 6% Company match
* Tuition Reimbursement Program
* Paid Parental and Caregiver Leave
* Inspiring Company Culture
* Professional Development Opportunities
**Equal Opportunity Employer Statement** 
 Arevon is an equal opportunity employer committed to fostering a diverse and inclusive workplace. We do not discriminate based on race, color, religion, sex, sexual orientation, gender identity, national origin, age, disability, veteran status, or any other protected characteristic under applicable law. We encourage candidates of all backgrounds to apply.</t>
        </is>
      </c>
    </row>
    <row r="44">
      <c r="A44" t="inlineStr">
        <is>
          <t>li-4301953838</t>
        </is>
      </c>
      <c r="B44" t="inlineStr">
        <is>
          <t>Data Scientist I</t>
        </is>
      </c>
      <c r="C44" t="inlineStr">
        <is>
          <t>Knowesis Inc.</t>
        </is>
      </c>
      <c r="D44" t="inlineStr">
        <is>
          <t>linkedin</t>
        </is>
      </c>
      <c r="E44">
        <f>HYPERLINK("https://www.linkedin.com/jobs/view/4301953838", "https://www.linkedin.com/jobs/view/4301953838")</f>
        <v/>
      </c>
      <c r="F44">
        <f>HYPERLINK("https://recruiting.ultipro.com/KNO1004KNOW/JobBoard/330d93a2-03bd-44b4-963f-18a104adc40d/OpportunityDetail?opportunityId=4d29055f-9c11-4f91-a5ea-33ce3f7b4a73&amp;source=LinkedIn&amp;utm_source=LINKEDIN&amp;urlHash=ouVL", "https://recruiting.ultipro.com/KNO1004KNOW/JobBoard/330d93a2-03bd-44b4-963f-18a104adc40d/OpportunityDetail?opportunityId=4d29055f-9c11-4f91-a5ea-33ce3f7b4a73&amp;source=LinkedIn&amp;utm_source=LINKEDIN&amp;urlHash=ouVL")</f>
        <v/>
      </c>
      <c r="G44" t="inlineStr">
        <is>
          <t>Coronado, CA</t>
        </is>
      </c>
      <c r="H44" t="inlineStr"/>
      <c r="I44" t="inlineStr">
        <is>
          <t>**Position:** 
 Data Scientist I
**Location:** 
 Coronado, CA
**Work Environment:** 
 On Site
**Security Clearance:** 
 Secret
**Status:** 
 Funded
 Knowesis is currently seeking a Data Scientist I to support the United States Special Operations Command Preservation of the Force and Family (USSOCOM POTFF) program in identifying and implementing innovative, valuable solutions across the Special Operations Forces (SOF) enterprise aimed at improving the short and long\-term well\-being of SOF warriors and their families.
 This work will be performed on\-site in Coronado, CA and requires a Secret clearance and U.S. Citizenship (applicants without proof of US citizenship will not be considered due to the position’s security clearance requirement).
**The Job Duties and Responsibilities include but are not limited to the following:**
* Conducts basic data analytics, data manipulation, data mining, exploratory analysis, predictive analysis, and statistical analysis, and uses scientific techniques to correlate data into graphical, written, visual, and verbal narrative products, enabling more informed analytic decisions.
* Enter and analyze data within government systems.
* Maintain dashboards to automate data analysis, identifying, interpreting, and presenting trends, designed to record POTFF\-related programmatic data.
* Assist the POTFF staff with survey design. Create, analyze, and report survey data.
* Provide consultation and assistance to supported units and POTFF staff to identify opportunities and methods for capturing data related to POTFF programs and initiatives.
* Work in consultation with POTFF program staff and the Government’s POTFF biostatistician.
* Provide subject matter expertise in the areas of program evaluation, research methodologies and data analysis.
* Be able to use statistics/modeling tools and data visualization techniques to provide an accessible way to see and understand trends, outliers, and patterns in data to produce reports and presentations that accurately convey data trends supporting the mission.
**Required Qualifications:**
* Bachelor's degree in quantitative science, social science, or a related discipline.
* Basic proficiency with the suite of Microsoft Office programs, including Word, Excel, and Access.
* Basic proficiency with commonly used statistical software applications such as SPSS, SAS, Python, and R\-Shiny.
* Be able to read, write, and speak English fluently and clearly to effectively communicate with all personnel they will interact with.
* Possess excellent verbal, written, interpersonal communication, presentation skills, and shall be highly detail oriented.
* Possess sufficient initiative, interpersonal relationship skills, and social sensitivity such that they can relate constructively to a variety of contacts from diverse backgrounds.
**Preferred Qualifications:** 
* Certification or documented experience with Human Performance.
* Experience working with Special Operations, athletics/sports, or other military settings.
* Strong technical and analytical skills in the following:
+ Data visualization/development (Power BI, Tableau), and Microsoft Power Apps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is>
      </c>
    </row>
    <row r="45">
      <c r="A45" t="inlineStr">
        <is>
          <t>li-4343510518</t>
        </is>
      </c>
      <c r="B45" t="inlineStr">
        <is>
          <t>Data Scientist</t>
        </is>
      </c>
      <c r="C45" t="inlineStr">
        <is>
          <t>Wpromote</t>
        </is>
      </c>
      <c r="D45" t="inlineStr">
        <is>
          <t>linkedin</t>
        </is>
      </c>
      <c r="E45">
        <f>HYPERLINK("https://www.linkedin.com/jobs/view/4343510518", "https://www.linkedin.com/jobs/view/4343510518")</f>
        <v/>
      </c>
      <c r="F45" t="inlineStr"/>
      <c r="G45" t="inlineStr"/>
      <c r="H45" t="inlineStr"/>
      <c r="I45" t="inlineStr">
        <is>
          <t>**The Role**
 We are looking for a Data Scientist who can leverage statistical tools, deep learning, and troves of marketing data to build innovative, reproducible data solutions for our teams and clients. In this role, you’ll partner cross\-functionally with Data Strategy, Engineering, Product, and Reporting Solutions to design machine learning workflows and statistical models that extract key insights from troves of marketing data. You may also work directly with clients to build them elegant solutions to their marketing problems.
 Your solutions will scale as productized apps used by our industry\-leading marketers to unlock new performance opportunities for our clients. You will have the opportunity to challenge the limits of what’s possible with data science and performance marketing, designing novel solutions through Time Series Analysis, Experimental Design, A/B Testing, Optimization, Reinforcement Learning, LLMs, etc.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Remote\-first culture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The anticipated annual salary for this role will range from $120,000 \- $135,000, based on consideration of a wide array of factors unique to each candidate, including but not limited to skill set, years and depth of experience, education and certifications, competitive benchmarks, scope of responsibility, market dynamics, geographic location, and respective state’s salary threshold for exempt employees.
* This position may be performed remotely in most states within the US, with some exclusions
* While this role offers the flexibility to work remotely, we have office hubs in Los Angeles, Chicago, and New York, where you can join in on learning and development opportunities, fun events, take advantage of a space to work, and collaborate in person!
*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**You Will Be**
* Working closely with Product Development to identify high\-impact business problems that can be solved through data science and machine learning methods
* Designing, prototyping, and testing new products and data solutions
* Developing scalable, efficient, and automated workflows capable of analyzing large volumes of data from various sources
* Conducting incrementality tests and building Media Mix Models (MMMs)
* Integrating scalable workflows into production environments by collaborating with software engineers
* Maintaining data science and machine learning workflows by fixing bugs or improving model performance as needed
* Articulating complex technical results and methodologies to internal stakeholders
* Joining client meetings as needed to understand client data problems and propose innovative solutions
* Proactively identifying issues, raising them to the team, and proposing and implementing effective solutions
**You Must Have**
* Degree in Computer Science, Engineering, Statistics, Economics, or a related quantitative discipline preferred
* M.S. \+ 2 years of experience, or B.S. \+ 4 years of relevant experience
* Strong programming skills in R, Python, and SQL
* Professional experience within the digital advertising or MarTech field
* Demonstrated success delivering data\-driven products, including involvement across the full product development lifecycle
* Deep understanding of statistical modeling and machine learning techniques
* Experience with A/B testing (preferably geo\-holdouts) and Media Mix Models (MMMs)
* Strong working knowledge of large datasets, preferably within the digital marketing domain
* Experience with cloud OLAP database platforms such as BigQuery and Snowflake
* Strong communication skills with both technical and non\-technical audiences
* Ability to go beyond familiar algorithms and proactively explore new methodologies to solve business challenges
* Genuine interest in contributing to a data\-driven future in digital marketing within a fast\-growing organization
**Nice To Have**
* Solid knowledge of working with marketing and/or user acquisition data across a variety of industries
* Working experience in developing and deploying to cloud providers such as AWS and Google Cloud Platform
* An understanding of state\-of\-the\-art machine learning algorithms and packages
* Understanding of path, market basket, and clean room analyses
* Familiarity with CI/CD and MLOps practices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6">
      <c r="A46" t="inlineStr">
        <is>
          <t>li-4248973844</t>
        </is>
      </c>
      <c r="B46" t="inlineStr">
        <is>
          <t>Data Scientist, Experimentation</t>
        </is>
      </c>
      <c r="C46" t="inlineStr">
        <is>
          <t>BetterHelp</t>
        </is>
      </c>
      <c r="D46" t="inlineStr">
        <is>
          <t>linkedin</t>
        </is>
      </c>
      <c r="E46">
        <f>HYPERLINK("https://www.linkedin.com/jobs/view/4248973844", "https://www.linkedin.com/jobs/view/4248973844")</f>
        <v/>
      </c>
      <c r="F46">
        <f>HYPERLINK("https://job-boards.greenhouse.io/betterhelpcom/jobs/4756131008?gh_src=ef3d79078us&amp;urlHash=s5zq", "https://job-boards.greenhouse.io/betterhelpcom/jobs/4756131008?gh_src=ef3d79078us&amp;urlHash=s5zq")</f>
        <v/>
      </c>
      <c r="G46" t="inlineStr">
        <is>
          <t>San Jose, CA</t>
        </is>
      </c>
      <c r="H46" t="inlineStr"/>
      <c r="I46"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Scientist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Data Scientist to help us scale and increase our impact. You will use data to drive insight into the product and business with a focus. The ideal candidate would have experience analyzing large and complex data sets related to web products. You'll be doing plenty of experiment design and post\-hoc analysis to support product improvements and business decisions.
**What will you do?**
* Get insight from an enormous amount of data, and take a proactive role partnering with the product team in finding and testing data\-driven ideas for improving our products.
* Collaborate with the product team and development team to design effective, statistically rigorous experiments, including simple A/B tests as well as more advanced experiment designs that account for complexities such as network effects.
* Monitor and analyze several product tests with statistical rigor, present the data and insights to the team, and drive product decisions.
* Look at complex problems and come up with testable models and algorithms that have measurable business impact.
* Enjoy great teamwork, have lots of fun, and take pride in building a world\-class product that makes a difference in people's lives.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1\+ years of experience in a data science role or relevant internships, ideally applying analytical skills to real\-world problems
* Degree in a quantitative discipline such as Statistics, Math, Economics, or Operations Research
* Familiarity with analyzing A/B tests or similar experiments through coursework or projects
* Proficiency in SQL and experience working with data transformation tools such as dbt
* Hands\-on experience with data analysis, experiment design, and statistical methods through work, internships, or academic projects
* Strong grasp of statistical concepts, especially around hypothesis testing and experiment design
* Clear and thoughtful communicator, with a desire to keep improving how complex ideas are shared across different audience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$115,000 \- $145,000\. In addition to the base salary, this position is eligible for a performance bonus and the extensive benefits listed here (subject to eligibility requirements): Teladoc Health Benefits 2025\.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47">
      <c r="A47" t="inlineStr">
        <is>
          <t>li-4372966819</t>
        </is>
      </c>
      <c r="B47" t="inlineStr">
        <is>
          <t>Senior Data Scientist , Agents</t>
        </is>
      </c>
      <c r="C47" t="inlineStr">
        <is>
          <t>Verily</t>
        </is>
      </c>
      <c r="D47" t="inlineStr">
        <is>
          <t>linkedin</t>
        </is>
      </c>
      <c r="E47">
        <f>HYPERLINK("https://www.linkedin.com/jobs/view/4372966819", "https://www.linkedin.com/jobs/view/4372966819")</f>
        <v/>
      </c>
      <c r="F47">
        <f>HYPERLINK("https://verily.wd1.myworkdayjobs.com/Verily_Careers/job/San-Bruno-California/Senior-Data-Scientist\u002d\u002d-Agents_REQ-723?source=LinkedIn&amp;urlHash=wox5", "https://verily.wd1.myworkdayjobs.com/Verily_Careers/job/San-Bruno-California/Senior-Data-Scientist\u002d\u002d-Agents_REQ-723?source=LinkedIn&amp;urlHash=wox5")</f>
        <v/>
      </c>
      <c r="G47" t="inlineStr">
        <is>
          <t>San Bruno, CA</t>
        </is>
      </c>
      <c r="H47" t="inlineStr"/>
      <c r="I47" t="inlineStr">
        <is>
          <t>**Who We Are**
 Verily is a subsidiary of Alphabet that is using a data\-driven approach to change the way people manage their health and the way healthcare is delivered. Launched from Google X in 2015, our purpose is to bring the promise of precision health to everyone, every day. We are focused on generating and activating data from a variety of sources, including clinical, social, behavioral and the real world, to arrive at the best solutions for a person based on a comprehensive view of the evidence. Our unique expertise and capabilities in technology, data science and healthcare enable the entire healthcare ecosystem to drive better health outcomes.
**Description**
 As an AI and Data Scientist at Verily, you will be supporting our core mission to build advanced data and AI capabilities for Verily's portfolio of products, which serve both consumer and business audiences. You will help drive innovation in data\-driven healthcare by developing and deploying sophisticated models into our products. This role requires a blend of applied science and product\-focused creativity; you should expect to conduct research and innovate on new methods to directly support and enhance our product offerings. Using cutting\-edge techniques, you will analyze complex datasets to build robust solutions and collaborate with a diverse cross\-functional team to build reusable and scalable tools that unlock information from structured and unstructured clinical data
**Responsibilities**
* Collaborate with cross\-functional teams to conceptualize, develop, and implement AI solutions tailored to diverse healthcare applications.
* Architect and implement foundational models and large language model (LLM) based agents to achieve optimal performance and efficiency.
* Conduct cutting\-edge research and stay informed on emerging advancements in LLMs, medical foundational models, and AI agents.
* Effectively communicate complex technical methodologies and results through clear, well\-structured reports and presentations for both technical and non\-technical audiences.
**Qualifications**
 Minimum Qualifications
* Advanced degree in a quantitative discipline (e.g., statistics, computer science, applied mathematics, or similar) or equivalent practical experience.
* Experience with applying ML in digital health applications.
* Direct experience working with LLM and familiar with various prompt optimization technologies.
**Preferred Qualifications**
* Ph.D. in Computer Science or Engineering.
* Experience with LLM models, including prompting, fine\-tuning and retrieval augmented generation (RAG).
* Familiarity with software engineering principles and experience deploying algorithms in production environments.
* Experience developing transformer based deep learning algorithms using TensorFlow or PyTorch, and knowledge of latest architectures.
 This role is eligible for Verily\-sponsored immigration support.
 The US base salary range for this full\-time position is $164,000 \- $246,000 \+ bonus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Verily Life Sciences LLC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If you have a need that requires accommodation, please let us know by completing our Accommodations for Applicants form.</t>
        </is>
      </c>
    </row>
    <row r="48">
      <c r="A48" t="inlineStr">
        <is>
          <t>li-4321353982</t>
        </is>
      </c>
      <c r="B48" t="inlineStr">
        <is>
          <t>Clinical Data Scientist</t>
        </is>
      </c>
      <c r="C48" t="inlineStr">
        <is>
          <t>Unlearn.AI</t>
        </is>
      </c>
      <c r="D48" t="inlineStr">
        <is>
          <t>linkedin</t>
        </is>
      </c>
      <c r="E48">
        <f>HYPERLINK("https://www.linkedin.com/jobs/view/4321353982", "https://www.linkedin.com/jobs/view/4321353982")</f>
        <v/>
      </c>
      <c r="F48">
        <f>HYPERLINK("https://jobs.ashbyhq.com/Unlearn/a7e00671-b40e-407b-9774-ad68cb89fbc6&amp;urlHash=npRM", "https://jobs.ashbyhq.com/Unlearn/a7e00671-b40e-407b-9774-ad68cb89fbc6&amp;urlHash=npRM")</f>
        <v/>
      </c>
      <c r="G48" t="inlineStr">
        <is>
          <t>San Francisco, CA</t>
        </is>
      </c>
      <c r="H48" t="inlineStr"/>
      <c r="I48" t="inlineStr">
        <is>
          <t>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 Unlearners are ambitious; we aren’t intimidated by big, challenging goals.
* Unlearners are disciplined experimenters; we break down our big goals into smaller chunks and meet as often as necessary to track our velocity and iterate quickly.
* Unlearners are gritty; we never give up, setbacks just make us try harder.
* Unlearners are receptive to new ideas; in fact, we hate being stuck with the status quo
* Unlearners are storytellers; sharing information with each other and with the world is super important, too important to be boring. And, last but not least,
*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January 2024\.
**If our purpose and culture resonate with you, we invite you to apply.**
**Clinical Data Scientist.** 
 Clinical Data Scientists at Unlearn build world\-class data products that underpin advances in machine learning for clinical research. Working in close collaboration with machine learning scientists, engineers, clinical scientists, and product partners, they transform complex clinical data into high\-quality, well\-understood datasets tailored for modeling and other downstream applications. The role spans multiple disease areas and data sources, requiring strong software practices, careful data curation, and the ability to quickly develop clinical domain expertise. In addition to internal development, Clinical Data Scientists often work in forward\-deployed settings, partnering directly with clients to ensure Unlearn’s solutions are appropriately tailored to real\-world study designs.
**Responsibilities Include**
* Transform clinical trial, observational, and electronic health record data into high\-quality, well\-structured datasets.
* Analyze longitudinal clinical datasets, developing a strong understanding of outcome measures, biomarkers, and other variables commonly used in clinical research across multiple disease areas.
* Collaborate closely with cross\-functional teams of data scientists, machine learning scientists, engineers, and clinicians to design, build, and maintain robust data products grounded in sound data organization, domain knowledge, and careful analysis.
* Communicate technical findings, data characteristics, and limitations clearly and effectively to both internal partners and external collaborators, including in forward\-deployed, client\-facing settings.
**Minimum Requirements**
* BS or advanced degree in Bioinformatics, Computer Science, Psychology, Public Health, or related discipline.
* 2\+ years of experience wrangling data from disparate sources, data cleaning, and harmonizing datasets for analysis.
* Experience working with complex or nuanced datasets.
* Fluency in Python and its essential data science tools (numpy, pandas).
* Demonstrated experience in collaborative software development.
* Experience with clinical datasets in applied machine learning applications.
* Experience working in multidisciplinary teams that include scientists, engineers, and product management.
**Bonus Points For**
* Prior experience in forward\-deployed, client\-facing settings.
* Experience in clinical/healthcare data.
 Benefits \&amp; Perks
*The following benefits and perks are for full time roles only.*
* Generous equity participation
* 100% company\-covered medical, dental, \&amp; vision insurance plans
* 401k plan with matching
* Flexible PTO plus company holidays
* Annual company\-wide break December 24 through January 1
* Commuter benefits
* Paid Parental Leave
 Unlearn is an equal opportunity employer.
 At Unlearn, we are committed to building a diverse and inclusive workplace, because inclusion and diversity are essential to achieving our mission. If you’re excited about this role, and your past experience doesn’t align perfectly with every qualification in the job description, we encourage you to apply nevertheless.</t>
        </is>
      </c>
    </row>
    <row r="49">
      <c r="A49" t="inlineStr">
        <is>
          <t>li-4382394610</t>
        </is>
      </c>
      <c r="B49" t="inlineStr">
        <is>
          <t>Senior Data Scientist</t>
        </is>
      </c>
      <c r="C49" t="inlineStr">
        <is>
          <t>James Search Group</t>
        </is>
      </c>
      <c r="D49" t="inlineStr">
        <is>
          <t>linkedin</t>
        </is>
      </c>
      <c r="E49">
        <f>HYPERLINK("https://www.linkedin.com/jobs/view/4382394610", "https://www.linkedin.com/jobs/view/4382394610")</f>
        <v/>
      </c>
      <c r="F49" t="inlineStr"/>
      <c r="G49" t="inlineStr"/>
      <c r="H49" t="inlineStr"/>
      <c r="I49" t="inlineStr">
        <is>
          <t>**Senior / Lead Data Scientist (P\&amp;C Insurance)** 
*Fully Remote \| Full\-Time* 
**Partnering with a Leading P\&amp;C Insurance Carrier** 
 James Search Group is proud to partner with a high\-performing Property \&amp; Casualty insurance carrier that is deeply investing in Data Science, Machine Learning (ML), and Artificial Intelligence (AI) to transform how insurance is priced, underwritten, and serviced. We’re seeking a
 **Senior / Lead Data Scientist** 
 to join their centralized Data \&amp; ML/AI department and take a key role in building scalable, production\-grade models that drive enterprise decision\-making.
 This is a hands\-on and strategic role where you'll help shape the carrier’s approach to predictive modeling, optimization, and data\-driven automation. You’ll collaborate across actuarial, underwriting, product, claims, and data engineering teams to identify high\-impact problems and bring elegant ML solutions to life.
**Office Locations (Optional Hybrid):** 
 This is a remote\-first position, but you can also work from one of the carrier’s multiple U.S. office locations
**What You’ll Do:** 
* Lead the design, development, and deployment of predictive models and machine learning pipelines across the insurance value chain.
* Partner with stakeholders to scope high\-value use cases in pricing, risk segmentation, underwriting automation, claims triage, fraud, retention, and more.
* Own model lifecycle management from ideation through to deployment and monitoring in production.
* Mentor junior data scientists, establish coding and modeling best practices, and participate in peer reviews.
* Collaborate with data engineers and ML engineers to scale models using a modern MLOps stack.
* Translate technical results into actionable insights for non\-technical stakeholders.
**What You Bring:** 
* 5–8\+ years of hands\-on experience in Data Science or ML Engineering, with a strong portfolio of deployed models.
* Deep understanding of statistical modeling, machine learning algorithms (e.g., tree\-based models, ensemble methods, NLP, deep learning), and model evaluation techniques.
* Advanced programming skills in
 **Python** 
 , and experience with data manipulation libraries (e.g., pandas, NumPy), machine learning frameworks (e.g., scikit\-learn, XGBoost, LightGBM), and deep learning tools (e.g., TensorFlow, PyTorch).
* Experience with
 **Databricks, MLflow, GitHub** 
 , and MLOps practices for productionization of models.
* Strong SQL skills and ability to work with large, complex datasets.
* Ability to communicate technical results clearly to cross\-functional teams and business stakeholders.
* Bachelor’s, Master’s, or Ph.D. in Data Science, Statistics, Computer Science, Mathematics, or a related field.
**Bonus Points For:** 
* Prior experience in the insurance industry, particularly P\&amp;C, working with claims, pricing, or underwriting data.
* Familiarity with regulatory modeling standards (e.g., explainability, fairness).
* Exposure to Hex, Arize, or similar tools for monitoring and visualization.
* Experience with time series forecasting or geospatial modeling.
**What’s In It for You:** 
* **$120,000\-$170,000 base salary**
* **Performance\-based bonus/variable compensation**
* **Comprehensive benefits** 
 , including:
* Medical, dental, and vision insurance
* 401(k) with company match
* Generous PTO
* Wellness and mental health support programs
 This is a rare opportunity to lead cutting\-edge Data Science work at a modern insurance organization where innovation is a priority.
 If you’re excited to build models that go into production and directly shape customer and business outcomes — we’d love to connect.</t>
        </is>
      </c>
    </row>
    <row r="50">
      <c r="A50" t="inlineStr">
        <is>
          <t>li-4382391776</t>
        </is>
      </c>
      <c r="B50" t="inlineStr">
        <is>
          <t>Data Scientist</t>
        </is>
      </c>
      <c r="C50" t="inlineStr">
        <is>
          <t>Wiraa</t>
        </is>
      </c>
      <c r="D50" t="inlineStr">
        <is>
          <t>linkedin</t>
        </is>
      </c>
      <c r="E50">
        <f>HYPERLINK("https://www.linkedin.com/jobs/view/4382391776", "https://www.linkedin.com/jobs/view/4382391776")</f>
        <v/>
      </c>
      <c r="F50">
        <f>HYPERLINK("https://www.wiraa.com/job-description/us5C269B25388846A5719740ABE01B5AC4?source=Linkedin&amp;urlHash=X0aO", "https://www.wiraa.com/job-description/us5C269B25388846A5719740ABE01B5AC4?source=Linkedin&amp;urlHash=X0aO")</f>
        <v/>
      </c>
      <c r="G50" t="inlineStr"/>
      <c r="H50" t="inlineStr"/>
      <c r="I50" t="inlineStr">
        <is>
          <t>**About The Company**
 New Relic is a global leader in observability and digital intelligence, dedicated to empowering organizations to optimize their digital systems through innovative solutions. Our platform provides unparalleled insights into complex infrastructures, enabling companies to make data\-driven decisions and enhance their operational efficiency. With a commitment to innovation, inclusivity, and excellence, we serve a diverse client base worldwide, helping them succeed in an increasingly digital and AI\-first landscape. Our culture fosters continuous learning, collaboration, and a passion for technological advancement, making us a preferred employer for talented professionals seeking impactful careers in data science and software engineering.
**About The Role**
 We are seeking a highly skilled Lead Data Scientist to join our dynamic analytics team. In this pivotal role, you will be responsible for designing, developing, and deploying advanced machine learning models and data products that influence strategic decision\-making across the organization. You will work closely with product managers, engineers, and business stakeholders to translate complex questions into actionable data science solutions. As a technical leader, you will set standards for best practices, mentor junior team members, and ensure the scalability and reliability of our models through MLOps practices. This role offers an exciting opportunity to lead high\-impact projects, innovate in the observability space, and contribute to the future of AI\-powered digital insights.
**Qualifications**
* 7\+ years of experience in Data Science, Statistics, or a related field
* Proficiency in Python for data manipulation, statistical analysis, and modeling (pandas, scikit\-learn, numpy, etc.)
* Advanced SQL skills for complex data querying and performance optimization
* Hands\-on experience with supervised learning techniques such as regression, random forests, and gradient boosting (XGBoost, LightGBM)
* Experience with unsupervised learning methods including clustering and dimensionality reduction
* Knowledge of time series forecasting techniques like ARIMA and Prophet
* Experience with dbt for data transformation and pipeline management
* Proven ability to deploy models into production environments and familiarity with MLOps concepts
* Understanding of software engineering practices such as CI/CD, version control (Git), and Jira
* Excellent communication skills with the ability to present technical insights to non\-technical stakeholders
* Experience with developing or integrating GenAI models or AI agents into workflows
* Bonus: Experience with cloud platforms such as AWS SageMaker
* Bonus: Background in observability or related fields
* Bonus: Advanced degree (Master's or PhD) in a quantitative discipline
* Proficiency in data visualization tools like Tableau or Looker
**Responsibilities**
* Lead the design, development, and deployment of sophisticated machine learning models and predictive algorithms to address key business challenges
* Act as a technical expert, guiding best practices in statistical analysis, experimentation, and code quality
* Collaborate with product managers and engineers to transform ambiguous business questions into rigorous data science projects with clear, actionable outcomes
* Implement and promote MLOps best practices to ensure models are scalable, reproducible, and effectively monitored in production environments
* Conduct in\-depth analyses of user behavior and product performance to identify opportunities for optimization and growth
* Mentor and coach junior data scientists and analysts, fostering a culture of continuous learning and innovation
* Communicate complex technical findings through compelling storytelling and visualization to non\-technical stakeholders
* Maintain high standards for data quality, pipeline reliability, and model performance
* Stay updated with the latest advancements in data science, machine learning, and AI to continuously improve our solutions
**Benefits**
* Comprehensive healthcare, dental, and vision plans
* Parental leave and family planning support
* Mental health and wellness programs
* 401(k) plan with company match
* Flexible time\-off policies and 11 paid holidays
* Volunteer time\-off to support community engagement
* Opportunities for professional development and continuous learning
* Inclusive and diverse workplace culture
 Equal Opportunity
 New Relic is committed to creating a diverse and inclusive environment for all employees. We are proud to be an equal opportunity employer and do not discriminate based on race, religion, ethnicity, gender, sexual orientation, gender identity, age, disability, neurodiversity, veteran status, or any other legally protected characteristic. We believe that a diverse workforce fosters innovation and drives our success. We welcome applicants from all backgrounds and experiences, and we are dedicated to providing reasonable accommodations to support your application and employment process.</t>
        </is>
      </c>
    </row>
    <row r="51">
      <c r="A51" t="inlineStr">
        <is>
          <t>li-4365587132</t>
        </is>
      </c>
      <c r="B51" t="inlineStr">
        <is>
          <t>Product Data Scientist III, Analytics Insights and Measurement</t>
        </is>
      </c>
      <c r="C51" t="inlineStr">
        <is>
          <t>Google</t>
        </is>
      </c>
      <c r="D51" t="inlineStr">
        <is>
          <t>linkedin</t>
        </is>
      </c>
      <c r="E51">
        <f>HYPERLINK("https://www.linkedin.com/jobs/view/4365587132", "https://www.linkedin.com/jobs/view/4365587132")</f>
        <v/>
      </c>
      <c r="F51" t="inlineStr"/>
      <c r="G51" t="inlineStr">
        <is>
          <t>Mountain View, CA</t>
        </is>
      </c>
      <c r="H51" t="inlineStr"/>
      <c r="I51" t="inlineStr">
        <is>
          <t>**Minimum qualifications:**
* Bachelor's degree in Statistics, Mathematics, Data Science, Engineering, Physics, Economics, or a related quantitative field.
* 5 years of experience with analysis applications (e.g., extracting insights, performing statistical analysis, or solving business problems), and coding (e.g., Python, R, SQL) or 2 years of experience with a Master's degree.
**Preferred qualifications:**
* Master's degree in Statistics, Mathematics, Data Science, Engineering, Physics, Economics, or a related quantitative field.
* 5 years of experience with analysis applications (e.g., extracting insights, performing statistical analysis, or solving business problems), and coding (e.g., Python, R, SQL).
**About The Job**
 Help serve Google's worldwide user base of more than a billion people. Data Scientists provide quantitative support, market understanding and a strategic perspective to our partners throughout the organization. As a data\-loving member of the team, you serve as an analytics expert for your partners, using numbers to help them make better decisions. You will weave stories with meaningful insight from data. You'll make critical recommendations for your fellow Googlers in Engineering and Product Management. You relish tallying up the numbers one minute and communicating your findings to a team leader the next.
 Measurement is a cornerstone of performance advertising, driving the majority of Google Ads business growth. Accurate and unbiased measurement empowers bidding engines to maximize advertiser Return On Investment (ROI), fostering growth for both advertisers and Google. The Product Analyst team applies advanced analytics to guide Google Ads strategy in this crucial area, ensuring that our advertising solutions effectively connect businesses with customers and deliver measurable results across our broad ad platforms.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process of gathering, extracting, and compiling data across sources via relevant tools (e.g., SQL, R, Python). Format, re\-structure, and validate data to ensure quality.
* Report Key Performance Indicators (KPIs) to support business reviews with cross\-functional/organizational leadership team. Translate analysis results to business insights or product improvement opportunities.
* Provide analytical insights and recommendations to influence product feature development decisions, and with some guidance.
* Build and prototype analysis and business cases iteratively to provide insights at scale. Develop comprehensive knowledge of Google data structures and metrics.
* Execute defined, moderately difficult analytical tasks under guidance from the manager or executive team members/TL. For straightforward problems, execute end\-to\-end analysis with minimal guidance.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2">
      <c r="A52" t="inlineStr">
        <is>
          <t>li-4331495307</t>
        </is>
      </c>
      <c r="B52" t="inlineStr">
        <is>
          <t>Applied Data Scientist, Unit Economics Understanding</t>
        </is>
      </c>
      <c r="C52" t="inlineStr">
        <is>
          <t>OpenAI</t>
        </is>
      </c>
      <c r="D52" t="inlineStr">
        <is>
          <t>linkedin</t>
        </is>
      </c>
      <c r="E52">
        <f>HYPERLINK("https://www.linkedin.com/jobs/view/4331495307", "https://www.linkedin.com/jobs/view/4331495307")</f>
        <v/>
      </c>
      <c r="F52">
        <f>HYPERLINK("https://jobs.ashbyhq.com/openai/9f69106f-c2c9-4f14-9938-f38eb42cab50/application&amp;urlHash=HkCA", "https://jobs.ashbyhq.com/openai/9f69106f-c2c9-4f14-9938-f38eb42cab50/application&amp;urlHash=HkCA")</f>
        <v/>
      </c>
      <c r="G52" t="inlineStr">
        <is>
          <t>San Francisco, CA</t>
        </is>
      </c>
      <c r="H52" t="inlineStr"/>
      <c r="I52" t="inlineStr">
        <is>
          <t>**About The Role**
 This role focuses on building the strategic unit economics understanding of OpenAI, guiding sustainable growth to make it the most impactful company of our generation and beyond.
 You will lead the development of foundational causal inference and data science models and frameworks to predict and quantify the drivers of customer lifetime value (LTV), translating deep data insights into strategic decisions and growth levers. The role requires both technical depth and executive\-level communication.
 This position is based in our San Francisco HQ with a hybrid work model (three days in office per week). Relocation assistance is available.
**The Vision**
* Build causal inference and predictive analytics capabilities to measure and forecast LTV across customer segments (B2C and B2B), and quantify the incremental impact of different actions or product features on customer LTV.
* Design customer “happy paths” by identifying adoption journeys that maximize lifetime value while ensuring customers gain the most from our ecosystem.
* Analyze price elasticity to guide product packaging, monetization, and pricing strategies.
**In This Role, You Will**
* Partner with cross\-functional teams (Finance, Product, Data Engineering, GTM, and other DS teams) to build causal inference and predictive models that drive business decisions.
* Develop and maintain LTV models across product lines and customer cohorts.
* Architect scalable frameworks and models that democratize economic insights for leadership and functional teams.
* Support strategic pricing and investment decisions with robust analytical and causal evidence.
* Lead cross\-functional data science initiatives, ensuring analytical rigor, clarity, and timely delivery.
**You Might Thrive In This Role If You**
* Executive communication — ability to distill complex analysis into clear, actionable recommendations for leadership.
* Technical breadth — comfort spanning ROI analysis, causal inference, statistical modeling, and ML predictive models; strong experience with Python and SQL.
* Strategic judgment — ability to connect analytical insights to business impact, delivering the “so what” that informs leadership decisions.
* Collaboration and ownership — thrive in a fast\-paced, cross\-functional environment and proactively take projects from concept to delivery.
**Qualifications**
* MS or PhD in a quantitative field (Statistics, Economics, Applied Math, Operations Research, Computer Science, etc.).
* 7\+ years of experience in applied data science, causal inference, or quantitative strategy.
* Proven record of delivering high\-impact insights to executive leadership.
* Experience building scalable analytical frameworks and models that inform business decision\-making.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53">
      <c r="A53" t="inlineStr">
        <is>
          <t>li-4381356992</t>
        </is>
      </c>
      <c r="B53" t="inlineStr">
        <is>
          <t>Data Scientist, Early Career</t>
        </is>
      </c>
      <c r="C53" t="inlineStr">
        <is>
          <t>Jobright.ai</t>
        </is>
      </c>
      <c r="D53" t="inlineStr">
        <is>
          <t>linkedin</t>
        </is>
      </c>
      <c r="E53">
        <f>HYPERLINK("https://www.linkedin.com/jobs/view/4381356992", "https://www.linkedin.com/jobs/view/4381356992")</f>
        <v/>
      </c>
      <c r="F53" t="inlineStr"/>
      <c r="G53" t="inlineStr"/>
      <c r="H53" t="inlineStr"/>
      <c r="I53"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Develop and deploy predictive models and machine learning algorithms that power the core logic of our production AI agents
* Experiment with and optimize Large Language Model (LLM) prompts, fine\-tuning techniques, and RAG pipelines to improve agent performance and reliability
* Perform deep\-dive statistical analysis on user interaction data to identify patterns that drive product improvements and feature innovation
* Monitor model performance and provide technical support during critical product iteration cycles
**Qualification** 
 Required
* Recent graduate or entry\-level professional (0–2 years of experience) with a degree in Data Science, Computer Science, Statistics, or a related quantitative field
* Strong programming skills in Python and proficiency with machine learning libraries such as PyTorch, TensorFlow, or Scikit\-learn
* Practical understanding of LLM architectures, prompt engineering, and the evaluation of generative AI outputs
* Excellent communication skills with the ability to articulate technical methodology and complex modeling results to the broader team
* Must live in and be authorized to work in the United States
 Preferred
* Previous internship or research experience focused on Natural Language Processing (NLP), autonomous agents, or recommendation systems
* Experience building and maintaining data pipelines and working with cloud infrastructure (AWS/GCP/Azure)
* Strong technical foundation in SQL and database management for efficient data extraction and feature engineering</t>
        </is>
      </c>
    </row>
    <row r="54">
      <c r="A54" t="inlineStr">
        <is>
          <t>li-4372783423</t>
        </is>
      </c>
      <c r="B54" t="inlineStr">
        <is>
          <t>Senior Applied Scientist, Forecasting</t>
        </is>
      </c>
      <c r="C54" t="inlineStr">
        <is>
          <t>Zillow</t>
        </is>
      </c>
      <c r="D54" t="inlineStr">
        <is>
          <t>linkedin</t>
        </is>
      </c>
      <c r="E54">
        <f>HYPERLINK("https://www.linkedin.com/jobs/view/4372783423", "https://www.linkedin.com/jobs/view/4372783423")</f>
        <v/>
      </c>
      <c r="F54" t="inlineStr"/>
      <c r="G54" t="inlineStr"/>
      <c r="H54" t="inlineStr"/>
      <c r="I54" t="inlineStr">
        <is>
          <t>**About The Team**
 The forecasting group at Zillow provides critical visibility through macroeconomic and housing market uncertainty, shaping planning across Zillow’s businesses. We bring together forecasters, economists, applied scientists, data scientists, and data visualization engineers to build and maintain the forecasts that guide decision‑making. Working with proprietary, industry‑leading data and rigorous forecasting methods, we translate housing market signals into actionable business outlooks. In close partnership with finance, product, and other business teams, we are modernizing how forecasts are produced, evaluated, and operationalized to create a more automated, scalable, and decision‑focused forecasting function.
**About The Role**
 Zillow is seeking a Senior Applied Scientist to join our forecasting organization. In this role, you will design, test, and deploy advanced forecasting models that shape strategic and operational decisions across Zillow. You will work at the intersection of data, economics, and business context to develop and continuously improve forecasts that matter for our customers and our business. You will regularly translate forecast results into clear insights for senior leaders, clarifying current performance, expected trajectories, key drivers, and the uncertainty and trade‑offs that shape our plans.
**You Will Get To:**
* Analyze large, complex datasets to understand buyer and seller behavior and uncover the drivers of key real estate and business outcomes.
* Develop and deploy time‑series and econometric forecasting models that address critical customer, housing market, and business questions, without exposing proprietary product details.
* Own the end‑to‑end modeling lifecycle, including scoping, feature engineering, model development, experimentation, deployment, monitoring, and model explainability.
* Translate forecasts into clear insights and recommendations for senior leadership, helping stakeholders understand drivers, uncertainty, and trade‑offs that guide Zillow’s strategy.
* Partner cross‑functionally with finance, product, engineering, marketing, and operations to scale and improve forecasting capabilities across Zillow.
* Improve and contribute to shared forecasting tools, data pipelines, and processes used across the company.
* Collaborate with other applied scientists and data scientists to develop novel solutions to real estate and business problems.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Strong experience with quantitative time‑series forecasting techniques and a practical understanding of trade‑offs between performance, explainability, and scalability.
* Approximately 7\+ years of applied data science experience, including substantial hands‑on work in forecasting, predictive modeling, or econometric analysis (industry or equivalent research experience).
* Advanced degree (MS or PhD) in a quantitative field (e.g., Economics, Operations Research, Data Analytics, Statistics, Computer Science, Mathematics, Information Management, Engineering, or related quantitative discipline), or equivalent practical experience.
* Proficient in Python and SQL for building, evaluating, and deploying models.
* Demonstrated experience monitoring, debugging, and maintaining models in production environments.
* Experience explaining complex models and analytical concepts to stakeholders with varied technical backgrounds, using clear takeaways, succinct insights, and effective visualizations.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55">
      <c r="A55" t="inlineStr">
        <is>
          <t>li-4349682593</t>
        </is>
      </c>
      <c r="B55" t="inlineStr">
        <is>
          <t>Senior Applied Scientist, DSP/ML</t>
        </is>
      </c>
      <c r="C55" t="inlineStr">
        <is>
          <t>Gridware</t>
        </is>
      </c>
      <c r="D55" t="inlineStr">
        <is>
          <t>linkedin</t>
        </is>
      </c>
      <c r="E55">
        <f>HYPERLINK("https://www.linkedin.com/jobs/view/4349682593", "https://www.linkedin.com/jobs/view/4349682593")</f>
        <v/>
      </c>
      <c r="F55" t="inlineStr"/>
      <c r="G55" t="inlineStr"/>
      <c r="H55" t="inlineStr"/>
      <c r="I55"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We are seeking a Senior Applied Scientist with expertise in machine learning and digital signal processing (DSP) to design models that operate on multimodal time\-series sensor data in highly resource\-constrained environments. You will develop algorithms that balance accuracy with strict power and memory limits, helping advance the next generation of Gridware’s edge intelligence. This role blends applied research, model optimization, and low\-level implementation in collaboration with hardware and firmware teams. 
**Responsibilities** 
* Execute end\-to\-end ML workflows, including exploratory data analysis, feature engineering, model training, evaluation, and optimization.
* Design and evaluate machine learning and DSP algorithms that meet strict power, memory, and latency constraints on embedded hardware.
* Conduct research and literature reviews on edge ML, resource\-constrained inference, and efficient training techniques.
* Partner closely with hardware, firmware, and product teams to ensure seamless integration of models into the full system.
**Required Skills** 
* MS or PhD in Computer Science, Electrical Engineering, or a related technical field.
* 3\+ years of experience developing and deploying production ML models.
* 3\+ years of applied research experience in ML, DSP, or algorithm development.
* Hands\-on experience working with physical sensors and modeling time\-series data.
* Strong foundation in ML architectures, DSP theory, and algorithm design for real\-world systems.
**Bonus Skills** 
* Experience developing or optimizing algorithms in C/C\+\+ for resource\-constrained embedded systems.
* Experience porting ML models from Python frameworks to firmware\-level implementations.
* Familiarity with edge ML tools, quantization, model compression, or on\-device inference strategies.
*\*\*At this time, Gridware is unable to provide visa sponsorship or immigration support for this role. We’re only able to consider candidates who are currently authorized to work in the country of employment without visa sponsorship now or in the future.\*\**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56">
      <c r="A56" t="inlineStr">
        <is>
          <t>li-4382390851</t>
        </is>
      </c>
      <c r="B56" t="inlineStr">
        <is>
          <t>Data Scientist - Fraud</t>
        </is>
      </c>
      <c r="C56" t="inlineStr">
        <is>
          <t>Wiraa</t>
        </is>
      </c>
      <c r="D56" t="inlineStr">
        <is>
          <t>linkedin</t>
        </is>
      </c>
      <c r="E56">
        <f>HYPERLINK("https://www.linkedin.com/jobs/view/4382390851", "https://www.linkedin.com/jobs/view/4382390851")</f>
        <v/>
      </c>
      <c r="F56" t="inlineStr"/>
      <c r="G56" t="inlineStr"/>
      <c r="H56" t="inlineStr"/>
      <c r="I56" t="inlineStr">
        <is>
          <t>**About The Company**
 Founded in 2013 and headquartered in San Francisco, Plaid is a leading financial technology company dedicated to transforming the way people interact with their finances. With offices in New York, Washington D.C., London, and Amsterdam, Plaid provides developers and businesses with innovative tools and APIs that facilitate seamless connection to thousands of financial institutions across the US, Canada, UK, and Europe. The company collaborates with a diverse range of clients, including popular platforms like Venmo, SoFi, and several Fortune 500 companies, to empower consumers to manage their financial lives more effectively. Plaid’s mission is to unlock financial freedom for everyone by building a more inclusive and accessible financial ecosystem.
**About The Role**
 We are seeking a highly skilled Data Scientist to join Plaid’s Fraud Engineering team in Raleigh\-Durham. In this role, you will be instrumental in developing and optimizing machine learning systems that underpin Plaid’s fraud detection products. Your primary focus will be on analyzing complex datasets related to customer and network traffic, building insightful dashboards, and developing performance metrics that provide clarity on product health and effectiveness. You will work closely with cross\-functional teams, including Product and Engineering, to design experiments, evaluate models, and identify high\-value opportunities to enhance fraud prevention capabilities. This position offers an exciting opportunity to contribute to cutting\-edge fraud detection solutions that protect millions of users and support the company’s growth objectives.
**Qualifications**
* 3–5 years of professional experience in data science, analytics, or related fields
* At least 2–3 years of experience working with product analytics, experimentation, or data\-driven product development
* Proficiency in SQL and Python for data analysis and modeling
* Hands\-on experience with designing, building, and maintaining dashboards and performance metrics
* Experience in backtesting methodologies and offline evaluation of machine learning models and rules\-based systems
* Strong stakeholder management and communication skills
* Background or familiarity with fraud detection, risk management, or related domains (preferred)
* Knowledge of data insights products and understanding of model performance metrics (preferred)
* Experience with customer\-facing or go\-to\-market analytics (preferred)
**Responsibilities**
* Analyze large and complex datasets to extract actionable insights that inform product strategy and development
* Develop and maintain dashboards, metrics, and experimentation frameworks to monitor product performance and health
* Collaborate with Product and Engineering teams to design, evaluate, and improve fraud detection models and rules
* Conduct backtests and offline evaluations to assess model effectiveness and identify optimization opportunities
* Partner with go\-to\-market teams to demonstrate the technical and business value of fraud prevention products to clients and stakeholders
* Assist in designing experiments for new features and product enhancements that improve fraud detection capabilities
* Ensure data models and schemas support scalable and reliable analysis and reporting
* Stay updated on industry trends and best practices in machine learning, fraud detection, and data analytics
**Benefits**
* Comprehensive medical, dental, and vision insurance plans
* 401(k) retirement savings plan with company matching
* Competitive salary range with additional compensation options such as equity and/or commissions
* Flexible work arrangements, including remote work opportunities
* Professional development and training programs
* Generous paid time off and holidays
* Supportive and inclusive work environment that values diversity and equity
 Equal Opportunity
 Plaid is proud to be an equal opportunity employer. We celebrate diversity and are committed to creating an inclusive environment for all employees. We do not discriminate based on race, color, national origin, ethnicity, religion, sex, sexual orientation, gender identity or expression, age, disability, veteran status, or any other legally protected characteristics. We also consider qualified applicants with criminal histories in accordance with applicable laws. Plaid is dedicated to providing reasonable accommodations throughout the recruitment process to ensure equal access for all candidates.</t>
        </is>
      </c>
    </row>
    <row r="57">
      <c r="A57" t="inlineStr">
        <is>
          <t>li-4382384898</t>
        </is>
      </c>
      <c r="B57" t="inlineStr">
        <is>
          <t>Data Scientist</t>
        </is>
      </c>
      <c r="C57" t="inlineStr">
        <is>
          <t>Haystack</t>
        </is>
      </c>
      <c r="D57" t="inlineStr">
        <is>
          <t>linkedin</t>
        </is>
      </c>
      <c r="E57">
        <f>HYPERLINK("https://www.linkedin.com/jobs/view/4382384898", "https://www.linkedin.com/jobs/view/4382384898")</f>
        <v/>
      </c>
      <c r="F57">
        <f>HYPERLINK("https://us.haystackapp.io/roles/6998b195f831cd7fa4e4ba45?src=linkedin&amp;urlHash=CxMt", "https://us.haystackapp.io/roles/6998b195f831cd7fa4e4ba45?src=linkedin&amp;urlHash=CxMt")</f>
        <v/>
      </c>
      <c r="G57" t="inlineStr">
        <is>
          <t>San Diego, CA</t>
        </is>
      </c>
      <c r="H57" t="inlineStr"/>
      <c r="I57" t="inlineStr">
        <is>
          <t>**Data Scientist \| San Diego, CA \| Hybrid \| $77,600 \- $176,000**
 We're working with a leading global consultancy at the forefront of national security and high\-stakes analytics on this exciting opportunity.
 Step into a role where your analytical prowess directly impacts global challenges, from fraud detection to breakthrough cancer research. You will leverage a sophisticated tech stack featuring Python, Machine Learning, and Cloud infrastructure to transform massive, disparate datasets into actionable intelligence for mission\-critical client decisions.
**The Role**
* Design and deploy advanced algorithms and Machine Learning models using Python, R, or C\+\+ to solve complex data puzzles for public and private sector clients.
* Architect and manage data pipelines within Cloud environments like AWS, Azure, or Google Cloud (GCP) to handle large\-scale structured and unstructured data.
* Lead the end\-to\-end data lifecycle: from feature selection and anomaly handling to model interpretation and high\-impact data visualization using Tableau, PowerBI, or Qlik.
* Collaborate directly with stakeholders to translate abstract business needs into technical requirements, utilizing Agile methodologies and MLOps best practices.
* Drive the operationalization of models using CI/CD tools such as Git, Jenkins, and Docker to ensure seamless deployment in enterprise environments.
**What You'll Need**
* 3\+ years of professional experience in Data Science, Data Analytics, or Applied Statistics.
* Proven proficiency in programming for data science, specifically with Python, R, Java, or C\+\+, and knowledge of SQL (PL/pgSQL).
* Hands\-on experience with Neural Networks, Decision Trees, and Logistic Regression, plus familiarity with modern platforms like Databricks, Palantir Foundry, or ElasticSearch.
* Strong communication skills to bridge the gap between technical complexity and non\-technical audience understanding through compelling storytelling.
* US Citizenship and the ability to obtain a Secret security clearance; Bachelor’s degree required (Master’s in CS, Math, or Engineering preferred).
**What's On Offer**
* Highly competitive salary range ($77,600 \- $176,000\) based on your unique expertise and location.
* Comprehensive wellness package including top\-tier health, life, and disability insurance plus robust retirement/401k matching.
* Dedicated support for growth with tuition assistance, professional development programs, and a culture that values work\-life integration.
* The opportunity to work on highly visible, "data for good" projects that protect national security and advance scientific discovery.
**Apply via Haystack today!**</t>
        </is>
      </c>
    </row>
    <row r="58">
      <c r="A58" t="inlineStr">
        <is>
          <t>li-4382384493</t>
        </is>
      </c>
      <c r="B58" t="inlineStr">
        <is>
          <t>Data Scientist II</t>
        </is>
      </c>
      <c r="C58" t="inlineStr">
        <is>
          <t>Microsoft</t>
        </is>
      </c>
      <c r="D58" t="inlineStr">
        <is>
          <t>linkedin</t>
        </is>
      </c>
      <c r="E58">
        <f>HYPERLINK("https://www.linkedin.com/jobs/view/4382384493", "https://www.linkedin.com/jobs/view/4382384493")</f>
        <v/>
      </c>
      <c r="F58">
        <f>HYPERLINK("https://apply.careers.microsoft.com/careers/job/1970393556826684?utm_source=linkedin&amp;domain=microsoft.com&amp;src=LinkedIn&amp;urlHash=DmsP", "https://apply.careers.microsoft.com/careers/job/1970393556826684?utm_source=linkedin&amp;domain=microsoft.com&amp;src=LinkedIn&amp;urlHash=DmsP")</f>
        <v/>
      </c>
      <c r="G58" t="inlineStr">
        <is>
          <t>Redmond, WA</t>
        </is>
      </c>
      <c r="H58" t="inlineStr"/>
      <c r="I58" t="inlineStr">
        <is>
          <t>**Overview**
 The
 **Copilot and Platform Ecosystem (CAPE)** 
 team at Microsoft is on a mission to deliver customer and partner ecosystem success through Copilot and collaborative solutions that drive measurable business value and delightful product experiences.
 CAPE is hiring a
 **Data Scientist II** 
 to join our
 **Data \&amp; Engineering team** 
 , where we build trusted signals, metrics, and analytical foundations that power leadership reporting, Copilot experiences, and agent‑driven workflows across
 **M365 Copilot, Copilot in Teams, and Microsoft Teams** 
 .
 As a Data Scientist II, you will partner closely with data engineering, product, and engineering teams to turn large‑scale telemetry into
 **decision‑ready insights** 
 . You will help define metrics, design experiments, evaluate outcomes, and ensure our data products are explainable, reliable, and aligned to real business questions. Your work will directly influence product direction, customer success motions, and executive decision‑making.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data engineering, product management, and engineering to define analytical questions, success metrics, and hypotheses that drive Copilot business outcomes.
* Analyze large\-scale product and customer telemetry (e.g., Kusto/ADX, Cosmos, logs, usage signals) to deliver clear, actionable insights for leaders and partner teams.
* Design and interpret experiments and evaluations (A/B tests, cohort/retention analysis, causal methods as appropriate) to measure impact of features, agents, and platform changes.
* Own and evolve core metrics and definitions (engagement, retention, adoption, quality), ensuring consistency and trust across reporting and dashboards.
* Improve data quality, freshness, and correctness by identifying gaps/anomalies and strengthening signal pipelines in partnership with data engineering.
* Build analytical models or lightweight ML to support forecasting, segmentation, classification, and outcome measurement as needed.
* Communicate complex analyses as concise narratives for technical and non\-technical audiences; contribute to documentation and analytics best practices across CAPE.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2\+ years of experience analyzing large datasets using SQL‑based systems and/or analytics platforms (e.g., Kusto, SQL, Spark).
* Experience designing and interpreting experiments, metrics, or analytical studies to inform product or business decisions.
* Experience communicating insights clearly through written narratives, presentations, or dashboards.
* Experience collaborating with cross‑functional partners (engineering, product, program management).
* Experience working in a data‑intensive product or platform environment, especially with telemetry or usage data at scale.
* Familiarity with Python, R, or similar languages for data analysis and modeling.
* Experience with AI/ML‑adjacent systems, evaluations, or outcome measurement (e.g., model quality, agent performance, user impact).
* Experience supporting executive‑level reporting or decision‑making.
* Exposure to cloud data platforms (e.g., Azure Data Explorer, Cosmos DB, Power BI semantic models).
 \#BICJOBS
 \#CAPE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9">
      <c r="A59" t="inlineStr">
        <is>
          <t>li-4381373370</t>
        </is>
      </c>
      <c r="B59" t="inlineStr">
        <is>
          <t>Senior Applied Scientist</t>
        </is>
      </c>
      <c r="C59" t="inlineStr">
        <is>
          <t>CHEManager International</t>
        </is>
      </c>
      <c r="D59" t="inlineStr">
        <is>
          <t>linkedin</t>
        </is>
      </c>
      <c r="E59">
        <f>HYPERLINK("https://www.linkedin.com/jobs/view/4381373370", "https://www.linkedin.com/jobs/view/4381373370")</f>
        <v/>
      </c>
      <c r="F59">
        <f>HYPERLINK("https://www.diversityinresearch.careers/job/1951362/senior-applied-scientist/&amp;urlHash=m8VU", "https://www.diversityinresearch.careers/job/1951362/senior-applied-scientist/&amp;urlHash=m8VU")</f>
        <v/>
      </c>
      <c r="G59" t="inlineStr">
        <is>
          <t>Seattle, WA</t>
        </is>
      </c>
      <c r="H59" t="inlineStr"/>
      <c r="I59"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5\-10\+ years of experience in Applied Science / Data Science / Quantitative Research, with a strong record of shipping models into production.
* Deep expertise in one or more of the following:
* Time series forecasting
* Pricing \&amp; revenue management
* Supply chain / inventory / logistics modeling
* Operations research / mathematical optimization
* Strong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$287,800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$287,800\.00 /Yr.</t>
        </is>
      </c>
    </row>
    <row r="60">
      <c r="A60" t="inlineStr">
        <is>
          <t>li-4381371632</t>
        </is>
      </c>
      <c r="B60" t="inlineStr">
        <is>
          <t>Senior Applied Scientist</t>
        </is>
      </c>
      <c r="C60" t="inlineStr">
        <is>
          <t>CHEManager International</t>
        </is>
      </c>
      <c r="D60" t="inlineStr">
        <is>
          <t>linkedin</t>
        </is>
      </c>
      <c r="E60">
        <f>HYPERLINK("https://www.linkedin.com/jobs/view/4381371632", "https://www.linkedin.com/jobs/view/4381371632")</f>
        <v/>
      </c>
      <c r="F60">
        <f>HYPERLINK("https://www.diversityinresearch.careers/job/1951366/senior-applied-scientist/&amp;urlHash=EjVf", "https://www.diversityinresearch.careers/job/1951366/senior-applied-scientist/&amp;urlHash=EjVf")</f>
        <v/>
      </c>
      <c r="G60" t="inlineStr">
        <is>
          <t>Seattle, WA</t>
        </is>
      </c>
      <c r="H60" t="inlineStr"/>
      <c r="I60"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61">
      <c r="A61" t="inlineStr">
        <is>
          <t>li-4381371630</t>
        </is>
      </c>
      <c r="B61" t="inlineStr">
        <is>
          <t>Senior Applied Scientist</t>
        </is>
      </c>
      <c r="C61" t="inlineStr">
        <is>
          <t>CHEManager International</t>
        </is>
      </c>
      <c r="D61" t="inlineStr">
        <is>
          <t>linkedin</t>
        </is>
      </c>
      <c r="E61">
        <f>HYPERLINK("https://www.linkedin.com/jobs/view/4381371630", "https://www.linkedin.com/jobs/view/4381371630")</f>
        <v/>
      </c>
      <c r="F61">
        <f>HYPERLINK("https://www.diversityinresearch.careers/job/1951370/senior-applied-scientist/&amp;urlHash=8fBd", "https://www.diversityinresearch.careers/job/1951370/senior-applied-scientist/&amp;urlHash=8fBd")</f>
        <v/>
      </c>
      <c r="G61" t="inlineStr">
        <is>
          <t>Seattle, WA</t>
        </is>
      </c>
      <c r="H61" t="inlineStr"/>
      <c r="I61"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62">
      <c r="A62" t="inlineStr">
        <is>
          <t>li-4382381899</t>
        </is>
      </c>
      <c r="B62" t="inlineStr">
        <is>
          <t>Senior Data Scientist 2</t>
        </is>
      </c>
      <c r="C62" t="inlineStr">
        <is>
          <t>Walgreens</t>
        </is>
      </c>
      <c r="D62" t="inlineStr">
        <is>
          <t>linkedin</t>
        </is>
      </c>
      <c r="E62">
        <f>HYPERLINK("https://www.linkedin.com/jobs/view/4382381899", "https://www.linkedin.com/jobs/view/4382381899")</f>
        <v/>
      </c>
      <c r="F62">
        <f>HYPERLINK("https://jobs.walgreens.com/en/job/-/-/1242/92464501968?codes=LinkedIn&amp;urlHash=v_Pg", "https://jobs.walgreens.com/en/job/-/-/1242/92464501968?codes=LinkedIn&amp;urlHash=v_Pg")</f>
        <v/>
      </c>
      <c r="G62" t="inlineStr">
        <is>
          <t>Deerfield, IL</t>
        </is>
      </c>
      <c r="H62" t="inlineStr"/>
      <c r="I62" t="inlineStr">
        <is>
          <t>**Job Summary**
 Responsible for applying advanced data analysis tools and techniques to provide insights and actionable recommendations for the business. Utilizes highly complex statistical modeling to make predictions about future outcomes and in multiple scenarios.
**Job Responsibilities**
* Responsible for applying advanced data analysis tools and techniques to provide insights and actionable recommendations for the business. Utilizes highly complex statistical modeling to make predictions about future outcomes and in multiple scenarios.
* Utilizes predictive analytics, including statistical modeling, data mining techniques and machine learning, to find patterns and make predictions about future outcomes under multiple scenarios. Interprets and applies data in analyses and explains findings to business audiences to improve products and processes, or to discover the next breakthrough.
* Interprets and applies data in analyses, and explain findings to business audiences, typically to improve products and processes, or to discover the next product breakthrough.
* Develops and executes statistical and mathematical analyses to support business decision making for multiple business functions. Develops complex algorithms and statistical predictive models and determines analytical approaches and modeling techniques to evaluate scenarios and potential future outcomes.
* Identifies meaningful insights from large data sources; interprets and communicates insights and findings from analysis and experiments to stakeholders
* Applies analytical rigor and statistical methods to analyze large amounts of data, using advanced statistical techniques such as predictive statistical models, customer profiling, segmentation analysis, survey design and analysis and data mining.
* Documents projects, including business objectives, data gathering and processing, leading approaches, final algorithm, detailed set of results and analytical metrics. Develops materials to explain project findings.
* Participates in developing technical / business approaches and new or enhanced technical tools.
* Interacts with internal and external peers and management to share highly complex information related to areas of expertise and/or to gain acceptance of new or enhanced technology / business solutions.
* Mentors less experienced members of the team. May lead teams / projects. Provides guidance regarding analytical approach and iteration of algorithms.
* Assigned to complex undertakings.
* Demonstrates proficiency in all areas of the professional function and advanced in\-depth specialization in some.
**About Walgreens**
 Founded in 1901, Walgreens (www.walgreens.com) has a storied heritage of caring for communities for generations and proudly serves nearly 9 million customers and patients each day across its approximately 8,500 stores throughout the U.S. and Puerto Rico, and leading omni channel platforms. Walgreens has approximately 220,000 team members, including nearly 90,000 healthcare service providers, and is committed to being the first choice for retail pharmacy and health services, building trusted relationships that create healthier futures for customers, patients, team members and communities.
**Basic Qualifications**
* Bachelor's degree OR equivalent and at least 4 years of professional work experience in data science, advanced analytics, statistics or similar field
* Experience interrogating data, performing analyses, interpreting data, and presenting to business audiences.
* At least 4 years of experience with SQL
* At least 4 years of experience with open\-source data science and statistics packages such as Python, R, Spark, etc.
* Experience establishing and maintaining key relationships with internal (peers, business partners and leadership) and external (business community, clients and vendors) within a matrix organization to ensure quality standards for service.
* Experience diagnosing, isolating, and resolving complex business issues and recommending and implementing strategies to resolve problems.
* Experience presenting to all levels of an organization
* At least 2 years of experience contributing to financial decisions in the workplace.
* At least 2 years of direct leadership, indirect leadership and/or cross\- functional team leadership.
* Willing to travel up to 10% of the time for business purposes (within state and out of state)
**Preferred Qualifications**
* Graduate degree in a quantitative, computational or technical discipline and at least 2 years of professional work experience in data science, advanced analytics, statistics or similar role
 We will consider employment of qualified applicants with arrest and conviction records.
**Salary Range:** 
 $127500 \- $204000 / Salaried</t>
        </is>
      </c>
    </row>
    <row r="63">
      <c r="A63" t="inlineStr">
        <is>
          <t>li-4337650165</t>
        </is>
      </c>
      <c r="B63" t="inlineStr">
        <is>
          <t>Staff Data Scientist - Loss Forecasting &amp; Portfolio Analytics</t>
        </is>
      </c>
      <c r="C63" t="inlineStr">
        <is>
          <t>SoFi</t>
        </is>
      </c>
      <c r="D63" t="inlineStr">
        <is>
          <t>linkedin</t>
        </is>
      </c>
      <c r="E63">
        <f>HYPERLINK("https://www.linkedin.com/jobs/view/4337650165", "https://www.linkedin.com/jobs/view/4337650165")</f>
        <v/>
      </c>
      <c r="F63" t="inlineStr"/>
      <c r="G63" t="inlineStr">
        <is>
          <t>New York, NY</t>
        </is>
      </c>
      <c r="H63" t="inlineStr"/>
      <c r="I6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 Credit Risk Manager/Staff Data Scientist to join our Loss Forecasting and Risk Analytics Team within Sofi’s Credit team. This team member will work in the team that is responsible for forecasting losses across various SoFi lending products, including Personal Loans, Student Loan Refinances and Private Student Loans. The Staff Data Scientist will contribute to the performance analysis of SoFi lending products using empirical measurements, develop quantitative and machine learning models to forecast losses and provide insights into the drivers for losses. She/He will also collaborate with the Business Unit, Finance, Accounting, Credit, and Independent Risk Management groups. This position requires knowledge of data analytics and modeling using Python and machine learning/analytical packages, as well as strong problem\-solving and communication skills. The ideal candidate will have expertise in analyzing large datasets and developing models using Python, SQL, and other statistical analysis packages to get to the truth behind the data.
 By joining SoFi, you'll become part of a forward\-thinking company that is transforming financial services for the better. We offer the excitement of a rapidly growing startup with the stability of an industry\-leading leadership team.
**What you’ll do:**
* Develop loss projections for SoFi’s lending products, including Personal Loans, Student Loan Refinances, and Private Student Loans.
* Draw strategic insights from data using statistical analysis tools to inform decisions and support SoFi’s overarching strategic goals relative to loss prevention and profit optimization. Bring new ways of thinking, data sources, technologies, and capabilities to SoFi.
* Develop stress testing framework using macroeconomic data to provide insights into the business and enable the company to plan proactively for economic downturns.
* Improve forecasting accuracy and productivity. Ensure good documentation and control of forecasting methodologies and procedures.
* Explore external credit data to identify trends in the market and industry.
* Work with Business Units, Operations, Product, Capital Markets, Finance, Accounting, and Risk partners to ensure correct loss expectations and trends of losses are communicated effectively and executed appropriately.
* Be inspired by dynamic leaders and our rapidly growing business. We are recruiting the best, brightest, and most passionately quantitative team members.
**What you’ll need:**
* 7\+ years of related experience with a Master’s or PhD degree
* Proven advanced analytical and technical skills in conducting sophisticated data analysis and building loss forecasting models and projections
* Business acumen and work experience in the consumer lending business (loans or credit cards)
* Proficient in Python, SQL \&amp; Tableau
* Strong communication and presentation skills. Demonstrated ability to synthesize and communicate analysis to business partners and senior management
* High motivation to drive results, eager to learn, and able to work collaboratively in a fluid environment
* Prior experience in credit loss forecasting is a must
**Nice to have:**
* Experience using credit bureau sandbox data
* Experience in developing credit risk strategies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64">
      <c r="A64" t="inlineStr">
        <is>
          <t>li-4364561418</t>
        </is>
      </c>
      <c r="B64" t="inlineStr">
        <is>
          <t>Senior Data Scientist, Forecasting and Routing</t>
        </is>
      </c>
      <c r="C64" t="inlineStr">
        <is>
          <t>Spring Health</t>
        </is>
      </c>
      <c r="D64" t="inlineStr">
        <is>
          <t>linkedin</t>
        </is>
      </c>
      <c r="E64">
        <f>HYPERLINK("https://www.linkedin.com/jobs/view/4364561418", "https://www.linkedin.com/jobs/view/4364561418")</f>
        <v/>
      </c>
      <c r="F64" t="inlineStr"/>
      <c r="G64" t="inlineStr">
        <is>
          <t>San Francisco, CA</t>
        </is>
      </c>
      <c r="H64" t="inlineStr"/>
      <c r="I64"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Senior Manager of Data Science, the Senior Data Scientist I on the Routing \&amp; Forecasting team will lead the design and deployment of advanced forecasting and optimization models that power Spring Health’s precision care routing systems. You’ll define the analytical and technical direction for key initiatives that determine how we allocate care resources, predict demand, and ensure that members receive the right care at the right time. You’ll partner with Product, Engineering, and Clinical Operations to shape the roadmap for intelligent, data\-driven care delivery.
 Please note that this is a
 **hybrid role based in San Francisco** 
 , with an expectation to be in office 2\-3 days a week. Our office is located at 2 Embarcadero Ctr.
**What You’ll Do**
* Lead the end\-to\-end design and delivery of high\-impact data science projects — from problem framing and hypothesis generation through model development, validation, and deployment.
* Develop, implement, and maintain advanced forecasting and routing algorithms, ensuring robustness, scalability, and reproducibility.
* Define the technical direction for data science initiatives within the Forecasting \&amp; Routing domain, balancing long\-term innovation with short\-term impact.
* Partner with stakeholders across the business to translate ambiguous operational needs into clear research questions and data products that drive measurable results.
* Apply advanced statistical and ML techniques to complex forecasting and routing challenges.
* Champion MLOps best practices, including automated model monitoring, versioning, logging, and alerting in production environments.
* Collaborate closely with engineering to ensure models are deployed efficiently using tools like AWS SageMaker, dbt, and GitHub, with strong observability and CI/CD standards.
* Mentor junior data scientists, contribute to peer reviews, and help shape team standards for code quality, experimentation, and documentation.
* Communicate insights clearly to technical and non\-technical audiences, influencing product and operational decisions through data\-driven recommendations.
**What Success Looks Like**
* Ownership and successful delivery of multiple, complex data science projects with measurable business impact.
* Forecasting and routing models consistently meeting or exceeding accuracy and reliability benchmarks.
* Demonstrated leadership in defining best practices in experimentation, MLOps, and model governance.
* Strong cross\-functional relationships with Product, Engineering, and Operations that result in faster decision\-making and higher confidence in model outputs.
* Clear evidence of mentorship and technical influence within the data science team.
* Contributions to roadmap and strategy that improve scalability, efficiency, and care outcomes across Spring Health’s precision care systems.
**What You’ll Bring**
* 4–6 years of professional experience in data science, machine learning, or a related quantitative field.
* Deep proficiency in Python and SQL, with proven ability to design and maintain production\-grade codebases.
* Demonstrated expertise in time series forecasting, predictive modeling, and causal inference.
* Hands\-on experience building and deploying ML models using AWS SageMaker, with strong understanding of MLOps, model monitoring, and lifecycle management.
* Familiarity with Snowflake, dbt, GitHub,scikit\-learn, and MLflow.
* Strong understanding of experimental design, statistical inference, and uncertainty quantification.
* Ability to navigate ambiguous or incomplete data, formulate hypotheses, and deliver elegant, data\-driven solutions.
* Excellent communication skills and ability to synthesize complex analyses into actionable recommendations for leadership.
* Demonstrated ownership of projects that delivered measurable operational or business impact.
* Passion for applying data science to real\-world problems in mental healthcare.
*The target base salary range for this position is
 **$183,500 \- $205,550** 
 and is part of a competitive total rewards package including equity and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65">
      <c r="A65" t="inlineStr">
        <is>
          <t>li-4343472841</t>
        </is>
      </c>
      <c r="B65" t="inlineStr">
        <is>
          <t>Applied Scientist II</t>
        </is>
      </c>
      <c r="C65" t="inlineStr">
        <is>
          <t>Microsoft</t>
        </is>
      </c>
      <c r="D65" t="inlineStr">
        <is>
          <t>linkedin</t>
        </is>
      </c>
      <c r="E65">
        <f>HYPERLINK("https://www.linkedin.com/jobs/view/4343472841", "https://www.linkedin.com/jobs/view/4343472841")</f>
        <v/>
      </c>
      <c r="F65" t="inlineStr"/>
      <c r="G65" t="inlineStr">
        <is>
          <t>Redmond, WA</t>
        </is>
      </c>
      <c r="H65" t="inlineStr"/>
      <c r="I65" t="inlineStr">
        <is>
          <t>**Overview**
 Our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This position as an
 **Applied Scientist II** 
 is for the modeling team, which builds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and building efficient models for predicting user interactions with ads and advertiser’s pages.
* Designing and overseeing large\-scale, long\-term experiments to improve the health of the marketplace using advanced statistics and machine learning.
* Designing automation algorithms for advertisers using techniques from AI and ML to improve advertiser’s return on investment.
* Develop models for causal reasoning using techniques from AI, ML, and statistics.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Experience in any of the following areas statistical machine learning, deep learning, data mining, causal inference, information retrieval, game theory, mechanism design, optimization and Bayesian inference.
* Excellent problem solving and data analysis skills, effective communication skills, both verbal and written.
* Solid software design and development skills/experience.
* 1\+ year(s) experience creating publications (e.g., patents, peer\-reviewed academic papers).
* Research experience (publications) in the following areas is preferred statistical machine learning, deep learning, data mining, causal inference, information retrieval, and Bayesian inference.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6">
      <c r="A66" t="inlineStr">
        <is>
          <t>li-4364541204</t>
        </is>
      </c>
      <c r="B66" t="inlineStr">
        <is>
          <t>B4 Lead Data Scientist (GenAI)</t>
        </is>
      </c>
      <c r="C66" t="inlineStr">
        <is>
          <t>Norfolk Southern</t>
        </is>
      </c>
      <c r="D66" t="inlineStr">
        <is>
          <t>linkedin</t>
        </is>
      </c>
      <c r="E66">
        <f>HYPERLINK("https://www.linkedin.com/jobs/view/4364541204", "https://www.linkedin.com/jobs/view/4364541204")</f>
        <v/>
      </c>
      <c r="F66">
        <f>HYPERLINK("https://jobs.nscorp.com/job/Atlanta-B4-Lead-Data-Scientist-%28GenAI%29-GA-30308/1364943100/&amp;urlHash=GjUu", "https://jobs.nscorp.com/job/Atlanta-B4-Lead-Data-Scientist-%28GenAI%29-GA-30308/1364943100/&amp;urlHash=GjUu")</f>
        <v/>
      </c>
      <c r="G66" t="inlineStr">
        <is>
          <t>Atlanta, GA</t>
        </is>
      </c>
      <c r="H66" t="inlineStr"/>
      <c r="I66" t="inlineStr">
        <is>
          <t>Requisition 39619: B4 Lead Data Scientist (GenAI)
***A resume helps you stand out to hiring managers and recruiters; your resume communicates your experience and your brand. While it is not required, we encourage you to include an up\-to\-date resume along with a completed job application to give you the best opportunity to be considered. A complete resume helps us to better understand your unique background, relevant experiences, and passions. We look forward to learning about you.***
 Norfolk Southern offers a unique opportunity to be part of our proud legacy that spans nearly 200 years. We are a customer\-centric, operations\-driven team dedicated to advancing safety, serving communities, and driving innovation for tomorrow's rail. As part of Norfolk Southern, you’ll join a collaborative team where there are opportunities for growth across the organization. We are building a culture where everyone can thrive by owning and driving exceptional results, being humble and leading with trust, serving our customers with excellence, and collaborating and coaching to win.
**Job Description**
**Who we are and what we do:**
 Norfolk Southern Corporation is seeking a Lead Data Scientist (GenAI) to join our enterprise AI team. This role focuses on developing, optimizing, and enhancing intelligent solutions using Generative AI technologies, including Large Language Models (LLMs), Retrieval\-Augmented Generation (RAG), and Model Context Protocol (MCP) servers. The ideal candidate will partner with technical and business leaders across the enterprise to deliver scalable, secure, and high\-performing AI capabilities that drive business value. The position involves working with cloud\-based platforms, modern AI/ML frameworks, and collaborating across business units to solve complex problems.
**What Kind Of Problems Do We Solve**
* Document Intelligence: Analyze and extract insights from thousands of corporate documents, reports, and operational data using advanced NLP techniques.
* Conversational AI: Build intelligent chat systems that help employees retrieve information and interact with enterprise data.
* GenAI Solutions: Creating and deploying Generative AI models for document processing, visual data analysis, and natural language understanding.
* Model Context Protocol (MCP): Enhance AI agent capabilities through custom tool integrations and context\-aware servers.
**Responsibilities**
* Lead design and architecture of enterprise GenAI solutions tailored to business use cases.
* Design modular, framework‑agnostic LLM pipelines using libraries such as LangChain, LlamaIndex, or similar
* Define prompting strategies, agent patterns, and RAG architectures. Ensure approaches are scalable, reusable company‑wide and drive adoption across teams.
* Oversee lifecycle of usecases: Development to Deployment to Production and MLops.
* Ensure responsible AI practices, including explainability, governance, and compliance.
* Evaluate emerging AI trends and help guide the adoption of high value innovations.
* Collaborate with cross\-functional teams to understand business needs and deliver configurable, scalable solutions.
**Education Required**
* Bachelor’s in computer science, data science, machine learning, NLP, AI, linguistics, or related field required.
**Skills Required**
* 4\-7\+ years of experience in Data Science, Machine Learning, NLP or AI positions.
* Extensive background in building, finetuning and operationalizing large language models (LLMs) in production environment.
* Proficiency in Python, including libraries such as Scikit\-learn, PyTorch, Pandas, NumPy, spaCy, NLTK, and Matplotlib.
* Skilled in SQL, NoSQL, Milvus, Pinecone, PGVector databases
**Skills Preferred**
* Advanced degree, e.g., Ph.D. or M.S. computer science, data science, machine learning, NLP, AI, linguistics, or related field preferred.
* Highly experienced in creating Agentic LLMs and knowledge of orchestration frameworks such as LangGraph.
* NLP and AI/ML Frameworks: Experience with training NLP models from scratch, working with Large Language Models, and using libraries such as spaCy, NLTK, and Transformers.
* Highly experienced with cloud platforms, preferably AWS (ECS, S3, Lambda, Bedrock, OpenSearch), Databricks, and Datadog.
* DevOps knowledge: Docker, Kubernetes, CI/CD, Git, Terraform.
**Work Conditions**
 Environment: Hybrid 3 days on\-site and remote work 2 days per week.
 Shift Work: No
 On\-Call: No
 Weekend Work: No
**Company Overview**
 Since 1827, Norfolk Southern Corporation (NYSE: NSC) and its predecessor companies have safely moved the goods and materials that drive the U.S. economy. Today, it operates a customer\-centric and operations\-driven freight transportation network. Committed to furthering sustainability, Norfolk Southern helps its customers avoid 15 million tons of yearly carbon emissions by shipping via rail. Its dedicated team members deliver more than 7 million carloads annually, from agriculture to consumer goods, and is the largest rail shipper of auto products and metals in North America. Norfolk Southern also has the most extensive intermodal network in the eastern U.S., serving a majority of the country’s population and manufacturing base, with connections to every major container port on the Atlantic coast as well as the Gulf of Mexico and Great Lakes. Learn more by visiting www.NorfolkSouthern.com.
 At Norfolk Southern, we believe in celebrating our individuality. By leveraging the unique backgrounds and viewpoints of our employees, we can create a culture of innovation, respect, and inclusion. We know that employees thrive in a workplace where differing viewpoints, ideas, and experiences are freely shared and valued. As such, we encourage all employees to contribute their distinctive skills and capabilities to our organization.
**Equal employment opportunities are available to all applicants regardless of race, color, religion, age, sex, national origin, disability status, genetic information, veteran status, sexual orientation, and gender identity. Together, we power progress.**</t>
        </is>
      </c>
    </row>
    <row r="67">
      <c r="A67" t="inlineStr">
        <is>
          <t>li-4338421711</t>
        </is>
      </c>
      <c r="B67" t="inlineStr">
        <is>
          <t>Senior Applied Scientist, Sponsored Products and Brands</t>
        </is>
      </c>
      <c r="C67" t="inlineStr">
        <is>
          <t>Amazon</t>
        </is>
      </c>
      <c r="D67" t="inlineStr">
        <is>
          <t>linkedin</t>
        </is>
      </c>
      <c r="E67">
        <f>HYPERLINK("https://www.linkedin.com/jobs/view/4338421711", "https://www.linkedin.com/jobs/view/4338421711")</f>
        <v/>
      </c>
      <c r="F67">
        <f>HYPERLINK("https://www.amazon.jobs/jobs/3130062/senior-applied-scientist-sponsored-products-and-brands?cmpid=SPLICX0248M&amp;utm_source=linkedin.com&amp;utm_campaign=cxro&amp;utm_medium=social_media&amp;utm_content=job_posting&amp;ss=paid&amp;urlHash=1w1w", "https://www.amazon.jobs/jobs/3130062/senior-applied-scientist-sponsored-products-and-brands?cmpid=SPLICX0248M&amp;utm_source=linkedin.com&amp;utm_campaign=cxro&amp;utm_medium=social_media&amp;utm_content=job_posting&amp;ss=paid&amp;urlHash=1w1w")</f>
        <v/>
      </c>
      <c r="G67" t="inlineStr">
        <is>
          <t>New York, United States</t>
        </is>
      </c>
      <c r="H67" t="inlineStr"/>
      <c r="I67"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
**Company** 
 \- Amazon.com Services LLC
 Job ID: A3130062</t>
        </is>
      </c>
    </row>
    <row r="68">
      <c r="A68" t="inlineStr">
        <is>
          <t>li-4323596755</t>
        </is>
      </c>
      <c r="B68" t="inlineStr">
        <is>
          <t>Principal Data Scientist - Safety</t>
        </is>
      </c>
      <c r="C68" t="inlineStr">
        <is>
          <t>Roblox</t>
        </is>
      </c>
      <c r="D68" t="inlineStr">
        <is>
          <t>linkedin</t>
        </is>
      </c>
      <c r="E68">
        <f>HYPERLINK("https://www.linkedin.com/jobs/view/4323596755", "https://www.linkedin.com/jobs/view/4323596755")</f>
        <v/>
      </c>
      <c r="F68">
        <f>HYPERLINK("https://careers.roblox.com/jobs/7411636?gh_jid=7411636&amp;gh_src=da92d0c91&amp;urlHash=nhY3", "https://careers.roblox.com/jobs/7411636?gh_jid=7411636&amp;gh_src=da92d0c91&amp;urlHash=nhY3")</f>
        <v/>
      </c>
      <c r="G68" t="inlineStr">
        <is>
          <t>San Mateo, CA</t>
        </is>
      </c>
      <c r="H68" t="inlineStr"/>
      <c r="I68"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**WHY DATA SCIENCE \&amp; ANALYTICS?**
 The Data Science \&amp; Analytics organization's mission is to increase our speed, frequency and acumen of making decisions at scale by instilling a data\-influenced approach to building products. We cover a wide area of the data spectrum including analytical data engineering, product analytics, experimentation, causal inference, statistical modeling and machine learning. Aligned and partnering with product verticals, we use this extensive tool belt to discover new opportunities and unmet use cases, influence and shape the product roadmap and prioritization, build data products and measure impact on our community of players and developers.
**WHY CONTENT SAFETY?**
 Content safety and moderation are paramount to maintaining a positive, engaging, and trustworthy platform experience for our global community. In this role, you will apply your expertise in data science, statistics, and causal inference to strategically define, measure, and improve the detection and mitigation of harmful user\-generated content and violative on\-platform behaviors. Your focus will be on asset\-based content across the platform \- including games, avatars, and emerging in\-game behaviors \- by establishing reliable ground truth datasets and developing robust prevalence measurement methodologies. You will collaborate closely with Product, Engineering, Legal, Policy, and Compliance teams, acting as the quantitative expert who guides our defensive strategy against evolving safety threats and ensures accountability and scalable solutions. This is a critical opportunity to build innovative detection systems, define what we measure, and prove the impact of our safety efforts.
**You Will**
* Establish and monitor robust prevalence measurement methodologies to accurately quantify the overall level of harmful content and behavior on the platform, providing the authoritative source of truth for organizational safety goals.
* Develop and validate comprehensive ground truth datasets for harmful UGC and violative on\-platform behaviors, ensuring high quality and alignment with the latest platform policies.
* Deepen our understanding of violations by conducting exploratory analysis on current and emerging threat landscapes, providing data\-backed recommendations on where Product and Engineering should strategically invest detection and moderation resources.
* Design, implement, and analyze sophisticated experiments for new moderation and safety enforcement features, communicating results to our primary partners in Product and Engineering to guide development, while also collaborating closely with Policy, Compliance, and Legal teams for full strategic alignment.
* Leverage advanced causal inference methodologies to accurately measure the effectiveness and potential systemic impacts of various safety initiatives on player experience and platform integrity.
* Communicate strategic insights and present recommendations to leadership and all cross\-functional partners, translating complex statistical findings on prevalence, ground truth quality, and effectiveness into actionable strategies for Product, Engineering, Policy, Compliance, and Legal.
* Partner with ML and Data Engineering teams to ensure model development, reporting, and detection systems are built on statistically sound ground truth and measurement frameworks.
**You Have**
* 10\+ years of industry experience in data science, economics, analytics, or machine learning engineering
* 7\+ years of experience using scripting languages (Python, R), and big data query/processing languages and tools such as SQL, Hive, Spark, and Airflow
* Knowledge of ML and Deep Learning either via formal training or industry experience
* Ability to apply creative first\-principles reasoning to solve ambiguous problems
* Experience developing large\-scale safety or moderation systems as well as experience with content platforms, specifically user\-generated content
* Advanced Degree and/or PhD in Statistics, Computer Science, Physics, Applied Math, Economics, or other related quantitative fields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$321,230—$373,680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69">
      <c r="A69" t="inlineStr">
        <is>
          <t>li-4364159756</t>
        </is>
      </c>
      <c r="B69" t="inlineStr">
        <is>
          <t>Applied Scientist II, Personalization</t>
        </is>
      </c>
      <c r="C69" t="inlineStr">
        <is>
          <t>Amazon</t>
        </is>
      </c>
      <c r="D69" t="inlineStr">
        <is>
          <t>linkedin</t>
        </is>
      </c>
      <c r="E69">
        <f>HYPERLINK("https://www.linkedin.com/jobs/view/4364159756", "https://www.linkedin.com/jobs/view/4364159756")</f>
        <v/>
      </c>
      <c r="F69" t="inlineStr"/>
      <c r="G69" t="inlineStr">
        <is>
          <t>Seattle, WA</t>
        </is>
      </c>
      <c r="H69" t="inlineStr"/>
      <c r="I69" t="inlineStr">
        <is>
          <t>**Description**
 Our team is part of Amazon’s Personalization organization, a high\-performing group that leverages Amazon’s expertise in machine learning, big data, distributed systems, and user experience design to deliver the best shopping experiences for our customers. We run global experiments and our work has revolutionized e\-commerce with features such as "Keep shopping for", “Customers who bought this item also bought”, and “Frequently bought together” among others.
 We are building the next generation of personalized shopping experiences at Amazon through deep understanding of our customer's intent and our product catalog. We aim to create an experience akin to that of a talented personal shopping assistant — a partner that is knowledgeable, understands your preferences, and helps you find the right solution for your needs. We hope you will join us!
 Key job responsibilities
 As an Applied Scientist on the team you will be working on ways to help customers find the right products on their shopping journey.
 You will hone your skills in areas such as Multimodal LLM post\-training and cross\-modal vision\-language reasoning, while building scalable, agentic industry\-grade systems.
 To be highly successful in this role, the following background is preferred (or expected to be ramped up quickly):
* A strong Computer Vision foundation
* Familiarity with multimodal encoders, with hands\-on experience training multimodal models
* End\-to\-end ML pipeline experience, spanning data curation, model training, and production deployment
* Experience with LLMs, particularly using LLM\-as\-a\-judge for synthetic data generation
* Experience with online experimentation, including experiment setup and post\-analysis
* Expertise in multimodal domain generalization is a strong plus
**Basic Qualifications**
* 3\+ years of building models for business application experience
* PhD, or Master's degree and 4\+ years of CS, CE, ML or related field experience
* Experience programming in Java, C\+\+, Python or related language
**Preferred Qualifications**
* Experience in patents or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A3181196</t>
        </is>
      </c>
    </row>
    <row r="70">
      <c r="A70" t="inlineStr">
        <is>
          <t>li-4365628431</t>
        </is>
      </c>
      <c r="B70" t="inlineStr">
        <is>
          <t>Senior Marketing Data Scientist</t>
        </is>
      </c>
      <c r="C70" t="inlineStr">
        <is>
          <t>SoFi</t>
        </is>
      </c>
      <c r="D70" t="inlineStr">
        <is>
          <t>linkedin</t>
        </is>
      </c>
      <c r="E70">
        <f>HYPERLINK("https://www.linkedin.com/jobs/view/4365628431", "https://www.linkedin.com/jobs/view/4365628431")</f>
        <v/>
      </c>
      <c r="F70" t="inlineStr"/>
      <c r="G70" t="inlineStr">
        <is>
          <t>Frisco, TX</t>
        </is>
      </c>
      <c r="H70" t="inlineStr"/>
      <c r="I7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71">
      <c r="A71" t="inlineStr">
        <is>
          <t>li-4382381574</t>
        </is>
      </c>
      <c r="B71" t="inlineStr">
        <is>
          <t>Senior Data Scientist</t>
        </is>
      </c>
      <c r="C71" t="inlineStr">
        <is>
          <t>Microsoft</t>
        </is>
      </c>
      <c r="D71" t="inlineStr">
        <is>
          <t>linkedin</t>
        </is>
      </c>
      <c r="E71">
        <f>HYPERLINK("https://www.linkedin.com/jobs/view/4382381574", "https://www.linkedin.com/jobs/view/4382381574")</f>
        <v/>
      </c>
      <c r="F71">
        <f>HYPERLINK("https://apply.careers.microsoft.com/careers/job/1970393556826687?utm_source=linkedin&amp;domain=microsoft.com&amp;src=LinkedIn&amp;urlHash=LCjK", "https://apply.careers.microsoft.com/careers/job/1970393556826687?utm_source=linkedin&amp;domain=microsoft.com&amp;src=LinkedIn&amp;urlHash=LCjK")</f>
        <v/>
      </c>
      <c r="G71" t="inlineStr">
        <is>
          <t>Redmond, WA</t>
        </is>
      </c>
      <c r="H71" t="inlineStr"/>
      <c r="I71" t="inlineStr">
        <is>
          <t>**Overview**
 The
 **Copilot and Platform Ecosystem (CAPE)** 
 team at Microsoft is on a mission to deliver customer and partner ecosystem success through Copilot and collaborative solutions that drive measurable business value and delightful product experiences.
 CAPE is hiring a
 **Senior** 
**Data Scientist** 
 to join our
 **Data \&amp; Engineering team** 
 , where we build trusted signals, metrics, and analytical foundations that power leadership reporting, Copilot experiences, and agent‑driven workflows across
 **M365 Copilot, Copilot in Teams, and Microsoft Teams** 
 .
 As a Senior Data Scientist, you will partner closely with data engineering, product, and engineering teams to turn large‑scale telemetry into
 **decision‑ready insights** 
 . You will help define metrics, design experiments, evaluate outcomes, and ensure our data products are explainable, reliable, and aligned to real business questions. Your work will directly influence product direction, customer success motions, and executive decision‑making.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data engineering, product management, and engineering to define analytical questions, success metrics, and hypotheses that drive Copilot business outcomes.
* Analyze large\-scale product and customer telemetry (e.g., Kusto/ADX, Cosmos, logs, usage signals) to deliver clear, actionable insights for leaders and partner teams.
* Design and interpret experiments and evaluations (A/B tests, cohort/retention analysis, causal methods as appropriate) to measure impact of features, agents, and platform changes.
* Own and evolve core metrics and definitions (engagement, retention, adoption, quality), ensuring consistency and trust across reporting and dashboards.
* Improve data quality, freshness, and correctness by identifying gaps/anomalies and strengthening signal pipelines in partnership with data engineering.
* Build analytical models or lightweight ML to support forecasting, segmentation, classification, and outcome measurement as needed.
* Communicate complex analyses as concise narratives for technical and non\-technical audiences; contribute to documentation and analytics best practices across CAPE.
**Qualifications**
**Required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 OR Bachelor's Degree in Data Science, Mathematics, Statistics, Econometrics, Economics, Operations Research, Computer Science, or related field AND 2\+ years data\-science experience (e.g., managing structured and unstructured data, applying statistical techniques and reporting results)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2\+ years of experience analyzing large datasets using SQL‑based systems and/or analytics platforms (e.g., Kusto, SQL, Spark).
* Experience designing and interpreting experiments, metrics, or analytical studies to inform product or business decisions.
* Experience communicating insights clearly through written narratives, presentations, or dashboards.
* Experience collaborating with cross‑functional partners (engineering, product, program management).
* Experience working in a data‑intensive product or platform environment, especially with telemetry or usage data at scale.
* Familiarity with Python, R, or similar languages for data analysis and modeling.
* Experience with AI/ML‑adjacent systems, evaluations, or outcome measurement (e.g., model quality, agent performance, user impact).
* Experience supporting executive‑level reporting or decision‑making.
* Exposure to cloud data platforms (e.g., Azure Data Explorer, Cosmos DB, Power BI semantic models).
 \#BICJOBS
 \#CAPE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2">
      <c r="A72" t="inlineStr">
        <is>
          <t>li-4291672702</t>
        </is>
      </c>
      <c r="B72" t="inlineStr">
        <is>
          <t>Sr. Data Scientist &amp; Algorithm Developer (Thermal Controls)</t>
        </is>
      </c>
      <c r="C72" t="inlineStr">
        <is>
          <t>Vertiv</t>
        </is>
      </c>
      <c r="D72" t="inlineStr">
        <is>
          <t>linkedin</t>
        </is>
      </c>
      <c r="E72">
        <f>HYPERLINK("https://www.linkedin.com/jobs/view/4291672702", "https://www.linkedin.com/jobs/view/4291672702")</f>
        <v/>
      </c>
      <c r="F72" t="inlineStr"/>
      <c r="G72" t="inlineStr">
        <is>
          <t>Westerville, OH</t>
        </is>
      </c>
      <c r="H72" t="inlineStr"/>
      <c r="I72" t="inlineStr">
        <is>
          <t>**Job Summary**
**JOB DESCRIPTION**
 Vertiv is seeking a
 ***Sr. Data Scientist \&amp; Algorithm Developer***
 to lead our Advanced Thermal Controls Algorithm Development efforts. This position understands and follows the new product development process and leads the ideation, design, testing and troubleshooting of Advanced Thermal Controls Logic and Algorithms. The Sr. Data Scientist \&amp; Algorithm Developer supports the Global Thermal Management business. This position interacts with and supports Global Design, Test Engineering, Thermal Controls, and Quality teams.
**Responsibilities**
* Creating Algorithm test plans and executing the plan either through simulated bench or lab environments.
* Owner of Thermal Controls Algorithm development, testing and verification in Thermal Controls Labs.
* Compilation and advanced analysis of test data with a focus on model development.
* Ideation, development, verification, and handoff of advanced algorithms and logic utilizing AI/ML methods for optimization, conditional based maintenance (predictive diagnostics), and/or operational excellence related to Thermal HVAC equipment to the Thermal Controls Development team.
* Algorithm scope includes single component, single device, multi\-device systems and multi\-systems.
* Familiarity with ML/AI technologies and a solid understanding of machine learning fundamentals, including MLP, CNN, SNN models, normalization and activation functions, forward/back propagation, and associated mathematics.
* Lab testing for verification of benefits and presentation of these results to the Product Management teams.
* Assist the Thermal Controls Development team in integrating algorithms into Controls architecture and platforms.
* Assisting in roadmap generation and resource plans specifically for Thermal Controls Algorithm development.
* Participates in sustaining activities for existing algorithms including diagnosis and resolution of related defects.
* Responsible for keeping excellent, organized project records and documentation.
* Product testing: Unit testing, system integration testing, and field\-testing support
* Leadership: Effective lead engineer, consistent positive attitude, creativity, accepts broad responsibility
* Other tasks and activities as required by management
**Requirements**
* Bachelor's Degree/Master's Degree (MS or higher) or foreign equivalent with strong emphasis on software: Computer Science, Controls Engineering, Data Science/Engineering, Software Engineering, Electrical/Mechanical Engineering; Preferred engineer with PhD and industrial experience.
* At least 5 years related experience
* Required expertise with HVAC, data manipulation and algorithm design:
+ HVAC experience (5 years)
+ Experience with data manipulation, data modeling and analysis
+ Experience with real HVAC testing (propose, execute, evaluate)
+ Experience with control design, numerical optimization, machine learning, artificial intelligence
+ Experience with development and implementation of complex mathematical algorithms
* Preferred expertise with software programming languages including but not limited to:
+ Matlab, Simulink, Python, C/C\+\+
+ MySQL Server, SQL
+ TensorFlow, Keras, Scikit\-learn, PyTorch, Nvidia AI Labs
+ LabView and associated Data Acquisition systems and protocols
* Familiarity with software development environments and tools:
+ Git, GitHub, GitLab, Rally, Code Composer Studio™ IDE, ST32CubeIDE™, and Eclipse® IDE toolsa plus
* Fluent in English
* Up to 10% travel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73">
      <c r="A73" t="inlineStr">
        <is>
          <t>li-4365577170</t>
        </is>
      </c>
      <c r="B73" t="inlineStr">
        <is>
          <t>Senior Staff Data Scientist, Borrow</t>
        </is>
      </c>
      <c r="C73" t="inlineStr">
        <is>
          <t>SoFi</t>
        </is>
      </c>
      <c r="D73" t="inlineStr">
        <is>
          <t>linkedin</t>
        </is>
      </c>
      <c r="E73">
        <f>HYPERLINK("https://www.linkedin.com/jobs/view/4365577170", "https://www.linkedin.com/jobs/view/4365577170")</f>
        <v/>
      </c>
      <c r="F73" t="inlineStr"/>
      <c r="G73" t="inlineStr">
        <is>
          <t>New York, NY</t>
        </is>
      </c>
      <c r="H73" t="inlineStr"/>
      <c r="I73"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Borrow Data Science team is seeking a Senior Staff Data Scientist who will help support growth in our Home Loans business by improving SoFi’s ability to execute with data. This is an exciting role for someone to leverage their analytical skills to create robust reporting, identify growth opportunities and insights, and build ML models using Snowflake, Airflow, dbt, and Sagemaker.
 As a Senior Staff Data Scientist, you will serve as a data leader, balancing urgent requests, and delivering high quality projects to key stakeholders, through a clear and repeatable data informed approach. You will be a technical leader, helping the team build reliable, efficient, and scalable data foundations. You will create a culture of strong technical ownership, documenting your approach and ideas to socialize, resulting in strategies that have a wide impact within the organization. You will perform analytical deep\-dives to proactively identify most impactful opportunities, and inform future experimentation design and product roadmaps.
 In this role, you'll use your expertise in data analysis, statistical modeling, and machine learning to uncover insights that will directly influence product strategy and revenue growth. This role demands a strong technical foundation (SQL, Python/R, Tableau, Statistics), a deep understanding of business metrics, A/B testing, causal inference analysis, and exceptional collaboration skills.
 Additionally, you are expected to work cross\-functionally, including: engineering, product managers, lifecycle marketing, data science, design, operations, finance, risk, legal, compliance, and executive teams to set business objectives, define product strategy, prioritize features, and execute on them.
****What you’ll do:****
* Identify high impact business opportunities to help members achieve their financial goals
* Mentor and guide data scientists in the team by promoting best practices, strong technical decisions, coding standards, and thorough documentation.
* Develop and apply machine learning models to solve business problems
* Evaluate and interpret the results of data analysis
* Build strong relationships with stakeholders and present insights on a regular cadence communicating findings to both technical and non\-technical stakeholders.
* Design and implement data collection. Build data pipelines to deploy production level datasets.
* Collaborate with cross\-functional teams and business leaders to understand needs and offer data\-driven solutions
* Act as a technical leader by mentoring and supporting the growth of less experienced team members.
****What you’ll need:****
* Masters’ or above in quantitative areas: Statistics, Applied Mathematics, Economics, Computer Science, Engineering, or related field
* 10\+ years of relevant experience leveraging data\-driven analysis to influence key decisions, preferably in a Tech or Finance company
* Proven track record of being able to work independently, and proactively engaging with business stakeholders with minimal direction and drive measurable business impact.
* Experience with using Airflow and DBT to build Data Pipelines in Snowflake
* Strong programming skills in SQL and Python
* Experience with building data visualizations with Tableau, Looker or other BI tools
* Knowledge of varied ML algorithms, applicability to different business problems, and experience in deploying ML models at scale in production with monitoring metrics.
* Ability to work in a dynamic, cross\-functional environment, with a strong attention to detail;
* Effective communication and presentation skills and ability to explain complex analyses in simple terms to business leaders;
* Strong relationship building and collaborative skills;
* Exceptional problem\-solving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74">
      <c r="A74" t="inlineStr">
        <is>
          <t>li-4365632250</t>
        </is>
      </c>
      <c r="B74" t="inlineStr">
        <is>
          <t>Senior Marketing Data Scientist</t>
        </is>
      </c>
      <c r="C74" t="inlineStr">
        <is>
          <t>SoFi</t>
        </is>
      </c>
      <c r="D74" t="inlineStr">
        <is>
          <t>linkedin</t>
        </is>
      </c>
      <c r="E74">
        <f>HYPERLINK("https://www.linkedin.com/jobs/view/4365632250", "https://www.linkedin.com/jobs/view/4365632250")</f>
        <v/>
      </c>
      <c r="F74" t="inlineStr"/>
      <c r="G74" t="inlineStr">
        <is>
          <t>Seattle, WA</t>
        </is>
      </c>
      <c r="H74" t="inlineStr"/>
      <c r="I7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 highly motivated Senior Data Scientist to join the Marketing Data Science (MDS) team. The MDS team plays a crucial role in enabling data\-driven decisions across SoFi's Marketing organization through robust analytics, modeling, experimentation, and measurement.
 This new role will be working with senior data scientists to develop, optimize and implement the marketing strategies for Sofi SIPS(Save, Invest, Protect and Spend).
 Marketing Data Scientists will partner closely with marketing managers and leadership to design, analyze, and optimize marketing strategies that drive member growth and revenue. If you are interested in working with highly quantitative teammates and elevating how data and analytics drives marketing and business decisions, this role is for you.
**What you’ll do:**
* Drive the growth of business and member products by developing comprehensive marketing strategies, which includes data analysis, model creation, strategy development, and performance monitoring across all channels.
* Collaborate with marketing managers, channel owners, and external partners to identify and strategize on new opportunities and initiatives.
* Analyze and measure the effectiveness of the marketing strategies, including funnel efficiency (click to convert), CPA (cost per acquisition) and ROI (return on investment), to provide data\-driven recommendations and drive informed actions.
* Design, analyze, and interpret experiments (A/B tests, quasi\-experiments) to inform marketing and growth decisions.
* Design and validate the complete campaign lifecycle, including process flow, data pipeline, model scoring, and execution, in collaboration with the campaign execution team to ensure timely and accurate campaign selections.
* Define key performance indicators (KPIs), design reporting framework and develop self\-service dashboards that provide clear visibility into product and business performance.
* Perform deep\-dive analyses across funnels, user behavior, monetization, and retention to identify growth and efficiency opportunities.
* Transform business objectives into data\-driven, actionable tactics and campaigns that generate immediate results and establish a robust foundation for sustained growth.
* Fulfill partner requests promptly by providing timely analysis, adeptly navigating ambiguity, and focusing on solution\-oriented approaches..
* Communicate insights clearly to senior leadership and partners, converting complex data into compelling narratives.
**What you’ll need:**
* Bachelor's degree in Computer Science, Math, Physics, Engineering, or a quantitative field required; Master's degree preferred.
* 5\+ years of experience in data science/analytics role
* Strong communication skills and comfort working directly with Product and Business leaders
* Strong programming skills in SQL, Python/R and proficiency in Tableau
* Experience in growth, lifecycle, or funnel optimization problems
* Experience building data pipelines with Airflow, preferably in Snowflake.
* Demonstrated experience with experimentation design, hypothesis testing, and statistical analysis
* Knowledge of statistical modeling or machine learning is a plus.
* Ability to operate effectively in ambiguous, fast\-moving product environments
* Ability to thrive in a dynamic, cross\-functional environment with keen attention to detail.
* Ability to work independently and as part of a team. You should be able to initiate and drive projects to completion
* Knowledge of experimentation platforms (e.g., Statsig or similar)
* Demonstrate strong business acumen and curiosity, with excellent communication and presentation skills, including the ability to present to leadership
* Strong preference for industry experience in financial service and familiarity with banking products and marketing channels.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75">
      <c r="A75" t="inlineStr">
        <is>
          <t>li-4365630276</t>
        </is>
      </c>
      <c r="B75" t="inlineStr">
        <is>
          <t>Applied Scientist (Contract), Artificial General Intelligence</t>
        </is>
      </c>
      <c r="C75" t="inlineStr">
        <is>
          <t>Amazon</t>
        </is>
      </c>
      <c r="D75" t="inlineStr">
        <is>
          <t>linkedin</t>
        </is>
      </c>
      <c r="E75">
        <f>HYPERLINK("https://www.linkedin.com/jobs/view/4365630276", "https://www.linkedin.com/jobs/view/4365630276")</f>
        <v/>
      </c>
      <c r="F75">
        <f>HYPERLINK("https://www.amazon.jobs/jobs/3165525/applied-scientist-contract-artificial-general-intelligence?cmpid=SPLICX0248M&amp;utm_source=linkedin.com&amp;utm_campaign=cxro&amp;utm_medium=social_media&amp;utm_content=job_posting&amp;ss=paid&amp;urlHash=5hHs", "https://www.amazon.jobs/jobs/3165525/applied-scientist-contract-artificial-general-intelligence?cmpid=SPLICX0248M&amp;utm_source=linkedin.com&amp;utm_campaign=cxro&amp;utm_medium=social_media&amp;utm_content=job_posting&amp;ss=paid&amp;urlHash=5hHs")</f>
        <v/>
      </c>
      <c r="G75" t="inlineStr">
        <is>
          <t>Boston, MA</t>
        </is>
      </c>
      <c r="H75" t="inlineStr"/>
      <c r="I75"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A3165525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2026-03-07T17:28:00Z</dcterms:created>
  <dcterms:modified xsi:type="dcterms:W3CDTF">2026-03-07T17:28:00Z</dcterms:modified>
</cp:coreProperties>
</file>